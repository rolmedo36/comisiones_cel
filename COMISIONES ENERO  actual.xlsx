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lme\PycharmProjects\comisiones\"/>
    </mc:Choice>
  </mc:AlternateContent>
  <xr:revisionPtr revIDLastSave="0" documentId="8_{D72DC5A3-47F7-4367-ACC6-2A0766AB7D19}" xr6:coauthVersionLast="47" xr6:coauthVersionMax="47" xr10:uidLastSave="{00000000-0000-0000-0000-000000000000}"/>
  <bookViews>
    <workbookView xWindow="-120" yWindow="-120" windowWidth="38640" windowHeight="15840" firstSheet="6" activeTab="6" xr2:uid="{00000000-000D-0000-FFFF-FFFF00000000}"/>
  </bookViews>
  <sheets>
    <sheet name="VTA POR EMPLEADO" sheetId="4" state="hidden" r:id="rId1"/>
    <sheet name="BASE GENERAL" sheetId="1" state="hidden" r:id="rId2"/>
    <sheet name="semana 4" sheetId="12" state="hidden" r:id="rId3"/>
    <sheet name="Semana 3" sheetId="11" state="hidden" r:id="rId4"/>
    <sheet name="Semana 2" sheetId="10" state="hidden" r:id="rId5"/>
    <sheet name="Semana 1" sheetId="9" state="hidden" r:id="rId6"/>
    <sheet name="ERECTUS" sheetId="2" r:id="rId7"/>
    <sheet name="Hoja1" sheetId="13" r:id="rId8"/>
    <sheet name="Pastilla" sheetId="8" r:id="rId9"/>
    <sheet name="DUSA" sheetId="7" r:id="rId10"/>
    <sheet name="CXO" sheetId="6" r:id="rId11"/>
    <sheet name="Juguetes" sheetId="5" r:id="rId12"/>
    <sheet name="SUPERVISOR" sheetId="3" r:id="rId13"/>
  </sheets>
  <externalReferences>
    <externalReference r:id="rId14"/>
  </externalReferences>
  <definedNames>
    <definedName name="_xlnm._FilterDatabase" localSheetId="1" hidden="1">'BASE GENERAL'!$B$4:$J$3114</definedName>
    <definedName name="_xlnm._FilterDatabase" localSheetId="6" hidden="1">ERECTUS!$B$12:$O$92</definedName>
    <definedName name="AÑO">[1]FILTROS!$A$1:$A$6</definedName>
    <definedName name="_xlnm.Print_Area" localSheetId="12">SUPERVISOR!$A$2:$O$15</definedName>
    <definedName name="base">#REF!</definedName>
  </definedNames>
  <calcPr calcId="191029"/>
  <pivotCaches>
    <pivotCache cacheId="0" r:id="rId15"/>
    <pivotCache cacheId="1" r:id="rId16"/>
    <pivotCache cacheId="2" r:id="rId17"/>
    <pivotCache cacheId="3" r:id="rId18"/>
    <pivotCache cacheId="4" r:id="rId19"/>
    <pivotCache cacheId="5" r:id="rId20"/>
    <pivotCache cacheId="6" r:id="rId21"/>
    <pivotCache cacheId="7" r:id="rId22"/>
    <pivotCache cacheId="8" r:id="rId2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13" l="1"/>
  <c r="M84" i="2"/>
  <c r="L84" i="2"/>
  <c r="K84" i="2"/>
  <c r="K15" i="3"/>
  <c r="J84" i="2"/>
  <c r="N87" i="2"/>
  <c r="N64" i="2"/>
  <c r="N50" i="2"/>
  <c r="N25" i="2"/>
  <c r="N31" i="2"/>
  <c r="N61" i="2"/>
  <c r="N68" i="2"/>
  <c r="N48" i="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7" i="12"/>
  <c r="O24" i="12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6" i="11"/>
  <c r="O23" i="11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10" i="10"/>
  <c r="O27" i="10"/>
  <c r="N23" i="9"/>
  <c r="O22" i="9"/>
  <c r="P22" i="9" s="1"/>
  <c r="O21" i="9"/>
  <c r="P21" i="9" s="1"/>
  <c r="O20" i="9"/>
  <c r="P20" i="9" s="1"/>
  <c r="O19" i="9"/>
  <c r="P19" i="9" s="1"/>
  <c r="O18" i="9"/>
  <c r="P18" i="9" s="1"/>
  <c r="O17" i="9"/>
  <c r="P17" i="9" s="1"/>
  <c r="O16" i="9"/>
  <c r="P16" i="9" s="1"/>
  <c r="O15" i="9"/>
  <c r="P15" i="9" s="1"/>
  <c r="O14" i="9"/>
  <c r="P14" i="9" s="1"/>
  <c r="O13" i="9"/>
  <c r="P13" i="9" s="1"/>
  <c r="O12" i="9"/>
  <c r="P12" i="9" s="1"/>
  <c r="O11" i="9"/>
  <c r="P11" i="9" s="1"/>
  <c r="O10" i="9"/>
  <c r="P10" i="9" s="1"/>
  <c r="O9" i="9"/>
  <c r="P9" i="9" s="1"/>
  <c r="O8" i="9"/>
  <c r="P8" i="9" s="1"/>
  <c r="O7" i="9"/>
  <c r="P7" i="9" s="1"/>
  <c r="O6" i="9"/>
  <c r="P6" i="9" s="1"/>
  <c r="N23" i="12"/>
  <c r="N18" i="12"/>
  <c r="N15" i="12"/>
  <c r="N9" i="12"/>
  <c r="N16" i="11"/>
  <c r="N9" i="11"/>
  <c r="N23" i="10"/>
  <c r="N20" i="10"/>
  <c r="N17" i="10"/>
  <c r="N12" i="10"/>
  <c r="N16" i="9"/>
  <c r="N14" i="9"/>
  <c r="N9" i="9"/>
  <c r="P23" i="9" l="1"/>
  <c r="O23" i="9"/>
  <c r="N24" i="12"/>
  <c r="P24" i="12"/>
  <c r="N23" i="11"/>
  <c r="N27" i="10"/>
  <c r="P27" i="10"/>
  <c r="I3" i="1"/>
  <c r="I2" i="1" s="1"/>
  <c r="N13" i="3"/>
  <c r="N15" i="3" s="1"/>
  <c r="C92" i="2"/>
  <c r="D13" i="3" s="1"/>
  <c r="O10" i="8"/>
  <c r="J13" i="3"/>
  <c r="J15" i="3" s="1"/>
  <c r="D71" i="2"/>
  <c r="M64" i="2"/>
  <c r="M48" i="2"/>
  <c r="M16" i="2"/>
  <c r="M47" i="2"/>
  <c r="M36" i="2"/>
  <c r="M21" i="2"/>
  <c r="M74" i="2"/>
  <c r="M25" i="2"/>
  <c r="M31" i="2"/>
  <c r="M91" i="2"/>
  <c r="M77" i="2"/>
  <c r="M50" i="2"/>
  <c r="M61" i="2"/>
  <c r="M39" i="2"/>
  <c r="M87" i="2"/>
  <c r="M68" i="2"/>
  <c r="M54" i="2"/>
  <c r="M90" i="2"/>
  <c r="M89" i="2"/>
  <c r="O11" i="8"/>
  <c r="O12" i="8"/>
  <c r="O13" i="8"/>
  <c r="O14" i="8"/>
  <c r="O15" i="8"/>
  <c r="O16" i="8"/>
  <c r="O17" i="8"/>
  <c r="O18" i="8"/>
  <c r="O20" i="8"/>
  <c r="O21" i="8"/>
  <c r="O22" i="8"/>
  <c r="O23" i="8"/>
  <c r="O30" i="8"/>
  <c r="O27" i="8"/>
  <c r="O28" i="8"/>
  <c r="O29" i="8"/>
  <c r="L64" i="2"/>
  <c r="L48" i="2"/>
  <c r="L16" i="2"/>
  <c r="L47" i="2"/>
  <c r="L36" i="2"/>
  <c r="L21" i="2"/>
  <c r="L74" i="2"/>
  <c r="L25" i="2"/>
  <c r="L31" i="2"/>
  <c r="L91" i="2"/>
  <c r="L77" i="2"/>
  <c r="L50" i="2"/>
  <c r="L87" i="2"/>
  <c r="L68" i="2"/>
  <c r="L54" i="2"/>
  <c r="L90" i="2"/>
  <c r="L89" i="2"/>
  <c r="J36" i="2"/>
  <c r="K47" i="2"/>
  <c r="O9" i="7"/>
  <c r="O10" i="7"/>
  <c r="O11" i="7"/>
  <c r="O12" i="7"/>
  <c r="O13" i="7"/>
  <c r="O14" i="7"/>
  <c r="O15" i="7"/>
  <c r="O16" i="7"/>
  <c r="O18" i="7"/>
  <c r="O19" i="7"/>
  <c r="O20" i="7"/>
  <c r="O21" i="7"/>
  <c r="O25" i="7"/>
  <c r="O26" i="7"/>
  <c r="O27" i="7"/>
  <c r="O8" i="7"/>
  <c r="J47" i="2"/>
  <c r="K36" i="2"/>
  <c r="K91" i="2"/>
  <c r="K89" i="2"/>
  <c r="K87" i="2"/>
  <c r="K64" i="2"/>
  <c r="K50" i="2"/>
  <c r="K48" i="2"/>
  <c r="K39" i="2"/>
  <c r="K21" i="2"/>
  <c r="K16" i="2"/>
  <c r="O11" i="6"/>
  <c r="K90" i="2" s="1"/>
  <c r="O12" i="6"/>
  <c r="K54" i="2" s="1"/>
  <c r="O13" i="6"/>
  <c r="K68" i="2" s="1"/>
  <c r="O14" i="6"/>
  <c r="O15" i="6"/>
  <c r="O16" i="6"/>
  <c r="K61" i="2" s="1"/>
  <c r="O17" i="6"/>
  <c r="O18" i="6"/>
  <c r="K77" i="2" s="1"/>
  <c r="O20" i="6"/>
  <c r="K31" i="2" s="1"/>
  <c r="O21" i="6"/>
  <c r="K25" i="2" s="1"/>
  <c r="O22" i="6"/>
  <c r="K74" i="2" s="1"/>
  <c r="O23" i="6"/>
  <c r="O27" i="6"/>
  <c r="O28" i="6"/>
  <c r="O29" i="6"/>
  <c r="O10" i="6"/>
  <c r="J91" i="2"/>
  <c r="O10" i="5"/>
  <c r="J90" i="2"/>
  <c r="G91" i="2"/>
  <c r="G90" i="2"/>
  <c r="I90" i="2" s="1"/>
  <c r="G89" i="2"/>
  <c r="J89" i="2"/>
  <c r="J77" i="2"/>
  <c r="J50" i="2"/>
  <c r="J48" i="2"/>
  <c r="J39" i="2"/>
  <c r="J25" i="2"/>
  <c r="O28" i="5"/>
  <c r="O27" i="5"/>
  <c r="J64" i="2" s="1"/>
  <c r="O26" i="5"/>
  <c r="O22" i="5"/>
  <c r="J21" i="2" s="1"/>
  <c r="O21" i="5"/>
  <c r="J74" i="2" s="1"/>
  <c r="O20" i="5"/>
  <c r="O19" i="5"/>
  <c r="J31" i="2" s="1"/>
  <c r="O17" i="5"/>
  <c r="O16" i="5"/>
  <c r="O15" i="5"/>
  <c r="J61" i="2" s="1"/>
  <c r="O14" i="5"/>
  <c r="O13" i="5"/>
  <c r="J87" i="2" s="1"/>
  <c r="O12" i="5"/>
  <c r="J68" i="2" s="1"/>
  <c r="O11" i="5"/>
  <c r="O9" i="5"/>
  <c r="K13" i="3"/>
  <c r="M13" i="3"/>
  <c r="L13" i="3"/>
  <c r="L15" i="3" l="1"/>
  <c r="M15" i="3"/>
  <c r="O28" i="7"/>
  <c r="O30" i="6"/>
  <c r="J16" i="2"/>
  <c r="J92" i="2" s="1"/>
  <c r="G84" i="2"/>
  <c r="F84" i="2"/>
  <c r="G62" i="2"/>
  <c r="G25" i="2"/>
  <c r="I25" i="2" s="1"/>
  <c r="O25" i="2" s="1"/>
  <c r="F86" i="2"/>
  <c r="G86" i="2" s="1"/>
  <c r="F87" i="2"/>
  <c r="G87" i="2" s="1"/>
  <c r="I87" i="2" s="1"/>
  <c r="O87" i="2" s="1"/>
  <c r="F85" i="2"/>
  <c r="G85" i="2" s="1"/>
  <c r="F82" i="2"/>
  <c r="G82" i="2" s="1"/>
  <c r="F83" i="2"/>
  <c r="G83" i="2" s="1"/>
  <c r="F81" i="2"/>
  <c r="G81" i="2" s="1"/>
  <c r="F77" i="2"/>
  <c r="G77" i="2" s="1"/>
  <c r="I77" i="2" s="1"/>
  <c r="O77" i="2" s="1"/>
  <c r="F78" i="2"/>
  <c r="G78" i="2" s="1"/>
  <c r="F76" i="2"/>
  <c r="G76" i="2" s="1"/>
  <c r="F68" i="2"/>
  <c r="G68" i="2" s="1"/>
  <c r="I68" i="2" s="1"/>
  <c r="O68" i="2" s="1"/>
  <c r="F69" i="2"/>
  <c r="G69" i="2" s="1"/>
  <c r="F67" i="2"/>
  <c r="G67" i="2" s="1"/>
  <c r="F72" i="2"/>
  <c r="G72" i="2" s="1"/>
  <c r="F73" i="2"/>
  <c r="G73" i="2" s="1"/>
  <c r="F74" i="2"/>
  <c r="F71" i="2"/>
  <c r="G71" i="2" s="1"/>
  <c r="F64" i="2"/>
  <c r="G64" i="2" s="1"/>
  <c r="I64" i="2" s="1"/>
  <c r="O64" i="2" s="1"/>
  <c r="F63" i="2"/>
  <c r="G63" i="2" s="1"/>
  <c r="F60" i="2"/>
  <c r="G60" i="2" s="1"/>
  <c r="F61" i="2"/>
  <c r="G61" i="2" s="1"/>
  <c r="I61" i="2" s="1"/>
  <c r="O61" i="2" s="1"/>
  <c r="F62" i="2"/>
  <c r="F59" i="2"/>
  <c r="G59" i="2" s="1"/>
  <c r="F54" i="2"/>
  <c r="G54" i="2" s="1"/>
  <c r="I54" i="2" s="1"/>
  <c r="O54" i="2" s="1"/>
  <c r="F55" i="2"/>
  <c r="G55" i="2" s="1"/>
  <c r="F53" i="2"/>
  <c r="G53" i="2" s="1"/>
  <c r="F50" i="2"/>
  <c r="G50" i="2" s="1"/>
  <c r="I50" i="2" s="1"/>
  <c r="O50" i="2" s="1"/>
  <c r="F48" i="2"/>
  <c r="G48" i="2" s="1"/>
  <c r="I48" i="2" s="1"/>
  <c r="O48" i="2" s="1"/>
  <c r="F45" i="2"/>
  <c r="G45" i="2" s="1"/>
  <c r="F46" i="2"/>
  <c r="G46" i="2" s="1"/>
  <c r="F47" i="2"/>
  <c r="G47" i="2" s="1"/>
  <c r="F44" i="2"/>
  <c r="G44" i="2" s="1"/>
  <c r="F40" i="2"/>
  <c r="G40" i="2" s="1"/>
  <c r="F41" i="2"/>
  <c r="G41" i="2" s="1"/>
  <c r="F39" i="2"/>
  <c r="G39" i="2" s="1"/>
  <c r="F35" i="2"/>
  <c r="G35" i="2" s="1"/>
  <c r="F36" i="2"/>
  <c r="G36" i="2" s="1"/>
  <c r="F34" i="2"/>
  <c r="G34" i="2" s="1"/>
  <c r="F30" i="2"/>
  <c r="G30" i="2" s="1"/>
  <c r="F31" i="2"/>
  <c r="G31" i="2" s="1"/>
  <c r="I31" i="2" s="1"/>
  <c r="O31" i="2" s="1"/>
  <c r="F29" i="2"/>
  <c r="G29" i="2" s="1"/>
  <c r="F24" i="2"/>
  <c r="G24" i="2" s="1"/>
  <c r="F25" i="2"/>
  <c r="F26" i="2"/>
  <c r="G26" i="2" s="1"/>
  <c r="F23" i="2"/>
  <c r="G23" i="2" s="1"/>
  <c r="F20" i="2"/>
  <c r="G20" i="2" s="1"/>
  <c r="F21" i="2"/>
  <c r="G21" i="2" s="1"/>
  <c r="I21" i="2" s="1"/>
  <c r="O21" i="2" s="1"/>
  <c r="F22" i="2"/>
  <c r="F19" i="2"/>
  <c r="G19" i="2" s="1"/>
  <c r="F14" i="2"/>
  <c r="G14" i="2" s="1"/>
  <c r="F15" i="2"/>
  <c r="G15" i="2" s="1"/>
  <c r="F16" i="2"/>
  <c r="G16" i="2" s="1"/>
  <c r="I16" i="2" s="1"/>
  <c r="O16" i="2" s="1"/>
  <c r="F13" i="2"/>
  <c r="G13" i="2" s="1"/>
  <c r="D85" i="2"/>
  <c r="E85" i="2" s="1"/>
  <c r="D81" i="2"/>
  <c r="E81" i="2" s="1"/>
  <c r="D76" i="2"/>
  <c r="E76" i="2" s="1"/>
  <c r="D67" i="2"/>
  <c r="E67" i="2" s="1"/>
  <c r="D63" i="2"/>
  <c r="E63" i="2" s="1"/>
  <c r="D59" i="2"/>
  <c r="E59" i="2" s="1"/>
  <c r="D53" i="2"/>
  <c r="E53" i="2" s="1"/>
  <c r="D50" i="2"/>
  <c r="E50" i="2" s="1"/>
  <c r="D48" i="2"/>
  <c r="E48" i="2" s="1"/>
  <c r="D44" i="2"/>
  <c r="E44" i="2" s="1"/>
  <c r="D39" i="2"/>
  <c r="E39" i="2" s="1"/>
  <c r="D34" i="2"/>
  <c r="E34" i="2" s="1"/>
  <c r="D29" i="2"/>
  <c r="E29" i="2" s="1"/>
  <c r="D19" i="2"/>
  <c r="E19" i="2" s="1"/>
  <c r="D23" i="2"/>
  <c r="E23" i="2" s="1"/>
  <c r="J3" i="1"/>
  <c r="D13" i="2"/>
  <c r="H15" i="3"/>
  <c r="F15" i="3"/>
  <c r="H92" i="2"/>
  <c r="O91" i="2"/>
  <c r="D91" i="2"/>
  <c r="E91" i="2" s="1"/>
  <c r="O90" i="2"/>
  <c r="D90" i="2"/>
  <c r="E90" i="2" s="1"/>
  <c r="D89" i="2"/>
  <c r="E89" i="2" s="1"/>
  <c r="O88" i="2"/>
  <c r="O86" i="2"/>
  <c r="O85" i="2"/>
  <c r="M92" i="2"/>
  <c r="L92" i="2"/>
  <c r="K92" i="2"/>
  <c r="O83" i="2"/>
  <c r="O82" i="2"/>
  <c r="O81" i="2"/>
  <c r="O80" i="2"/>
  <c r="O79" i="2"/>
  <c r="O78" i="2"/>
  <c r="O76" i="2"/>
  <c r="O75" i="2"/>
  <c r="O74" i="2"/>
  <c r="O72" i="2"/>
  <c r="O71" i="2"/>
  <c r="O70" i="2"/>
  <c r="O69" i="2"/>
  <c r="O67" i="2"/>
  <c r="O66" i="2"/>
  <c r="O65" i="2"/>
  <c r="O63" i="2"/>
  <c r="O62" i="2"/>
  <c r="O60" i="2"/>
  <c r="O59" i="2"/>
  <c r="O58" i="2"/>
  <c r="O57" i="2"/>
  <c r="O56" i="2"/>
  <c r="O55" i="2"/>
  <c r="O53" i="2"/>
  <c r="O52" i="2"/>
  <c r="O51" i="2"/>
  <c r="O49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0" i="2"/>
  <c r="O29" i="2"/>
  <c r="O28" i="2"/>
  <c r="O27" i="2"/>
  <c r="O26" i="2"/>
  <c r="O24" i="2"/>
  <c r="O23" i="2"/>
  <c r="O22" i="2"/>
  <c r="N92" i="2"/>
  <c r="O20" i="2"/>
  <c r="O19" i="2"/>
  <c r="O18" i="2"/>
  <c r="O17" i="2"/>
  <c r="O15" i="2"/>
  <c r="O14" i="2"/>
  <c r="O13" i="2"/>
  <c r="P21" i="2" l="1"/>
  <c r="P61" i="2"/>
  <c r="P36" i="2"/>
  <c r="P16" i="2"/>
  <c r="P64" i="2"/>
  <c r="P47" i="2"/>
  <c r="E71" i="2"/>
  <c r="G74" i="2"/>
  <c r="G92" i="2" s="1"/>
  <c r="O29" i="5"/>
  <c r="P54" i="2"/>
  <c r="E13" i="2"/>
  <c r="P50" i="2"/>
  <c r="P31" i="2"/>
  <c r="P90" i="2"/>
  <c r="P77" i="2"/>
  <c r="P91" i="2"/>
  <c r="P87" i="2"/>
  <c r="P39" i="2"/>
  <c r="P25" i="2"/>
  <c r="P68" i="2"/>
  <c r="O89" i="2"/>
  <c r="P48" i="2"/>
  <c r="D92" i="2" l="1"/>
  <c r="Q91" i="2" s="1"/>
  <c r="P74" i="2"/>
  <c r="P89" i="2"/>
  <c r="Q21" i="2" l="1"/>
  <c r="Q47" i="2"/>
  <c r="Q36" i="2"/>
  <c r="Q16" i="2"/>
  <c r="Q74" i="2"/>
  <c r="Q87" i="2"/>
  <c r="Q77" i="2"/>
  <c r="Q89" i="2"/>
  <c r="Q90" i="2"/>
  <c r="E13" i="3"/>
  <c r="I15" i="3" s="1"/>
  <c r="Q68" i="2"/>
  <c r="Q39" i="2"/>
  <c r="L94" i="2"/>
  <c r="Q31" i="2"/>
  <c r="Q48" i="2"/>
  <c r="Q64" i="2"/>
  <c r="K94" i="2"/>
  <c r="E92" i="2"/>
  <c r="Q50" i="2"/>
  <c r="Q61" i="2"/>
  <c r="M94" i="2"/>
  <c r="Q54" i="2"/>
  <c r="N94" i="2"/>
  <c r="Q25" i="2"/>
  <c r="J94" i="2"/>
  <c r="E15" i="3" l="1"/>
  <c r="G15" i="3"/>
  <c r="C14" i="3"/>
  <c r="D15" i="3"/>
  <c r="I84" i="2" l="1"/>
  <c r="O84" i="2" s="1"/>
  <c r="Q84" i="2" s="1"/>
  <c r="O15" i="3"/>
  <c r="O13" i="3" s="1"/>
  <c r="P23" i="11"/>
  <c r="P84" i="2" l="1"/>
  <c r="O92" i="2"/>
  <c r="I92" i="2"/>
  <c r="I94" i="2" s="1"/>
  <c r="Q92" i="2" l="1"/>
  <c r="O94" i="2"/>
</calcChain>
</file>

<file path=xl/sharedStrings.xml><?xml version="1.0" encoding="utf-8"?>
<sst xmlns="http://schemas.openxmlformats.org/spreadsheetml/2006/main" count="60255" uniqueCount="1101">
  <si>
    <t>UBICACION</t>
  </si>
  <si>
    <t>FECHA</t>
  </si>
  <si>
    <t>VENDEDOR</t>
  </si>
  <si>
    <t>SKU</t>
  </si>
  <si>
    <t>ARTICULO</t>
  </si>
  <si>
    <t>FAMILIA COMERCIAL</t>
  </si>
  <si>
    <t>MARCA</t>
  </si>
  <si>
    <t>CANTIDAD</t>
  </si>
  <si>
    <t>SUBTOT</t>
  </si>
  <si>
    <t>Arcos-C</t>
  </si>
  <si>
    <t>02/01/2026</t>
  </si>
  <si>
    <t>NOE JONAS D CEL</t>
  </si>
  <si>
    <t>7503013378652</t>
  </si>
  <si>
    <t>Liquid Love Backdoor 100ml - DUSA</t>
  </si>
  <si>
    <t>CONSUMIBLE</t>
  </si>
  <si>
    <t>DUSA</t>
  </si>
  <si>
    <t>7503013378690</t>
  </si>
  <si>
    <t>Shumatsu 3 pzas - DUSA</t>
  </si>
  <si>
    <t>03/01/2026</t>
  </si>
  <si>
    <t>7503014914002</t>
  </si>
  <si>
    <t>CAPSULAS MULTIORGASMICO AMO O-GEN</t>
  </si>
  <si>
    <t>POWER MAN</t>
  </si>
  <si>
    <t>8699415912859</t>
  </si>
  <si>
    <t>Miel Vigorizante para Hombre  Miracle Honey  VIP 15g-  SECRET MIRACLE HONEY</t>
  </si>
  <si>
    <t>SECRET MIRACLE HONEY</t>
  </si>
  <si>
    <t>7503023462891</t>
  </si>
  <si>
    <t>ORAL SEX Exotic Nut 30ml - DIAMANTE</t>
  </si>
  <si>
    <t>DIAMANTE</t>
  </si>
  <si>
    <t>7503032300443</t>
  </si>
  <si>
    <t>Zoe bala vibradora RETAIL - CXO</t>
  </si>
  <si>
    <t>CXO</t>
  </si>
  <si>
    <t>04/01/2026</t>
  </si>
  <si>
    <t>ANGEL DANILO RODRIGUEZ LOPEZ</t>
  </si>
  <si>
    <t>7502214982477</t>
  </si>
  <si>
    <t>Condon Fresa 3pzs - PRUDENCE</t>
  </si>
  <si>
    <t>PRUDENCE</t>
  </si>
  <si>
    <t>7503032300993</t>
  </si>
  <si>
    <t>Liquid Love Pleasure 30ml - DUSA</t>
  </si>
  <si>
    <t>7503050524241</t>
  </si>
  <si>
    <t>Orgasmik 30ml - DUSA</t>
  </si>
  <si>
    <t>05/01/2026</t>
  </si>
  <si>
    <t>7503030211021</t>
  </si>
  <si>
    <t>Anillo desechable para pene Donut - CXO</t>
  </si>
  <si>
    <t>JUGUETE</t>
  </si>
  <si>
    <t>7503043917081</t>
  </si>
  <si>
    <t>Blade rosa anillo vibrador - CXO</t>
  </si>
  <si>
    <t>7503013378492</t>
  </si>
  <si>
    <t>Clean Whisper 120ml - DUSA</t>
  </si>
  <si>
    <t>6959633156094</t>
  </si>
  <si>
    <t>Robin - SVAKOM</t>
  </si>
  <si>
    <t>SVAKOM</t>
  </si>
  <si>
    <t>06/01/2026</t>
  </si>
  <si>
    <t>819835024781</t>
  </si>
  <si>
    <t>Pom Adjustable Nipple Clamps - NOIR</t>
  </si>
  <si>
    <t>LENCERIA</t>
  </si>
  <si>
    <t>BLUSH</t>
  </si>
  <si>
    <t>7503013378010</t>
  </si>
  <si>
    <t>Rigidex 2 pzas - DUSA</t>
  </si>
  <si>
    <t>7503026484050</t>
  </si>
  <si>
    <t>SENSIBILIZADOR PARA PEZONES 15ML</t>
  </si>
  <si>
    <t>FEEL LOVE</t>
  </si>
  <si>
    <t>7503020596957</t>
  </si>
  <si>
    <t>Shot Shumatsu Fun Hombre - DUSA</t>
  </si>
  <si>
    <t>7503024256192</t>
  </si>
  <si>
    <t>Shot Shumatsu Fun Mujer - DUSA</t>
  </si>
  <si>
    <t>07/01/2026</t>
  </si>
  <si>
    <t>7503030111031</t>
  </si>
  <si>
    <t>Anillo vibrador de aro doble con estimulador y dildo Javier - CXO</t>
  </si>
  <si>
    <t>M-22056</t>
  </si>
  <si>
    <t>Dildo L 21cm - CXO</t>
  </si>
  <si>
    <t>7503030102034</t>
  </si>
  <si>
    <t>Dildo vibrador con control Anthony - CXO</t>
  </si>
  <si>
    <t>7503013378645</t>
  </si>
  <si>
    <t>Liquid Love Pleasure 100ml - DUSA</t>
  </si>
  <si>
    <t>7503023462235</t>
  </si>
  <si>
    <t>Lubricante Masaje Térmico Comestible Piña Colada FEEL LOVE 4 en 1 - 60ml</t>
  </si>
  <si>
    <t>LUBRICANTE</t>
  </si>
  <si>
    <t>7503026484845</t>
  </si>
  <si>
    <t>Oral Sex Erotic Nut 5g - Feel Love</t>
  </si>
  <si>
    <t>4061504007496</t>
  </si>
  <si>
    <t>Succionado con App Curvy 1+ - Satisfayer</t>
  </si>
  <si>
    <t>SATISFAYER</t>
  </si>
  <si>
    <t>08/01/2026</t>
  </si>
  <si>
    <t>7503013378980</t>
  </si>
  <si>
    <t>Lubricante Body Surf Termico Chicle DUSA 60ml</t>
  </si>
  <si>
    <t>75082048</t>
  </si>
  <si>
    <t>Miel Estimulante Hombre 18ml - SXO</t>
  </si>
  <si>
    <t>SXO</t>
  </si>
  <si>
    <t>09/01/2026</t>
  </si>
  <si>
    <t>716770044532</t>
  </si>
  <si>
    <t>Dildo inflable 9.5 - CALEX</t>
  </si>
  <si>
    <t>CALEXOTICS</t>
  </si>
  <si>
    <t>782421002404</t>
  </si>
  <si>
    <t>Dildo TitanMen Intimidator - DOC JOHNSON</t>
  </si>
  <si>
    <t>DOC JOHNSON</t>
  </si>
  <si>
    <t>7503030119041</t>
  </si>
  <si>
    <t>Dildo vibrador con movimiento impulsor Arma - CXO</t>
  </si>
  <si>
    <t>7503020310205</t>
  </si>
  <si>
    <t>Dildo Vibrador Termico Realista 3 en 1 con movimiento Hades-CXO</t>
  </si>
  <si>
    <t>6959633118795</t>
  </si>
  <si>
    <t>Edeny - SVAKOM</t>
  </si>
  <si>
    <t>GWPS_BANANASHAKE_001</t>
  </si>
  <si>
    <t>Lub de Regalo - Banana Shake</t>
  </si>
  <si>
    <t>ACTIVACION</t>
  </si>
  <si>
    <t>BANANA SHAKE</t>
  </si>
  <si>
    <t>695963319882</t>
  </si>
  <si>
    <t>Masturbador  Recargable Hannes NEO - SVAKOM</t>
  </si>
  <si>
    <t/>
  </si>
  <si>
    <t>716770096036</t>
  </si>
  <si>
    <t>Sheology set intercambiable kegel - CALEX</t>
  </si>
  <si>
    <t>CBD</t>
  </si>
  <si>
    <t>SUNNY SIDE UP CBD HIPOALERGENICO 10ml</t>
  </si>
  <si>
    <t>SUNNY SIDE UP</t>
  </si>
  <si>
    <t>716770065742</t>
  </si>
  <si>
    <t>The Accommodator dildo de latex - CALEX</t>
  </si>
  <si>
    <t>7503020104075</t>
  </si>
  <si>
    <t>Vibrador multiorgásmico texturizado con succionador de clítoris Yeni - CXO</t>
  </si>
  <si>
    <t>10/01/2026</t>
  </si>
  <si>
    <t>7508304288412</t>
  </si>
  <si>
    <t>FEROMONAS EN GEL 20ML HOMBRE HOMBRE</t>
  </si>
  <si>
    <t>7503043917012</t>
  </si>
  <si>
    <t>Liquid Love Backdoor 30ml - DUSA</t>
  </si>
  <si>
    <t>7503024256154</t>
  </si>
  <si>
    <t>Lubricante Body Surf Termico Cereza DUSA 60ml</t>
  </si>
  <si>
    <t>7503020596049</t>
  </si>
  <si>
    <t>Sensicool - DUSA</t>
  </si>
  <si>
    <t>7350075026157</t>
  </si>
  <si>
    <t>Sona cerise - LELO</t>
  </si>
  <si>
    <t>LELO</t>
  </si>
  <si>
    <t>11/01/2026</t>
  </si>
  <si>
    <t>GERMAN  GUZMAN AGUIRRE</t>
  </si>
  <si>
    <t>4251460601283</t>
  </si>
  <si>
    <t>Romp Jazz</t>
  </si>
  <si>
    <t>ROMP</t>
  </si>
  <si>
    <t>12/01/2026</t>
  </si>
  <si>
    <t>13/01/2026</t>
  </si>
  <si>
    <t>68892L</t>
  </si>
  <si>
    <t>Conjunto Leonor con pedreria negro 2 piezas M</t>
  </si>
  <si>
    <t>OLA MOU</t>
  </si>
  <si>
    <t>75080471</t>
  </si>
  <si>
    <t>Dulces Garganta Profunda 2 piezas Sabor Uva - SXO</t>
  </si>
  <si>
    <t>14/01/2026</t>
  </si>
  <si>
    <t>6959633103500</t>
  </si>
  <si>
    <t>Chika multiorgasmico turqueza - SVAKOM</t>
  </si>
  <si>
    <t>15/01/2026</t>
  </si>
  <si>
    <t>68877F</t>
  </si>
  <si>
    <t>Conjunto cafe tipo red Fernanda 2 piezas M</t>
  </si>
  <si>
    <t>68862J</t>
  </si>
  <si>
    <t>Conjunto leopardo Jennifer 3 piezas G</t>
  </si>
  <si>
    <t>6959633166963</t>
  </si>
  <si>
    <t>Ella Neo rojo- SVAKOM</t>
  </si>
  <si>
    <t>7508304288429</t>
  </si>
  <si>
    <t>Feromonas en gel 20ml unisex - DIAMANTE</t>
  </si>
  <si>
    <t>7503013378799</t>
  </si>
  <si>
    <t>Lubricante Body Surf Termico Citricos DUSA 60ml</t>
  </si>
  <si>
    <t>7503023462259</t>
  </si>
  <si>
    <t>Lubricante Masaje Térmico Comestible Frutas Prohibidas FEEL LOVE 4 en 1 - 60ml</t>
  </si>
  <si>
    <t>75079413</t>
  </si>
  <si>
    <t>Mini Kit Hombre 3 piezas - SXO</t>
  </si>
  <si>
    <t>75079390</t>
  </si>
  <si>
    <t>Mini Kit Mujer 3 piezas- SXO</t>
  </si>
  <si>
    <t>USK-V11</t>
  </si>
  <si>
    <t>Multiorgasmico con Lenguita Ceci - CXO</t>
  </si>
  <si>
    <t>7503050524258</t>
  </si>
  <si>
    <t>Sensicool 30ml - DUSA</t>
  </si>
  <si>
    <t>16/01/2026</t>
  </si>
  <si>
    <t>17/01/2026</t>
  </si>
  <si>
    <t>7503020111072</t>
  </si>
  <si>
    <t>Anillo vibrador recargable con textura negra Hank - CXO</t>
  </si>
  <si>
    <t>7503032300474</t>
  </si>
  <si>
    <t>Cola de Zorro 45cm blanco S - CXO</t>
  </si>
  <si>
    <t>7502214985805</t>
  </si>
  <si>
    <t>CONDON PRUDENCE VETE A LA VERSH  C/3</t>
  </si>
  <si>
    <t>7502214980275</t>
  </si>
  <si>
    <t>Condones sabor y aroma soda c/ 3 pzs - PRUDENCE</t>
  </si>
  <si>
    <t>7503050226150</t>
  </si>
  <si>
    <t>Disfraz Kitten - OLA MOU</t>
  </si>
  <si>
    <t>7503020220077</t>
  </si>
  <si>
    <t>Juego de mesa sensual para parejas – CXO</t>
  </si>
  <si>
    <t>7503023462204</t>
  </si>
  <si>
    <t>Lubricante Masaje Térmico Comestible Manzana del Edén FEEL LOVE 4 en 1 - 60ml</t>
  </si>
  <si>
    <t>4061504007359</t>
  </si>
  <si>
    <t>Succionador Pingüino - Satisfayer</t>
  </si>
  <si>
    <t>782421080785</t>
  </si>
  <si>
    <t>Supositorios A-Playmanteca de cacao y CBD - DOC JHONSON</t>
  </si>
  <si>
    <t>18/01/2026</t>
  </si>
  <si>
    <t>21/01/2026</t>
  </si>
  <si>
    <t>7503024256741</t>
  </si>
  <si>
    <t>Cola de Zorro 45cm café S - CXO</t>
  </si>
  <si>
    <t>7503020202213</t>
  </si>
  <si>
    <t>Dildo realista con ventosa Nick - CXO</t>
  </si>
  <si>
    <t>6959633134559</t>
  </si>
  <si>
    <t>Phoenix Neo 2 rojo - SVAKOM</t>
  </si>
  <si>
    <t>7503020596063</t>
  </si>
  <si>
    <t>Stallion Regenerador - DUSA</t>
  </si>
  <si>
    <t>7503020104076</t>
  </si>
  <si>
    <t>Vibrador multiorgásmico con succión y estimulación de punto G Lulu - CXO</t>
  </si>
  <si>
    <t>22/01/2026</t>
  </si>
  <si>
    <t>4630017970018</t>
  </si>
  <si>
    <t>Alargador de Pene Titan Gel 50 ml</t>
  </si>
  <si>
    <t>TITAN</t>
  </si>
  <si>
    <t>7503020202214</t>
  </si>
  <si>
    <t>Dildo realista con ventosa y testiculos Eddy - CXO</t>
  </si>
  <si>
    <t>603912120042</t>
  </si>
  <si>
    <t>Happy Top Tickler funda - PIPEDREAM</t>
  </si>
  <si>
    <t>PIPEDREAM</t>
  </si>
  <si>
    <t>23/01/2026</t>
  </si>
  <si>
    <t>716222287524</t>
  </si>
  <si>
    <t>ACEITE AROMATHERAPY MASSAGE OIL 4 SENSUALITY</t>
  </si>
  <si>
    <t>WET</t>
  </si>
  <si>
    <t>7503032300511</t>
  </si>
  <si>
    <t>Cola de Zorro 45cm rosa M - CXO</t>
  </si>
  <si>
    <t>7502214982811</t>
  </si>
  <si>
    <t>Condones Mix Sabor y Aroma 5 pzs - PRUDENCE</t>
  </si>
  <si>
    <t>7503043917005</t>
  </si>
  <si>
    <t>Liquid Love Clear 30ml - DUSA</t>
  </si>
  <si>
    <t>7503032300825</t>
  </si>
  <si>
    <t>Lubricante Sachet natural 2 ml - BANANA SHAKE</t>
  </si>
  <si>
    <t>7350075028564</t>
  </si>
  <si>
    <t>Sila Cruise pink - LELO</t>
  </si>
  <si>
    <t>24/01/2026</t>
  </si>
  <si>
    <t>7503050524265</t>
  </si>
  <si>
    <t>He Plus 30ml - DUSA</t>
  </si>
  <si>
    <t>6959633103494</t>
  </si>
  <si>
    <t>Mora Neo multiorgasmico rosa - SVAKOM</t>
  </si>
  <si>
    <t>25/01/2026</t>
  </si>
  <si>
    <t>JESáS ULISES PEREZ VARGAS</t>
  </si>
  <si>
    <t>26/01/2026</t>
  </si>
  <si>
    <t>27/01/2026</t>
  </si>
  <si>
    <t>68100P</t>
  </si>
  <si>
    <t>Conjunto bordado Paty 2 piezas  M</t>
  </si>
  <si>
    <t>6959633127964</t>
  </si>
  <si>
    <t>Sam Neo - SVAKOM</t>
  </si>
  <si>
    <t>28/01/2026</t>
  </si>
  <si>
    <t>68213T</t>
  </si>
  <si>
    <t>Conjunto rosa con estampado de flores Tania 2 piezas M</t>
  </si>
  <si>
    <t>29/01/2026</t>
  </si>
  <si>
    <t>30/01/2026</t>
  </si>
  <si>
    <t>7503013378119</t>
  </si>
  <si>
    <t>Anastasia gema de colores S - CXO</t>
  </si>
  <si>
    <t>66096A</t>
  </si>
  <si>
    <t>Conjunto Andrea negro de encaje 3 piezas M</t>
  </si>
  <si>
    <t>75037628</t>
  </si>
  <si>
    <t>Dulces Garganta Profunda 2 piezas Sabor Fresa - SXO</t>
  </si>
  <si>
    <t>782421007607</t>
  </si>
  <si>
    <t>Reverse Tightening gel 0.25oz - DOC JOHNSON</t>
  </si>
  <si>
    <t>7503020104073</t>
  </si>
  <si>
    <t>Vibrador multiorgásmico con textura y estimulación doble Lidia - CXO</t>
  </si>
  <si>
    <t>31/01/2026</t>
  </si>
  <si>
    <t>7503013378904</t>
  </si>
  <si>
    <t>Dildo Mr. Hernandez - CXO</t>
  </si>
  <si>
    <t>LL-A2216</t>
  </si>
  <si>
    <t>Huevito con 10 modos de Vibración  Gina - CXO</t>
  </si>
  <si>
    <t>7503020596001</t>
  </si>
  <si>
    <t>Liquid Love Clear 100ml - DUSA</t>
  </si>
  <si>
    <t>7503032300382</t>
  </si>
  <si>
    <t>Mon - CXO</t>
  </si>
  <si>
    <t>7503030128202</t>
  </si>
  <si>
    <t>Plug Anal con 10 modos de vibracion y rotacion 360 Beto - CXO</t>
  </si>
  <si>
    <t>7350075028687</t>
  </si>
  <si>
    <t>Sona Cruise DIESEL - LELO</t>
  </si>
  <si>
    <t>Camino Real -C</t>
  </si>
  <si>
    <t>JESUS ALBERTO M GARCIA</t>
  </si>
  <si>
    <t>7502214980084</t>
  </si>
  <si>
    <t>CONDON TRUST RETARDANTE CON 3 MAQ - PRUDENCE</t>
  </si>
  <si>
    <t>7350075027840</t>
  </si>
  <si>
    <t>Soraya Wave Magenta - LELO</t>
  </si>
  <si>
    <t>7503020596513</t>
  </si>
  <si>
    <t>Liquid Love Natural 20ml - DUSA</t>
  </si>
  <si>
    <t>SE016</t>
  </si>
  <si>
    <t>Masturbador Vagina -  CXO</t>
  </si>
  <si>
    <t>7503050226120</t>
  </si>
  <si>
    <t>Medias con ligueros - OLA MOU</t>
  </si>
  <si>
    <t>7503050226162</t>
  </si>
  <si>
    <t>Plug Anal con Vibración y Control Roberto - CXO</t>
  </si>
  <si>
    <t>7503013378256</t>
  </si>
  <si>
    <t>Sammy - CXO</t>
  </si>
  <si>
    <t>ALFONSO  M CARBALLAR</t>
  </si>
  <si>
    <t>7503030220043</t>
  </si>
  <si>
    <t>Dados para juegos 2 piezas - CXO</t>
  </si>
  <si>
    <t>75030205968724</t>
  </si>
  <si>
    <t>Funda texturizada transparente con bala vibradora  - CXO</t>
  </si>
  <si>
    <t>7503020596834</t>
  </si>
  <si>
    <t>Latigo de vinipiel de tiras mini - CXO</t>
  </si>
  <si>
    <t>OTRO</t>
  </si>
  <si>
    <t>SE018</t>
  </si>
  <si>
    <t>Masturbador Jarrón - CXO</t>
  </si>
  <si>
    <t>7502214982491</t>
  </si>
  <si>
    <t>CONDON PRUDENCE EXTRA TIME UVA</t>
  </si>
  <si>
    <t>CON01CH03400385C</t>
  </si>
  <si>
    <t>Conjunto Brianne 85C</t>
  </si>
  <si>
    <t>CON01CH008009XL</t>
  </si>
  <si>
    <t>Conjunto Gaby XL negro</t>
  </si>
  <si>
    <t>7350075029332</t>
  </si>
  <si>
    <t>Enigma wave morado - LELO</t>
  </si>
  <si>
    <t>7946000265472</t>
  </si>
  <si>
    <t>JUEGO DE MESA EL JUEGO DE LA OCA SENSUAL</t>
  </si>
  <si>
    <t>VARIAS</t>
  </si>
  <si>
    <t>7508304288436</t>
  </si>
  <si>
    <t>FEROMONAS DIAMANTE EXCLUSIVE SPRAY 25 ML ELLA</t>
  </si>
  <si>
    <t>7503020104085</t>
  </si>
  <si>
    <t>Vibrador e impulsor con ventosa Mafer – CXO</t>
  </si>
  <si>
    <t>7503043917036</t>
  </si>
  <si>
    <t>Arnes universal de argolla negro - CXO</t>
  </si>
  <si>
    <t>7503023462198</t>
  </si>
  <si>
    <t>Lubricante Masaje Térmico Comestible Plátano Excitante FEEL LOVE 4 en 1 - 60ml</t>
  </si>
  <si>
    <t>7503032300214</t>
  </si>
  <si>
    <t>Cola de Zorro Arcoiris 38cm S - CXO</t>
  </si>
  <si>
    <t>7503043917142</t>
  </si>
  <si>
    <t>Hank negro anillo vibrador - CXO</t>
  </si>
  <si>
    <t>7503043917593</t>
  </si>
  <si>
    <t>Nora dildo vibrador - CXO</t>
  </si>
  <si>
    <t>7503024256635</t>
  </si>
  <si>
    <t>Olive  6.8" rosa - CXO</t>
  </si>
  <si>
    <t>7503050226156</t>
  </si>
  <si>
    <t>Body Alicia - OLA MOU</t>
  </si>
  <si>
    <t>FM1002</t>
  </si>
  <si>
    <t>FEROMONAS DIAMANTE CONCENTRADO HOMBRE</t>
  </si>
  <si>
    <t>7503013378102</t>
  </si>
  <si>
    <t>Anastasia Gema de Colores M - CXO</t>
  </si>
  <si>
    <t>7503024256604</t>
  </si>
  <si>
    <t>Olivia 6.5" rosa - CXO</t>
  </si>
  <si>
    <t>603912332612</t>
  </si>
  <si>
    <t>VIBRADOR ANAL FANTASY VIBRATING ASS BLATER</t>
  </si>
  <si>
    <t>7503030102198</t>
  </si>
  <si>
    <t>Dildo realista vibrador con ventosa Ulises - CXO</t>
  </si>
  <si>
    <t>7503030128197</t>
  </si>
  <si>
    <t>Ducha anal con vibracion Hector - CXO</t>
  </si>
  <si>
    <t>MBS0530</t>
  </si>
  <si>
    <t>Esposas de broche - CXO</t>
  </si>
  <si>
    <t>7798309441916</t>
  </si>
  <si>
    <t>Love Potion Hot Kisses - Sexitive</t>
  </si>
  <si>
    <t>SEXITIVE</t>
  </si>
  <si>
    <t>7503020104212</t>
  </si>
  <si>
    <t>Vibrador multiorgasmico con aleta estimuladora Megan - CXO</t>
  </si>
  <si>
    <t>19/01/2026</t>
  </si>
  <si>
    <t>7503013378126</t>
  </si>
  <si>
    <t>Lubricante Body Surf Frio Natural DUSA 60ml</t>
  </si>
  <si>
    <t>7503030202167</t>
  </si>
  <si>
    <t>Dildo hiper realista con ventosa Raul - CXO</t>
  </si>
  <si>
    <t>6959633156926</t>
  </si>
  <si>
    <t>Kit Vibrador Phoenix Neo  +  BDSM Edición Limitada- Svakom</t>
  </si>
  <si>
    <t>7503020310116</t>
  </si>
  <si>
    <t>Panty vibrador con control remoto rosa Celi - CXO</t>
  </si>
  <si>
    <t>7503020104080</t>
  </si>
  <si>
    <t>Vibrador multiorgásmico con doble motor y estimulador de conejito Ara – CXO</t>
  </si>
  <si>
    <t>7503043917173</t>
  </si>
  <si>
    <t>Vibrador Abbie morado - CXO</t>
  </si>
  <si>
    <t>7503010217045</t>
  </si>
  <si>
    <t>Vela para masaje red love - DUSA</t>
  </si>
  <si>
    <t>7503020420814</t>
  </si>
  <si>
    <t>Bomba de vacio manual Noah - CXO</t>
  </si>
  <si>
    <t>7503030215199</t>
  </si>
  <si>
    <t>Arnes para doble penetracion - CXO</t>
  </si>
  <si>
    <t>HRZH27262</t>
  </si>
  <si>
    <t>Multiorgásmico Estimulador de Clítoris y Anal con 12 modos de Vibración  Carla- CXO</t>
  </si>
  <si>
    <t>ACG0976SV0WB</t>
  </si>
  <si>
    <t>Dildo Vibrador con Impulsor Estimulador de Clítoris Conny - CXO</t>
  </si>
  <si>
    <t>7503030103028</t>
  </si>
  <si>
    <t>Huevito vibrador con control a distancia Daniela - CXO</t>
  </si>
  <si>
    <t>7798309440551</t>
  </si>
  <si>
    <t>Lube More Play 130 ml - Sexitive</t>
  </si>
  <si>
    <t>7503050524173</t>
  </si>
  <si>
    <t>Dildo ultra realista 21cm Romeo - CXO</t>
  </si>
  <si>
    <t>BOD03CB149001UN</t>
  </si>
  <si>
    <t>Body Bruna negro - OLA MOU</t>
  </si>
  <si>
    <t>7502235095033</t>
  </si>
  <si>
    <t>Desensibilizante Anal 4.5ml - Lions Power</t>
  </si>
  <si>
    <t>7503050524340</t>
  </si>
  <si>
    <t>Ducha Felix S - CXO</t>
  </si>
  <si>
    <t>6970556032074</t>
  </si>
  <si>
    <t>Plug Anal con 10 modos de Vibracion de 11.5cm  Ramiro- CXO</t>
  </si>
  <si>
    <t>7503020105084</t>
  </si>
  <si>
    <t>Vibrador para parejas tipo C Trinity – CXO</t>
  </si>
  <si>
    <t>7503050226128</t>
  </si>
  <si>
    <t>Conjunto Jimena con pezoneras y liguero - OLA MOU</t>
  </si>
  <si>
    <t>Circunvalación CELESTERRA</t>
  </si>
  <si>
    <t>7503050226143</t>
  </si>
  <si>
    <t>Conjunto Vega - OLA MOU</t>
  </si>
  <si>
    <t>6970556033224</t>
  </si>
  <si>
    <t>Huevito Vibrador con 10 modos  Danna- CXO</t>
  </si>
  <si>
    <t>4560220552780</t>
  </si>
  <si>
    <t>MASTURBADOR TENGA EGGS HARD BOILED SURFER TENGA</t>
  </si>
  <si>
    <t>TENGA</t>
  </si>
  <si>
    <t>6959633105320</t>
  </si>
  <si>
    <t>Vibrador de Prostata con Calefaccion Vick Neo 2 - SVAKOM</t>
  </si>
  <si>
    <t>IRIS CRISTINA RIVERA PEREZ CELESTERRA</t>
  </si>
  <si>
    <t>6970556032746</t>
  </si>
  <si>
    <t>Vibrador en forma de Osito Lilo- CXO</t>
  </si>
  <si>
    <t>CON01CH017005L</t>
  </si>
  <si>
    <t>Conjunto Farah L rojo</t>
  </si>
  <si>
    <t>7502235091431</t>
  </si>
  <si>
    <t>Aumentador de Semen - Lions Power</t>
  </si>
  <si>
    <t>7503032300337</t>
  </si>
  <si>
    <t>Ducha Felix M - CXO</t>
  </si>
  <si>
    <t>7502214980015</t>
  </si>
  <si>
    <t>Condon Clasico 3 pzs - PRUDENCE</t>
  </si>
  <si>
    <t>7502214980077</t>
  </si>
  <si>
    <t>CONDON TRUST FRESA CON 3 MAQ - PRUDENCE</t>
  </si>
  <si>
    <t>7500464543059</t>
  </si>
  <si>
    <t>Dildo Realista con Ventosa 15.5cms Domi CXO</t>
  </si>
  <si>
    <t>7503043917548</t>
  </si>
  <si>
    <t>Huevo masturbador silky - EGG</t>
  </si>
  <si>
    <t>EGG</t>
  </si>
  <si>
    <t>7503032300030</t>
  </si>
  <si>
    <t>Kit de Zorro Arcoiris - CXO</t>
  </si>
  <si>
    <t>7503032300856</t>
  </si>
  <si>
    <t>Sachet vibrador liquido 2 ml - BANANA SHAKE</t>
  </si>
  <si>
    <t>4061504007533</t>
  </si>
  <si>
    <t>Succionador con App Love Triangle - Satisfayer</t>
  </si>
  <si>
    <t>CON01CH03400175B</t>
  </si>
  <si>
    <t>Conjunto Brianne 75B</t>
  </si>
  <si>
    <t>7503050226117</t>
  </si>
  <si>
    <t>Conjunto Isabella - OLA MOU</t>
  </si>
  <si>
    <t>7503030202035</t>
  </si>
  <si>
    <t>Dildo con testiculos y ventosa Mr. Garcia - CXO</t>
  </si>
  <si>
    <t>7503020104082</t>
  </si>
  <si>
    <t>Vibrador multiorgásmico con succionador y perlas Andy – CXO</t>
  </si>
  <si>
    <t>20/01/2026</t>
  </si>
  <si>
    <t>7502214980053</t>
  </si>
  <si>
    <t>CONDON TRUST NATURAL CON 3 MAQ - PRUDENCE</t>
  </si>
  <si>
    <t>CON01CH015008L</t>
  </si>
  <si>
    <t>Conjunto Ale L lila</t>
  </si>
  <si>
    <t>4061504051604</t>
  </si>
  <si>
    <t>Succionador Cutie Heart - Satisfayer</t>
  </si>
  <si>
    <t>7503030207201</t>
  </si>
  <si>
    <t>Funda semi realista para pene Rodolfo - CXO</t>
  </si>
  <si>
    <t>75078737</t>
  </si>
  <si>
    <t>Mini Kit Dulces 2 piezas - SXO</t>
  </si>
  <si>
    <t>6959633185940</t>
  </si>
  <si>
    <t>Masturbador Hedy X Reaction – SVAKOM</t>
  </si>
  <si>
    <t>6959633183120</t>
  </si>
  <si>
    <t>Masturbador Hedy X Speed – SVAKOM</t>
  </si>
  <si>
    <t>7503032300238</t>
  </si>
  <si>
    <t>Cola de Zorro Arcoiris 38cm L - CXO</t>
  </si>
  <si>
    <t>7503043917395</t>
  </si>
  <si>
    <t>Vibrador multiorgásmico Krista Mod. 02  - CXO</t>
  </si>
  <si>
    <t>7500635014548</t>
  </si>
  <si>
    <t>BABY DOLL MEDIANO NEGRO CON ROSA 01454</t>
  </si>
  <si>
    <t>CHRISLIFERBRA</t>
  </si>
  <si>
    <t>4061504001197</t>
  </si>
  <si>
    <t>Vibrador Secret Affair - Satisfayer</t>
  </si>
  <si>
    <t>713001200104</t>
  </si>
  <si>
    <t>Multiorgasmico con estimulador de clitoris de aleteo Marisol - CXO</t>
  </si>
  <si>
    <t>7508304289037</t>
  </si>
  <si>
    <t>LUBRICANTE C/FEROMONAS -LUJO- 40ML  RETARDADOR</t>
  </si>
  <si>
    <t>631758000563</t>
  </si>
  <si>
    <t>Tabletas CERO STRESS 60 pzs - Schmidt Schuler</t>
  </si>
  <si>
    <t>HEALTHY LIFESTYLE</t>
  </si>
  <si>
    <t>SCHMIDT SCHULLER</t>
  </si>
  <si>
    <t>8433345113111</t>
  </si>
  <si>
    <t>Vibrador dual con succionador - WOOMY</t>
  </si>
  <si>
    <t>ADRIEN LASTIC</t>
  </si>
  <si>
    <t>Conchitas CEL</t>
  </si>
  <si>
    <t>716770036629</t>
  </si>
  <si>
    <t>VIBRADOR SILICONE TRIPLE ORGASM ROSA</t>
  </si>
  <si>
    <t>HECTOR MANUEL P CELEST</t>
  </si>
  <si>
    <t>7503023462754</t>
  </si>
  <si>
    <t>Fragancia con Feromonas Body Breeze Sexy DIAMANTE Cereza 125ml</t>
  </si>
  <si>
    <t>6959633104668</t>
  </si>
  <si>
    <t>Vibrador Ava Neo Rosa Durazno - SVAKOM</t>
  </si>
  <si>
    <t>6959633105313</t>
  </si>
  <si>
    <t>Vibrador de Prostata con Pulsaciones Iker Neo - SVAKOM</t>
  </si>
  <si>
    <t>7502214985362</t>
  </si>
  <si>
    <t>CONDON MUTUAL SENSATION C/3 - PRUDENCE</t>
  </si>
  <si>
    <t>7500635214818</t>
  </si>
  <si>
    <t>PANTY EN ENCAJE ABIERTA NEGRO 1481</t>
  </si>
  <si>
    <t>RYSC-159-C-ZT</t>
  </si>
  <si>
    <t>Juego de Ataduras BDSM Sumision - CXO</t>
  </si>
  <si>
    <t>VDO03CB146001UN</t>
  </si>
  <si>
    <t>Vestido Seducción nude - OLA MOU</t>
  </si>
  <si>
    <t>OLA MOU : CHOCOLATES</t>
  </si>
  <si>
    <t>4630017971008</t>
  </si>
  <si>
    <t>Titan gel original - TITAN</t>
  </si>
  <si>
    <t>7350075029288</t>
  </si>
  <si>
    <t>HUGO 2 Remote Green - LELO</t>
  </si>
  <si>
    <t>7503020104081</t>
  </si>
  <si>
    <t>Vibrador multiorgásmico con succionador y textura suave Paty – CXO</t>
  </si>
  <si>
    <t>7503032300054</t>
  </si>
  <si>
    <t>Arnes Eskeletor - CXO</t>
  </si>
  <si>
    <t>COR03CB131001UN</t>
  </si>
  <si>
    <t>Corset con ligero MOD. 1428 - OLA MOU</t>
  </si>
  <si>
    <t>7508304288405</t>
  </si>
  <si>
    <t>Feromonas en gel para mujer 20ml - DIAMANTE</t>
  </si>
  <si>
    <t>7503020105074</t>
  </si>
  <si>
    <t>Vibrador para parejas con doble estimulación Hanna -  CXO</t>
  </si>
  <si>
    <t>7503024256727</t>
  </si>
  <si>
    <t>Cola de Zorro 45cm negro S - CXO</t>
  </si>
  <si>
    <t>7350075029325</t>
  </si>
  <si>
    <t>Enigma Wave negro - LELO</t>
  </si>
  <si>
    <t>6970556034061</t>
  </si>
  <si>
    <t>Multiorgasmico con succion y extensor Anna - CXO</t>
  </si>
  <si>
    <t>782421081294</t>
  </si>
  <si>
    <t>Vibrador Expander anal - DOC JOHNSON</t>
  </si>
  <si>
    <t>7503032300498</t>
  </si>
  <si>
    <t>Cola de Zorro 45cm cafe M - CXO</t>
  </si>
  <si>
    <t>CON01CH007003XL</t>
  </si>
  <si>
    <t>Conjunto Gina XL negro</t>
  </si>
  <si>
    <t>P07-00252</t>
  </si>
  <si>
    <t>Huevito Vibrador con Lenguita Estimuladora de Clitoris Rosy - CXO</t>
  </si>
  <si>
    <t>SC258C01</t>
  </si>
  <si>
    <t>Multiorgasmico dual con estimulador de clitoris 360 con 10 modos Dany - CXO</t>
  </si>
  <si>
    <t>5060170970560</t>
  </si>
  <si>
    <t>G KII MORE G-SPOT VIBRADOR LILAC</t>
  </si>
  <si>
    <t>JE JOUE</t>
  </si>
  <si>
    <t>7503032300627</t>
  </si>
  <si>
    <t>Kevin - CXO</t>
  </si>
  <si>
    <t>827160100773</t>
  </si>
  <si>
    <t>Lubricante original super concentrated 100 ml - PJUR</t>
  </si>
  <si>
    <t>PJUR</t>
  </si>
  <si>
    <t>AC1858SC0WB</t>
  </si>
  <si>
    <t>Multiorgasmico Triple Vibracion extension telescopica y  Movimiento de Lengua - CXO</t>
  </si>
  <si>
    <t>7503032300733</t>
  </si>
  <si>
    <t>Colette lila - CXO</t>
  </si>
  <si>
    <t>7503013378287</t>
  </si>
  <si>
    <t>Colette rosa - CXO</t>
  </si>
  <si>
    <t>4251460601320</t>
  </si>
  <si>
    <t>Juke anillo vibrador azul - ROMP</t>
  </si>
  <si>
    <t>760299031092</t>
  </si>
  <si>
    <t>LIGUERO GARTERBELT AND THONG NEGRO 90060</t>
  </si>
  <si>
    <t>HOT</t>
  </si>
  <si>
    <t>7503032300795</t>
  </si>
  <si>
    <t>Sachet lubricante desensibilizador 2 ml - BANANA SHAKE</t>
  </si>
  <si>
    <t>7502214982514</t>
  </si>
  <si>
    <t>Condon Chocolate 3 pzs - PRUDENCE</t>
  </si>
  <si>
    <t>7503043917562</t>
  </si>
  <si>
    <t>Huevo masturbador stepper - EGG</t>
  </si>
  <si>
    <t>7503010217048</t>
  </si>
  <si>
    <t>Vela para masaje rose - DUSA</t>
  </si>
  <si>
    <t>7502214980060</t>
  </si>
  <si>
    <t>CONDON TRUST SENSITIVO CON 3 MAQ - PRUDENCE</t>
  </si>
  <si>
    <t>Federalismo CEL</t>
  </si>
  <si>
    <t>MARIA EDUWIGES DEL TORO ORTEGA</t>
  </si>
  <si>
    <t>7502214985348</t>
  </si>
  <si>
    <t>Full Sensitive Condon 3pzs - PRUDENCE</t>
  </si>
  <si>
    <t>7503026484678</t>
  </si>
  <si>
    <t>Aceite térmico fresa 60ml - FEEL LOVE</t>
  </si>
  <si>
    <t>7503026484685</t>
  </si>
  <si>
    <t>Aceite térmico vainilla 60ml - FEEL LOVE</t>
  </si>
  <si>
    <t>7500635012629</t>
  </si>
  <si>
    <t>CONJUNTO EN ENCAJE BLANCO 0262</t>
  </si>
  <si>
    <t>716770109491</t>
  </si>
  <si>
    <t>Couture Wand Kit vibradores -CALEX</t>
  </si>
  <si>
    <t>7503026484227</t>
  </si>
  <si>
    <t>Fragancia con Feromonas Body Breeze Sensual DIAMANTE 125ml</t>
  </si>
  <si>
    <t>7500464377302</t>
  </si>
  <si>
    <t>Juego de Cartas Salto del Tigre</t>
  </si>
  <si>
    <t>SALTO DEL TIGRE</t>
  </si>
  <si>
    <t>5908305912118</t>
  </si>
  <si>
    <t>LENCERIA EUROPEA KINGA THONG CHICO/MEDIANO</t>
  </si>
  <si>
    <t>PASSION</t>
  </si>
  <si>
    <t>7500635018249</t>
  </si>
  <si>
    <t>PANTY EN ENCAJE NEGRO 01824</t>
  </si>
  <si>
    <t>7503043917326</t>
  </si>
  <si>
    <t>Caro dual - CXO</t>
  </si>
  <si>
    <t>WZHM24299</t>
  </si>
  <si>
    <t>Funda de Silicon para Pene Realista - CXO</t>
  </si>
  <si>
    <t>7503043917579</t>
  </si>
  <si>
    <t>Huevo masturbador twister - EGG</t>
  </si>
  <si>
    <t>7503030118033</t>
  </si>
  <si>
    <t>Kit vibrador + estimulante para clitoris Lau - CXO</t>
  </si>
  <si>
    <t>716770054609</t>
  </si>
  <si>
    <t>STARTER PLAYFUL LOVERS KIT</t>
  </si>
  <si>
    <t>ER10522000000</t>
  </si>
  <si>
    <t>BOXER LENCERIA MASCULINA LUNARES MEDIANO 2</t>
  </si>
  <si>
    <t>ADRENALINE</t>
  </si>
  <si>
    <t>7502214982439</t>
  </si>
  <si>
    <t>Condon Extra Time Retardante 3 pzs - PRUDENCE</t>
  </si>
  <si>
    <t>7503024256628</t>
  </si>
  <si>
    <t>Olly 5" morado - CXO</t>
  </si>
  <si>
    <t>4032498331355</t>
  </si>
  <si>
    <t>Smartballs Uno rojo/blanco - FUN FACTORY</t>
  </si>
  <si>
    <t>FUN FACTORY</t>
  </si>
  <si>
    <t>7503032300634</t>
  </si>
  <si>
    <t>Kevin violeta - CXO</t>
  </si>
  <si>
    <t>7503013378409</t>
  </si>
  <si>
    <t>Anillo de Acero Grueso - CXO</t>
  </si>
  <si>
    <t>4032498950020</t>
  </si>
  <si>
    <t>Fun Cup B: uva / Ultramarino - FUN FACTORY</t>
  </si>
  <si>
    <t>7503030220044</t>
  </si>
  <si>
    <t>Dados con posiciones 2 piezas - CXO</t>
  </si>
  <si>
    <t>7500635313863</t>
  </si>
  <si>
    <t>PANTY EN ENCAJE ROJO 1386</t>
  </si>
  <si>
    <t>Hidalgo CEL</t>
  </si>
  <si>
    <t>CELINA HERMILA  M GUILLEN</t>
  </si>
  <si>
    <t>7503010217046</t>
  </si>
  <si>
    <t>Vela para masaje bear - DUSA</t>
  </si>
  <si>
    <t>782421083922</t>
  </si>
  <si>
    <t>Sol pulsador beige - RITUAL</t>
  </si>
  <si>
    <t>RITUAL</t>
  </si>
  <si>
    <t>7502214982576</t>
  </si>
  <si>
    <t>CONDON PRUDENCE SABOR Y AROMA EXTRA FUERTE</t>
  </si>
  <si>
    <t>7503050226139</t>
  </si>
  <si>
    <t>Body Alma - OLA MOU</t>
  </si>
  <si>
    <t>7503050226151</t>
  </si>
  <si>
    <t>Liguero Gala - OLA MOU</t>
  </si>
  <si>
    <t>6959633189726</t>
  </si>
  <si>
    <t>Masturbador Hedy X Control – SVAKOM</t>
  </si>
  <si>
    <t>603912300871</t>
  </si>
  <si>
    <t>ARNES FETISH FANTASY ELITE 8 STRAPLESS STRAP ON ROSA</t>
  </si>
  <si>
    <t>7503024256734</t>
  </si>
  <si>
    <t>Cola de Zorro 45cm blanco M - CXO</t>
  </si>
  <si>
    <t>782421007805</t>
  </si>
  <si>
    <t>Deep throat desensibilizador spray menta 59 ml - GOODHEAD</t>
  </si>
  <si>
    <t>GOODHEAD</t>
  </si>
  <si>
    <t>7503043917524</t>
  </si>
  <si>
    <t>Kit Lisboa 8 pzs - CXO</t>
  </si>
  <si>
    <t>782421118105</t>
  </si>
  <si>
    <t>The Manhandler 25cm - Doc Johnson</t>
  </si>
  <si>
    <t>7503020111071</t>
  </si>
  <si>
    <t>Anillo vibrador Hank gris con 10 velocidades – CXO</t>
  </si>
  <si>
    <t>7503020112070</t>
  </si>
  <si>
    <t>Bala vibradora recargable Ely – CXO</t>
  </si>
  <si>
    <t>7503020596056</t>
  </si>
  <si>
    <t>He Plus - DUSA</t>
  </si>
  <si>
    <t>Hotel los Reyes CEL</t>
  </si>
  <si>
    <t>NINOSCHKA VILLAREAL GONZALEZ</t>
  </si>
  <si>
    <t>7503043917609</t>
  </si>
  <si>
    <t>Dados 2 pz - CXO</t>
  </si>
  <si>
    <t>CON01CH014007L</t>
  </si>
  <si>
    <t>Conjunto Viri L baby pink</t>
  </si>
  <si>
    <t>7503038654007</t>
  </si>
  <si>
    <t>Fragancia con Feromonas Body Breeze Sugar Baby DIAMANTE Dulce 125ml</t>
  </si>
  <si>
    <t>7503023462242</t>
  </si>
  <si>
    <t>Lubricante Masaje Termico Comestible Uva Dulce FEEL LOVE 4 en 1 60ml</t>
  </si>
  <si>
    <t>69143A</t>
  </si>
  <si>
    <t>Pantie tipo tanga color negro Alexa M</t>
  </si>
  <si>
    <t>7503032300559</t>
  </si>
  <si>
    <t>Cola de Zorro 45cm cafe L - CXO</t>
  </si>
  <si>
    <t>7503043917555</t>
  </si>
  <si>
    <t>Huevo masturbador spider - EGG</t>
  </si>
  <si>
    <t>7508304288900</t>
  </si>
  <si>
    <t>ACEITE DE ALMENDRAS 130ML AMOR INFINITO</t>
  </si>
  <si>
    <t>603912332025</t>
  </si>
  <si>
    <t>PLUG ANAL MEGA SILICONE PLUG ANAL FANTASY</t>
  </si>
  <si>
    <t>7503043917531</t>
  </si>
  <si>
    <t>Huevo masturbador clicker - EGG</t>
  </si>
  <si>
    <t>7503013378416</t>
  </si>
  <si>
    <t>Angie - CXO</t>
  </si>
  <si>
    <t>7503032300542</t>
  </si>
  <si>
    <t>Cola de Zorro 45cm negro L - CXO</t>
  </si>
  <si>
    <t>848518031129</t>
  </si>
  <si>
    <t>AF838 MS THE CURVED DICKTATOR DILDO</t>
  </si>
  <si>
    <t>SENSUALITY TOYS</t>
  </si>
  <si>
    <t>7503013378850</t>
  </si>
  <si>
    <t>Amy fucsia - CXO</t>
  </si>
  <si>
    <t>844477011332</t>
  </si>
  <si>
    <t>PLEASURE BALSS - ONE NIGHT STAND</t>
  </si>
  <si>
    <t>784656900647</t>
  </si>
  <si>
    <t>silicon explorers - sinclair institute</t>
  </si>
  <si>
    <t>603912320213</t>
  </si>
  <si>
    <t>FETISH FANTASY SERIES LIMITED EDITIONRUBBER PADDLE BLACK</t>
  </si>
  <si>
    <t>66097C</t>
  </si>
  <si>
    <t>Tanga rosa fluorecente Camila M</t>
  </si>
  <si>
    <t>León 1 CEL</t>
  </si>
  <si>
    <t>Rodolfo  Serrano Amezcua</t>
  </si>
  <si>
    <t>6959633185476</t>
  </si>
  <si>
    <t>Masturbador Hedy X Confidence – SVAKOM</t>
  </si>
  <si>
    <t>7508304288948</t>
  </si>
  <si>
    <t>Aceite de almendras sensacion 130ml - DIAMANTE</t>
  </si>
  <si>
    <t>7713042311883</t>
  </si>
  <si>
    <t>Aceite de almendras sensual 130ml - DIAMANTE</t>
  </si>
  <si>
    <t>7503032300566</t>
  </si>
  <si>
    <t>Cola de Zorro 45cm fucsia L - CXO</t>
  </si>
  <si>
    <t>Vibrador con Aza</t>
  </si>
  <si>
    <t>7503020210510</t>
  </si>
  <si>
    <t>Vibrador tipo C para parejas</t>
  </si>
  <si>
    <t>7503013378857</t>
  </si>
  <si>
    <t>Micrófono Vaginal</t>
  </si>
  <si>
    <t>7508304288917</t>
  </si>
  <si>
    <t>Aceite de Almendras 130ml EROTICA -DIAMANTE</t>
  </si>
  <si>
    <t>7502214986598</t>
  </si>
  <si>
    <t>Condones Zero c/ 3 pzs - PRUDENCE</t>
  </si>
  <si>
    <t>7503032300009</t>
  </si>
  <si>
    <t>Arnes Bond - CXO</t>
  </si>
  <si>
    <t>7503043917333</t>
  </si>
  <si>
    <t>Bren multiorgasmico - CXO</t>
  </si>
  <si>
    <t>FLOCXO0007910</t>
  </si>
  <si>
    <t>ESTIMULADOR DE CLIROTIS CON MANGO DE AGARRE</t>
  </si>
  <si>
    <t>SE020</t>
  </si>
  <si>
    <t>Masturbador 2 en 1 Vagina y Boca - CXO</t>
  </si>
  <si>
    <t>Vibrador Babo</t>
  </si>
  <si>
    <t>679359000018</t>
  </si>
  <si>
    <t>Xtreme 68 ml - BODY ACTION</t>
  </si>
  <si>
    <t>BODY ACTION</t>
  </si>
  <si>
    <t>7508304288931</t>
  </si>
  <si>
    <t>Aceite de Almendras 130ml ILUSION - DIAMANTE</t>
  </si>
  <si>
    <t>6959633146972</t>
  </si>
  <si>
    <t>Masturbador Hedy X Experience – SVAKOM</t>
  </si>
  <si>
    <t>VIBRADOR MONA MICROFONO</t>
  </si>
  <si>
    <t>Naciones Unidas CEL</t>
  </si>
  <si>
    <t>EDGAR MOISES A NAVARRO</t>
  </si>
  <si>
    <t>7707167951468</t>
  </si>
  <si>
    <t>Brasier Mod 501196 36B - EA</t>
  </si>
  <si>
    <t>EA</t>
  </si>
  <si>
    <t>CON01CH03600785C</t>
  </si>
  <si>
    <t>Conjunto Aranza 85C negro</t>
  </si>
  <si>
    <t>TBBMAQ002</t>
  </si>
  <si>
    <t>Tame &amp; Fill brow collection - THE BEAUTY BAR FX</t>
  </si>
  <si>
    <t>SKINCARE</t>
  </si>
  <si>
    <t>THE BEAUTY BAR FX</t>
  </si>
  <si>
    <t>6959633101278</t>
  </si>
  <si>
    <t>Alex Neo 2 azul oscuro - SVAKOM</t>
  </si>
  <si>
    <t>BAT03CB128003UN</t>
  </si>
  <si>
    <t>Bata de satin rosa - OLA MOU</t>
  </si>
  <si>
    <t>782421022686</t>
  </si>
  <si>
    <t>Extensor Anal Platinum The Stretch - DOC JOHNSON</t>
  </si>
  <si>
    <t>ER49300410CH</t>
  </si>
  <si>
    <t>LENCERIA MICROBODY 1 BLANCO CH 28</t>
  </si>
  <si>
    <t>PARISINA SEXY</t>
  </si>
  <si>
    <t>657447106330</t>
  </si>
  <si>
    <t>Paleta arcoiris - SPECTRA BONDAGE</t>
  </si>
  <si>
    <t>SPECTRA BONDAGE</t>
  </si>
  <si>
    <t>782421023379</t>
  </si>
  <si>
    <t>Relax gel 56gr - INTIMATE ENHANCEMENTS</t>
  </si>
  <si>
    <t>4061504007373</t>
  </si>
  <si>
    <t>Succionador Number Two - Satisfayer</t>
  </si>
  <si>
    <t>716770092090</t>
  </si>
  <si>
    <t>Thrusting Rotator prostático - CALEX</t>
  </si>
  <si>
    <t>CXOMJ007</t>
  </si>
  <si>
    <t>Succionador Penny  - CXO</t>
  </si>
  <si>
    <t>RAICO00401</t>
  </si>
  <si>
    <t>Tonico anti acne para piel grasa 50ml - RAICES CO</t>
  </si>
  <si>
    <t>RAICES CO</t>
  </si>
  <si>
    <t>6959633102800</t>
  </si>
  <si>
    <t>Ava neo vibrador azul - SVAKOM</t>
  </si>
  <si>
    <t>7502214985386</t>
  </si>
  <si>
    <t>CONDON EXTRA PLEASURE C/3 -PRUDENCE</t>
  </si>
  <si>
    <t>Masturbador en huevo Surfer - TENGA</t>
  </si>
  <si>
    <t>PZ-812-ZT</t>
  </si>
  <si>
    <t>KIT BDSM Policia - CXO</t>
  </si>
  <si>
    <t>FM1001</t>
  </si>
  <si>
    <t>FEROMONAS DIAMANTE CONCENTRADO MUJER</t>
  </si>
  <si>
    <t>844477014166</t>
  </si>
  <si>
    <t>Power Couple - EVOLVED</t>
  </si>
  <si>
    <t>ADAM &amp; EVE</t>
  </si>
  <si>
    <t>RAICO03201</t>
  </si>
  <si>
    <t>Tonico detox &amp; crecimiento tratamiento capilar 80 ml - RAICES CO</t>
  </si>
  <si>
    <t>7503024256222</t>
  </si>
  <si>
    <t>Jones - CXO</t>
  </si>
  <si>
    <t>Patria -CEL</t>
  </si>
  <si>
    <t>ANTONIO EDMUNDO E CAMBEROS</t>
  </si>
  <si>
    <t>6970784913251</t>
  </si>
  <si>
    <t>Multiorgasmico con Conejito con 10 modos Nika - CXO</t>
  </si>
  <si>
    <t>7503050226131</t>
  </si>
  <si>
    <t>Disfraz Colegiala - OLA MOU</t>
  </si>
  <si>
    <t>D07003</t>
  </si>
  <si>
    <t>Kit BDSM 7 piezas - CXO</t>
  </si>
  <si>
    <t>03030211</t>
  </si>
  <si>
    <t>Delineador liquido negro - BISSU</t>
  </si>
  <si>
    <t>BISSU</t>
  </si>
  <si>
    <t>03031237</t>
  </si>
  <si>
    <t>Delineador plumin cafe - BISSU</t>
  </si>
  <si>
    <t>839289006805</t>
  </si>
  <si>
    <t>Verge - WE VIBE</t>
  </si>
  <si>
    <t>WE VIBE</t>
  </si>
  <si>
    <t>7503030114188</t>
  </si>
  <si>
    <t>Bomba de vacio Nico - CXO</t>
  </si>
  <si>
    <t>JUGERE00224XZ</t>
  </si>
  <si>
    <t>Vibrador Anal de Perlas Mely - CXO</t>
  </si>
  <si>
    <t>JUGERE00225V0</t>
  </si>
  <si>
    <t>Multiorgasmico Flexible con  Lenguita y Efecto caliente Lorena - CXO</t>
  </si>
  <si>
    <t>7503030104190</t>
  </si>
  <si>
    <t>Vibrador multiorgasmico con 10 modos de vibracion Norma - CXO</t>
  </si>
  <si>
    <t>7503026484975</t>
  </si>
  <si>
    <t>Fragancia con Feromonas Body Breeze Divina DIAMANTE Fresa Shampagne 125ml</t>
  </si>
  <si>
    <t>716222287579</t>
  </si>
  <si>
    <t>ACEITE AROMATHERAPY MASSAGE OIL 4 INVIGORATE</t>
  </si>
  <si>
    <t>7503030215178</t>
  </si>
  <si>
    <t>Arnes tipo calzon con abertura - CXO</t>
  </si>
  <si>
    <t>716770114273</t>
  </si>
  <si>
    <t>Kroma turbo curve - CALEXOTICS</t>
  </si>
  <si>
    <t>782421020446</t>
  </si>
  <si>
    <t>Double C Ring anillo vibrador OptiMale - DOC JOHNSON</t>
  </si>
  <si>
    <t>7503050524289</t>
  </si>
  <si>
    <t>Oxi bomba de vacio manual - CXO</t>
  </si>
  <si>
    <t>7503030109176</t>
  </si>
  <si>
    <t>Osito succionador USB - CXO</t>
  </si>
  <si>
    <t>CON01CH013004L</t>
  </si>
  <si>
    <t>Conjunto Ashley L borgoña</t>
  </si>
  <si>
    <t>Plaza Alamo CELESTERRA</t>
  </si>
  <si>
    <t>DELIA AGUIRRE CERVANTES</t>
  </si>
  <si>
    <t>7503050226145</t>
  </si>
  <si>
    <t>Body Ava - OLA MOU</t>
  </si>
  <si>
    <t>7508304288870</t>
  </si>
  <si>
    <t>Aceite Chocolate 60ml - FEEL LOVE</t>
  </si>
  <si>
    <t>4560220552766</t>
  </si>
  <si>
    <t>Masturbador en huevo Cloudy - TENGA</t>
  </si>
  <si>
    <t>716770060068</t>
  </si>
  <si>
    <t>DILDO SW SORORITY SCREW DRIVES ORANGE</t>
  </si>
  <si>
    <t>TGA02CH015003M</t>
  </si>
  <si>
    <t>Panty Diana Negro</t>
  </si>
  <si>
    <t>OLA MOU : BOMBONES</t>
  </si>
  <si>
    <t>714718001654</t>
  </si>
  <si>
    <t>MEDIAS DE NYLON EN ENCAJE NUDE 1011</t>
  </si>
  <si>
    <t>LEG AVENUE</t>
  </si>
  <si>
    <t>7501513758042</t>
  </si>
  <si>
    <t>TANGA MASCULINA GSTRING AZUL MARINO UNITALLA</t>
  </si>
  <si>
    <t>7508304288887</t>
  </si>
  <si>
    <t>Aceite Fruta de la pasion 60ml - FEEL LOVE</t>
  </si>
  <si>
    <t>7503030104027</t>
  </si>
  <si>
    <t>Vibrador con doble estimulacion y control a distancia Zafiro - CXO</t>
  </si>
  <si>
    <t>7503013378775</t>
  </si>
  <si>
    <t>Amy violeta - CXO</t>
  </si>
  <si>
    <t>7503013378393</t>
  </si>
  <si>
    <t>Anillo de Acero con bola - CXO</t>
  </si>
  <si>
    <t>7503020104083</t>
  </si>
  <si>
    <t>Vibrador multiorgásmico 3 en 1 Mich – CXO</t>
  </si>
  <si>
    <t>7503032300207</t>
  </si>
  <si>
    <t>Chibi - CXO</t>
  </si>
  <si>
    <t>7503024256765</t>
  </si>
  <si>
    <t>Cola de Zorro 45cm azul - CXO</t>
  </si>
  <si>
    <t>CON01CH03600175B</t>
  </si>
  <si>
    <t>Conjunto Aranza 75B negro</t>
  </si>
  <si>
    <t>4560220551448</t>
  </si>
  <si>
    <t>Masturbador en huevo Crater - TENGA</t>
  </si>
  <si>
    <t>7503023462556</t>
  </si>
  <si>
    <t>LUBRICANTE COLD EFFECTS 60ML</t>
  </si>
  <si>
    <t>7503050226132</t>
  </si>
  <si>
    <t>Body Carla - OLA MOU</t>
  </si>
  <si>
    <t>7503024256758</t>
  </si>
  <si>
    <t>Cola de Zorro 45cm lila S - CXO</t>
  </si>
  <si>
    <t>6970556033477</t>
  </si>
  <si>
    <t>Bala vibradora recargable Elisa– CXO</t>
  </si>
  <si>
    <t>Plaza Conchitas CEL</t>
  </si>
  <si>
    <t>OSCAR ANTONIO L CEL</t>
  </si>
  <si>
    <t>7503032300887</t>
  </si>
  <si>
    <t>Anahi L - CXO</t>
  </si>
  <si>
    <t>7503032300252</t>
  </si>
  <si>
    <t>Dildo Nebulosa - CXO</t>
  </si>
  <si>
    <t>855215007654</t>
  </si>
  <si>
    <t>Dildo Realista 8" Cocolate - Blush</t>
  </si>
  <si>
    <t>75037543</t>
  </si>
  <si>
    <t>Dulce Estimulante Sexual Sabor Fresa  2 piezas - SXO</t>
  </si>
  <si>
    <t>716770101662</t>
  </si>
  <si>
    <t>Muñeco Inflable Entrenador Personal - CALEX</t>
  </si>
  <si>
    <t>7502235091615</t>
  </si>
  <si>
    <t>Miel Estimulante Mujer 18ml</t>
  </si>
  <si>
    <t>75037420</t>
  </si>
  <si>
    <t>Dulce Estimulante Sexual Sabor Menta 2 piezas - SXO</t>
  </si>
  <si>
    <t>7503030104030</t>
  </si>
  <si>
    <t>Vibrador multiorgasmico para parejas Eva - CXO</t>
  </si>
  <si>
    <t>7503050226158</t>
  </si>
  <si>
    <t>Conjunto Vicky - OLA MOU</t>
  </si>
  <si>
    <t>DL-ZZ-YJPT-BJ-20250327</t>
  </si>
  <si>
    <t>Funda de Silicon para Pene con 10 modos de Vibración  Raul- CXO</t>
  </si>
  <si>
    <t>7502235091523</t>
  </si>
  <si>
    <t>Spray Garganta Profunda Sabor Fresa 4.5 ml - SXO</t>
  </si>
  <si>
    <t>7503050524388</t>
  </si>
  <si>
    <t>Cuerda shibari negra 10mts - CXO</t>
  </si>
  <si>
    <t>S1222-KKW1020</t>
  </si>
  <si>
    <t>Bomba de vacío con anillos intercambiables -   S1222 KKW1020</t>
  </si>
  <si>
    <t>7503043917098</t>
  </si>
  <si>
    <t>Succionador Mia  - CXO</t>
  </si>
  <si>
    <t>7707167957422</t>
  </si>
  <si>
    <t>Babydoll Mod 509203 M - EA</t>
  </si>
  <si>
    <t>7503050226141</t>
  </si>
  <si>
    <t>Conjunto Aitana - OLA MOU</t>
  </si>
  <si>
    <t>BOD11CB033001XL</t>
  </si>
  <si>
    <t>Body BD005 negro</t>
  </si>
  <si>
    <t>CON01CH005002L</t>
  </si>
  <si>
    <t>Conjunto Alexa L negro</t>
  </si>
  <si>
    <t>CON01CH029002L</t>
  </si>
  <si>
    <t>Conjunto Paus L rosa-clear</t>
  </si>
  <si>
    <t>CON01CH03300485B</t>
  </si>
  <si>
    <t>Conjunto Regal 85B azul oscuro</t>
  </si>
  <si>
    <t>Plaza las Torres CELESTERRA</t>
  </si>
  <si>
    <t>6959633144350</t>
  </si>
  <si>
    <t>Pulse Union - SVAKOM</t>
  </si>
  <si>
    <t>7503050226154</t>
  </si>
  <si>
    <t>Conjunto Ariadna - OLA MOU</t>
  </si>
  <si>
    <t>6970556030858</t>
  </si>
  <si>
    <t>Multiorgasmico Reno - CXO</t>
  </si>
  <si>
    <t>839289006904</t>
  </si>
  <si>
    <t>Pivot - WE VIBE</t>
  </si>
  <si>
    <t>7503023462921</t>
  </si>
  <si>
    <t>ORAL SEX Beso Irlandes 30ml  - DIAMANTE</t>
  </si>
  <si>
    <t>SC249C01</t>
  </si>
  <si>
    <t>Funda Vibradora para Dedo masajeadora de Punto G  Lola- CXO</t>
  </si>
  <si>
    <t>850028334195</t>
  </si>
  <si>
    <t>stretchy 4 ring buffer - ohnut</t>
  </si>
  <si>
    <t>735380341619</t>
  </si>
  <si>
    <t>VIBRADOR SEXI THING ROCKER BLUSH AZUL</t>
  </si>
  <si>
    <t>S146 AAT1002</t>
  </si>
  <si>
    <t>Bomba para Pene Automatica - S146 AAT1002</t>
  </si>
  <si>
    <t>7503023462914</t>
  </si>
  <si>
    <t>ORAL SEX CREAM´S LIPS NUT 30 ML</t>
  </si>
  <si>
    <t>7503023462907</t>
  </si>
  <si>
    <t>ORAL SEX Moka 30ml  - DIAMANTE</t>
  </si>
  <si>
    <t>CZC-ZDB-004</t>
  </si>
  <si>
    <t>Multiorgasmico con Lengua giratoria - CXO</t>
  </si>
  <si>
    <t>CON01CH016003M</t>
  </si>
  <si>
    <t>Conjunto Nancy M verde</t>
  </si>
  <si>
    <t>PEROLA00267SS</t>
  </si>
  <si>
    <t>Body corset Perla - OLA MOU</t>
  </si>
  <si>
    <t>LL-2340-C</t>
  </si>
  <si>
    <t>Pinzas Vibradoras para Pezon Mod. C (Succionador) - CXO</t>
  </si>
  <si>
    <t>ER8158394000</t>
  </si>
  <si>
    <t>SMART BALLS DUO MODELO OVALADO MUESTRA</t>
  </si>
  <si>
    <t>ER6699394000</t>
  </si>
  <si>
    <t>SMART BALLS UNO MODELO OVALADO MUESTRA</t>
  </si>
  <si>
    <t>7503013378744</t>
  </si>
  <si>
    <t>Anastasia silicon rosa - CXO</t>
  </si>
  <si>
    <t>ER10107394000</t>
  </si>
  <si>
    <t>VIBRADOR G MOTION RABBIT WAND MUESTRA</t>
  </si>
  <si>
    <t>7503020210517</t>
  </si>
  <si>
    <t>Vibrador tipo c con control remoto rosa Maia - CXO</t>
  </si>
  <si>
    <t>Plaza Madison -CEL</t>
  </si>
  <si>
    <t>BERTHA SOFIA O BERMEJO</t>
  </si>
  <si>
    <t>7503050524401</t>
  </si>
  <si>
    <t>Cuerda shibari rosa 10mts - CXO</t>
  </si>
  <si>
    <t>4061504060040</t>
  </si>
  <si>
    <t>Succionados Pingüino Edición Navideña - Satisfayer</t>
  </si>
  <si>
    <t>782421067113</t>
  </si>
  <si>
    <t>P-Curve prostatico OptiMALE - DOC JOHNSON</t>
  </si>
  <si>
    <t>7503032300221</t>
  </si>
  <si>
    <t>Cola de Zorro Arcoiris 38cm M - CXO</t>
  </si>
  <si>
    <t>7503024256932</t>
  </si>
  <si>
    <t>Cinthia - CXO</t>
  </si>
  <si>
    <t>603912307924</t>
  </si>
  <si>
    <t>COLUMPIO DELUXE FANTASY DOOR SWING</t>
  </si>
  <si>
    <t>CON01CH009005M</t>
  </si>
  <si>
    <t>Conjunto Brenda M amarillo</t>
  </si>
  <si>
    <t>7503030115025</t>
  </si>
  <si>
    <t>Arnes straple con doble estimulacion violeta Karen - CXO</t>
  </si>
  <si>
    <t>7350075026164</t>
  </si>
  <si>
    <t>Sona rosa - LELO</t>
  </si>
  <si>
    <t>ZEBOLA00265VW</t>
  </si>
  <si>
    <t>Conjunto Zebra - OLA MOU</t>
  </si>
  <si>
    <t>6974122611892</t>
  </si>
  <si>
    <t>Succionador con 7 modos Esther - CXO</t>
  </si>
  <si>
    <t>7503013378386</t>
  </si>
  <si>
    <t>Anillo de Acero Plano - CXO</t>
  </si>
  <si>
    <t>Plaza Sauces CEL</t>
  </si>
  <si>
    <t>FATIMA CAROLINA  VALENCIA ENRIQUEZ</t>
  </si>
  <si>
    <t>4032498331652</t>
  </si>
  <si>
    <t>Smartballs Uno  uva/blanco - FUN FACTORY</t>
  </si>
  <si>
    <t>7503043917586</t>
  </si>
  <si>
    <t>Huevo masturbador wavy - EGG</t>
  </si>
  <si>
    <t>LL-B2224</t>
  </si>
  <si>
    <t>Vibrador Recargable con 10 modos Liry - CXO</t>
  </si>
  <si>
    <t>ENFOLA0027719</t>
  </si>
  <si>
    <t>Disfraz Enfermera - OLA MOU</t>
  </si>
  <si>
    <t>7503050226135</t>
  </si>
  <si>
    <t>Body Julia - OLA MOU</t>
  </si>
  <si>
    <t>848518049926</t>
  </si>
  <si>
    <t>Teardrop collar vibrador - CHARMED</t>
  </si>
  <si>
    <t>CHARMED</t>
  </si>
  <si>
    <t>7500633010269</t>
  </si>
  <si>
    <t>LIGUERO EN ENCAJE ROJO MEDIANO 01026</t>
  </si>
  <si>
    <t>7502243030349</t>
  </si>
  <si>
    <t>NR PANTY SUPERCUL  M M</t>
  </si>
  <si>
    <t>CARNIVAL</t>
  </si>
  <si>
    <t>7503050226138</t>
  </si>
  <si>
    <t>Body Abri - OLA MOU</t>
  </si>
  <si>
    <t>Plaza Zenter CEL</t>
  </si>
  <si>
    <t>NICOLAS H ACEVES</t>
  </si>
  <si>
    <t>844477014296</t>
  </si>
  <si>
    <t>Eves Rechargeable Pulsating Dual Massager - ADAM AND EVE</t>
  </si>
  <si>
    <t>827160112141</t>
  </si>
  <si>
    <t>Lubricante Backdoor 100ml - PJUR</t>
  </si>
  <si>
    <t>7503020104086</t>
  </si>
  <si>
    <t>Vibrador y pulsador multiorgásmico con estimulador para clítoris Carola – CXO</t>
  </si>
  <si>
    <t>YULOLA002760I</t>
  </si>
  <si>
    <t>Disfraz de Servicio Yuli - OLA MU</t>
  </si>
  <si>
    <t>KUNESPEJOPED</t>
  </si>
  <si>
    <t>Espejo de pedestal - KUNI</t>
  </si>
  <si>
    <t>KUNI</t>
  </si>
  <si>
    <t>7503038654083</t>
  </si>
  <si>
    <t>Garganta profunda 60ml - FEEL LOVE</t>
  </si>
  <si>
    <t>7503020310409</t>
  </si>
  <si>
    <t>Vibrador estimulador triple rosa Tania  - CXO</t>
  </si>
  <si>
    <t>7503050226130</t>
  </si>
  <si>
    <t>Disfraz Maid - OLA MOU</t>
  </si>
  <si>
    <t>7503020596971</t>
  </si>
  <si>
    <t>Orgasmik - DUSA</t>
  </si>
  <si>
    <t>MAROLA00279IF</t>
  </si>
  <si>
    <t>Disfraz Marinera - OLA MOU</t>
  </si>
  <si>
    <t>LIZOLA00261ME</t>
  </si>
  <si>
    <t>Media arriba de la rodilla Liz - OLA MOU</t>
  </si>
  <si>
    <t>JICD91222</t>
  </si>
  <si>
    <t>Plug Anal Vibrador con Textura y Control con 10 modos Ricardo- CXO</t>
  </si>
  <si>
    <t>7707167956333</t>
  </si>
  <si>
    <t>Body Mod 507198 XL - EA</t>
  </si>
  <si>
    <t>819835020677</t>
  </si>
  <si>
    <t>Sin City D5 - AVANT</t>
  </si>
  <si>
    <t>603912332117</t>
  </si>
  <si>
    <t>VIBRADOR ANAL FANTASY VIBRATING THRUSTER</t>
  </si>
  <si>
    <t>827160112073</t>
  </si>
  <si>
    <t>Lubricante Basic Silicone  100ml - PJUR</t>
  </si>
  <si>
    <t>683609866521</t>
  </si>
  <si>
    <t>Pinzas Para Cejas Rosa Pastel - BEAUTY CREATIONS</t>
  </si>
  <si>
    <t>MODA</t>
  </si>
  <si>
    <t>BEAUTY CREATIONS</t>
  </si>
  <si>
    <t>4251460622905</t>
  </si>
  <si>
    <t>Sync O morado - WE VIBE</t>
  </si>
  <si>
    <t>7350075028571</t>
  </si>
  <si>
    <t>Sila Cruise aqua - LELO</t>
  </si>
  <si>
    <t>7503050226133</t>
  </si>
  <si>
    <t>Conjunto Olivia con liguero - OLA MOU</t>
  </si>
  <si>
    <t>6970784913893</t>
  </si>
  <si>
    <t>Multiorgasmico don doble estimulacion del punto G Lena - CXO</t>
  </si>
  <si>
    <t>BARSKN001</t>
  </si>
  <si>
    <t>Bombas de baño olor cereza - BARBIE</t>
  </si>
  <si>
    <t>BARBIE</t>
  </si>
  <si>
    <t>813686021326</t>
  </si>
  <si>
    <t>Com azul - DAME</t>
  </si>
  <si>
    <t>DAME</t>
  </si>
  <si>
    <t>4251460615655</t>
  </si>
  <si>
    <t>Bond Charcoal Black - WE VIBE</t>
  </si>
  <si>
    <t>7350075028632</t>
  </si>
  <si>
    <t>Tiani Harmony Black -LELO</t>
  </si>
  <si>
    <t>ROMOLA00262FY</t>
  </si>
  <si>
    <t>Conjunto Romi - OLA MOU</t>
  </si>
  <si>
    <t>7350075028588</t>
  </si>
  <si>
    <t>Sila Cruise lilac - LELO</t>
  </si>
  <si>
    <t>Provenza-Cel</t>
  </si>
  <si>
    <t>BRYAN ALEJANDRO V BERNAL</t>
  </si>
  <si>
    <t>667940006051</t>
  </si>
  <si>
    <t>ACEITE TOUCHE HOMME 60 ML PASION</t>
  </si>
  <si>
    <t>TOUCHE</t>
  </si>
  <si>
    <t>7503032300535</t>
  </si>
  <si>
    <t>Cola de Zorro 45cm blanco L - CXO</t>
  </si>
  <si>
    <t>782421083076</t>
  </si>
  <si>
    <t>Hydrate gel 56gr - INTIMATE ENHANCEMENTS</t>
  </si>
  <si>
    <t>7503032300740</t>
  </si>
  <si>
    <t>Colette azul - CXO</t>
  </si>
  <si>
    <t>716222287500</t>
  </si>
  <si>
    <t>ACEITE AROMATHERAPY MASSAGE OIL 4 ROMANCE</t>
  </si>
  <si>
    <t>7503026484142</t>
  </si>
  <si>
    <t>LIKE A VIRGIN 40ml - DIAMANTE</t>
  </si>
  <si>
    <t>6920437903153</t>
  </si>
  <si>
    <t>Vibrador con motor Dual con 8 modos Fany - CXO</t>
  </si>
  <si>
    <t>JUGUETE PROPIO</t>
  </si>
  <si>
    <t>CONSUMIBLE PROPIO</t>
  </si>
  <si>
    <t>x</t>
  </si>
  <si>
    <t>CUMPLIMIENTO</t>
  </si>
  <si>
    <t>Cumplimiento Cuota</t>
  </si>
  <si>
    <t>JUGUETES ARRIBA DE 1500  ANTES DE IVA</t>
  </si>
  <si>
    <t>CXO / LUA</t>
  </si>
  <si>
    <t>PASTILLA DUSA</t>
  </si>
  <si>
    <t>MENOR AL 69%</t>
  </si>
  <si>
    <t>TIENDAS / BLOQUES DE CUMPLIMIENTO  PPTO MENSUAL</t>
  </si>
  <si>
    <t>70% AL 75%</t>
  </si>
  <si>
    <t>Bloque 1</t>
  </si>
  <si>
    <t>Bloque 2</t>
  </si>
  <si>
    <t>Bloque 3</t>
  </si>
  <si>
    <t>Bloque 4</t>
  </si>
  <si>
    <t>76 % AL 80%</t>
  </si>
  <si>
    <t>PORCENTAJES</t>
  </si>
  <si>
    <t>75 A 79 %</t>
  </si>
  <si>
    <t>80% a 89%</t>
  </si>
  <si>
    <t>90 A 109%</t>
  </si>
  <si>
    <t>110% en adelante</t>
  </si>
  <si>
    <t>81% AL 100%</t>
  </si>
  <si>
    <t>Venta Total</t>
  </si>
  <si>
    <t>110% en Adelante</t>
  </si>
  <si>
    <t>PRESUPUESTO</t>
  </si>
  <si>
    <t>VENTA</t>
  </si>
  <si>
    <t>% ALCANCE</t>
  </si>
  <si>
    <t>PAGO DE COMISIONES</t>
  </si>
  <si>
    <t xml:space="preserve">PAGO </t>
  </si>
  <si>
    <t>Sucursal</t>
  </si>
  <si>
    <t>Presupuesto</t>
  </si>
  <si>
    <t>Venta</t>
  </si>
  <si>
    <t>EMPLEADO</t>
  </si>
  <si>
    <t>Venta por vendedor</t>
  </si>
  <si>
    <t>VTA ECOMMERCE</t>
  </si>
  <si>
    <t>CUOTA MENSUAL</t>
  </si>
  <si>
    <t>Juguetes en General  $ 1,500</t>
  </si>
  <si>
    <t>PASTILLA SHUMA</t>
  </si>
  <si>
    <t>SEMANAL</t>
  </si>
  <si>
    <t>SUBTOTAL</t>
  </si>
  <si>
    <t>% ALCANCE VS LA VENTA</t>
  </si>
  <si>
    <t>% DE ALCANCE VS LA VTA GLOBAL</t>
  </si>
  <si>
    <t>% de participación</t>
  </si>
  <si>
    <t>Ticket promedio</t>
  </si>
  <si>
    <t>Unidades por ticket</t>
  </si>
  <si>
    <t>PASTILLA SHUMATSU</t>
  </si>
  <si>
    <t>Lenceria</t>
  </si>
  <si>
    <t>MENOR AL 60%</t>
  </si>
  <si>
    <t>ESQUEMA DE ENCARGADO DE BOUTIQUE</t>
  </si>
  <si>
    <t>60% AL 74%</t>
  </si>
  <si>
    <t>70% AL 79%</t>
  </si>
  <si>
    <t>80% AL 90%</t>
  </si>
  <si>
    <t xml:space="preserve">91% AL 110% </t>
  </si>
  <si>
    <t>110% En adelante</t>
  </si>
  <si>
    <t>PPTO VENTA</t>
  </si>
  <si>
    <t>PPTO TICKET</t>
  </si>
  <si>
    <t>PPTO UNIDADES</t>
  </si>
  <si>
    <t>SHUMA</t>
  </si>
  <si>
    <t>COMISION GENERADA</t>
  </si>
  <si>
    <t>VENTA GENERADA</t>
  </si>
  <si>
    <t>NICK</t>
  </si>
  <si>
    <t>Etiquetas de fila</t>
  </si>
  <si>
    <t>Total general</t>
  </si>
  <si>
    <t>Suma de SUBTOT</t>
  </si>
  <si>
    <t>ESQUEMA DE COMISIONES 2026 supervisor</t>
  </si>
  <si>
    <t>ppto</t>
  </si>
  <si>
    <t>dias de cuota</t>
  </si>
  <si>
    <t>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</si>
</sst>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\$#,##0.00;\-\$#,##0.00"/>
    <numFmt numFmtId="165" formatCode="0.0%"/>
  </numFmts>
  <fonts count="47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0"/>
      <name val="Open Sans"/>
      <family val="2"/>
    </font>
    <font>
      <b/>
      <sz val="14"/>
      <color theme="0"/>
      <name val="Open Sans"/>
      <family val="2"/>
    </font>
    <font>
      <b/>
      <sz val="12"/>
      <color theme="0"/>
      <name val="Open Sans"/>
      <family val="2"/>
    </font>
    <font>
      <b/>
      <sz val="16"/>
      <color theme="0"/>
      <name val="Open Sans"/>
      <family val="2"/>
    </font>
    <font>
      <b/>
      <sz val="10"/>
      <color theme="0"/>
      <name val="Open Sans"/>
      <family val="2"/>
    </font>
    <font>
      <b/>
      <sz val="22"/>
      <color theme="1"/>
      <name val="Calibri"/>
      <family val="2"/>
      <scheme val="minor"/>
    </font>
    <font>
      <b/>
      <sz val="18"/>
      <color theme="0"/>
      <name val="Open Sans"/>
      <family val="2"/>
    </font>
    <font>
      <sz val="16"/>
      <color theme="1"/>
      <name val="Calibri Light"/>
      <family val="2"/>
      <scheme val="major"/>
    </font>
    <font>
      <b/>
      <sz val="18"/>
      <name val="Calibri Light"/>
      <family val="2"/>
      <scheme val="major"/>
    </font>
    <font>
      <b/>
      <sz val="16"/>
      <color rgb="FFFF6600"/>
      <name val="Calibri Light"/>
      <family val="2"/>
      <scheme val="maj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sz val="11"/>
      <color theme="1"/>
      <name val="Open Sans"/>
      <family val="2"/>
    </font>
    <font>
      <b/>
      <sz val="20"/>
      <color theme="1"/>
      <name val="Open Sans"/>
      <family val="2"/>
    </font>
    <font>
      <b/>
      <sz val="20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sz val="22"/>
      <color theme="1"/>
      <name val="Calibri Light"/>
      <family val="2"/>
      <scheme val="major"/>
    </font>
    <font>
      <b/>
      <sz val="18"/>
      <color rgb="FFFF6600"/>
      <name val="Calibri Light"/>
      <family val="2"/>
      <scheme val="major"/>
    </font>
    <font>
      <sz val="12"/>
      <color rgb="FFFF0000"/>
      <name val="Arial"/>
      <family val="2"/>
    </font>
    <font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Calibri Light"/>
      <family val="2"/>
      <scheme val="major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6C1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2" borderId="1" applyNumberFormat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" fillId="0" borderId="0" xfId="4"/>
    <xf numFmtId="44" fontId="8" fillId="0" borderId="0" xfId="5" applyFont="1" applyAlignment="1">
      <alignment horizontal="center" vertical="center"/>
    </xf>
    <xf numFmtId="0" fontId="1" fillId="0" borderId="0" xfId="4" applyAlignment="1">
      <alignment vertical="center"/>
    </xf>
    <xf numFmtId="44" fontId="9" fillId="0" borderId="0" xfId="5" applyFont="1" applyAlignment="1">
      <alignment horizontal="center" vertical="center"/>
    </xf>
    <xf numFmtId="44" fontId="0" fillId="0" borderId="0" xfId="5" applyFont="1" applyAlignment="1">
      <alignment horizontal="center" vertical="center"/>
    </xf>
    <xf numFmtId="44" fontId="5" fillId="0" borderId="0" xfId="5" applyFont="1"/>
    <xf numFmtId="44" fontId="0" fillId="0" borderId="0" xfId="5" applyFont="1"/>
    <xf numFmtId="9" fontId="9" fillId="4" borderId="0" xfId="6" applyFont="1" applyFill="1" applyAlignment="1">
      <alignment horizontal="center" vertical="center"/>
    </xf>
    <xf numFmtId="0" fontId="9" fillId="4" borderId="0" xfId="4" applyFont="1" applyFill="1"/>
    <xf numFmtId="9" fontId="8" fillId="0" borderId="0" xfId="6" applyFont="1" applyAlignment="1">
      <alignment horizontal="center" vertical="center"/>
    </xf>
    <xf numFmtId="9" fontId="9" fillId="4" borderId="0" xfId="6" applyFont="1" applyFill="1" applyBorder="1" applyAlignment="1">
      <alignment horizontal="center" vertical="center" wrapText="1"/>
    </xf>
    <xf numFmtId="9" fontId="8" fillId="0" borderId="0" xfId="6" applyFont="1" applyAlignment="1">
      <alignment horizontal="center" vertical="center" wrapText="1"/>
    </xf>
    <xf numFmtId="0" fontId="11" fillId="0" borderId="2" xfId="4" applyFont="1" applyBorder="1"/>
    <xf numFmtId="9" fontId="12" fillId="0" borderId="2" xfId="6" applyFont="1" applyFill="1" applyBorder="1" applyAlignment="1">
      <alignment horizontal="center" vertical="center"/>
    </xf>
    <xf numFmtId="0" fontId="11" fillId="4" borderId="2" xfId="4" applyFont="1" applyFill="1" applyBorder="1"/>
    <xf numFmtId="165" fontId="12" fillId="4" borderId="2" xfId="6" applyNumberFormat="1" applyFont="1" applyFill="1" applyBorder="1" applyAlignment="1">
      <alignment horizontal="center" vertical="center"/>
    </xf>
    <xf numFmtId="9" fontId="12" fillId="4" borderId="2" xfId="6" applyFont="1" applyFill="1" applyBorder="1" applyAlignment="1">
      <alignment horizontal="center" vertical="center"/>
    </xf>
    <xf numFmtId="9" fontId="9" fillId="4" borderId="0" xfId="6" applyFont="1" applyFill="1" applyBorder="1" applyAlignment="1">
      <alignment vertical="center" wrapText="1"/>
    </xf>
    <xf numFmtId="44" fontId="13" fillId="8" borderId="5" xfId="5" applyFont="1" applyFill="1" applyBorder="1" applyAlignment="1">
      <alignment horizontal="center"/>
    </xf>
    <xf numFmtId="44" fontId="14" fillId="8" borderId="6" xfId="5" applyFont="1" applyFill="1" applyBorder="1" applyAlignment="1">
      <alignment horizontal="center" vertical="center"/>
    </xf>
    <xf numFmtId="0" fontId="14" fillId="8" borderId="6" xfId="4" applyFont="1" applyFill="1" applyBorder="1" applyAlignment="1">
      <alignment horizontal="center" vertical="center"/>
    </xf>
    <xf numFmtId="44" fontId="14" fillId="8" borderId="6" xfId="5" applyFont="1" applyFill="1" applyBorder="1" applyAlignment="1">
      <alignment horizontal="center"/>
    </xf>
    <xf numFmtId="0" fontId="14" fillId="8" borderId="6" xfId="4" applyFont="1" applyFill="1" applyBorder="1" applyAlignment="1">
      <alignment horizontal="center"/>
    </xf>
    <xf numFmtId="10" fontId="12" fillId="0" borderId="2" xfId="6" applyNumberFormat="1" applyFont="1" applyFill="1" applyBorder="1" applyAlignment="1">
      <alignment horizontal="center" vertical="center"/>
    </xf>
    <xf numFmtId="165" fontId="12" fillId="0" borderId="2" xfId="6" applyNumberFormat="1" applyFont="1" applyFill="1" applyBorder="1" applyAlignment="1">
      <alignment horizontal="center" vertical="center"/>
    </xf>
    <xf numFmtId="44" fontId="14" fillId="8" borderId="7" xfId="5" applyFont="1" applyFill="1" applyBorder="1" applyAlignment="1">
      <alignment horizontal="center" vertical="center"/>
    </xf>
    <xf numFmtId="44" fontId="14" fillId="8" borderId="8" xfId="5" applyFont="1" applyFill="1" applyBorder="1" applyAlignment="1">
      <alignment horizontal="center" vertical="center"/>
    </xf>
    <xf numFmtId="0" fontId="14" fillId="8" borderId="8" xfId="4" applyFont="1" applyFill="1" applyBorder="1" applyAlignment="1">
      <alignment horizontal="center" vertical="center"/>
    </xf>
    <xf numFmtId="0" fontId="14" fillId="8" borderId="9" xfId="4" applyFont="1" applyFill="1" applyBorder="1" applyAlignment="1">
      <alignment horizontal="center" vertical="center" wrapText="1"/>
    </xf>
    <xf numFmtId="44" fontId="13" fillId="0" borderId="10" xfId="5" applyFont="1" applyBorder="1" applyAlignment="1">
      <alignment horizontal="right"/>
    </xf>
    <xf numFmtId="9" fontId="16" fillId="4" borderId="0" xfId="6" applyFont="1" applyFill="1" applyBorder="1" applyAlignment="1">
      <alignment horizontal="center" vertical="center"/>
    </xf>
    <xf numFmtId="10" fontId="16" fillId="4" borderId="0" xfId="6" applyNumberFormat="1" applyFont="1" applyFill="1" applyBorder="1" applyAlignment="1">
      <alignment horizontal="center" vertical="center"/>
    </xf>
    <xf numFmtId="9" fontId="10" fillId="0" borderId="0" xfId="6" applyFont="1" applyFill="1" applyBorder="1" applyAlignment="1">
      <alignment horizontal="center" vertical="center"/>
    </xf>
    <xf numFmtId="10" fontId="0" fillId="0" borderId="0" xfId="6" applyNumberFormat="1" applyFont="1" applyAlignment="1">
      <alignment horizontal="center" vertical="center"/>
    </xf>
    <xf numFmtId="10" fontId="5" fillId="0" borderId="0" xfId="6" applyNumberFormat="1" applyFont="1" applyAlignment="1">
      <alignment horizontal="center"/>
    </xf>
    <xf numFmtId="10" fontId="0" fillId="0" borderId="0" xfId="6" applyNumberFormat="1" applyFont="1" applyAlignment="1">
      <alignment horizontal="center"/>
    </xf>
    <xf numFmtId="0" fontId="17" fillId="0" borderId="0" xfId="4" applyFont="1"/>
    <xf numFmtId="44" fontId="17" fillId="4" borderId="0" xfId="6" applyNumberFormat="1" applyFont="1" applyFill="1" applyBorder="1" applyAlignment="1">
      <alignment horizontal="center" vertical="center"/>
    </xf>
    <xf numFmtId="0" fontId="11" fillId="0" borderId="0" xfId="4" applyFont="1" applyAlignment="1">
      <alignment vertical="center"/>
    </xf>
    <xf numFmtId="44" fontId="11" fillId="0" borderId="0" xfId="4" applyNumberFormat="1" applyFont="1" applyAlignment="1">
      <alignment vertical="center"/>
    </xf>
    <xf numFmtId="44" fontId="11" fillId="0" borderId="0" xfId="5" applyFont="1" applyAlignment="1">
      <alignment vertical="center"/>
    </xf>
    <xf numFmtId="0" fontId="1" fillId="0" borderId="0" xfId="4" applyAlignment="1">
      <alignment horizontal="center" vertical="center"/>
    </xf>
    <xf numFmtId="0" fontId="18" fillId="9" borderId="0" xfId="4" applyFont="1" applyFill="1" applyAlignment="1" applyProtection="1">
      <alignment vertical="center"/>
      <protection locked="0"/>
    </xf>
    <xf numFmtId="0" fontId="18" fillId="10" borderId="0" xfId="4" applyFont="1" applyFill="1" applyAlignment="1" applyProtection="1">
      <alignment horizontal="center" vertical="center"/>
      <protection locked="0"/>
    </xf>
    <xf numFmtId="0" fontId="19" fillId="8" borderId="11" xfId="4" applyFont="1" applyFill="1" applyBorder="1" applyAlignment="1">
      <alignment horizontal="center" vertical="center" wrapText="1"/>
    </xf>
    <xf numFmtId="0" fontId="22" fillId="8" borderId="18" xfId="4" applyFont="1" applyFill="1" applyBorder="1" applyAlignment="1">
      <alignment horizontal="center" vertical="center" wrapText="1"/>
    </xf>
    <xf numFmtId="0" fontId="20" fillId="8" borderId="18" xfId="4" applyFont="1" applyFill="1" applyBorder="1" applyAlignment="1">
      <alignment horizontal="center" vertical="center" wrapText="1"/>
    </xf>
    <xf numFmtId="44" fontId="9" fillId="4" borderId="0" xfId="5" applyFont="1" applyFill="1" applyAlignment="1">
      <alignment horizontal="center" vertical="center"/>
    </xf>
    <xf numFmtId="44" fontId="9" fillId="4" borderId="0" xfId="4" applyNumberFormat="1" applyFont="1" applyFill="1"/>
    <xf numFmtId="0" fontId="18" fillId="11" borderId="11" xfId="4" applyFont="1" applyFill="1" applyBorder="1" applyAlignment="1" applyProtection="1">
      <alignment horizontal="center" vertical="center"/>
      <protection locked="0"/>
    </xf>
    <xf numFmtId="44" fontId="18" fillId="12" borderId="11" xfId="5" applyFont="1" applyFill="1" applyBorder="1" applyAlignment="1">
      <alignment horizontal="center" vertical="center"/>
    </xf>
    <xf numFmtId="0" fontId="18" fillId="11" borderId="11" xfId="4" applyFont="1" applyFill="1" applyBorder="1" applyAlignment="1">
      <alignment horizontal="center" vertical="center"/>
    </xf>
    <xf numFmtId="0" fontId="18" fillId="8" borderId="11" xfId="4" applyFont="1" applyFill="1" applyBorder="1" applyAlignment="1">
      <alignment horizontal="center" vertical="center"/>
    </xf>
    <xf numFmtId="44" fontId="18" fillId="8" borderId="19" xfId="5" applyFont="1" applyFill="1" applyBorder="1" applyAlignment="1" applyProtection="1">
      <alignment horizontal="center" vertical="center"/>
    </xf>
    <xf numFmtId="44" fontId="18" fillId="8" borderId="19" xfId="5" applyFont="1" applyFill="1" applyBorder="1" applyAlignment="1" applyProtection="1">
      <alignment horizontal="center" vertical="center" wrapText="1"/>
    </xf>
    <xf numFmtId="44" fontId="18" fillId="8" borderId="14" xfId="5" applyFont="1" applyFill="1" applyBorder="1" applyAlignment="1" applyProtection="1">
      <alignment horizontal="center" vertical="center" wrapText="1"/>
    </xf>
    <xf numFmtId="9" fontId="23" fillId="13" borderId="12" xfId="6" applyFont="1" applyFill="1" applyBorder="1" applyAlignment="1">
      <alignment horizontal="center" vertical="center"/>
    </xf>
    <xf numFmtId="9" fontId="23" fillId="13" borderId="12" xfId="6" applyFont="1" applyFill="1" applyBorder="1" applyAlignment="1">
      <alignment horizontal="center" vertical="center" wrapText="1"/>
    </xf>
    <xf numFmtId="9" fontId="23" fillId="13" borderId="15" xfId="6" applyFont="1" applyFill="1" applyBorder="1" applyAlignment="1">
      <alignment horizontal="center" vertical="center" wrapText="1"/>
    </xf>
    <xf numFmtId="0" fontId="24" fillId="8" borderId="15" xfId="4" applyFont="1" applyFill="1" applyBorder="1" applyAlignment="1">
      <alignment horizontal="center" vertical="center" wrapText="1"/>
    </xf>
    <xf numFmtId="9" fontId="24" fillId="8" borderId="20" xfId="6" applyFont="1" applyFill="1" applyBorder="1" applyAlignment="1">
      <alignment horizontal="center" vertical="center" wrapText="1"/>
    </xf>
    <xf numFmtId="0" fontId="24" fillId="8" borderId="20" xfId="4" applyFont="1" applyFill="1" applyBorder="1" applyAlignment="1">
      <alignment horizontal="center" vertical="center" wrapText="1"/>
    </xf>
    <xf numFmtId="0" fontId="25" fillId="0" borderId="2" xfId="4" applyFont="1" applyBorder="1" applyAlignment="1">
      <alignment horizontal="center"/>
    </xf>
    <xf numFmtId="44" fontId="25" fillId="0" borderId="2" xfId="5" applyFont="1" applyBorder="1" applyAlignment="1">
      <alignment horizontal="center"/>
    </xf>
    <xf numFmtId="44" fontId="25" fillId="0" borderId="2" xfId="5" applyFont="1" applyBorder="1"/>
    <xf numFmtId="44" fontId="28" fillId="14" borderId="2" xfId="5" applyFont="1" applyFill="1" applyBorder="1" applyAlignment="1">
      <alignment vertical="center"/>
    </xf>
    <xf numFmtId="44" fontId="10" fillId="11" borderId="13" xfId="5" applyFont="1" applyFill="1" applyBorder="1"/>
    <xf numFmtId="9" fontId="28" fillId="4" borderId="2" xfId="6" applyFont="1" applyFill="1" applyBorder="1" applyAlignment="1">
      <alignment horizontal="center" vertical="center"/>
    </xf>
    <xf numFmtId="10" fontId="28" fillId="4" borderId="2" xfId="6" applyNumberFormat="1" applyFont="1" applyFill="1" applyBorder="1" applyAlignment="1">
      <alignment horizontal="center" vertical="center"/>
    </xf>
    <xf numFmtId="9" fontId="25" fillId="4" borderId="2" xfId="6" applyFont="1" applyFill="1" applyBorder="1" applyAlignment="1" applyProtection="1">
      <alignment horizontal="center" vertical="center"/>
    </xf>
    <xf numFmtId="0" fontId="1" fillId="4" borderId="0" xfId="4" applyFill="1"/>
    <xf numFmtId="9" fontId="9" fillId="4" borderId="2" xfId="6" applyFont="1" applyFill="1" applyBorder="1" applyAlignment="1">
      <alignment horizontal="center" vertical="center"/>
    </xf>
    <xf numFmtId="0" fontId="9" fillId="4" borderId="2" xfId="4" applyFont="1" applyFill="1" applyBorder="1"/>
    <xf numFmtId="0" fontId="13" fillId="4" borderId="0" xfId="4" applyFont="1" applyFill="1"/>
    <xf numFmtId="44" fontId="9" fillId="4" borderId="0" xfId="5" applyFont="1" applyFill="1"/>
    <xf numFmtId="44" fontId="17" fillId="4" borderId="0" xfId="5" applyFont="1" applyFill="1"/>
    <xf numFmtId="44" fontId="29" fillId="4" borderId="0" xfId="4" applyNumberFormat="1" applyFont="1" applyFill="1"/>
    <xf numFmtId="44" fontId="1" fillId="0" borderId="0" xfId="4" applyNumberFormat="1"/>
    <xf numFmtId="44" fontId="9" fillId="0" borderId="0" xfId="4" applyNumberFormat="1" applyFont="1"/>
    <xf numFmtId="44" fontId="25" fillId="0" borderId="2" xfId="5" applyFont="1" applyBorder="1" applyAlignment="1">
      <alignment horizontal="left" indent="1"/>
    </xf>
    <xf numFmtId="44" fontId="30" fillId="4" borderId="26" xfId="3" applyNumberFormat="1" applyFont="1" applyFill="1" applyBorder="1" applyAlignment="1">
      <alignment vertical="center"/>
    </xf>
    <xf numFmtId="44" fontId="27" fillId="15" borderId="26" xfId="3" applyNumberFormat="1" applyFont="1" applyFill="1" applyBorder="1" applyAlignment="1">
      <alignment vertical="center"/>
    </xf>
    <xf numFmtId="0" fontId="31" fillId="0" borderId="0" xfId="4" applyFont="1" applyAlignment="1" applyProtection="1">
      <alignment horizontal="center" vertical="center"/>
      <protection locked="0"/>
    </xf>
    <xf numFmtId="44" fontId="11" fillId="0" borderId="21" xfId="5" applyFont="1" applyBorder="1" applyAlignment="1">
      <alignment horizontal="center" vertical="center"/>
    </xf>
    <xf numFmtId="44" fontId="11" fillId="4" borderId="2" xfId="5" applyFont="1" applyFill="1" applyBorder="1" applyAlignment="1">
      <alignment horizontal="center" vertical="center"/>
    </xf>
    <xf numFmtId="10" fontId="32" fillId="0" borderId="2" xfId="6" applyNumberFormat="1" applyFont="1" applyFill="1" applyBorder="1" applyAlignment="1" applyProtection="1">
      <alignment horizontal="center" vertical="center"/>
    </xf>
    <xf numFmtId="0" fontId="8" fillId="0" borderId="2" xfId="4" applyFont="1" applyBorder="1" applyAlignment="1">
      <alignment horizontal="center" vertical="center"/>
    </xf>
    <xf numFmtId="44" fontId="15" fillId="4" borderId="2" xfId="5" applyFont="1" applyFill="1" applyBorder="1" applyAlignment="1"/>
    <xf numFmtId="44" fontId="33" fillId="8" borderId="27" xfId="5" applyFont="1" applyFill="1" applyBorder="1" applyAlignment="1">
      <alignment vertical="center"/>
    </xf>
    <xf numFmtId="10" fontId="33" fillId="8" borderId="27" xfId="6" applyNumberFormat="1" applyFont="1" applyFill="1" applyBorder="1" applyAlignment="1">
      <alignment horizontal="center" vertical="center"/>
    </xf>
    <xf numFmtId="44" fontId="1" fillId="0" borderId="0" xfId="4" applyNumberFormat="1" applyAlignment="1">
      <alignment vertical="center"/>
    </xf>
    <xf numFmtId="9" fontId="0" fillId="0" borderId="0" xfId="6" applyFont="1" applyAlignment="1">
      <alignment horizontal="center" vertical="center"/>
    </xf>
    <xf numFmtId="0" fontId="34" fillId="0" borderId="0" xfId="4" applyFont="1"/>
    <xf numFmtId="44" fontId="34" fillId="0" borderId="0" xfId="5" applyFont="1" applyAlignment="1">
      <alignment horizontal="center" vertical="center"/>
    </xf>
    <xf numFmtId="0" fontId="34" fillId="0" borderId="0" xfId="4" applyFont="1" applyAlignment="1">
      <alignment vertical="center"/>
    </xf>
    <xf numFmtId="44" fontId="35" fillId="0" borderId="28" xfId="5" applyFont="1" applyBorder="1" applyAlignment="1">
      <alignment horizontal="center" vertical="center" wrapText="1"/>
    </xf>
    <xf numFmtId="10" fontId="34" fillId="0" borderId="28" xfId="6" applyNumberFormat="1" applyFont="1" applyBorder="1" applyAlignment="1">
      <alignment horizontal="center" vertical="center"/>
    </xf>
    <xf numFmtId="10" fontId="34" fillId="0" borderId="29" xfId="6" applyNumberFormat="1" applyFont="1" applyBorder="1" applyAlignment="1">
      <alignment horizontal="center" vertical="center"/>
    </xf>
    <xf numFmtId="10" fontId="34" fillId="0" borderId="30" xfId="6" applyNumberFormat="1" applyFont="1" applyBorder="1" applyAlignment="1">
      <alignment horizontal="center" vertical="center"/>
    </xf>
    <xf numFmtId="10" fontId="36" fillId="0" borderId="28" xfId="6" applyNumberFormat="1" applyFont="1" applyBorder="1" applyAlignment="1">
      <alignment horizontal="center" vertical="center"/>
    </xf>
    <xf numFmtId="9" fontId="34" fillId="4" borderId="0" xfId="6" applyFont="1" applyFill="1" applyAlignment="1">
      <alignment horizontal="center" vertical="center"/>
    </xf>
    <xf numFmtId="0" fontId="34" fillId="4" borderId="0" xfId="4" applyFont="1" applyFill="1"/>
    <xf numFmtId="9" fontId="37" fillId="0" borderId="0" xfId="6" applyFont="1" applyAlignment="1">
      <alignment horizontal="center" vertical="center"/>
    </xf>
    <xf numFmtId="44" fontId="13" fillId="0" borderId="0" xfId="4" applyNumberFormat="1" applyFont="1"/>
    <xf numFmtId="44" fontId="17" fillId="0" borderId="0" xfId="5" applyFont="1"/>
    <xf numFmtId="9" fontId="17" fillId="0" borderId="0" xfId="6" applyFont="1"/>
    <xf numFmtId="9" fontId="38" fillId="0" borderId="0" xfId="6" applyFont="1"/>
    <xf numFmtId="0" fontId="9" fillId="0" borderId="0" xfId="4" applyFont="1"/>
    <xf numFmtId="44" fontId="16" fillId="6" borderId="2" xfId="5" applyFont="1" applyFill="1" applyBorder="1" applyAlignment="1" applyProtection="1">
      <alignment horizontal="center" vertical="center"/>
    </xf>
    <xf numFmtId="44" fontId="16" fillId="6" borderId="2" xfId="5" applyFont="1" applyFill="1" applyBorder="1" applyAlignment="1" applyProtection="1">
      <alignment horizontal="center" vertical="center" wrapText="1"/>
    </xf>
    <xf numFmtId="0" fontId="23" fillId="0" borderId="2" xfId="4" applyFont="1" applyBorder="1"/>
    <xf numFmtId="10" fontId="39" fillId="0" borderId="2" xfId="6" applyNumberFormat="1" applyFont="1" applyFill="1" applyBorder="1" applyAlignment="1">
      <alignment horizontal="center" vertical="center"/>
    </xf>
    <xf numFmtId="0" fontId="38" fillId="0" borderId="0" xfId="4" applyFont="1"/>
    <xf numFmtId="0" fontId="1" fillId="0" borderId="0" xfId="4" applyAlignment="1">
      <alignment wrapText="1"/>
    </xf>
    <xf numFmtId="44" fontId="4" fillId="17" borderId="22" xfId="5" applyFont="1" applyFill="1" applyBorder="1" applyAlignment="1" applyProtection="1">
      <alignment horizontal="center" vertical="center" wrapText="1"/>
    </xf>
    <xf numFmtId="44" fontId="4" fillId="18" borderId="22" xfId="5" applyFont="1" applyFill="1" applyBorder="1" applyAlignment="1" applyProtection="1">
      <alignment horizontal="center" vertical="center" wrapText="1"/>
    </xf>
    <xf numFmtId="44" fontId="4" fillId="17" borderId="23" xfId="5" applyFont="1" applyFill="1" applyBorder="1" applyAlignment="1" applyProtection="1">
      <alignment horizontal="center" vertical="center" wrapText="1"/>
    </xf>
    <xf numFmtId="44" fontId="23" fillId="5" borderId="2" xfId="5" applyFont="1" applyFill="1" applyBorder="1" applyAlignment="1" applyProtection="1">
      <alignment horizontal="center" vertical="center"/>
    </xf>
    <xf numFmtId="44" fontId="23" fillId="19" borderId="2" xfId="5" applyFont="1" applyFill="1" applyBorder="1" applyAlignment="1" applyProtection="1">
      <alignment horizontal="center" vertical="center"/>
    </xf>
    <xf numFmtId="2" fontId="23" fillId="19" borderId="2" xfId="5" applyNumberFormat="1" applyFont="1" applyFill="1" applyBorder="1" applyAlignment="1" applyProtection="1">
      <alignment horizontal="center" vertical="center"/>
    </xf>
    <xf numFmtId="44" fontId="23" fillId="19" borderId="2" xfId="5" applyFont="1" applyFill="1" applyBorder="1" applyAlignment="1" applyProtection="1">
      <alignment horizontal="center" vertical="center" wrapText="1"/>
    </xf>
    <xf numFmtId="44" fontId="23" fillId="5" borderId="2" xfId="5" applyFont="1" applyFill="1" applyBorder="1" applyAlignment="1" applyProtection="1">
      <alignment horizontal="center" vertical="center" wrapText="1"/>
    </xf>
    <xf numFmtId="9" fontId="23" fillId="0" borderId="2" xfId="6" applyFont="1" applyFill="1" applyBorder="1"/>
    <xf numFmtId="44" fontId="39" fillId="20" borderId="2" xfId="5" applyFont="1" applyFill="1" applyBorder="1" applyAlignment="1">
      <alignment horizontal="center" vertical="center"/>
    </xf>
    <xf numFmtId="9" fontId="39" fillId="0" borderId="2" xfId="6" applyFont="1" applyFill="1" applyBorder="1" applyAlignment="1">
      <alignment horizontal="center" vertical="center"/>
    </xf>
    <xf numFmtId="44" fontId="38" fillId="0" borderId="2" xfId="4" applyNumberFormat="1" applyFont="1" applyBorder="1"/>
    <xf numFmtId="44" fontId="33" fillId="5" borderId="2" xfId="5" applyFont="1" applyFill="1" applyBorder="1" applyAlignment="1" applyProtection="1">
      <alignment horizontal="center" vertical="center"/>
    </xf>
    <xf numFmtId="44" fontId="33" fillId="6" borderId="2" xfId="5" applyFont="1" applyFill="1" applyBorder="1" applyAlignment="1" applyProtection="1">
      <alignment horizontal="center" vertical="center"/>
    </xf>
    <xf numFmtId="44" fontId="33" fillId="6" borderId="2" xfId="5" applyFont="1" applyFill="1" applyBorder="1" applyAlignment="1" applyProtection="1">
      <alignment horizontal="center" vertical="center" wrapText="1"/>
    </xf>
    <xf numFmtId="9" fontId="23" fillId="0" borderId="6" xfId="6" applyFont="1" applyBorder="1" applyAlignment="1">
      <alignment horizontal="center" vertical="center"/>
    </xf>
    <xf numFmtId="10" fontId="38" fillId="0" borderId="6" xfId="6" applyNumberFormat="1" applyFont="1" applyBorder="1" applyAlignment="1">
      <alignment horizontal="center" vertical="center"/>
    </xf>
    <xf numFmtId="10" fontId="38" fillId="0" borderId="6" xfId="6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1" applyFont="1"/>
    <xf numFmtId="9" fontId="0" fillId="0" borderId="0" xfId="0" applyNumberFormat="1"/>
    <xf numFmtId="44" fontId="0" fillId="0" borderId="0" xfId="0" applyNumberFormat="1"/>
    <xf numFmtId="9" fontId="0" fillId="0" borderId="0" xfId="0" applyNumberForma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44" fontId="6" fillId="0" borderId="0" xfId="0" applyNumberFormat="1" applyFont="1" applyAlignment="1">
      <alignment horizontal="center" vertical="center"/>
    </xf>
    <xf numFmtId="44" fontId="42" fillId="0" borderId="0" xfId="0" applyNumberFormat="1" applyFont="1"/>
    <xf numFmtId="0" fontId="43" fillId="0" borderId="2" xfId="0" applyFont="1" applyBorder="1"/>
    <xf numFmtId="10" fontId="0" fillId="0" borderId="0" xfId="2" applyNumberFormat="1" applyFont="1"/>
    <xf numFmtId="44" fontId="44" fillId="0" borderId="0" xfId="1" applyFont="1"/>
    <xf numFmtId="44" fontId="0" fillId="0" borderId="0" xfId="1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164" fontId="45" fillId="0" borderId="0" xfId="0" applyNumberFormat="1" applyFont="1"/>
    <xf numFmtId="9" fontId="23" fillId="0" borderId="2" xfId="2" applyFont="1" applyBorder="1" applyAlignment="1">
      <alignment horizontal="center" vertical="center"/>
    </xf>
    <xf numFmtId="44" fontId="44" fillId="0" borderId="0" xfId="0" applyNumberFormat="1" applyFont="1"/>
    <xf numFmtId="0" fontId="25" fillId="21" borderId="2" xfId="4" applyFont="1" applyFill="1" applyBorder="1" applyAlignment="1">
      <alignment horizontal="center"/>
    </xf>
    <xf numFmtId="44" fontId="25" fillId="21" borderId="2" xfId="5" applyFont="1" applyFill="1" applyBorder="1" applyAlignment="1">
      <alignment horizontal="center"/>
    </xf>
    <xf numFmtId="44" fontId="25" fillId="21" borderId="2" xfId="5" applyFont="1" applyFill="1" applyBorder="1"/>
    <xf numFmtId="44" fontId="28" fillId="21" borderId="2" xfId="5" applyFont="1" applyFill="1" applyBorder="1" applyAlignment="1">
      <alignment vertical="center"/>
    </xf>
    <xf numFmtId="0" fontId="40" fillId="4" borderId="2" xfId="4" applyFont="1" applyFill="1" applyBorder="1" applyAlignment="1" applyProtection="1">
      <alignment horizontal="center" vertical="center"/>
      <protection locked="0"/>
    </xf>
    <xf numFmtId="44" fontId="26" fillId="4" borderId="22" xfId="5" applyFont="1" applyFill="1" applyBorder="1" applyAlignment="1">
      <alignment horizontal="center" vertical="center"/>
    </xf>
    <xf numFmtId="44" fontId="26" fillId="4" borderId="23" xfId="5" applyFont="1" applyFill="1" applyBorder="1" applyAlignment="1">
      <alignment horizontal="center" vertical="center"/>
    </xf>
    <xf numFmtId="44" fontId="41" fillId="4" borderId="22" xfId="3" applyNumberFormat="1" applyFont="1" applyFill="1" applyBorder="1" applyAlignment="1">
      <alignment horizontal="center" vertical="center"/>
    </xf>
    <xf numFmtId="44" fontId="41" fillId="4" borderId="23" xfId="3" applyNumberFormat="1" applyFont="1" applyFill="1" applyBorder="1" applyAlignment="1">
      <alignment horizontal="center" vertical="center"/>
    </xf>
    <xf numFmtId="9" fontId="25" fillId="4" borderId="2" xfId="6" applyFont="1" applyFill="1" applyBorder="1" applyAlignment="1" applyProtection="1">
      <alignment horizontal="center" vertical="center"/>
    </xf>
    <xf numFmtId="44" fontId="41" fillId="4" borderId="2" xfId="3" applyNumberFormat="1" applyFont="1" applyFill="1" applyBorder="1" applyAlignment="1">
      <alignment horizontal="center" vertical="center"/>
    </xf>
    <xf numFmtId="0" fontId="40" fillId="4" borderId="24" xfId="4" applyFont="1" applyFill="1" applyBorder="1" applyAlignment="1" applyProtection="1">
      <alignment horizontal="center" vertical="center"/>
      <protection locked="0"/>
    </xf>
    <xf numFmtId="0" fontId="40" fillId="4" borderId="25" xfId="4" applyFont="1" applyFill="1" applyBorder="1" applyAlignment="1" applyProtection="1">
      <alignment horizontal="center" vertical="center"/>
      <protection locked="0"/>
    </xf>
    <xf numFmtId="44" fontId="41" fillId="0" borderId="2" xfId="5" applyFont="1" applyBorder="1" applyAlignment="1">
      <alignment horizontal="center" vertical="center"/>
    </xf>
    <xf numFmtId="9" fontId="25" fillId="4" borderId="22" xfId="6" applyFont="1" applyFill="1" applyBorder="1" applyAlignment="1" applyProtection="1">
      <alignment horizontal="center" vertical="center"/>
    </xf>
    <xf numFmtId="9" fontId="25" fillId="4" borderId="21" xfId="6" applyFont="1" applyFill="1" applyBorder="1" applyAlignment="1" applyProtection="1">
      <alignment horizontal="center" vertical="center"/>
    </xf>
    <xf numFmtId="44" fontId="26" fillId="4" borderId="21" xfId="5" applyFont="1" applyFill="1" applyBorder="1" applyAlignment="1">
      <alignment horizontal="center" vertical="center"/>
    </xf>
    <xf numFmtId="44" fontId="41" fillId="4" borderId="22" xfId="3" applyNumberFormat="1" applyFont="1" applyFill="1" applyBorder="1" applyAlignment="1">
      <alignment horizontal="center" vertical="center" wrapText="1"/>
    </xf>
    <xf numFmtId="44" fontId="26" fillId="4" borderId="2" xfId="5" applyFont="1" applyFill="1" applyBorder="1" applyAlignment="1">
      <alignment horizontal="center" vertical="center"/>
    </xf>
    <xf numFmtId="44" fontId="41" fillId="4" borderId="21" xfId="3" applyNumberFormat="1" applyFont="1" applyFill="1" applyBorder="1" applyAlignment="1">
      <alignment horizontal="center" vertical="center"/>
    </xf>
    <xf numFmtId="0" fontId="23" fillId="7" borderId="3" xfId="4" applyFont="1" applyFill="1" applyBorder="1" applyAlignment="1">
      <alignment horizontal="center"/>
    </xf>
    <xf numFmtId="0" fontId="23" fillId="7" borderId="4" xfId="4" applyFont="1" applyFill="1" applyBorder="1" applyAlignment="1">
      <alignment horizontal="center"/>
    </xf>
    <xf numFmtId="0" fontId="20" fillId="8" borderId="12" xfId="4" applyFont="1" applyFill="1" applyBorder="1" applyAlignment="1">
      <alignment horizontal="center" vertical="center"/>
    </xf>
    <xf numFmtId="0" fontId="20" fillId="8" borderId="13" xfId="4" applyFont="1" applyFill="1" applyBorder="1" applyAlignment="1">
      <alignment horizontal="center" vertical="center"/>
    </xf>
    <xf numFmtId="0" fontId="20" fillId="8" borderId="14" xfId="4" applyFont="1" applyFill="1" applyBorder="1" applyAlignment="1">
      <alignment horizontal="center" vertical="center"/>
    </xf>
    <xf numFmtId="0" fontId="21" fillId="8" borderId="15" xfId="4" applyFont="1" applyFill="1" applyBorder="1" applyAlignment="1">
      <alignment horizontal="center" vertical="center" wrapText="1"/>
    </xf>
    <xf numFmtId="0" fontId="21" fillId="8" borderId="16" xfId="4" applyFont="1" applyFill="1" applyBorder="1" applyAlignment="1">
      <alignment horizontal="center" vertical="center" wrapText="1"/>
    </xf>
    <xf numFmtId="0" fontId="21" fillId="8" borderId="17" xfId="4" applyFont="1" applyFill="1" applyBorder="1" applyAlignment="1">
      <alignment horizontal="center" vertical="center" wrapText="1"/>
    </xf>
    <xf numFmtId="0" fontId="40" fillId="4" borderId="21" xfId="4" applyFont="1" applyFill="1" applyBorder="1" applyAlignment="1" applyProtection="1">
      <alignment horizontal="center" vertical="center"/>
      <protection locked="0"/>
    </xf>
    <xf numFmtId="0" fontId="4" fillId="9" borderId="0" xfId="4" applyFont="1" applyFill="1" applyAlignment="1">
      <alignment horizontal="center"/>
    </xf>
    <xf numFmtId="0" fontId="23" fillId="16" borderId="31" xfId="4" applyFont="1" applyFill="1" applyBorder="1" applyAlignment="1">
      <alignment horizontal="center"/>
    </xf>
    <xf numFmtId="0" fontId="23" fillId="16" borderId="32" xfId="4" applyFont="1" applyFill="1" applyBorder="1" applyAlignment="1">
      <alignment horizontal="center"/>
    </xf>
    <xf numFmtId="0" fontId="23" fillId="16" borderId="26" xfId="4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44" fontId="25" fillId="0" borderId="0" xfId="5" applyFont="1" applyBorder="1" applyAlignment="1">
      <alignment horizontal="center"/>
    </xf>
    <xf numFmtId="0" fontId="46" fillId="0" borderId="0" xfId="4" applyFont="1" applyBorder="1" applyAlignment="1">
      <alignment horizontal="left"/>
    </xf>
    <xf numFmtId="0" fontId="46" fillId="0" borderId="0" xfId="4" applyFont="1" applyBorder="1" applyAlignment="1">
      <alignment horizontal="center"/>
    </xf>
    <xf numFmtId="0" fontId="46" fillId="0" borderId="0" xfId="4" applyFont="1" applyFill="1" applyBorder="1" applyAlignment="1">
      <alignment horizontal="center"/>
    </xf>
    <xf numFmtId="0" fontId="46" fillId="0" borderId="0" xfId="4" applyFont="1" applyBorder="1" applyAlignment="1">
      <alignment horizontal="center" wrapText="1"/>
    </xf>
    <xf numFmtId="1" fontId="25" fillId="0" borderId="0" xfId="5" applyNumberFormat="1" applyFont="1" applyBorder="1" applyAlignment="1">
      <alignment horizontal="center"/>
    </xf>
    <xf numFmtId="44" fontId="46" fillId="0" borderId="0" xfId="5" applyFont="1" applyBorder="1" applyAlignment="1">
      <alignment horizontal="center"/>
    </xf>
  </cellXfs>
  <cellStyles count="7">
    <cellStyle name="Cálculo" xfId="3" builtinId="22"/>
    <cellStyle name="Moneda" xfId="1" builtinId="4"/>
    <cellStyle name="Moneda 2" xfId="5" xr:uid="{41E991C0-BDDD-4ADE-A455-47875093C8C9}"/>
    <cellStyle name="Normal" xfId="0" builtinId="0"/>
    <cellStyle name="Normal 2" xfId="4" xr:uid="{44F44C66-EBC6-4DDC-9F8D-6F6550644228}"/>
    <cellStyle name="Porcentaje" xfId="2" builtinId="5"/>
    <cellStyle name="Porcentaje 2" xfId="6" xr:uid="{10E70DE0-84C4-481A-84ED-EDF3BB3C7362}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pivotCacheDefinition" Target="pivotCache/pivotCacheDefinition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i%20unidad\0.-CELESTERRA\1.-KATA\7.-Comercial\Analisis%20Comercial\VENTAS%20DIARIAS%2007%2008%202022.xlsx" TargetMode="External"/><Relationship Id="rId1" Type="http://schemas.openxmlformats.org/officeDocument/2006/relationships/externalLinkPath" Target="file:///G:\Mi%20unidad\0.-CELESTERRA\1.-KATA\7.-Comercial\Analisis%20Comercial\VENTAS%20DIARIAS%2007%2008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GUIMIENTO PRESUPUESTO"/>
      <sheetName val="REPORTE VENTAS"/>
      <sheetName val="PRESUPUESTO"/>
      <sheetName val="FILTROS"/>
      <sheetName val="TRAFICO"/>
      <sheetName val="VENTAS"/>
      <sheetName val="HISTORICO DE VENTAS POR ARTICUL"/>
      <sheetName val="RAPPI"/>
    </sheetNames>
    <sheetDataSet>
      <sheetData sheetId="0">
        <row r="5">
          <cell r="CD5" t="str">
            <v xml:space="preserve">VENTA </v>
          </cell>
        </row>
      </sheetData>
      <sheetData sheetId="1"/>
      <sheetData sheetId="2"/>
      <sheetData sheetId="3">
        <row r="1">
          <cell r="A1" t="str">
            <v>AÑO</v>
          </cell>
        </row>
        <row r="2">
          <cell r="A2">
            <v>2020</v>
          </cell>
        </row>
        <row r="3">
          <cell r="A3">
            <v>2021</v>
          </cell>
        </row>
        <row r="4">
          <cell r="A4">
            <v>2022</v>
          </cell>
        </row>
        <row r="5">
          <cell r="A5">
            <v>2023</v>
          </cell>
        </row>
        <row r="6">
          <cell r="A6">
            <v>2024</v>
          </cell>
        </row>
      </sheetData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61.578728703702" createdVersion="8" refreshedVersion="8" minRefreshableVersion="3" recordCount="1150" xr:uid="{6346382C-D7A9-48C0-B190-579EA1AA6A0B}">
  <cacheSource type="worksheet">
    <worksheetSource ref="B4:J1154" sheet="DUSA"/>
  </cacheSource>
  <cacheFields count="9">
    <cacheField name="UBICACION" numFmtId="0">
      <sharedItems/>
    </cacheField>
    <cacheField name="FECHA" numFmtId="0">
      <sharedItems/>
    </cacheField>
    <cacheField name="VENDEDOR" numFmtId="0">
      <sharedItems count="20">
        <s v="NOE JONAS D CEL"/>
        <s v="ANGEL DANILO RODRIGUEZ LOPEZ"/>
        <s v="GERMAN  GUZMAN AGUIRRE"/>
        <s v="JESáS ULISES PEREZ VARGAS"/>
        <s v="JESUS ALBERTO M GARCIA"/>
        <s v="ALFONSO  M CARBALLAR"/>
        <s v="IRIS CRISTINA RIVERA PEREZ CELESTERRA"/>
        <s v="HECTOR MANUEL P CELEST"/>
        <s v="MARIA EDUWIGES DEL TORO ORTEGA"/>
        <s v="CELINA HERMILA  M GUILLEN"/>
        <s v="NINOSCHKA VILLAREAL GONZALEZ"/>
        <s v="Rodolfo  Serrano Amezcua"/>
        <s v="EDGAR MOISES A NAVARRO"/>
        <s v="ANTONIO EDMUNDO E CAMBEROS"/>
        <s v="DELIA AGUIRRE CERVANTES"/>
        <s v="OSCAR ANTONIO L CEL"/>
        <s v="BERTHA SOFIA O BERMEJO"/>
        <s v="FATIMA CAROLINA  VALENCIA ENRIQUEZ"/>
        <s v="NICOLAS H ACEVES"/>
        <s v="BRYAN ALEJANDRO V BERNAL"/>
      </sharedItems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20"/>
    </cacheField>
    <cacheField name="SUBTOT" numFmtId="164">
      <sharedItems containsSemiMixedTypes="0" containsString="0" containsNumber="1" minValue="172.41" maxValue="8620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61.578729050925" createdVersion="8" refreshedVersion="8" minRefreshableVersion="3" recordCount="853" xr:uid="{9606DB0A-AB99-418E-A3B1-BFFF1512AB47}">
  <cacheSource type="worksheet">
    <worksheetSource ref="B4:J857" sheet="CXO"/>
  </cacheSource>
  <cacheFields count="9">
    <cacheField name="UBICACION" numFmtId="0">
      <sharedItems/>
    </cacheField>
    <cacheField name="FECHA" numFmtId="0">
      <sharedItems/>
    </cacheField>
    <cacheField name="VENDEDOR" numFmtId="0">
      <sharedItems count="20">
        <s v="NOE JONAS D CEL"/>
        <s v="JESáS ULISES PEREZ VARGAS"/>
        <s v="JESUS ALBERTO M GARCIA"/>
        <s v="ALFONSO  M CARBALLAR"/>
        <s v="ANGEL DANILO RODRIGUEZ LOPEZ"/>
        <s v="IRIS CRISTINA RIVERA PEREZ CELESTERRA"/>
        <s v="GERMAN  GUZMAN AGUIRRE"/>
        <s v="HECTOR MANUEL P CELEST"/>
        <s v="MARIA EDUWIGES DEL TORO ORTEGA"/>
        <s v="CELINA HERMILA  M GUILLEN"/>
        <s v="NINOSCHKA VILLAREAL GONZALEZ"/>
        <s v="Rodolfo  Serrano Amezcua"/>
        <s v="EDGAR MOISES A NAVARRO"/>
        <s v="ANTONIO EDMUNDO E CAMBEROS"/>
        <s v="DELIA AGUIRRE CERVANTES"/>
        <s v="OSCAR ANTONIO L CEL"/>
        <s v="BERTHA SOFIA O BERMEJO"/>
        <s v="FATIMA CAROLINA  VALENCIA ENRIQUEZ"/>
        <s v="NICOLAS H ACEVES"/>
        <s v="BRYAN ALEJANDRO V BERNAL"/>
      </sharedItems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6"/>
    </cacheField>
    <cacheField name="SUBTOT" numFmtId="164">
      <sharedItems containsSemiMixedTypes="0" containsString="0" containsNumber="1" minValue="34.479999999999997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61.578729398148" createdVersion="8" refreshedVersion="8" minRefreshableVersion="3" recordCount="145" xr:uid="{CA6B728B-A592-4F45-A46A-5474E2E5C2A1}">
  <cacheSource type="worksheet">
    <worksheetSource ref="B3:J148" sheet="Juguetes"/>
  </cacheSource>
  <cacheFields count="9">
    <cacheField name="UBICACION" numFmtId="0">
      <sharedItems/>
    </cacheField>
    <cacheField name="FECHA" numFmtId="0">
      <sharedItems/>
    </cacheField>
    <cacheField name="VENDEDOR" numFmtId="0">
      <sharedItems count="20">
        <s v="NOE JONAS D CEL"/>
        <s v="GERMAN  GUZMAN AGUIRRE"/>
        <s v="JESUS ALBERTO M GARCIA"/>
        <s v="ANGEL DANILO RODRIGUEZ LOPEZ"/>
        <s v="IRIS CRISTINA RIVERA PEREZ CELESTERRA"/>
        <s v="HECTOR MANUEL P CELEST"/>
        <s v="MARIA EDUWIGES DEL TORO ORTEGA"/>
        <s v="CELINA HERMILA  M GUILLEN"/>
        <s v="NINOSCHKA VILLAREAL GONZALEZ"/>
        <s v="Rodolfo  Serrano Amezcua"/>
        <s v="EDGAR MOISES A NAVARRO"/>
        <s v="ANTONIO EDMUNDO E CAMBEROS"/>
        <s v="DELIA AGUIRRE CERVANTES"/>
        <s v="OSCAR ANTONIO L CEL"/>
        <s v="JESáS ULISES PEREZ VARGAS"/>
        <s v="BERTHA SOFIA O BERMEJO"/>
        <s v="FATIMA CAROLINA  VALENCIA ENRIQUEZ"/>
        <s v="NICOLAS H ACEVES"/>
        <s v="ALFONSO  M CARBALLAR"/>
        <s v="BRYAN ALEJANDRO V BERNAL"/>
      </sharedItems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2"/>
    </cacheField>
    <cacheField name="SUBTOT" numFmtId="164">
      <sharedItems containsSemiMixedTypes="0" containsString="0" containsNumber="1" minValue="1508.62" maxValue="5862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61.578729745372" createdVersion="8" refreshedVersion="8" minRefreshableVersion="3" recordCount="3110" xr:uid="{FC34FB8A-DE6C-4828-B955-94E7A2F13EA6}">
  <cacheSource type="worksheet">
    <worksheetSource ref="B4:J3114" sheet="BASE GENERAL"/>
  </cacheSource>
  <cacheFields count="9">
    <cacheField name="UBICACION" numFmtId="0">
      <sharedItems count="17">
        <s v="Arcos-C"/>
        <s v="Camino Real -C"/>
        <s v="Circunvalación CELESTERRA"/>
        <s v="Conchitas CEL"/>
        <s v="Federalismo CEL"/>
        <s v="Hidalgo CEL"/>
        <s v="Hotel los Reyes CEL"/>
        <s v="León 1 CEL"/>
        <s v="Naciones Unidas CEL"/>
        <s v="Patria -CEL"/>
        <s v="Plaza Alamo CELESTERRA"/>
        <s v="Plaza Conchitas CEL"/>
        <s v="Plaza las Torres CELESTERRA"/>
        <s v="Plaza Madison -CEL"/>
        <s v="Plaza Sauces CEL"/>
        <s v="Plaza Zenter CEL"/>
        <s v="Provenza-Cel"/>
      </sharedItems>
    </cacheField>
    <cacheField name="FECHA" numFmtId="0">
      <sharedItems/>
    </cacheField>
    <cacheField name="VENDEDOR" numFmtId="0">
      <sharedItems count="20">
        <s v="NOE JONAS D CEL"/>
        <s v="ANGEL DANILO RODRIGUEZ LOPEZ"/>
        <s v="GERMAN  GUZMAN AGUIRRE"/>
        <s v="JESáS ULISES PEREZ VARGAS"/>
        <s v="JESUS ALBERTO M GARCIA"/>
        <s v="ALFONSO  M CARBALLAR"/>
        <s v="IRIS CRISTINA RIVERA PEREZ CELESTERRA"/>
        <s v="HECTOR MANUEL P CELEST"/>
        <s v="MARIA EDUWIGES DEL TORO ORTEGA"/>
        <s v="CELINA HERMILA  M GUILLEN"/>
        <s v="NINOSCHKA VILLAREAL GONZALEZ"/>
        <s v="Rodolfo  Serrano Amezcua"/>
        <s v="EDGAR MOISES A NAVARRO"/>
        <s v="ANTONIO EDMUNDO E CAMBEROS"/>
        <s v="DELIA AGUIRRE CERVANTES"/>
        <s v="OSCAR ANTONIO L CEL"/>
        <s v="BERTHA SOFIA O BERMEJO"/>
        <s v="FATIMA CAROLINA  VALENCIA ENRIQUEZ"/>
        <s v="NICOLAS H ACEVES"/>
        <s v="BRYAN ALEJANDRO V BERNAL"/>
      </sharedItems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30"/>
    </cacheField>
    <cacheField name="SUBTOT" numFmtId="164">
      <sharedItems containsSemiMixedTypes="0" containsString="0" containsNumber="1" minValue="0.01" maxValue="8620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61.584663194444" createdVersion="8" refreshedVersion="8" minRefreshableVersion="3" recordCount="174" xr:uid="{31237DDD-2F47-4B35-A667-868EEBE42103}">
  <cacheSource type="worksheet">
    <worksheetSource ref="B4:J178" sheet="Pastilla"/>
  </cacheSource>
  <cacheFields count="9">
    <cacheField name="UBICACION" numFmtId="0">
      <sharedItems/>
    </cacheField>
    <cacheField name="FECHA" numFmtId="0">
      <sharedItems/>
    </cacheField>
    <cacheField name="VENDEDOR" numFmtId="0">
      <sharedItems count="20">
        <s v="NOE JONAS D CEL"/>
        <s v="JESUS ALBERTO M GARCIA"/>
        <s v="ALFONSO  M CARBALLAR"/>
        <s v="ANGEL DANILO RODRIGUEZ LOPEZ"/>
        <s v="IRIS CRISTINA RIVERA PEREZ CELESTERRA"/>
        <s v="JESáS ULISES PEREZ VARGAS"/>
        <s v="GERMAN  GUZMAN AGUIRRE"/>
        <s v="HECTOR MANUEL P CELEST"/>
        <s v="MARIA EDUWIGES DEL TORO ORTEGA"/>
        <s v="CELINA HERMILA  M GUILLEN"/>
        <s v="NINOSCHKA VILLAREAL GONZALEZ"/>
        <s v="Rodolfo  Serrano Amezcua"/>
        <s v="EDGAR MOISES A NAVARRO"/>
        <s v="ANTONIO EDMUNDO E CAMBEROS"/>
        <s v="DELIA AGUIRRE CERVANTES"/>
        <s v="OSCAR ANTONIO L CEL"/>
        <s v="BERTHA SOFIA O BERMEJO"/>
        <s v="FATIMA CAROLINA  VALENCIA ENRIQUEZ"/>
        <s v="NICOLAS H ACEVES"/>
        <s v="BRYAN ALEJANDRO V BERNAL"/>
      </sharedItems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7"/>
    </cacheField>
    <cacheField name="SUBTOT" numFmtId="164">
      <sharedItems containsSemiMixedTypes="0" containsString="0" containsNumber="1" minValue="577.59" maxValue="4043.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61.599199999997" createdVersion="8" refreshedVersion="8" minRefreshableVersion="3" recordCount="1161" xr:uid="{AB5CE4F6-AA56-411C-8B28-637122AE58C2}">
  <cacheSource type="worksheet">
    <worksheetSource ref="B4:J1165" sheet="Semana 1"/>
  </cacheSource>
  <cacheFields count="9">
    <cacheField name="UBICACION" numFmtId="0">
      <sharedItems count="17">
        <s v="Arcos-C"/>
        <s v="Camino Real -C"/>
        <s v="Circunvalación CELESTERRA"/>
        <s v="Conchitas CEL"/>
        <s v="Federalismo CEL"/>
        <s v="Hidalgo CEL"/>
        <s v="Hotel los Reyes CEL"/>
        <s v="León 1 CEL"/>
        <s v="Naciones Unidas CEL"/>
        <s v="Patria -CEL"/>
        <s v="Plaza Alamo CELESTERRA"/>
        <s v="Plaza Conchitas CEL"/>
        <s v="Plaza las Torres CELESTERRA"/>
        <s v="Plaza Madison -CEL"/>
        <s v="Plaza Sauces CEL"/>
        <s v="Plaza Zenter CEL"/>
        <s v="Provenza-Cel"/>
      </sharedItems>
    </cacheField>
    <cacheField name="FECHA" numFmtId="0">
      <sharedItems/>
    </cacheField>
    <cacheField name="VENDEDOR" numFmtId="0">
      <sharedItems/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16"/>
    </cacheField>
    <cacheField name="SUBTOT" numFmtId="164">
      <sharedItems containsSemiMixedTypes="0" containsString="0" containsNumber="1" minValue="0.01" maxValue="5862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61.602503819442" createdVersion="8" refreshedVersion="8" minRefreshableVersion="3" recordCount="688" xr:uid="{9F637A3D-9F0A-4988-A30A-E2E3D736968F}">
  <cacheSource type="worksheet">
    <worksheetSource ref="B5:J693" sheet="Semana 2"/>
  </cacheSource>
  <cacheFields count="9">
    <cacheField name="UBICACION" numFmtId="0">
      <sharedItems count="17">
        <s v="Arcos-C"/>
        <s v="Camino Real -C"/>
        <s v="Circunvalación CELESTERRA"/>
        <s v="Conchitas CEL"/>
        <s v="Federalismo CEL"/>
        <s v="Hidalgo CEL"/>
        <s v="Hotel los Reyes CEL"/>
        <s v="León 1 CEL"/>
        <s v="Naciones Unidas CEL"/>
        <s v="Patria -CEL"/>
        <s v="Plaza Alamo CELESTERRA"/>
        <s v="Plaza Conchitas CEL"/>
        <s v="Plaza las Torres CELESTERRA"/>
        <s v="Plaza Madison -CEL"/>
        <s v="Plaza Sauces CEL"/>
        <s v="Plaza Zenter CEL"/>
        <s v="Provenza-Cel"/>
      </sharedItems>
    </cacheField>
    <cacheField name="FECHA" numFmtId="0">
      <sharedItems/>
    </cacheField>
    <cacheField name="VENDEDOR" numFmtId="0">
      <sharedItems/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15"/>
    </cacheField>
    <cacheField name="SUBTOT" numFmtId="164">
      <sharedItems containsSemiMixedTypes="0" containsString="0" containsNumber="1" minValue="0.01" maxValue="5862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61.605847222221" createdVersion="8" refreshedVersion="8" minRefreshableVersion="3" recordCount="648" xr:uid="{18D09146-6373-4661-939D-9A37CA1428F7}">
  <cacheSource type="worksheet">
    <worksheetSource ref="B4:J652" sheet="Semana 3"/>
  </cacheSource>
  <cacheFields count="9">
    <cacheField name="UBICACION" numFmtId="0">
      <sharedItems count="17">
        <s v="Arcos-C"/>
        <s v="Camino Real -C"/>
        <s v="Circunvalación CELESTERRA"/>
        <s v="Conchitas CEL"/>
        <s v="Federalismo CEL"/>
        <s v="Hidalgo CEL"/>
        <s v="Hotel los Reyes CEL"/>
        <s v="León 1 CEL"/>
        <s v="Naciones Unidas CEL"/>
        <s v="Patria -CEL"/>
        <s v="Plaza Alamo CELESTERRA"/>
        <s v="Plaza Conchitas CEL"/>
        <s v="Plaza las Torres CELESTERRA"/>
        <s v="Plaza Madison -CEL"/>
        <s v="Plaza Sauces CEL"/>
        <s v="Plaza Zenter CEL"/>
        <s v="Provenza-Cel"/>
      </sharedItems>
    </cacheField>
    <cacheField name="FECHA" numFmtId="0">
      <sharedItems/>
    </cacheField>
    <cacheField name="VENDEDOR" numFmtId="0">
      <sharedItems count="20">
        <s v="NOE JONAS D CEL"/>
        <s v="JESáS ULISES PEREZ VARGAS"/>
        <s v="JESUS ALBERTO M GARCIA"/>
        <s v="IRIS CRISTINA RIVERA PEREZ CELESTERRA"/>
        <s v="HECTOR MANUEL P CELEST"/>
        <s v="GERMAN  GUZMAN AGUIRRE"/>
        <s v="MARIA EDUWIGES DEL TORO ORTEGA"/>
        <s v="CELINA HERMILA  M GUILLEN"/>
        <s v="NINOSCHKA VILLAREAL GONZALEZ"/>
        <s v="Rodolfo  Serrano Amezcua"/>
        <s v="EDGAR MOISES A NAVARRO"/>
        <s v="ANTONIO EDMUNDO E CAMBEROS"/>
        <s v="DELIA AGUIRRE CERVANTES"/>
        <s v="OSCAR ANTONIO L CEL"/>
        <s v="ALFONSO  M CARBALLAR"/>
        <s v="ANGEL DANILO RODRIGUEZ LOPEZ"/>
        <s v="BERTHA SOFIA O BERMEJO"/>
        <s v="FATIMA CAROLINA  VALENCIA ENRIQUEZ"/>
        <s v="NICOLAS H ACEVES"/>
        <s v="BRYAN ALEJANDRO V BERNAL"/>
      </sharedItems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30"/>
    </cacheField>
    <cacheField name="SUBTOT" numFmtId="164">
      <sharedItems containsSemiMixedTypes="0" containsString="0" containsNumber="1" minValue="17.239999999999998" maxValue="5603.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adys Alonso" refreshedDate="46061.607134375001" createdVersion="8" refreshedVersion="8" minRefreshableVersion="3" recordCount="613" xr:uid="{B08C1E51-AB6D-47B6-B884-99D0BF4F55B8}">
  <cacheSource type="worksheet">
    <worksheetSource ref="B4:J617" sheet="semana 4"/>
  </cacheSource>
  <cacheFields count="9">
    <cacheField name="UBICACION" numFmtId="0">
      <sharedItems count="17">
        <s v="Arcos-C"/>
        <s v="Camino Real -C"/>
        <s v="Circunvalación CELESTERRA"/>
        <s v="Conchitas CEL"/>
        <s v="Federalismo CEL"/>
        <s v="Hidalgo CEL"/>
        <s v="Hotel los Reyes CEL"/>
        <s v="León 1 CEL"/>
        <s v="Naciones Unidas CEL"/>
        <s v="Patria -CEL"/>
        <s v="Plaza Alamo CELESTERRA"/>
        <s v="Plaza Conchitas CEL"/>
        <s v="Plaza las Torres CELESTERRA"/>
        <s v="Plaza Madison -CEL"/>
        <s v="Plaza Sauces CEL"/>
        <s v="Plaza Zenter CEL"/>
        <s v="Provenza-Cel"/>
      </sharedItems>
    </cacheField>
    <cacheField name="FECHA" numFmtId="0">
      <sharedItems/>
    </cacheField>
    <cacheField name="VENDEDOR" numFmtId="0">
      <sharedItems/>
    </cacheField>
    <cacheField name="SKU" numFmtId="0">
      <sharedItems/>
    </cacheField>
    <cacheField name="ARTICULO" numFmtId="0">
      <sharedItems/>
    </cacheField>
    <cacheField name="FAMILIA COMERCIAL" numFmtId="0">
      <sharedItems/>
    </cacheField>
    <cacheField name="MARCA" numFmtId="0">
      <sharedItems/>
    </cacheField>
    <cacheField name="CANTIDAD" numFmtId="3">
      <sharedItems containsSemiMixedTypes="0" containsString="0" containsNumber="1" containsInteger="1" minValue="1" maxValue="20"/>
    </cacheField>
    <cacheField name="SUBTOT" numFmtId="164">
      <sharedItems containsSemiMixedTypes="0" containsString="0" containsNumber="1" minValue="0.01" maxValue="8620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0">
  <r>
    <s v="Arcos-C"/>
    <s v="02/01/2026"/>
    <x v="0"/>
    <s v="7503013378652"/>
    <s v="Liquid Love Backdoor 100ml - DUSA"/>
    <s v="CONSUMIBLE PROPIO"/>
    <s v="DUSA"/>
    <n v="1"/>
    <n v="1077.5899999999999"/>
  </r>
  <r>
    <s v="Arcos-C"/>
    <s v="04/01/2026"/>
    <x v="1"/>
    <s v="7503032300993"/>
    <s v="Liquid Love Pleasure 30ml - DUSA"/>
    <s v="CONSUMIBLE PROPIO"/>
    <s v="DUSA"/>
    <n v="1"/>
    <n v="301.72000000000003"/>
  </r>
  <r>
    <s v="Arcos-C"/>
    <s v="04/01/2026"/>
    <x v="1"/>
    <s v="7503050524241"/>
    <s v="Orgasmik 30ml - DUSA"/>
    <s v="CONSUMIBLE PROPIO"/>
    <s v="DUSA"/>
    <n v="1"/>
    <n v="431.03"/>
  </r>
  <r>
    <s v="Arcos-C"/>
    <s v="05/01/2026"/>
    <x v="0"/>
    <s v="7503013378492"/>
    <s v="Clean Whisper 120ml - DUSA"/>
    <s v="CONSUMIBLE PROPIO"/>
    <s v="DUSA"/>
    <n v="1"/>
    <n v="301.72000000000003"/>
  </r>
  <r>
    <s v="Arcos-C"/>
    <s v="06/01/2026"/>
    <x v="0"/>
    <s v="7503032300993"/>
    <s v="Liquid Love Pleasure 30ml - DUSA"/>
    <s v="CONSUMIBLE PROPIO"/>
    <s v="DUSA"/>
    <n v="1"/>
    <n v="301.72000000000003"/>
  </r>
  <r>
    <s v="Arcos-C"/>
    <s v="06/01/2026"/>
    <x v="0"/>
    <s v="7503013378010"/>
    <s v="Rigidex 2 pzas - DUSA"/>
    <s v="CONSUMIBLE PROPIO"/>
    <s v="DUSA"/>
    <n v="1"/>
    <n v="431.03"/>
  </r>
  <r>
    <s v="Arcos-C"/>
    <s v="06/01/2026"/>
    <x v="0"/>
    <s v="7503020596957"/>
    <s v="Shot Shumatsu Fun Hombre - DUSA"/>
    <s v="CONSUMIBLE PROPIO"/>
    <s v="DUSA"/>
    <n v="1"/>
    <n v="172.41"/>
  </r>
  <r>
    <s v="Arcos-C"/>
    <s v="06/01/2026"/>
    <x v="0"/>
    <s v="7503024256192"/>
    <s v="Shot Shumatsu Fun Mujer - DUSA"/>
    <s v="CONSUMIBLE PROPIO"/>
    <s v="DUSA"/>
    <n v="1"/>
    <n v="172.41"/>
  </r>
  <r>
    <s v="Arcos-C"/>
    <s v="07/01/2026"/>
    <x v="0"/>
    <s v="7503013378645"/>
    <s v="Liquid Love Pleasure 100ml - DUSA"/>
    <s v="CONSUMIBLE PROPIO"/>
    <s v="DUSA"/>
    <n v="2"/>
    <n v="1551.72"/>
  </r>
  <r>
    <s v="Arcos-C"/>
    <s v="07/01/2026"/>
    <x v="0"/>
    <s v="7503050524241"/>
    <s v="Orgasmik 30ml - DUSA"/>
    <s v="CONSUMIBLE PROPIO"/>
    <s v="DUSA"/>
    <n v="1"/>
    <n v="431.03"/>
  </r>
  <r>
    <s v="Arcos-C"/>
    <s v="08/01/2026"/>
    <x v="0"/>
    <s v="7503013378980"/>
    <s v="Lubricante Body Surf Termico Chicle DUSA 60ml"/>
    <s v="CONSUMIBLE PROPIO"/>
    <s v="DUSA"/>
    <n v="1"/>
    <n v="387.93"/>
  </r>
  <r>
    <s v="Arcos-C"/>
    <s v="09/01/2026"/>
    <x v="0"/>
    <s v="7503013378645"/>
    <s v="Liquid Love Pleasure 100ml - DUSA"/>
    <s v="CONSUMIBLE PROPIO"/>
    <s v="DUSA"/>
    <n v="3"/>
    <n v="2327.58"/>
  </r>
  <r>
    <s v="Arcos-C"/>
    <s v="09/01/2026"/>
    <x v="0"/>
    <s v="7503013378980"/>
    <s v="Lubricante Body Surf Termico Chicle DUSA 60ml"/>
    <s v="CONSUMIBLE PROPIO"/>
    <s v="DUSA"/>
    <n v="1"/>
    <n v="387.93"/>
  </r>
  <r>
    <s v="Arcos-C"/>
    <s v="10/01/2026"/>
    <x v="0"/>
    <s v="7503043917012"/>
    <s v="Liquid Love Backdoor 30ml - DUSA"/>
    <s v="CONSUMIBLE PROPIO"/>
    <s v="DUSA"/>
    <n v="1"/>
    <n v="301.72000000000003"/>
  </r>
  <r>
    <s v="Arcos-C"/>
    <s v="10/01/2026"/>
    <x v="0"/>
    <s v="7503013378645"/>
    <s v="Liquid Love Pleasure 100ml - DUSA"/>
    <s v="CONSUMIBLE PROPIO"/>
    <s v="DUSA"/>
    <n v="1"/>
    <n v="775.86"/>
  </r>
  <r>
    <s v="Arcos-C"/>
    <s v="10/01/2026"/>
    <x v="0"/>
    <s v="7503024256154"/>
    <s v="Lubricante Body Surf Termico Cereza DUSA 60ml"/>
    <s v="CONSUMIBLE PROPIO"/>
    <s v="DUSA"/>
    <n v="1"/>
    <n v="387.93"/>
  </r>
  <r>
    <s v="Arcos-C"/>
    <s v="10/01/2026"/>
    <x v="0"/>
    <s v="7503013378010"/>
    <s v="Rigidex 2 pzas - DUSA"/>
    <s v="CONSUMIBLE PROPIO"/>
    <s v="DUSA"/>
    <n v="3"/>
    <n v="1293.0999999999999"/>
  </r>
  <r>
    <s v="Arcos-C"/>
    <s v="10/01/2026"/>
    <x v="0"/>
    <s v="7503020596049"/>
    <s v="Sensicool - DUSA"/>
    <s v="CONSUMIBLE PROPIO"/>
    <s v="DUSA"/>
    <n v="1"/>
    <n v="431.03"/>
  </r>
  <r>
    <s v="Arcos-C"/>
    <s v="10/01/2026"/>
    <x v="0"/>
    <s v="7503020596957"/>
    <s v="Shot Shumatsu Fun Hombre - DUSA"/>
    <s v="CONSUMIBLE PROPIO"/>
    <s v="DUSA"/>
    <n v="1"/>
    <n v="172.41"/>
  </r>
  <r>
    <s v="Arcos-C"/>
    <s v="13/01/2026"/>
    <x v="0"/>
    <s v="7503013378645"/>
    <s v="Liquid Love Pleasure 100ml - DUSA"/>
    <s v="CONSUMIBLE PROPIO"/>
    <s v="DUSA"/>
    <n v="2"/>
    <n v="1551.72"/>
  </r>
  <r>
    <s v="Arcos-C"/>
    <s v="13/01/2026"/>
    <x v="0"/>
    <s v="7503013378010"/>
    <s v="Rigidex 2 pzas - DUSA"/>
    <s v="CONSUMIBLE PROPIO"/>
    <s v="DUSA"/>
    <n v="3"/>
    <n v="1293.0999999999999"/>
  </r>
  <r>
    <s v="Arcos-C"/>
    <s v="14/01/2026"/>
    <x v="0"/>
    <s v="7503013378645"/>
    <s v="Liquid Love Pleasure 100ml - DUSA"/>
    <s v="CONSUMIBLE PROPIO"/>
    <s v="DUSA"/>
    <n v="1"/>
    <n v="775.86"/>
  </r>
  <r>
    <s v="Arcos-C"/>
    <s v="14/01/2026"/>
    <x v="0"/>
    <s v="7503013378010"/>
    <s v="Rigidex 2 pzas - DUSA"/>
    <s v="CONSUMIBLE PROPIO"/>
    <s v="DUSA"/>
    <n v="1"/>
    <n v="431.03"/>
  </r>
  <r>
    <s v="Arcos-C"/>
    <s v="14/01/2026"/>
    <x v="0"/>
    <s v="7503020596957"/>
    <s v="Shot Shumatsu Fun Hombre - DUSA"/>
    <s v="CONSUMIBLE PROPIO"/>
    <s v="DUSA"/>
    <n v="3"/>
    <n v="517.23"/>
  </r>
  <r>
    <s v="Arcos-C"/>
    <s v="14/01/2026"/>
    <x v="0"/>
    <s v="7503024256192"/>
    <s v="Shot Shumatsu Fun Mujer - DUSA"/>
    <s v="CONSUMIBLE PROPIO"/>
    <s v="DUSA"/>
    <n v="2"/>
    <n v="344.82"/>
  </r>
  <r>
    <s v="Arcos-C"/>
    <s v="15/01/2026"/>
    <x v="0"/>
    <s v="7503013378492"/>
    <s v="Clean Whisper 120ml - DUSA"/>
    <s v="CONSUMIBLE PROPIO"/>
    <s v="DUSA"/>
    <n v="2"/>
    <n v="603.44000000000005"/>
  </r>
  <r>
    <s v="Arcos-C"/>
    <s v="15/01/2026"/>
    <x v="0"/>
    <s v="7503013378799"/>
    <s v="Lubricante Body Surf Termico Citricos DUSA 60ml"/>
    <s v="CONSUMIBLE PROPIO"/>
    <s v="DUSA"/>
    <n v="1"/>
    <n v="387.93"/>
  </r>
  <r>
    <s v="Arcos-C"/>
    <s v="15/01/2026"/>
    <x v="0"/>
    <s v="7503050524241"/>
    <s v="Orgasmik 30ml - DUSA"/>
    <s v="CONSUMIBLE PROPIO"/>
    <s v="DUSA"/>
    <n v="3"/>
    <n v="1293.0899999999999"/>
  </r>
  <r>
    <s v="Arcos-C"/>
    <s v="15/01/2026"/>
    <x v="0"/>
    <s v="7503013378010"/>
    <s v="Rigidex 2 pzas - DUSA"/>
    <s v="CONSUMIBLE PROPIO"/>
    <s v="DUSA"/>
    <n v="1"/>
    <n v="431.03"/>
  </r>
  <r>
    <s v="Arcos-C"/>
    <s v="15/01/2026"/>
    <x v="0"/>
    <s v="7503020596049"/>
    <s v="Sensicool - DUSA"/>
    <s v="CONSUMIBLE PROPIO"/>
    <s v="DUSA"/>
    <n v="1"/>
    <n v="431.03"/>
  </r>
  <r>
    <s v="Arcos-C"/>
    <s v="15/01/2026"/>
    <x v="0"/>
    <s v="7503050524258"/>
    <s v="Sensicool 30ml - DUSA"/>
    <s v="CONSUMIBLE PROPIO"/>
    <s v="DUSA"/>
    <n v="2"/>
    <n v="862.07"/>
  </r>
  <r>
    <s v="Arcos-C"/>
    <s v="17/01/2026"/>
    <x v="0"/>
    <s v="7503013378645"/>
    <s v="Liquid Love Pleasure 100ml - DUSA"/>
    <s v="CONSUMIBLE PROPIO"/>
    <s v="DUSA"/>
    <n v="1"/>
    <n v="775.86"/>
  </r>
  <r>
    <s v="Arcos-C"/>
    <s v="18/01/2026"/>
    <x v="2"/>
    <s v="7503013378492"/>
    <s v="Clean Whisper 120ml - DUSA"/>
    <s v="CONSUMIBLE PROPIO"/>
    <s v="DUSA"/>
    <n v="1"/>
    <n v="301.72000000000003"/>
  </r>
  <r>
    <s v="Arcos-C"/>
    <s v="18/01/2026"/>
    <x v="2"/>
    <s v="7503013378645"/>
    <s v="Liquid Love Pleasure 100ml - DUSA"/>
    <s v="CONSUMIBLE PROPIO"/>
    <s v="DUSA"/>
    <n v="1"/>
    <n v="775.86"/>
  </r>
  <r>
    <s v="Arcos-C"/>
    <s v="21/01/2026"/>
    <x v="0"/>
    <s v="7503043917012"/>
    <s v="Liquid Love Backdoor 30ml - DUSA"/>
    <s v="CONSUMIBLE PROPIO"/>
    <s v="DUSA"/>
    <n v="1"/>
    <n v="301.72000000000003"/>
  </r>
  <r>
    <s v="Arcos-C"/>
    <s v="21/01/2026"/>
    <x v="0"/>
    <s v="7503020596957"/>
    <s v="Shot Shumatsu Fun Hombre - DUSA"/>
    <s v="CONSUMIBLE PROPIO"/>
    <s v="DUSA"/>
    <n v="5"/>
    <n v="862.05"/>
  </r>
  <r>
    <s v="Arcos-C"/>
    <s v="21/01/2026"/>
    <x v="0"/>
    <s v="7503024256192"/>
    <s v="Shot Shumatsu Fun Mujer - DUSA"/>
    <s v="CONSUMIBLE PROPIO"/>
    <s v="DUSA"/>
    <n v="5"/>
    <n v="862.05"/>
  </r>
  <r>
    <s v="Arcos-C"/>
    <s v="21/01/2026"/>
    <x v="0"/>
    <s v="7503020596063"/>
    <s v="Stallion Regenerador - DUSA"/>
    <s v="CONSUMIBLE PROPIO"/>
    <s v="DUSA"/>
    <n v="1"/>
    <n v="1293.0999999999999"/>
  </r>
  <r>
    <s v="Arcos-C"/>
    <s v="22/01/2026"/>
    <x v="0"/>
    <s v="7503013378645"/>
    <s v="Liquid Love Pleasure 100ml - DUSA"/>
    <s v="CONSUMIBLE PROPIO"/>
    <s v="DUSA"/>
    <n v="2"/>
    <n v="1551.72"/>
  </r>
  <r>
    <s v="Arcos-C"/>
    <s v="23/01/2026"/>
    <x v="0"/>
    <s v="7503043917005"/>
    <s v="Liquid Love Clear 30ml - DUSA"/>
    <s v="CONSUMIBLE PROPIO"/>
    <s v="DUSA"/>
    <n v="1"/>
    <n v="301.72000000000003"/>
  </r>
  <r>
    <s v="Arcos-C"/>
    <s v="23/01/2026"/>
    <x v="0"/>
    <s v="7503032300993"/>
    <s v="Liquid Love Pleasure 30ml - DUSA"/>
    <s v="CONSUMIBLE PROPIO"/>
    <s v="DUSA"/>
    <n v="2"/>
    <n v="603.44000000000005"/>
  </r>
  <r>
    <s v="Arcos-C"/>
    <s v="23/01/2026"/>
    <x v="0"/>
    <s v="7503013378645"/>
    <s v="Liquid Love Pleasure 100ml - DUSA"/>
    <s v="CONSUMIBLE PROPIO"/>
    <s v="DUSA"/>
    <n v="1"/>
    <n v="775.86"/>
  </r>
  <r>
    <s v="Arcos-C"/>
    <s v="24/01/2026"/>
    <x v="0"/>
    <s v="7503050524265"/>
    <s v="He Plus 30ml - DUSA"/>
    <s v="CONSUMIBLE PROPIO"/>
    <s v="DUSA"/>
    <n v="1"/>
    <n v="431.03"/>
  </r>
  <r>
    <s v="Arcos-C"/>
    <s v="25/01/2026"/>
    <x v="3"/>
    <s v="7503043917005"/>
    <s v="Liquid Love Clear 30ml - DUSA"/>
    <s v="CONSUMIBLE PROPIO"/>
    <s v="DUSA"/>
    <n v="1"/>
    <n v="301.72000000000003"/>
  </r>
  <r>
    <s v="Arcos-C"/>
    <s v="25/01/2026"/>
    <x v="3"/>
    <s v="7503032300993"/>
    <s v="Liquid Love Pleasure 30ml - DUSA"/>
    <s v="CONSUMIBLE PROPIO"/>
    <s v="DUSA"/>
    <n v="1"/>
    <n v="301.72000000000003"/>
  </r>
  <r>
    <s v="Arcos-C"/>
    <s v="25/01/2026"/>
    <x v="3"/>
    <s v="7503013378010"/>
    <s v="Rigidex 2 pzas - DUSA"/>
    <s v="CONSUMIBLE PROPIO"/>
    <s v="DUSA"/>
    <n v="1"/>
    <n v="431.03"/>
  </r>
  <r>
    <s v="Arcos-C"/>
    <s v="25/01/2026"/>
    <x v="3"/>
    <s v="7503020596957"/>
    <s v="Shot Shumatsu Fun Hombre - DUSA"/>
    <s v="CONSUMIBLE PROPIO"/>
    <s v="DUSA"/>
    <n v="2"/>
    <n v="344.82"/>
  </r>
  <r>
    <s v="Arcos-C"/>
    <s v="25/01/2026"/>
    <x v="3"/>
    <s v="7503024256192"/>
    <s v="Shot Shumatsu Fun Mujer - DUSA"/>
    <s v="CONSUMIBLE PROPIO"/>
    <s v="DUSA"/>
    <n v="1"/>
    <n v="172.41"/>
  </r>
  <r>
    <s v="Arcos-C"/>
    <s v="26/01/2026"/>
    <x v="0"/>
    <s v="7503013378645"/>
    <s v="Liquid Love Pleasure 100ml - DUSA"/>
    <s v="CONSUMIBLE PROPIO"/>
    <s v="DUSA"/>
    <n v="1"/>
    <n v="775.86"/>
  </r>
  <r>
    <s v="Arcos-C"/>
    <s v="27/01/2026"/>
    <x v="0"/>
    <s v="7503043917005"/>
    <s v="Liquid Love Clear 30ml - DUSA"/>
    <s v="CONSUMIBLE PROPIO"/>
    <s v="DUSA"/>
    <n v="1"/>
    <n v="301.72000000000003"/>
  </r>
  <r>
    <s v="Arcos-C"/>
    <s v="27/01/2026"/>
    <x v="0"/>
    <s v="7503013378799"/>
    <s v="Lubricante Body Surf Termico Citricos DUSA 60ml"/>
    <s v="CONSUMIBLE PROPIO"/>
    <s v="DUSA"/>
    <n v="1"/>
    <n v="387.93"/>
  </r>
  <r>
    <s v="Arcos-C"/>
    <s v="28/01/2026"/>
    <x v="0"/>
    <s v="7503043917012"/>
    <s v="Liquid Love Backdoor 30ml - DUSA"/>
    <s v="CONSUMIBLE PROPIO"/>
    <s v="DUSA"/>
    <n v="1"/>
    <n v="301.72000000000003"/>
  </r>
  <r>
    <s v="Arcos-C"/>
    <s v="29/01/2026"/>
    <x v="0"/>
    <s v="7503013378652"/>
    <s v="Liquid Love Backdoor 100ml - DUSA"/>
    <s v="CONSUMIBLE PROPIO"/>
    <s v="DUSA"/>
    <n v="1"/>
    <n v="1077.5899999999999"/>
  </r>
  <r>
    <s v="Arcos-C"/>
    <s v="29/01/2026"/>
    <x v="0"/>
    <s v="7503013378645"/>
    <s v="Liquid Love Pleasure 100ml - DUSA"/>
    <s v="CONSUMIBLE PROPIO"/>
    <s v="DUSA"/>
    <n v="1"/>
    <n v="775.86"/>
  </r>
  <r>
    <s v="Arcos-C"/>
    <s v="29/01/2026"/>
    <x v="0"/>
    <s v="7503024256154"/>
    <s v="Lubricante Body Surf Termico Cereza DUSA 60ml"/>
    <s v="CONSUMIBLE PROPIO"/>
    <s v="DUSA"/>
    <n v="1"/>
    <n v="387.93"/>
  </r>
  <r>
    <s v="Arcos-C"/>
    <s v="29/01/2026"/>
    <x v="0"/>
    <s v="7503020596957"/>
    <s v="Shot Shumatsu Fun Hombre - DUSA"/>
    <s v="CONSUMIBLE PROPIO"/>
    <s v="DUSA"/>
    <n v="2"/>
    <n v="344.82"/>
  </r>
  <r>
    <s v="Arcos-C"/>
    <s v="30/01/2026"/>
    <x v="0"/>
    <s v="7503043917012"/>
    <s v="Liquid Love Backdoor 30ml - DUSA"/>
    <s v="CONSUMIBLE PROPIO"/>
    <s v="DUSA"/>
    <n v="1"/>
    <n v="301.72000000000003"/>
  </r>
  <r>
    <s v="Arcos-C"/>
    <s v="31/01/2026"/>
    <x v="0"/>
    <s v="7503020596001"/>
    <s v="Liquid Love Clear 100ml - DUSA"/>
    <s v="CONSUMIBLE PROPIO"/>
    <s v="DUSA"/>
    <n v="2"/>
    <n v="1551.72"/>
  </r>
  <r>
    <s v="Camino Real -C"/>
    <s v="02/01/2026"/>
    <x v="4"/>
    <s v="7503043917005"/>
    <s v="Liquid Love Clear 30ml - DUSA"/>
    <s v="CONSUMIBLE PROPIO"/>
    <s v="DUSA"/>
    <n v="1"/>
    <n v="301.72000000000003"/>
  </r>
  <r>
    <s v="Camino Real -C"/>
    <s v="02/01/2026"/>
    <x v="4"/>
    <s v="7503013378010"/>
    <s v="Rigidex 2 pzas - DUSA"/>
    <s v="CONSUMIBLE PROPIO"/>
    <s v="DUSA"/>
    <n v="1"/>
    <n v="431.03"/>
  </r>
  <r>
    <s v="Camino Real -C"/>
    <s v="02/01/2026"/>
    <x v="4"/>
    <s v="7503050524258"/>
    <s v="Sensicool 30ml - DUSA"/>
    <s v="CONSUMIBLE PROPIO"/>
    <s v="DUSA"/>
    <n v="1"/>
    <n v="431.03"/>
  </r>
  <r>
    <s v="Camino Real -C"/>
    <s v="03/01/2026"/>
    <x v="4"/>
    <s v="7503013378492"/>
    <s v="Clean Whisper 120ml - DUSA"/>
    <s v="CONSUMIBLE PROPIO"/>
    <s v="DUSA"/>
    <n v="1"/>
    <n v="301.72000000000003"/>
  </r>
  <r>
    <s v="Camino Real -C"/>
    <s v="03/01/2026"/>
    <x v="4"/>
    <s v="7503020596513"/>
    <s v="Liquid Love Natural 20ml - DUSA"/>
    <s v="CONSUMIBLE PROPIO"/>
    <s v="DUSA"/>
    <n v="1"/>
    <n v="258.62"/>
  </r>
  <r>
    <s v="Camino Real -C"/>
    <s v="03/01/2026"/>
    <x v="4"/>
    <s v="7503032300993"/>
    <s v="Liquid Love Pleasure 30ml - DUSA"/>
    <s v="CONSUMIBLE PROPIO"/>
    <s v="DUSA"/>
    <n v="3"/>
    <n v="905.16000000000008"/>
  </r>
  <r>
    <s v="Camino Real -C"/>
    <s v="03/01/2026"/>
    <x v="4"/>
    <s v="7503050524258"/>
    <s v="Sensicool 30ml - DUSA"/>
    <s v="CONSUMIBLE PROPIO"/>
    <s v="DUSA"/>
    <n v="2"/>
    <n v="862.06"/>
  </r>
  <r>
    <s v="Camino Real -C"/>
    <s v="03/01/2026"/>
    <x v="4"/>
    <s v="7503020596957"/>
    <s v="Shot Shumatsu Fun Hombre - DUSA"/>
    <s v="CONSUMIBLE PROPIO"/>
    <s v="DUSA"/>
    <n v="1"/>
    <n v="172.41"/>
  </r>
  <r>
    <s v="Camino Real -C"/>
    <s v="03/01/2026"/>
    <x v="4"/>
    <s v="7503024256192"/>
    <s v="Shot Shumatsu Fun Mujer - DUSA"/>
    <s v="CONSUMIBLE PROPIO"/>
    <s v="DUSA"/>
    <n v="1"/>
    <n v="172.41"/>
  </r>
  <r>
    <s v="Camino Real -C"/>
    <s v="04/01/2026"/>
    <x v="4"/>
    <s v="7503013378799"/>
    <s v="Lubricante Body Surf Termico Citricos DUSA 60ml"/>
    <s v="CONSUMIBLE PROPIO"/>
    <s v="DUSA"/>
    <n v="1"/>
    <n v="387.93"/>
  </r>
  <r>
    <s v="Camino Real -C"/>
    <s v="05/01/2026"/>
    <x v="5"/>
    <s v="7503024256154"/>
    <s v="Lubricante Body Surf Termico Cereza DUSA 60ml"/>
    <s v="CONSUMIBLE PROPIO"/>
    <s v="DUSA"/>
    <n v="1"/>
    <n v="387.93"/>
  </r>
  <r>
    <s v="Camino Real -C"/>
    <s v="05/01/2026"/>
    <x v="5"/>
    <s v="7503013378980"/>
    <s v="Lubricante Body Surf Termico Chicle DUSA 60ml"/>
    <s v="CONSUMIBLE PROPIO"/>
    <s v="DUSA"/>
    <n v="1"/>
    <n v="387.93"/>
  </r>
  <r>
    <s v="Camino Real -C"/>
    <s v="06/01/2026"/>
    <x v="4"/>
    <s v="7503043917012"/>
    <s v="Liquid Love Backdoor 30ml - DUSA"/>
    <s v="CONSUMIBLE PROPIO"/>
    <s v="DUSA"/>
    <n v="1"/>
    <n v="301.72000000000003"/>
  </r>
  <r>
    <s v="Camino Real -C"/>
    <s v="06/01/2026"/>
    <x v="4"/>
    <s v="7503020596957"/>
    <s v="Shot Shumatsu Fun Hombre - DUSA"/>
    <s v="CONSUMIBLE PROPIO"/>
    <s v="DUSA"/>
    <n v="2"/>
    <n v="344.82"/>
  </r>
  <r>
    <s v="Camino Real -C"/>
    <s v="07/01/2026"/>
    <x v="4"/>
    <s v="7503013378492"/>
    <s v="Clean Whisper 120ml - DUSA"/>
    <s v="CONSUMIBLE PROPIO"/>
    <s v="DUSA"/>
    <n v="1"/>
    <n v="301.72000000000003"/>
  </r>
  <r>
    <s v="Camino Real -C"/>
    <s v="07/01/2026"/>
    <x v="4"/>
    <s v="7503032300993"/>
    <s v="Liquid Love Pleasure 30ml - DUSA"/>
    <s v="CONSUMIBLE PROPIO"/>
    <s v="DUSA"/>
    <n v="3"/>
    <n v="905.16000000000008"/>
  </r>
  <r>
    <s v="Camino Real -C"/>
    <s v="07/01/2026"/>
    <x v="4"/>
    <s v="7503024256192"/>
    <s v="Shot Shumatsu Fun Mujer - DUSA"/>
    <s v="CONSUMIBLE PROPIO"/>
    <s v="DUSA"/>
    <n v="1"/>
    <n v="172.41"/>
  </r>
  <r>
    <s v="Camino Real -C"/>
    <s v="09/01/2026"/>
    <x v="4"/>
    <s v="7503050524265"/>
    <s v="He Plus 30ml - DUSA"/>
    <s v="CONSUMIBLE PROPIO"/>
    <s v="DUSA"/>
    <n v="1"/>
    <n v="431.03"/>
  </r>
  <r>
    <s v="Camino Real -C"/>
    <s v="09/01/2026"/>
    <x v="4"/>
    <s v="7503043917005"/>
    <s v="Liquid Love Clear 30ml - DUSA"/>
    <s v="CONSUMIBLE PROPIO"/>
    <s v="DUSA"/>
    <n v="1"/>
    <n v="301.72000000000003"/>
  </r>
  <r>
    <s v="Camino Real -C"/>
    <s v="09/01/2026"/>
    <x v="4"/>
    <s v="7503013378645"/>
    <s v="Liquid Love Pleasure 100ml - DUSA"/>
    <s v="CONSUMIBLE PROPIO"/>
    <s v="DUSA"/>
    <n v="1"/>
    <n v="775.86"/>
  </r>
  <r>
    <s v="Camino Real -C"/>
    <s v="09/01/2026"/>
    <x v="4"/>
    <s v="7503050524241"/>
    <s v="Orgasmik 30ml - DUSA"/>
    <s v="CONSUMIBLE PROPIO"/>
    <s v="DUSA"/>
    <n v="1"/>
    <n v="431.03"/>
  </r>
  <r>
    <s v="Camino Real -C"/>
    <s v="09/01/2026"/>
    <x v="4"/>
    <s v="7503020596957"/>
    <s v="Shot Shumatsu Fun Hombre - DUSA"/>
    <s v="CONSUMIBLE PROPIO"/>
    <s v="DUSA"/>
    <n v="16"/>
    <n v="2758.56"/>
  </r>
  <r>
    <s v="Camino Real -C"/>
    <s v="09/01/2026"/>
    <x v="4"/>
    <s v="7503024256192"/>
    <s v="Shot Shumatsu Fun Mujer - DUSA"/>
    <s v="CONSUMIBLE PROPIO"/>
    <s v="DUSA"/>
    <n v="2"/>
    <n v="344.82"/>
  </r>
  <r>
    <s v="Camino Real -C"/>
    <s v="10/01/2026"/>
    <x v="4"/>
    <s v="7503043917005"/>
    <s v="Liquid Love Clear 30ml - DUSA"/>
    <s v="CONSUMIBLE PROPIO"/>
    <s v="DUSA"/>
    <n v="2"/>
    <n v="603.44000000000005"/>
  </r>
  <r>
    <s v="Camino Real -C"/>
    <s v="10/01/2026"/>
    <x v="4"/>
    <s v="7503032300993"/>
    <s v="Liquid Love Pleasure 30ml - DUSA"/>
    <s v="CONSUMIBLE PROPIO"/>
    <s v="DUSA"/>
    <n v="2"/>
    <n v="603.44000000000005"/>
  </r>
  <r>
    <s v="Camino Real -C"/>
    <s v="10/01/2026"/>
    <x v="4"/>
    <s v="7503013378645"/>
    <s v="Liquid Love Pleasure 100ml - DUSA"/>
    <s v="CONSUMIBLE PROPIO"/>
    <s v="DUSA"/>
    <n v="3"/>
    <n v="2327.58"/>
  </r>
  <r>
    <s v="Camino Real -C"/>
    <s v="10/01/2026"/>
    <x v="4"/>
    <s v="7503020596957"/>
    <s v="Shot Shumatsu Fun Hombre - DUSA"/>
    <s v="CONSUMIBLE PROPIO"/>
    <s v="DUSA"/>
    <n v="1"/>
    <n v="172.41"/>
  </r>
  <r>
    <s v="Camino Real -C"/>
    <s v="11/01/2026"/>
    <x v="4"/>
    <s v="7503032300993"/>
    <s v="Liquid Love Pleasure 30ml - DUSA"/>
    <s v="CONSUMIBLE PROPIO"/>
    <s v="DUSA"/>
    <n v="1"/>
    <n v="301.72000000000003"/>
  </r>
  <r>
    <s v="Camino Real -C"/>
    <s v="11/01/2026"/>
    <x v="4"/>
    <s v="7503013378980"/>
    <s v="Lubricante Body Surf Termico Chicle DUSA 60ml"/>
    <s v="CONSUMIBLE PROPIO"/>
    <s v="DUSA"/>
    <n v="1"/>
    <n v="387.93"/>
  </r>
  <r>
    <s v="Camino Real -C"/>
    <s v="12/01/2026"/>
    <x v="4"/>
    <s v="7503050524241"/>
    <s v="Orgasmik 30ml - DUSA"/>
    <s v="CONSUMIBLE PROPIO"/>
    <s v="DUSA"/>
    <n v="1"/>
    <n v="431.03"/>
  </r>
  <r>
    <s v="Camino Real -C"/>
    <s v="12/01/2026"/>
    <x v="4"/>
    <s v="7503020596957"/>
    <s v="Shot Shumatsu Fun Hombre - DUSA"/>
    <s v="CONSUMIBLE PROPIO"/>
    <s v="DUSA"/>
    <n v="1"/>
    <n v="172.41"/>
  </r>
  <r>
    <s v="Camino Real -C"/>
    <s v="12/01/2026"/>
    <x v="4"/>
    <s v="7503024256192"/>
    <s v="Shot Shumatsu Fun Mujer - DUSA"/>
    <s v="CONSUMIBLE PROPIO"/>
    <s v="DUSA"/>
    <n v="1"/>
    <n v="172.41"/>
  </r>
  <r>
    <s v="Camino Real -C"/>
    <s v="13/01/2026"/>
    <x v="4"/>
    <s v="7503032300993"/>
    <s v="Liquid Love Pleasure 30ml - DUSA"/>
    <s v="CONSUMIBLE PROPIO"/>
    <s v="DUSA"/>
    <n v="1"/>
    <n v="301.72000000000003"/>
  </r>
  <r>
    <s v="Camino Real -C"/>
    <s v="13/01/2026"/>
    <x v="4"/>
    <s v="7503013378645"/>
    <s v="Liquid Love Pleasure 100ml - DUSA"/>
    <s v="CONSUMIBLE PROPIO"/>
    <s v="DUSA"/>
    <n v="1"/>
    <n v="775.86"/>
  </r>
  <r>
    <s v="Camino Real -C"/>
    <s v="13/01/2026"/>
    <x v="4"/>
    <s v="7503013378010"/>
    <s v="Rigidex 2 pzas - DUSA"/>
    <s v="CONSUMIBLE PROPIO"/>
    <s v="DUSA"/>
    <n v="1"/>
    <n v="431.03"/>
  </r>
  <r>
    <s v="Camino Real -C"/>
    <s v="14/01/2026"/>
    <x v="4"/>
    <s v="7503032300993"/>
    <s v="Liquid Love Pleasure 30ml - DUSA"/>
    <s v="CONSUMIBLE PROPIO"/>
    <s v="DUSA"/>
    <n v="1"/>
    <n v="301.72000000000003"/>
  </r>
  <r>
    <s v="Camino Real -C"/>
    <s v="14/01/2026"/>
    <x v="4"/>
    <s v="7503013378980"/>
    <s v="Lubricante Body Surf Termico Chicle DUSA 60ml"/>
    <s v="CONSUMIBLE PROPIO"/>
    <s v="DUSA"/>
    <n v="1"/>
    <n v="387.93"/>
  </r>
  <r>
    <s v="Camino Real -C"/>
    <s v="15/01/2026"/>
    <x v="4"/>
    <s v="7503050524265"/>
    <s v="He Plus 30ml - DUSA"/>
    <s v="CONSUMIBLE PROPIO"/>
    <s v="DUSA"/>
    <n v="1"/>
    <n v="431.03"/>
  </r>
  <r>
    <s v="Camino Real -C"/>
    <s v="16/01/2026"/>
    <x v="4"/>
    <s v="7503013378492"/>
    <s v="Clean Whisper 120ml - DUSA"/>
    <s v="CONSUMIBLE PROPIO"/>
    <s v="DUSA"/>
    <n v="1"/>
    <n v="301.72000000000003"/>
  </r>
  <r>
    <s v="Camino Real -C"/>
    <s v="17/01/2026"/>
    <x v="4"/>
    <s v="7503043917012"/>
    <s v="Liquid Love Backdoor 30ml - DUSA"/>
    <s v="CONSUMIBLE PROPIO"/>
    <s v="DUSA"/>
    <n v="1"/>
    <n v="301.72000000000003"/>
  </r>
  <r>
    <s v="Camino Real -C"/>
    <s v="17/01/2026"/>
    <x v="4"/>
    <s v="7503032300993"/>
    <s v="Liquid Love Pleasure 30ml - DUSA"/>
    <s v="CONSUMIBLE PROPIO"/>
    <s v="DUSA"/>
    <n v="2"/>
    <n v="603.44000000000005"/>
  </r>
  <r>
    <s v="Camino Real -C"/>
    <s v="17/01/2026"/>
    <x v="4"/>
    <s v="7503013378645"/>
    <s v="Liquid Love Pleasure 100ml - DUSA"/>
    <s v="CONSUMIBLE PROPIO"/>
    <s v="DUSA"/>
    <n v="3"/>
    <n v="2327.58"/>
  </r>
  <r>
    <s v="Camino Real -C"/>
    <s v="17/01/2026"/>
    <x v="4"/>
    <s v="7503020596957"/>
    <s v="Shot Shumatsu Fun Hombre - DUSA"/>
    <s v="CONSUMIBLE PROPIO"/>
    <s v="DUSA"/>
    <n v="1"/>
    <n v="172.41"/>
  </r>
  <r>
    <s v="Camino Real -C"/>
    <s v="18/01/2026"/>
    <x v="4"/>
    <s v="7503043917012"/>
    <s v="Liquid Love Backdoor 30ml - DUSA"/>
    <s v="CONSUMIBLE PROPIO"/>
    <s v="DUSA"/>
    <n v="1"/>
    <n v="301.72000000000003"/>
  </r>
  <r>
    <s v="Camino Real -C"/>
    <s v="18/01/2026"/>
    <x v="4"/>
    <s v="7503013378645"/>
    <s v="Liquid Love Pleasure 100ml - DUSA"/>
    <s v="CONSUMIBLE PROPIO"/>
    <s v="DUSA"/>
    <n v="1"/>
    <n v="775.86"/>
  </r>
  <r>
    <s v="Camino Real -C"/>
    <s v="19/01/2026"/>
    <x v="3"/>
    <s v="7503043917005"/>
    <s v="Liquid Love Clear 30ml - DUSA"/>
    <s v="CONSUMIBLE PROPIO"/>
    <s v="DUSA"/>
    <n v="1"/>
    <n v="301.72000000000003"/>
  </r>
  <r>
    <s v="Camino Real -C"/>
    <s v="19/01/2026"/>
    <x v="3"/>
    <s v="7503013378126"/>
    <s v="Lubricante Body Surf Frio Natural DUSA 60ml"/>
    <s v="CONSUMIBLE PROPIO"/>
    <s v="DUSA"/>
    <n v="1"/>
    <n v="387.93"/>
  </r>
  <r>
    <s v="Camino Real -C"/>
    <s v="21/01/2026"/>
    <x v="4"/>
    <s v="7503043917005"/>
    <s v="Liquid Love Clear 30ml - DUSA"/>
    <s v="CONSUMIBLE PROPIO"/>
    <s v="DUSA"/>
    <n v="2"/>
    <n v="603.44000000000005"/>
  </r>
  <r>
    <s v="Camino Real -C"/>
    <s v="21/01/2026"/>
    <x v="4"/>
    <s v="7503032300993"/>
    <s v="Liquid Love Pleasure 30ml - DUSA"/>
    <s v="CONSUMIBLE PROPIO"/>
    <s v="DUSA"/>
    <n v="1"/>
    <n v="301.72000000000003"/>
  </r>
  <r>
    <s v="Camino Real -C"/>
    <s v="22/01/2026"/>
    <x v="4"/>
    <s v="7503043917005"/>
    <s v="Liquid Love Clear 30ml - DUSA"/>
    <s v="CONSUMIBLE PROPIO"/>
    <s v="DUSA"/>
    <n v="5"/>
    <n v="1508.6000000000001"/>
  </r>
  <r>
    <s v="Camino Real -C"/>
    <s v="22/01/2026"/>
    <x v="4"/>
    <s v="7503013378645"/>
    <s v="Liquid Love Pleasure 100ml - DUSA"/>
    <s v="CONSUMIBLE PROPIO"/>
    <s v="DUSA"/>
    <n v="1"/>
    <n v="775.86"/>
  </r>
  <r>
    <s v="Camino Real -C"/>
    <s v="23/01/2026"/>
    <x v="4"/>
    <s v="7503043917012"/>
    <s v="Liquid Love Backdoor 30ml - DUSA"/>
    <s v="CONSUMIBLE PROPIO"/>
    <s v="DUSA"/>
    <n v="3"/>
    <n v="905.16000000000008"/>
  </r>
  <r>
    <s v="Camino Real -C"/>
    <s v="23/01/2026"/>
    <x v="4"/>
    <s v="7503013378645"/>
    <s v="Liquid Love Pleasure 100ml - DUSA"/>
    <s v="CONSUMIBLE PROPIO"/>
    <s v="DUSA"/>
    <n v="3"/>
    <n v="2327.58"/>
  </r>
  <r>
    <s v="Camino Real -C"/>
    <s v="23/01/2026"/>
    <x v="4"/>
    <s v="7503020596063"/>
    <s v="Stallion Regenerador - DUSA"/>
    <s v="CONSUMIBLE PROPIO"/>
    <s v="DUSA"/>
    <n v="1"/>
    <n v="1293.0999999999999"/>
  </r>
  <r>
    <s v="Camino Real -C"/>
    <s v="24/01/2026"/>
    <x v="4"/>
    <s v="7503013378645"/>
    <s v="Liquid Love Pleasure 100ml - DUSA"/>
    <s v="CONSUMIBLE PROPIO"/>
    <s v="DUSA"/>
    <n v="1"/>
    <n v="775.86"/>
  </r>
  <r>
    <s v="Camino Real -C"/>
    <s v="24/01/2026"/>
    <x v="4"/>
    <s v="7503024256192"/>
    <s v="Shot Shumatsu Fun Mujer - DUSA"/>
    <s v="CONSUMIBLE PROPIO"/>
    <s v="DUSA"/>
    <n v="2"/>
    <n v="344.82"/>
  </r>
  <r>
    <s v="Camino Real -C"/>
    <s v="25/01/2026"/>
    <x v="4"/>
    <s v="7503013378492"/>
    <s v="Clean Whisper 120ml - DUSA"/>
    <s v="CONSUMIBLE PROPIO"/>
    <s v="DUSA"/>
    <n v="1"/>
    <n v="301.72000000000003"/>
  </r>
  <r>
    <s v="Camino Real -C"/>
    <s v="25/01/2026"/>
    <x v="4"/>
    <s v="7503043917005"/>
    <s v="Liquid Love Clear 30ml - DUSA"/>
    <s v="CONSUMIBLE PROPIO"/>
    <s v="DUSA"/>
    <n v="1"/>
    <n v="301.72000000000003"/>
  </r>
  <r>
    <s v="Camino Real -C"/>
    <s v="25/01/2026"/>
    <x v="4"/>
    <s v="7503050524241"/>
    <s v="Orgasmik 30ml - DUSA"/>
    <s v="CONSUMIBLE PROPIO"/>
    <s v="DUSA"/>
    <n v="1"/>
    <n v="431.03"/>
  </r>
  <r>
    <s v="Camino Real -C"/>
    <s v="25/01/2026"/>
    <x v="4"/>
    <s v="7503020596957"/>
    <s v="Shot Shumatsu Fun Hombre - DUSA"/>
    <s v="CONSUMIBLE PROPIO"/>
    <s v="DUSA"/>
    <n v="1"/>
    <n v="172.41"/>
  </r>
  <r>
    <s v="Camino Real -C"/>
    <s v="25/01/2026"/>
    <x v="4"/>
    <s v="7503024256192"/>
    <s v="Shot Shumatsu Fun Mujer - DUSA"/>
    <s v="CONSUMIBLE PROPIO"/>
    <s v="DUSA"/>
    <n v="1"/>
    <n v="172.41"/>
  </r>
  <r>
    <s v="Camino Real -C"/>
    <s v="25/01/2026"/>
    <x v="4"/>
    <s v="7503010217045"/>
    <s v="Vela para masaje red love - DUSA"/>
    <s v="CONSUMIBLE PROPIO"/>
    <s v="DUSA"/>
    <n v="1"/>
    <n v="241.38"/>
  </r>
  <r>
    <s v="Camino Real -C"/>
    <s v="26/01/2026"/>
    <x v="4"/>
    <s v="7503043917012"/>
    <s v="Liquid Love Backdoor 30ml - DUSA"/>
    <s v="CONSUMIBLE PROPIO"/>
    <s v="DUSA"/>
    <n v="1"/>
    <n v="301.72000000000003"/>
  </r>
  <r>
    <s v="Camino Real -C"/>
    <s v="26/01/2026"/>
    <x v="4"/>
    <s v="7503013378010"/>
    <s v="Rigidex 2 pzas - DUSA"/>
    <s v="CONSUMIBLE PROPIO"/>
    <s v="DUSA"/>
    <n v="1"/>
    <n v="431.03"/>
  </r>
  <r>
    <s v="Camino Real -C"/>
    <s v="27/01/2026"/>
    <x v="4"/>
    <s v="7503050524241"/>
    <s v="Orgasmik 30ml - DUSA"/>
    <s v="CONSUMIBLE PROPIO"/>
    <s v="DUSA"/>
    <n v="1"/>
    <n v="431.03"/>
  </r>
  <r>
    <s v="Camino Real -C"/>
    <s v="27/01/2026"/>
    <x v="4"/>
    <s v="7503013378010"/>
    <s v="Rigidex 2 pzas - DUSA"/>
    <s v="CONSUMIBLE PROPIO"/>
    <s v="DUSA"/>
    <n v="3"/>
    <n v="1293.0999999999999"/>
  </r>
  <r>
    <s v="Camino Real -C"/>
    <s v="28/01/2026"/>
    <x v="4"/>
    <s v="7503043917012"/>
    <s v="Liquid Love Backdoor 30ml - DUSA"/>
    <s v="CONSUMIBLE PROPIO"/>
    <s v="DUSA"/>
    <n v="1"/>
    <n v="301.72000000000003"/>
  </r>
  <r>
    <s v="Camino Real -C"/>
    <s v="28/01/2026"/>
    <x v="4"/>
    <s v="7503043917005"/>
    <s v="Liquid Love Clear 30ml - DUSA"/>
    <s v="CONSUMIBLE PROPIO"/>
    <s v="DUSA"/>
    <n v="1"/>
    <n v="301.72000000000003"/>
  </r>
  <r>
    <s v="Camino Real -C"/>
    <s v="28/01/2026"/>
    <x v="4"/>
    <s v="7503020596513"/>
    <s v="Liquid Love Natural 20ml - DUSA"/>
    <s v="CONSUMIBLE PROPIO"/>
    <s v="DUSA"/>
    <n v="1"/>
    <n v="258.62"/>
  </r>
  <r>
    <s v="Camino Real -C"/>
    <s v="28/01/2026"/>
    <x v="4"/>
    <s v="7503013378645"/>
    <s v="Liquid Love Pleasure 100ml - DUSA"/>
    <s v="CONSUMIBLE PROPIO"/>
    <s v="DUSA"/>
    <n v="1"/>
    <n v="775.86"/>
  </r>
  <r>
    <s v="Camino Real -C"/>
    <s v="29/01/2026"/>
    <x v="5"/>
    <s v="7503013378492"/>
    <s v="Clean Whisper 120ml - DUSA"/>
    <s v="CONSUMIBLE PROPIO"/>
    <s v="DUSA"/>
    <n v="1"/>
    <n v="301.72000000000003"/>
  </r>
  <r>
    <s v="Camino Real -C"/>
    <s v="29/01/2026"/>
    <x v="5"/>
    <s v="7503050524241"/>
    <s v="Orgasmik 30ml - DUSA"/>
    <s v="CONSUMIBLE PROPIO"/>
    <s v="DUSA"/>
    <n v="2"/>
    <n v="862.06"/>
  </r>
  <r>
    <s v="Camino Real -C"/>
    <s v="29/01/2026"/>
    <x v="5"/>
    <s v="7503020596957"/>
    <s v="Shot Shumatsu Fun Hombre - DUSA"/>
    <s v="CONSUMIBLE PROPIO"/>
    <s v="DUSA"/>
    <n v="1"/>
    <n v="172.41"/>
  </r>
  <r>
    <s v="Camino Real -C"/>
    <s v="30/01/2026"/>
    <x v="4"/>
    <s v="7503013378492"/>
    <s v="Clean Whisper 120ml - DUSA"/>
    <s v="CONSUMIBLE PROPIO"/>
    <s v="DUSA"/>
    <n v="1"/>
    <n v="301.72000000000003"/>
  </r>
  <r>
    <s v="Camino Real -C"/>
    <s v="30/01/2026"/>
    <x v="4"/>
    <s v="7503043917012"/>
    <s v="Liquid Love Backdoor 30ml - DUSA"/>
    <s v="CONSUMIBLE PROPIO"/>
    <s v="DUSA"/>
    <n v="1"/>
    <n v="301.72000000000003"/>
  </r>
  <r>
    <s v="Camino Real -C"/>
    <s v="30/01/2026"/>
    <x v="4"/>
    <s v="7503020596957"/>
    <s v="Shot Shumatsu Fun Hombre - DUSA"/>
    <s v="CONSUMIBLE PROPIO"/>
    <s v="DUSA"/>
    <n v="1"/>
    <n v="172.41"/>
  </r>
  <r>
    <s v="Camino Real -C"/>
    <s v="30/01/2026"/>
    <x v="4"/>
    <s v="7503024256192"/>
    <s v="Shot Shumatsu Fun Mujer - DUSA"/>
    <s v="CONSUMIBLE PROPIO"/>
    <s v="DUSA"/>
    <n v="1"/>
    <n v="172.41"/>
  </r>
  <r>
    <s v="Camino Real -C"/>
    <s v="31/01/2026"/>
    <x v="4"/>
    <s v="7503013378645"/>
    <s v="Liquid Love Pleasure 100ml - DUSA"/>
    <s v="CONSUMIBLE PROPIO"/>
    <s v="DUSA"/>
    <n v="1"/>
    <n v="775.86"/>
  </r>
  <r>
    <s v="Circunvalación CELESTERRA"/>
    <s v="02/01/2026"/>
    <x v="1"/>
    <s v="7503032300993"/>
    <s v="Liquid Love Pleasure 30ml - DUSA"/>
    <s v="CONSUMIBLE PROPIO"/>
    <s v="DUSA"/>
    <n v="1"/>
    <n v="301.72000000000003"/>
  </r>
  <r>
    <s v="Circunvalación CELESTERRA"/>
    <s v="02/01/2026"/>
    <x v="1"/>
    <s v="7503024256154"/>
    <s v="Lubricante Body Surf Termico Cereza DUSA 60ml"/>
    <s v="CONSUMIBLE PROPIO"/>
    <s v="DUSA"/>
    <n v="1"/>
    <n v="387.93"/>
  </r>
  <r>
    <s v="Circunvalación CELESTERRA"/>
    <s v="02/01/2026"/>
    <x v="1"/>
    <s v="7503013378010"/>
    <s v="Rigidex 2 pzas - DUSA"/>
    <s v="CONSUMIBLE PROPIO"/>
    <s v="DUSA"/>
    <n v="1"/>
    <n v="431.03"/>
  </r>
  <r>
    <s v="Circunvalación CELESTERRA"/>
    <s v="03/01/2026"/>
    <x v="6"/>
    <s v="7503013378492"/>
    <s v="Clean Whisper 120ml - DUSA"/>
    <s v="CONSUMIBLE PROPIO"/>
    <s v="DUSA"/>
    <n v="1"/>
    <n v="301.72000000000003"/>
  </r>
  <r>
    <s v="Circunvalación CELESTERRA"/>
    <s v="03/01/2026"/>
    <x v="6"/>
    <s v="7503050524265"/>
    <s v="He Plus 30ml - DUSA"/>
    <s v="CONSUMIBLE PROPIO"/>
    <s v="DUSA"/>
    <n v="1"/>
    <n v="431.03"/>
  </r>
  <r>
    <s v="Circunvalación CELESTERRA"/>
    <s v="03/01/2026"/>
    <x v="6"/>
    <s v="7503013378652"/>
    <s v="Liquid Love Backdoor 100ml - DUSA"/>
    <s v="CONSUMIBLE PROPIO"/>
    <s v="DUSA"/>
    <n v="1"/>
    <n v="1077.5899999999999"/>
  </r>
  <r>
    <s v="Circunvalación CELESTERRA"/>
    <s v="03/01/2026"/>
    <x v="6"/>
    <s v="7503020596001"/>
    <s v="Liquid Love Clear 100ml - DUSA"/>
    <s v="CONSUMIBLE PROPIO"/>
    <s v="DUSA"/>
    <n v="1"/>
    <n v="775.86"/>
  </r>
  <r>
    <s v="Circunvalación CELESTERRA"/>
    <s v="03/01/2026"/>
    <x v="6"/>
    <s v="7503050524241"/>
    <s v="Orgasmik 30ml - DUSA"/>
    <s v="CONSUMIBLE PROPIO"/>
    <s v="DUSA"/>
    <n v="1"/>
    <n v="431.03"/>
  </r>
  <r>
    <s v="Circunvalación CELESTERRA"/>
    <s v="04/01/2026"/>
    <x v="6"/>
    <s v="7503013378010"/>
    <s v="Rigidex 2 pzas - DUSA"/>
    <s v="CONSUMIBLE PROPIO"/>
    <s v="DUSA"/>
    <n v="1"/>
    <n v="431.03"/>
  </r>
  <r>
    <s v="Circunvalación CELESTERRA"/>
    <s v="05/01/2026"/>
    <x v="6"/>
    <s v="7503043917005"/>
    <s v="Liquid Love Clear 30ml - DUSA"/>
    <s v="CONSUMIBLE PROPIO"/>
    <s v="DUSA"/>
    <n v="1"/>
    <n v="301.72000000000003"/>
  </r>
  <r>
    <s v="Circunvalación CELESTERRA"/>
    <s v="06/01/2026"/>
    <x v="6"/>
    <s v="7503013378799"/>
    <s v="Lubricante Body Surf Termico Citricos DUSA 60ml"/>
    <s v="CONSUMIBLE PROPIO"/>
    <s v="DUSA"/>
    <n v="1"/>
    <n v="387.93"/>
  </r>
  <r>
    <s v="Circunvalación CELESTERRA"/>
    <s v="06/01/2026"/>
    <x v="6"/>
    <s v="7503013378010"/>
    <s v="Rigidex 2 pzas - DUSA"/>
    <s v="CONSUMIBLE PROPIO"/>
    <s v="DUSA"/>
    <n v="1"/>
    <n v="431.03"/>
  </r>
  <r>
    <s v="Circunvalación CELESTERRA"/>
    <s v="07/01/2026"/>
    <x v="6"/>
    <s v="7503024256154"/>
    <s v="Lubricante Body Surf Termico Cereza DUSA 60ml"/>
    <s v="CONSUMIBLE PROPIO"/>
    <s v="DUSA"/>
    <n v="1"/>
    <n v="387.93"/>
  </r>
  <r>
    <s v="Circunvalación CELESTERRA"/>
    <s v="07/01/2026"/>
    <x v="6"/>
    <s v="7503013378010"/>
    <s v="Rigidex 2 pzas - DUSA"/>
    <s v="CONSUMIBLE PROPIO"/>
    <s v="DUSA"/>
    <n v="1"/>
    <n v="431.03"/>
  </r>
  <r>
    <s v="Circunvalación CELESTERRA"/>
    <s v="09/01/2026"/>
    <x v="1"/>
    <s v="7503020596513"/>
    <s v="Liquid Love Natural 20ml - DUSA"/>
    <s v="CONSUMIBLE PROPIO"/>
    <s v="DUSA"/>
    <n v="1"/>
    <n v="258.62"/>
  </r>
  <r>
    <s v="Circunvalación CELESTERRA"/>
    <s v="12/01/2026"/>
    <x v="1"/>
    <s v="7503032300993"/>
    <s v="Liquid Love Pleasure 30ml - DUSA"/>
    <s v="CONSUMIBLE PROPIO"/>
    <s v="DUSA"/>
    <n v="1"/>
    <n v="301.72000000000003"/>
  </r>
  <r>
    <s v="Circunvalación CELESTERRA"/>
    <s v="12/01/2026"/>
    <x v="1"/>
    <s v="7503013378010"/>
    <s v="Rigidex 2 pzas - DUSA"/>
    <s v="CONSUMIBLE PROPIO"/>
    <s v="DUSA"/>
    <n v="1"/>
    <n v="431.03"/>
  </r>
  <r>
    <s v="Circunvalación CELESTERRA"/>
    <s v="13/01/2026"/>
    <x v="6"/>
    <s v="7503013378652"/>
    <s v="Liquid Love Backdoor 100ml - DUSA"/>
    <s v="CONSUMIBLE PROPIO"/>
    <s v="DUSA"/>
    <n v="1"/>
    <n v="1077.5899999999999"/>
  </r>
  <r>
    <s v="Circunvalación CELESTERRA"/>
    <s v="13/01/2026"/>
    <x v="6"/>
    <s v="7503043917005"/>
    <s v="Liquid Love Clear 30ml - DUSA"/>
    <s v="CONSUMIBLE PROPIO"/>
    <s v="DUSA"/>
    <n v="1"/>
    <n v="301.72000000000003"/>
  </r>
  <r>
    <s v="Circunvalación CELESTERRA"/>
    <s v="13/01/2026"/>
    <x v="6"/>
    <s v="7503032300993"/>
    <s v="Liquid Love Pleasure 30ml - DUSA"/>
    <s v="CONSUMIBLE PROPIO"/>
    <s v="DUSA"/>
    <n v="1"/>
    <n v="301.72000000000003"/>
  </r>
  <r>
    <s v="Circunvalación CELESTERRA"/>
    <s v="13/01/2026"/>
    <x v="6"/>
    <s v="7503024256154"/>
    <s v="Lubricante Body Surf Termico Cereza DUSA 60ml"/>
    <s v="CONSUMIBLE PROPIO"/>
    <s v="DUSA"/>
    <n v="1"/>
    <n v="387.93"/>
  </r>
  <r>
    <s v="Circunvalación CELESTERRA"/>
    <s v="13/01/2026"/>
    <x v="6"/>
    <s v="7503013378980"/>
    <s v="Lubricante Body Surf Termico Chicle DUSA 60ml"/>
    <s v="CONSUMIBLE PROPIO"/>
    <s v="DUSA"/>
    <n v="1"/>
    <n v="387.93"/>
  </r>
  <r>
    <s v="Circunvalación CELESTERRA"/>
    <s v="13/01/2026"/>
    <x v="6"/>
    <s v="7503013378010"/>
    <s v="Rigidex 2 pzas - DUSA"/>
    <s v="CONSUMIBLE PROPIO"/>
    <s v="DUSA"/>
    <n v="1"/>
    <n v="431.03"/>
  </r>
  <r>
    <s v="Circunvalación CELESTERRA"/>
    <s v="14/01/2026"/>
    <x v="6"/>
    <s v="7503013378652"/>
    <s v="Liquid Love Backdoor 100ml - DUSA"/>
    <s v="CONSUMIBLE PROPIO"/>
    <s v="DUSA"/>
    <n v="1"/>
    <n v="1077.5899999999999"/>
  </r>
  <r>
    <s v="Circunvalación CELESTERRA"/>
    <s v="14/01/2026"/>
    <x v="6"/>
    <s v="7503013378980"/>
    <s v="Lubricante Body Surf Termico Chicle DUSA 60ml"/>
    <s v="CONSUMIBLE PROPIO"/>
    <s v="DUSA"/>
    <n v="1"/>
    <n v="387.93"/>
  </r>
  <r>
    <s v="Circunvalación CELESTERRA"/>
    <s v="14/01/2026"/>
    <x v="6"/>
    <s v="7503013378010"/>
    <s v="Rigidex 2 pzas - DUSA"/>
    <s v="CONSUMIBLE PROPIO"/>
    <s v="DUSA"/>
    <n v="1"/>
    <n v="431.03"/>
  </r>
  <r>
    <s v="Circunvalación CELESTERRA"/>
    <s v="16/01/2026"/>
    <x v="6"/>
    <s v="7503013378492"/>
    <s v="Clean Whisper 120ml - DUSA"/>
    <s v="CONSUMIBLE PROPIO"/>
    <s v="DUSA"/>
    <n v="2"/>
    <n v="603.44000000000005"/>
  </r>
  <r>
    <s v="Circunvalación CELESTERRA"/>
    <s v="16/01/2026"/>
    <x v="6"/>
    <s v="7503020596001"/>
    <s v="Liquid Love Clear 100ml - DUSA"/>
    <s v="CONSUMIBLE PROPIO"/>
    <s v="DUSA"/>
    <n v="1"/>
    <n v="775.86"/>
  </r>
  <r>
    <s v="Circunvalación CELESTERRA"/>
    <s v="16/01/2026"/>
    <x v="6"/>
    <s v="7503013378645"/>
    <s v="Liquid Love Pleasure 100ml - DUSA"/>
    <s v="CONSUMIBLE PROPIO"/>
    <s v="DUSA"/>
    <n v="1"/>
    <n v="775.86"/>
  </r>
  <r>
    <s v="Circunvalación CELESTERRA"/>
    <s v="16/01/2026"/>
    <x v="6"/>
    <s v="7503013378980"/>
    <s v="Lubricante Body Surf Termico Chicle DUSA 60ml"/>
    <s v="CONSUMIBLE PROPIO"/>
    <s v="DUSA"/>
    <n v="1"/>
    <n v="387.93"/>
  </r>
  <r>
    <s v="Circunvalación CELESTERRA"/>
    <s v="17/01/2026"/>
    <x v="6"/>
    <s v="7503013378492"/>
    <s v="Clean Whisper 120ml - DUSA"/>
    <s v="CONSUMIBLE PROPIO"/>
    <s v="DUSA"/>
    <n v="1"/>
    <n v="301.72000000000003"/>
  </r>
  <r>
    <s v="Circunvalación CELESTERRA"/>
    <s v="17/01/2026"/>
    <x v="6"/>
    <s v="7503020596513"/>
    <s v="Liquid Love Natural 20ml - DUSA"/>
    <s v="CONSUMIBLE PROPIO"/>
    <s v="DUSA"/>
    <n v="1"/>
    <n v="258.62"/>
  </r>
  <r>
    <s v="Circunvalación CELESTERRA"/>
    <s v="17/01/2026"/>
    <x v="6"/>
    <s v="7503013378645"/>
    <s v="Liquid Love Pleasure 100ml - DUSA"/>
    <s v="CONSUMIBLE PROPIO"/>
    <s v="DUSA"/>
    <n v="1"/>
    <n v="775.86"/>
  </r>
  <r>
    <s v="Circunvalación CELESTERRA"/>
    <s v="17/01/2026"/>
    <x v="6"/>
    <s v="7503013378799"/>
    <s v="Lubricante Body Surf Termico Citricos DUSA 60ml"/>
    <s v="CONSUMIBLE PROPIO"/>
    <s v="DUSA"/>
    <n v="1"/>
    <n v="387.93"/>
  </r>
  <r>
    <s v="Circunvalación CELESTERRA"/>
    <s v="18/01/2026"/>
    <x v="6"/>
    <s v="7503043917005"/>
    <s v="Liquid Love Clear 30ml - DUSA"/>
    <s v="CONSUMIBLE PROPIO"/>
    <s v="DUSA"/>
    <n v="1"/>
    <n v="301.72000000000003"/>
  </r>
  <r>
    <s v="Circunvalación CELESTERRA"/>
    <s v="18/01/2026"/>
    <x v="6"/>
    <s v="7503013378645"/>
    <s v="Liquid Love Pleasure 100ml - DUSA"/>
    <s v="CONSUMIBLE PROPIO"/>
    <s v="DUSA"/>
    <n v="2"/>
    <n v="1551.72"/>
  </r>
  <r>
    <s v="Circunvalación CELESTERRA"/>
    <s v="19/01/2026"/>
    <x v="6"/>
    <s v="7503013378492"/>
    <s v="Clean Whisper 120ml - DUSA"/>
    <s v="CONSUMIBLE PROPIO"/>
    <s v="DUSA"/>
    <n v="1"/>
    <n v="301.72000000000003"/>
  </r>
  <r>
    <s v="Circunvalación CELESTERRA"/>
    <s v="19/01/2026"/>
    <x v="6"/>
    <s v="7503043917012"/>
    <s v="Liquid Love Backdoor 30ml - DUSA"/>
    <s v="CONSUMIBLE PROPIO"/>
    <s v="DUSA"/>
    <n v="1"/>
    <n v="301.72000000000003"/>
  </r>
  <r>
    <s v="Circunvalación CELESTERRA"/>
    <s v="19/01/2026"/>
    <x v="6"/>
    <s v="7503020596001"/>
    <s v="Liquid Love Clear 100ml - DUSA"/>
    <s v="CONSUMIBLE PROPIO"/>
    <s v="DUSA"/>
    <n v="1"/>
    <n v="775.86"/>
  </r>
  <r>
    <s v="Circunvalación CELESTERRA"/>
    <s v="19/01/2026"/>
    <x v="6"/>
    <s v="7503013378645"/>
    <s v="Liquid Love Pleasure 100ml - DUSA"/>
    <s v="CONSUMIBLE PROPIO"/>
    <s v="DUSA"/>
    <n v="1"/>
    <n v="775.86"/>
  </r>
  <r>
    <s v="Circunvalación CELESTERRA"/>
    <s v="20/01/2026"/>
    <x v="6"/>
    <s v="7503043917012"/>
    <s v="Liquid Love Backdoor 30ml - DUSA"/>
    <s v="CONSUMIBLE PROPIO"/>
    <s v="DUSA"/>
    <n v="1"/>
    <n v="301.72000000000003"/>
  </r>
  <r>
    <s v="Circunvalación CELESTERRA"/>
    <s v="22/01/2026"/>
    <x v="6"/>
    <s v="7503013378010"/>
    <s v="Rigidex 2 pzas - DUSA"/>
    <s v="CONSUMIBLE PROPIO"/>
    <s v="DUSA"/>
    <n v="1"/>
    <n v="431.03"/>
  </r>
  <r>
    <s v="Circunvalación CELESTERRA"/>
    <s v="23/01/2026"/>
    <x v="6"/>
    <s v="7503024256154"/>
    <s v="Lubricante Body Surf Termico Cereza DUSA 60ml"/>
    <s v="CONSUMIBLE PROPIO"/>
    <s v="DUSA"/>
    <n v="1"/>
    <n v="387.93"/>
  </r>
  <r>
    <s v="Circunvalación CELESTERRA"/>
    <s v="23/01/2026"/>
    <x v="6"/>
    <s v="7503020596957"/>
    <s v="Shot Shumatsu Fun Hombre - DUSA"/>
    <s v="CONSUMIBLE PROPIO"/>
    <s v="DUSA"/>
    <n v="1"/>
    <n v="172.41"/>
  </r>
  <r>
    <s v="Circunvalación CELESTERRA"/>
    <s v="23/01/2026"/>
    <x v="6"/>
    <s v="7503024256192"/>
    <s v="Shot Shumatsu Fun Mujer - DUSA"/>
    <s v="CONSUMIBLE PROPIO"/>
    <s v="DUSA"/>
    <n v="2"/>
    <n v="344.82"/>
  </r>
  <r>
    <s v="Circunvalación CELESTERRA"/>
    <s v="24/01/2026"/>
    <x v="3"/>
    <s v="7503043917005"/>
    <s v="Liquid Love Clear 30ml - DUSA"/>
    <s v="CONSUMIBLE PROPIO"/>
    <s v="DUSA"/>
    <n v="1"/>
    <n v="301.72000000000003"/>
  </r>
  <r>
    <s v="Circunvalación CELESTERRA"/>
    <s v="24/01/2026"/>
    <x v="3"/>
    <s v="7503013378010"/>
    <s v="Rigidex 2 pzas - DUSA"/>
    <s v="CONSUMIBLE PROPIO"/>
    <s v="DUSA"/>
    <n v="2"/>
    <n v="862.07"/>
  </r>
  <r>
    <s v="Circunvalación CELESTERRA"/>
    <s v="24/01/2026"/>
    <x v="3"/>
    <s v="7503020596957"/>
    <s v="Shot Shumatsu Fun Hombre - DUSA"/>
    <s v="CONSUMIBLE PROPIO"/>
    <s v="DUSA"/>
    <n v="1"/>
    <n v="172.41"/>
  </r>
  <r>
    <s v="Circunvalación CELESTERRA"/>
    <s v="24/01/2026"/>
    <x v="3"/>
    <s v="7503024256192"/>
    <s v="Shot Shumatsu Fun Mujer - DUSA"/>
    <s v="CONSUMIBLE PROPIO"/>
    <s v="DUSA"/>
    <n v="1"/>
    <n v="172.41"/>
  </r>
  <r>
    <s v="Circunvalación CELESTERRA"/>
    <s v="25/01/2026"/>
    <x v="6"/>
    <s v="7503013378799"/>
    <s v="Lubricante Body Surf Termico Citricos DUSA 60ml"/>
    <s v="CONSUMIBLE PROPIO"/>
    <s v="DUSA"/>
    <n v="1"/>
    <n v="387.93"/>
  </r>
  <r>
    <s v="Circunvalación CELESTERRA"/>
    <s v="27/01/2026"/>
    <x v="6"/>
    <s v="7503043917012"/>
    <s v="Liquid Love Backdoor 30ml - DUSA"/>
    <s v="CONSUMIBLE PROPIO"/>
    <s v="DUSA"/>
    <n v="1"/>
    <n v="301.72000000000003"/>
  </r>
  <r>
    <s v="Circunvalación CELESTERRA"/>
    <s v="29/01/2026"/>
    <x v="6"/>
    <s v="7503043917012"/>
    <s v="Liquid Love Backdoor 30ml - DUSA"/>
    <s v="CONSUMIBLE PROPIO"/>
    <s v="DUSA"/>
    <n v="1"/>
    <n v="301.72000000000003"/>
  </r>
  <r>
    <s v="Circunvalación CELESTERRA"/>
    <s v="29/01/2026"/>
    <x v="6"/>
    <s v="7503013378645"/>
    <s v="Liquid Love Pleasure 100ml - DUSA"/>
    <s v="CONSUMIBLE PROPIO"/>
    <s v="DUSA"/>
    <n v="1"/>
    <n v="775.86"/>
  </r>
  <r>
    <s v="Circunvalación CELESTERRA"/>
    <s v="29/01/2026"/>
    <x v="6"/>
    <s v="7503013378980"/>
    <s v="Lubricante Body Surf Termico Chicle DUSA 60ml"/>
    <s v="CONSUMIBLE PROPIO"/>
    <s v="DUSA"/>
    <n v="1"/>
    <n v="387.93"/>
  </r>
  <r>
    <s v="Circunvalación CELESTERRA"/>
    <s v="29/01/2026"/>
    <x v="6"/>
    <s v="7503013378799"/>
    <s v="Lubricante Body Surf Termico Citricos DUSA 60ml"/>
    <s v="CONSUMIBLE PROPIO"/>
    <s v="DUSA"/>
    <n v="1"/>
    <n v="387.93"/>
  </r>
  <r>
    <s v="Circunvalación CELESTERRA"/>
    <s v="30/01/2026"/>
    <x v="6"/>
    <s v="7503013378980"/>
    <s v="Lubricante Body Surf Termico Chicle DUSA 60ml"/>
    <s v="CONSUMIBLE PROPIO"/>
    <s v="DUSA"/>
    <n v="1"/>
    <n v="387.93"/>
  </r>
  <r>
    <s v="Circunvalación CELESTERRA"/>
    <s v="31/01/2026"/>
    <x v="6"/>
    <s v="7503050524265"/>
    <s v="He Plus 30ml - DUSA"/>
    <s v="CONSUMIBLE PROPIO"/>
    <s v="DUSA"/>
    <n v="1"/>
    <n v="431.03"/>
  </r>
  <r>
    <s v="Circunvalación CELESTERRA"/>
    <s v="31/01/2026"/>
    <x v="6"/>
    <s v="7503043917012"/>
    <s v="Liquid Love Backdoor 30ml - DUSA"/>
    <s v="CONSUMIBLE PROPIO"/>
    <s v="DUSA"/>
    <n v="1"/>
    <n v="301.72000000000003"/>
  </r>
  <r>
    <s v="Circunvalación CELESTERRA"/>
    <s v="31/01/2026"/>
    <x v="6"/>
    <s v="7503020596513"/>
    <s v="Liquid Love Natural 20ml - DUSA"/>
    <s v="CONSUMIBLE PROPIO"/>
    <s v="DUSA"/>
    <n v="1"/>
    <n v="258.62"/>
  </r>
  <r>
    <s v="Circunvalación CELESTERRA"/>
    <s v="31/01/2026"/>
    <x v="6"/>
    <s v="7503013378645"/>
    <s v="Liquid Love Pleasure 100ml - DUSA"/>
    <s v="CONSUMIBLE PROPIO"/>
    <s v="DUSA"/>
    <n v="1"/>
    <n v="775.86"/>
  </r>
  <r>
    <s v="Conchitas CEL"/>
    <s v="02/01/2026"/>
    <x v="5"/>
    <s v="7503050524241"/>
    <s v="Orgasmik 30ml - DUSA"/>
    <s v="CONSUMIBLE PROPIO"/>
    <s v="DUSA"/>
    <n v="1"/>
    <n v="431.03"/>
  </r>
  <r>
    <s v="Conchitas CEL"/>
    <s v="02/01/2026"/>
    <x v="5"/>
    <s v="7503013378010"/>
    <s v="Rigidex 2 pzas - DUSA"/>
    <s v="CONSUMIBLE PROPIO"/>
    <s v="DUSA"/>
    <n v="1"/>
    <n v="431.03"/>
  </r>
  <r>
    <s v="Conchitas CEL"/>
    <s v="03/01/2026"/>
    <x v="7"/>
    <s v="7503013378492"/>
    <s v="Clean Whisper 120ml - DUSA"/>
    <s v="CONSUMIBLE PROPIO"/>
    <s v="DUSA"/>
    <n v="3"/>
    <n v="905.16000000000008"/>
  </r>
  <r>
    <s v="Conchitas CEL"/>
    <s v="03/01/2026"/>
    <x v="7"/>
    <s v="7503050524265"/>
    <s v="He Plus 30ml - DUSA"/>
    <s v="CONSUMIBLE PROPIO"/>
    <s v="DUSA"/>
    <n v="1"/>
    <n v="431.03"/>
  </r>
  <r>
    <s v="Conchitas CEL"/>
    <s v="03/01/2026"/>
    <x v="7"/>
    <s v="7503032300993"/>
    <s v="Liquid Love Pleasure 30ml - DUSA"/>
    <s v="CONSUMIBLE PROPIO"/>
    <s v="DUSA"/>
    <n v="2"/>
    <n v="603.44000000000005"/>
  </r>
  <r>
    <s v="Conchitas CEL"/>
    <s v="03/01/2026"/>
    <x v="7"/>
    <s v="7503013378645"/>
    <s v="Liquid Love Pleasure 100ml - DUSA"/>
    <s v="CONSUMIBLE PROPIO"/>
    <s v="DUSA"/>
    <n v="1"/>
    <n v="775.86"/>
  </r>
  <r>
    <s v="Conchitas CEL"/>
    <s v="03/01/2026"/>
    <x v="7"/>
    <s v="7503013378799"/>
    <s v="Lubricante Body Surf Termico Citricos DUSA 60ml"/>
    <s v="CONSUMIBLE PROPIO"/>
    <s v="DUSA"/>
    <n v="2"/>
    <n v="775.86"/>
  </r>
  <r>
    <s v="Conchitas CEL"/>
    <s v="03/01/2026"/>
    <x v="7"/>
    <s v="7503020596957"/>
    <s v="Shot Shumatsu Fun Hombre - DUSA"/>
    <s v="CONSUMIBLE PROPIO"/>
    <s v="DUSA"/>
    <n v="1"/>
    <n v="172.41"/>
  </r>
  <r>
    <s v="Conchitas CEL"/>
    <s v="03/01/2026"/>
    <x v="7"/>
    <s v="7503024256192"/>
    <s v="Shot Shumatsu Fun Mujer - DUSA"/>
    <s v="CONSUMIBLE PROPIO"/>
    <s v="DUSA"/>
    <n v="1"/>
    <n v="172.41"/>
  </r>
  <r>
    <s v="Conchitas CEL"/>
    <s v="04/01/2026"/>
    <x v="7"/>
    <s v="7503013378645"/>
    <s v="Liquid Love Pleasure 100ml - DUSA"/>
    <s v="CONSUMIBLE PROPIO"/>
    <s v="DUSA"/>
    <n v="1"/>
    <n v="775.86"/>
  </r>
  <r>
    <s v="Conchitas CEL"/>
    <s v="04/01/2026"/>
    <x v="7"/>
    <s v="7503020596957"/>
    <s v="Shot Shumatsu Fun Hombre - DUSA"/>
    <s v="CONSUMIBLE PROPIO"/>
    <s v="DUSA"/>
    <n v="2"/>
    <n v="344.82"/>
  </r>
  <r>
    <s v="Conchitas CEL"/>
    <s v="04/01/2026"/>
    <x v="7"/>
    <s v="7503024256192"/>
    <s v="Shot Shumatsu Fun Mujer - DUSA"/>
    <s v="CONSUMIBLE PROPIO"/>
    <s v="DUSA"/>
    <n v="1"/>
    <n v="172.41"/>
  </r>
  <r>
    <s v="Conchitas CEL"/>
    <s v="05/01/2026"/>
    <x v="7"/>
    <s v="7503024256154"/>
    <s v="Lubricante Body Surf Termico Cereza DUSA 60ml"/>
    <s v="CONSUMIBLE PROPIO"/>
    <s v="DUSA"/>
    <n v="1"/>
    <n v="387.93"/>
  </r>
  <r>
    <s v="Conchitas CEL"/>
    <s v="05/01/2026"/>
    <x v="7"/>
    <s v="7503020596957"/>
    <s v="Shot Shumatsu Fun Hombre - DUSA"/>
    <s v="CONSUMIBLE PROPIO"/>
    <s v="DUSA"/>
    <n v="1"/>
    <n v="172.41"/>
  </r>
  <r>
    <s v="Conchitas CEL"/>
    <s v="06/01/2026"/>
    <x v="7"/>
    <s v="7503013378799"/>
    <s v="Lubricante Body Surf Termico Citricos DUSA 60ml"/>
    <s v="CONSUMIBLE PROPIO"/>
    <s v="DUSA"/>
    <n v="1"/>
    <n v="387.93"/>
  </r>
  <r>
    <s v="Conchitas CEL"/>
    <s v="07/01/2026"/>
    <x v="7"/>
    <s v="7503013378492"/>
    <s v="Clean Whisper 120ml - DUSA"/>
    <s v="CONSUMIBLE PROPIO"/>
    <s v="DUSA"/>
    <n v="1"/>
    <n v="301.72000000000003"/>
  </r>
  <r>
    <s v="Conchitas CEL"/>
    <s v="07/01/2026"/>
    <x v="7"/>
    <s v="7503043917012"/>
    <s v="Liquid Love Backdoor 30ml - DUSA"/>
    <s v="CONSUMIBLE PROPIO"/>
    <s v="DUSA"/>
    <n v="1"/>
    <n v="301.72000000000003"/>
  </r>
  <r>
    <s v="Conchitas CEL"/>
    <s v="07/01/2026"/>
    <x v="7"/>
    <s v="7503043917005"/>
    <s v="Liquid Love Clear 30ml - DUSA"/>
    <s v="CONSUMIBLE PROPIO"/>
    <s v="DUSA"/>
    <n v="1"/>
    <n v="301.72000000000003"/>
  </r>
  <r>
    <s v="Conchitas CEL"/>
    <s v="07/01/2026"/>
    <x v="7"/>
    <s v="7503032300993"/>
    <s v="Liquid Love Pleasure 30ml - DUSA"/>
    <s v="CONSUMIBLE PROPIO"/>
    <s v="DUSA"/>
    <n v="1"/>
    <n v="301.72000000000003"/>
  </r>
  <r>
    <s v="Conchitas CEL"/>
    <s v="07/01/2026"/>
    <x v="7"/>
    <s v="7503020596049"/>
    <s v="Sensicool - DUSA"/>
    <s v="CONSUMIBLE PROPIO"/>
    <s v="DUSA"/>
    <n v="1"/>
    <n v="431.03"/>
  </r>
  <r>
    <s v="Conchitas CEL"/>
    <s v="07/01/2026"/>
    <x v="7"/>
    <s v="7503020596957"/>
    <s v="Shot Shumatsu Fun Hombre - DUSA"/>
    <s v="CONSUMIBLE PROPIO"/>
    <s v="DUSA"/>
    <n v="1"/>
    <n v="172.41"/>
  </r>
  <r>
    <s v="Conchitas CEL"/>
    <s v="07/01/2026"/>
    <x v="7"/>
    <s v="7503024256192"/>
    <s v="Shot Shumatsu Fun Mujer - DUSA"/>
    <s v="CONSUMIBLE PROPIO"/>
    <s v="DUSA"/>
    <n v="1"/>
    <n v="172.41"/>
  </r>
  <r>
    <s v="Conchitas CEL"/>
    <s v="08/01/2026"/>
    <x v="7"/>
    <s v="7503013378492"/>
    <s v="Clean Whisper 120ml - DUSA"/>
    <s v="CONSUMIBLE PROPIO"/>
    <s v="DUSA"/>
    <n v="1"/>
    <n v="301.72000000000003"/>
  </r>
  <r>
    <s v="Conchitas CEL"/>
    <s v="08/01/2026"/>
    <x v="7"/>
    <s v="7503043917005"/>
    <s v="Liquid Love Clear 30ml - DUSA"/>
    <s v="CONSUMIBLE PROPIO"/>
    <s v="DUSA"/>
    <n v="2"/>
    <n v="603.44000000000005"/>
  </r>
  <r>
    <s v="Conchitas CEL"/>
    <s v="08/01/2026"/>
    <x v="7"/>
    <s v="7503020596957"/>
    <s v="Shot Shumatsu Fun Hombre - DUSA"/>
    <s v="CONSUMIBLE PROPIO"/>
    <s v="DUSA"/>
    <n v="1"/>
    <n v="172.41"/>
  </r>
  <r>
    <s v="Conchitas CEL"/>
    <s v="08/01/2026"/>
    <x v="7"/>
    <s v="7503024256192"/>
    <s v="Shot Shumatsu Fun Mujer - DUSA"/>
    <s v="CONSUMIBLE PROPIO"/>
    <s v="DUSA"/>
    <n v="1"/>
    <n v="172.41"/>
  </r>
  <r>
    <s v="Conchitas CEL"/>
    <s v="09/01/2026"/>
    <x v="7"/>
    <s v="7503013378492"/>
    <s v="Clean Whisper 120ml - DUSA"/>
    <s v="CONSUMIBLE PROPIO"/>
    <s v="DUSA"/>
    <n v="1"/>
    <n v="301.72000000000003"/>
  </r>
  <r>
    <s v="Conchitas CEL"/>
    <s v="09/01/2026"/>
    <x v="7"/>
    <s v="7503013378652"/>
    <s v="Liquid Love Backdoor 100ml - DUSA"/>
    <s v="CONSUMIBLE PROPIO"/>
    <s v="DUSA"/>
    <n v="1"/>
    <n v="1077.5899999999999"/>
  </r>
  <r>
    <s v="Conchitas CEL"/>
    <s v="09/01/2026"/>
    <x v="7"/>
    <s v="7503032300993"/>
    <s v="Liquid Love Pleasure 30ml - DUSA"/>
    <s v="CONSUMIBLE PROPIO"/>
    <s v="DUSA"/>
    <n v="1"/>
    <n v="301.72000000000003"/>
  </r>
  <r>
    <s v="Conchitas CEL"/>
    <s v="09/01/2026"/>
    <x v="7"/>
    <s v="7503013378645"/>
    <s v="Liquid Love Pleasure 100ml - DUSA"/>
    <s v="CONSUMIBLE PROPIO"/>
    <s v="DUSA"/>
    <n v="1"/>
    <n v="775.86"/>
  </r>
  <r>
    <s v="Conchitas CEL"/>
    <s v="09/01/2026"/>
    <x v="7"/>
    <s v="7503024256192"/>
    <s v="Shot Shumatsu Fun Mujer - DUSA"/>
    <s v="CONSUMIBLE PROPIO"/>
    <s v="DUSA"/>
    <n v="2"/>
    <n v="344.82"/>
  </r>
  <r>
    <s v="Conchitas CEL"/>
    <s v="10/01/2026"/>
    <x v="5"/>
    <s v="7503043917012"/>
    <s v="Liquid Love Backdoor 30ml - DUSA"/>
    <s v="CONSUMIBLE PROPIO"/>
    <s v="DUSA"/>
    <n v="1"/>
    <n v="301.72000000000003"/>
  </r>
  <r>
    <s v="Conchitas CEL"/>
    <s v="10/01/2026"/>
    <x v="5"/>
    <s v="7503032300993"/>
    <s v="Liquid Love Pleasure 30ml - DUSA"/>
    <s v="CONSUMIBLE PROPIO"/>
    <s v="DUSA"/>
    <n v="3"/>
    <n v="905.16000000000008"/>
  </r>
  <r>
    <s v="Conchitas CEL"/>
    <s v="10/01/2026"/>
    <x v="5"/>
    <s v="7503013378645"/>
    <s v="Liquid Love Pleasure 100ml - DUSA"/>
    <s v="CONSUMIBLE PROPIO"/>
    <s v="DUSA"/>
    <n v="1"/>
    <n v="775.86"/>
  </r>
  <r>
    <s v="Conchitas CEL"/>
    <s v="10/01/2026"/>
    <x v="5"/>
    <s v="7503013378010"/>
    <s v="Rigidex 2 pzas - DUSA"/>
    <s v="CONSUMIBLE PROPIO"/>
    <s v="DUSA"/>
    <n v="4"/>
    <n v="1724.12"/>
  </r>
  <r>
    <s v="Conchitas CEL"/>
    <s v="11/01/2026"/>
    <x v="7"/>
    <s v="7503032300993"/>
    <s v="Liquid Love Pleasure 30ml - DUSA"/>
    <s v="CONSUMIBLE PROPIO"/>
    <s v="DUSA"/>
    <n v="1"/>
    <n v="301.72000000000003"/>
  </r>
  <r>
    <s v="Conchitas CEL"/>
    <s v="11/01/2026"/>
    <x v="7"/>
    <s v="7503013378645"/>
    <s v="Liquid Love Pleasure 100ml - DUSA"/>
    <s v="CONSUMIBLE PROPIO"/>
    <s v="DUSA"/>
    <n v="1"/>
    <n v="775.86"/>
  </r>
  <r>
    <s v="Conchitas CEL"/>
    <s v="11/01/2026"/>
    <x v="7"/>
    <s v="7503013378010"/>
    <s v="Rigidex 2 pzas - DUSA"/>
    <s v="CONSUMIBLE PROPIO"/>
    <s v="DUSA"/>
    <n v="1"/>
    <n v="431.03"/>
  </r>
  <r>
    <s v="Conchitas CEL"/>
    <s v="11/01/2026"/>
    <x v="7"/>
    <s v="7503020596957"/>
    <s v="Shot Shumatsu Fun Hombre - DUSA"/>
    <s v="CONSUMIBLE PROPIO"/>
    <s v="DUSA"/>
    <n v="1"/>
    <n v="172.41"/>
  </r>
  <r>
    <s v="Conchitas CEL"/>
    <s v="11/01/2026"/>
    <x v="7"/>
    <s v="7503024256192"/>
    <s v="Shot Shumatsu Fun Mujer - DUSA"/>
    <s v="CONSUMIBLE PROPIO"/>
    <s v="DUSA"/>
    <n v="1"/>
    <n v="172.41"/>
  </r>
  <r>
    <s v="Conchitas CEL"/>
    <s v="12/01/2026"/>
    <x v="7"/>
    <s v="7503043917012"/>
    <s v="Liquid Love Backdoor 30ml - DUSA"/>
    <s v="CONSUMIBLE PROPIO"/>
    <s v="DUSA"/>
    <n v="1"/>
    <n v="301.72000000000003"/>
  </r>
  <r>
    <s v="Conchitas CEL"/>
    <s v="12/01/2026"/>
    <x v="7"/>
    <s v="7503013378652"/>
    <s v="Liquid Love Backdoor 100ml - DUSA"/>
    <s v="CONSUMIBLE PROPIO"/>
    <s v="DUSA"/>
    <n v="1"/>
    <n v="1077.5899999999999"/>
  </r>
  <r>
    <s v="Conchitas CEL"/>
    <s v="12/01/2026"/>
    <x v="7"/>
    <s v="7503043917005"/>
    <s v="Liquid Love Clear 30ml - DUSA"/>
    <s v="CONSUMIBLE PROPIO"/>
    <s v="DUSA"/>
    <n v="1"/>
    <n v="301.72000000000003"/>
  </r>
  <r>
    <s v="Conchitas CEL"/>
    <s v="12/01/2026"/>
    <x v="7"/>
    <s v="7503013378645"/>
    <s v="Liquid Love Pleasure 100ml - DUSA"/>
    <s v="CONSUMIBLE PROPIO"/>
    <s v="DUSA"/>
    <n v="1"/>
    <n v="775.86"/>
  </r>
  <r>
    <s v="Conchitas CEL"/>
    <s v="12/01/2026"/>
    <x v="7"/>
    <s v="7503013378010"/>
    <s v="Rigidex 2 pzas - DUSA"/>
    <s v="CONSUMIBLE PROPIO"/>
    <s v="DUSA"/>
    <n v="1"/>
    <n v="431.03"/>
  </r>
  <r>
    <s v="Conchitas CEL"/>
    <s v="13/01/2026"/>
    <x v="5"/>
    <s v="7503024256154"/>
    <s v="Lubricante Body Surf Termico Cereza DUSA 60ml"/>
    <s v="CONSUMIBLE PROPIO"/>
    <s v="DUSA"/>
    <n v="1"/>
    <n v="387.93"/>
  </r>
  <r>
    <s v="Conchitas CEL"/>
    <s v="14/01/2026"/>
    <x v="7"/>
    <s v="7503043917005"/>
    <s v="Liquid Love Clear 30ml - DUSA"/>
    <s v="CONSUMIBLE PROPIO"/>
    <s v="DUSA"/>
    <n v="1"/>
    <n v="301.72000000000003"/>
  </r>
  <r>
    <s v="Conchitas CEL"/>
    <s v="14/01/2026"/>
    <x v="7"/>
    <s v="7503020596957"/>
    <s v="Shot Shumatsu Fun Hombre - DUSA"/>
    <s v="CONSUMIBLE PROPIO"/>
    <s v="DUSA"/>
    <n v="1"/>
    <n v="172.41"/>
  </r>
  <r>
    <s v="Conchitas CEL"/>
    <s v="14/01/2026"/>
    <x v="7"/>
    <s v="7503024256192"/>
    <s v="Shot Shumatsu Fun Mujer - DUSA"/>
    <s v="CONSUMIBLE PROPIO"/>
    <s v="DUSA"/>
    <n v="1"/>
    <n v="172.41"/>
  </r>
  <r>
    <s v="Conchitas CEL"/>
    <s v="15/01/2026"/>
    <x v="7"/>
    <s v="7503013378645"/>
    <s v="Liquid Love Pleasure 100ml - DUSA"/>
    <s v="CONSUMIBLE PROPIO"/>
    <s v="DUSA"/>
    <n v="1"/>
    <n v="775.86"/>
  </r>
  <r>
    <s v="Conchitas CEL"/>
    <s v="16/01/2026"/>
    <x v="7"/>
    <s v="7503043917012"/>
    <s v="Liquid Love Backdoor 30ml - DUSA"/>
    <s v="CONSUMIBLE PROPIO"/>
    <s v="DUSA"/>
    <n v="1"/>
    <n v="301.72000000000003"/>
  </r>
  <r>
    <s v="Conchitas CEL"/>
    <s v="16/01/2026"/>
    <x v="7"/>
    <s v="7503032300993"/>
    <s v="Liquid Love Pleasure 30ml - DUSA"/>
    <s v="CONSUMIBLE PROPIO"/>
    <s v="DUSA"/>
    <n v="1"/>
    <n v="301.72000000000003"/>
  </r>
  <r>
    <s v="Conchitas CEL"/>
    <s v="16/01/2026"/>
    <x v="7"/>
    <s v="7503013378645"/>
    <s v="Liquid Love Pleasure 100ml - DUSA"/>
    <s v="CONSUMIBLE PROPIO"/>
    <s v="DUSA"/>
    <n v="2"/>
    <n v="1551.72"/>
  </r>
  <r>
    <s v="Conchitas CEL"/>
    <s v="16/01/2026"/>
    <x v="7"/>
    <s v="7503024256154"/>
    <s v="Lubricante Body Surf Termico Cereza DUSA 60ml"/>
    <s v="CONSUMIBLE PROPIO"/>
    <s v="DUSA"/>
    <n v="1"/>
    <n v="387.93"/>
  </r>
  <r>
    <s v="Conchitas CEL"/>
    <s v="16/01/2026"/>
    <x v="7"/>
    <s v="7503013378799"/>
    <s v="Lubricante Body Surf Termico Citricos DUSA 60ml"/>
    <s v="CONSUMIBLE PROPIO"/>
    <s v="DUSA"/>
    <n v="1"/>
    <n v="387.93"/>
  </r>
  <r>
    <s v="Conchitas CEL"/>
    <s v="16/01/2026"/>
    <x v="7"/>
    <s v="7503020596957"/>
    <s v="Shot Shumatsu Fun Hombre - DUSA"/>
    <s v="CONSUMIBLE PROPIO"/>
    <s v="DUSA"/>
    <n v="2"/>
    <n v="344.82"/>
  </r>
  <r>
    <s v="Conchitas CEL"/>
    <s v="16/01/2026"/>
    <x v="7"/>
    <s v="7503024256192"/>
    <s v="Shot Shumatsu Fun Mujer - DUSA"/>
    <s v="CONSUMIBLE PROPIO"/>
    <s v="DUSA"/>
    <n v="2"/>
    <n v="344.82"/>
  </r>
  <r>
    <s v="Conchitas CEL"/>
    <s v="17/01/2026"/>
    <x v="7"/>
    <s v="7503013378645"/>
    <s v="Liquid Love Pleasure 100ml - DUSA"/>
    <s v="CONSUMIBLE PROPIO"/>
    <s v="DUSA"/>
    <n v="1"/>
    <n v="775.86"/>
  </r>
  <r>
    <s v="Conchitas CEL"/>
    <s v="17/01/2026"/>
    <x v="7"/>
    <s v="7503020596957"/>
    <s v="Shot Shumatsu Fun Hombre - DUSA"/>
    <s v="CONSUMIBLE PROPIO"/>
    <s v="DUSA"/>
    <n v="2"/>
    <n v="344.82"/>
  </r>
  <r>
    <s v="Conchitas CEL"/>
    <s v="17/01/2026"/>
    <x v="7"/>
    <s v="7503024256192"/>
    <s v="Shot Shumatsu Fun Mujer - DUSA"/>
    <s v="CONSUMIBLE PROPIO"/>
    <s v="DUSA"/>
    <n v="1"/>
    <n v="172.41"/>
  </r>
  <r>
    <s v="Conchitas CEL"/>
    <s v="18/01/2026"/>
    <x v="7"/>
    <s v="7503024256154"/>
    <s v="Lubricante Body Surf Termico Cereza DUSA 60ml"/>
    <s v="CONSUMIBLE PROPIO"/>
    <s v="DUSA"/>
    <n v="1"/>
    <n v="387.93"/>
  </r>
  <r>
    <s v="Conchitas CEL"/>
    <s v="18/01/2026"/>
    <x v="7"/>
    <s v="7503013378010"/>
    <s v="Rigidex 2 pzas - DUSA"/>
    <s v="CONSUMIBLE PROPIO"/>
    <s v="DUSA"/>
    <n v="1"/>
    <n v="431.03"/>
  </r>
  <r>
    <s v="Conchitas CEL"/>
    <s v="19/01/2026"/>
    <x v="7"/>
    <s v="7503013378492"/>
    <s v="Clean Whisper 120ml - DUSA"/>
    <s v="CONSUMIBLE PROPIO"/>
    <s v="DUSA"/>
    <n v="1"/>
    <n v="301.72000000000003"/>
  </r>
  <r>
    <s v="Conchitas CEL"/>
    <s v="19/01/2026"/>
    <x v="7"/>
    <s v="7503043917012"/>
    <s v="Liquid Love Backdoor 30ml - DUSA"/>
    <s v="CONSUMIBLE PROPIO"/>
    <s v="DUSA"/>
    <n v="1"/>
    <n v="301.72000000000003"/>
  </r>
  <r>
    <s v="Conchitas CEL"/>
    <s v="19/01/2026"/>
    <x v="7"/>
    <s v="7503043917005"/>
    <s v="Liquid Love Clear 30ml - DUSA"/>
    <s v="CONSUMIBLE PROPIO"/>
    <s v="DUSA"/>
    <n v="1"/>
    <n v="301.72000000000003"/>
  </r>
  <r>
    <s v="Conchitas CEL"/>
    <s v="19/01/2026"/>
    <x v="7"/>
    <s v="7503032300993"/>
    <s v="Liquid Love Pleasure 30ml - DUSA"/>
    <s v="CONSUMIBLE PROPIO"/>
    <s v="DUSA"/>
    <n v="1"/>
    <n v="301.72000000000003"/>
  </r>
  <r>
    <s v="Conchitas CEL"/>
    <s v="19/01/2026"/>
    <x v="7"/>
    <s v="7503024256154"/>
    <s v="Lubricante Body Surf Termico Cereza DUSA 60ml"/>
    <s v="CONSUMIBLE PROPIO"/>
    <s v="DUSA"/>
    <n v="1"/>
    <n v="387.93"/>
  </r>
  <r>
    <s v="Conchitas CEL"/>
    <s v="19/01/2026"/>
    <x v="7"/>
    <s v="7503020596957"/>
    <s v="Shot Shumatsu Fun Hombre - DUSA"/>
    <s v="CONSUMIBLE PROPIO"/>
    <s v="DUSA"/>
    <n v="1"/>
    <n v="172.41"/>
  </r>
  <r>
    <s v="Conchitas CEL"/>
    <s v="19/01/2026"/>
    <x v="7"/>
    <s v="7503024256192"/>
    <s v="Shot Shumatsu Fun Mujer - DUSA"/>
    <s v="CONSUMIBLE PROPIO"/>
    <s v="DUSA"/>
    <n v="2"/>
    <n v="344.82"/>
  </r>
  <r>
    <s v="Conchitas CEL"/>
    <s v="19/01/2026"/>
    <x v="7"/>
    <s v="7503020596063"/>
    <s v="Stallion Regenerador - DUSA"/>
    <s v="CONSUMIBLE PROPIO"/>
    <s v="DUSA"/>
    <n v="1"/>
    <n v="1293.0999999999999"/>
  </r>
  <r>
    <s v="Conchitas CEL"/>
    <s v="20/01/2026"/>
    <x v="7"/>
    <s v="7503032300993"/>
    <s v="Liquid Love Pleasure 30ml - DUSA"/>
    <s v="CONSUMIBLE PROPIO"/>
    <s v="DUSA"/>
    <n v="2"/>
    <n v="603.44000000000005"/>
  </r>
  <r>
    <s v="Conchitas CEL"/>
    <s v="20/01/2026"/>
    <x v="7"/>
    <s v="7503013378799"/>
    <s v="Lubricante Body Surf Termico Citricos DUSA 60ml"/>
    <s v="CONSUMIBLE PROPIO"/>
    <s v="DUSA"/>
    <n v="1"/>
    <n v="387.93"/>
  </r>
  <r>
    <s v="Conchitas CEL"/>
    <s v="21/01/2026"/>
    <x v="7"/>
    <s v="7503050524265"/>
    <s v="He Plus 30ml - DUSA"/>
    <s v="CONSUMIBLE PROPIO"/>
    <s v="DUSA"/>
    <n v="1"/>
    <n v="431.03"/>
  </r>
  <r>
    <s v="Conchitas CEL"/>
    <s v="21/01/2026"/>
    <x v="7"/>
    <s v="7503013378645"/>
    <s v="Liquid Love Pleasure 100ml - DUSA"/>
    <s v="CONSUMIBLE PROPIO"/>
    <s v="DUSA"/>
    <n v="1"/>
    <n v="775.86"/>
  </r>
  <r>
    <s v="Conchitas CEL"/>
    <s v="22/01/2026"/>
    <x v="7"/>
    <s v="7503013378492"/>
    <s v="Clean Whisper 120ml - DUSA"/>
    <s v="CONSUMIBLE PROPIO"/>
    <s v="DUSA"/>
    <n v="1"/>
    <n v="301.72000000000003"/>
  </r>
  <r>
    <s v="Conchitas CEL"/>
    <s v="22/01/2026"/>
    <x v="7"/>
    <s v="7503032300993"/>
    <s v="Liquid Love Pleasure 30ml - DUSA"/>
    <s v="CONSUMIBLE PROPIO"/>
    <s v="DUSA"/>
    <n v="1"/>
    <n v="301.72000000000003"/>
  </r>
  <r>
    <s v="Conchitas CEL"/>
    <s v="22/01/2026"/>
    <x v="7"/>
    <s v="7503024256154"/>
    <s v="Lubricante Body Surf Termico Cereza DUSA 60ml"/>
    <s v="CONSUMIBLE PROPIO"/>
    <s v="DUSA"/>
    <n v="1"/>
    <n v="387.93"/>
  </r>
  <r>
    <s v="Conchitas CEL"/>
    <s v="23/01/2026"/>
    <x v="7"/>
    <s v="7503020596957"/>
    <s v="Shot Shumatsu Fun Hombre - DUSA"/>
    <s v="CONSUMIBLE PROPIO"/>
    <s v="DUSA"/>
    <n v="1"/>
    <n v="172.41"/>
  </r>
  <r>
    <s v="Conchitas CEL"/>
    <s v="24/01/2026"/>
    <x v="7"/>
    <s v="7503013378492"/>
    <s v="Clean Whisper 120ml - DUSA"/>
    <s v="CONSUMIBLE PROPIO"/>
    <s v="DUSA"/>
    <n v="1"/>
    <n v="301.72000000000003"/>
  </r>
  <r>
    <s v="Conchitas CEL"/>
    <s v="24/01/2026"/>
    <x v="7"/>
    <s v="7503043917005"/>
    <s v="Liquid Love Clear 30ml - DUSA"/>
    <s v="CONSUMIBLE PROPIO"/>
    <s v="DUSA"/>
    <n v="1"/>
    <n v="301.72000000000003"/>
  </r>
  <r>
    <s v="Conchitas CEL"/>
    <s v="24/01/2026"/>
    <x v="7"/>
    <s v="7503013378645"/>
    <s v="Liquid Love Pleasure 100ml - DUSA"/>
    <s v="CONSUMIBLE PROPIO"/>
    <s v="DUSA"/>
    <n v="1"/>
    <n v="775.86"/>
  </r>
  <r>
    <s v="Conchitas CEL"/>
    <s v="24/01/2026"/>
    <x v="7"/>
    <s v="7503013378010"/>
    <s v="Rigidex 2 pzas - DUSA"/>
    <s v="CONSUMIBLE PROPIO"/>
    <s v="DUSA"/>
    <n v="1"/>
    <n v="431.03"/>
  </r>
  <r>
    <s v="Conchitas CEL"/>
    <s v="24/01/2026"/>
    <x v="7"/>
    <s v="7503020596957"/>
    <s v="Shot Shumatsu Fun Hombre - DUSA"/>
    <s v="CONSUMIBLE PROPIO"/>
    <s v="DUSA"/>
    <n v="3"/>
    <n v="517.23"/>
  </r>
  <r>
    <s v="Conchitas CEL"/>
    <s v="24/01/2026"/>
    <x v="7"/>
    <s v="7503024256192"/>
    <s v="Shot Shumatsu Fun Mujer - DUSA"/>
    <s v="CONSUMIBLE PROPIO"/>
    <s v="DUSA"/>
    <n v="1"/>
    <n v="172.41"/>
  </r>
  <r>
    <s v="Conchitas CEL"/>
    <s v="25/01/2026"/>
    <x v="2"/>
    <s v="7503043917012"/>
    <s v="Liquid Love Backdoor 30ml - DUSA"/>
    <s v="CONSUMIBLE PROPIO"/>
    <s v="DUSA"/>
    <n v="1"/>
    <n v="301.72000000000003"/>
  </r>
  <r>
    <s v="Conchitas CEL"/>
    <s v="25/01/2026"/>
    <x v="2"/>
    <s v="7503032300993"/>
    <s v="Liquid Love Pleasure 30ml - DUSA"/>
    <s v="CONSUMIBLE PROPIO"/>
    <s v="DUSA"/>
    <n v="2"/>
    <n v="603.44000000000005"/>
  </r>
  <r>
    <s v="Conchitas CEL"/>
    <s v="25/01/2026"/>
    <x v="2"/>
    <s v="7503013378010"/>
    <s v="Rigidex 2 pzas - DUSA"/>
    <s v="CONSUMIBLE PROPIO"/>
    <s v="DUSA"/>
    <n v="3"/>
    <n v="1293.0999999999999"/>
  </r>
  <r>
    <s v="Conchitas CEL"/>
    <s v="25/01/2026"/>
    <x v="2"/>
    <s v="7503020596049"/>
    <s v="Sensicool - DUSA"/>
    <s v="CONSUMIBLE PROPIO"/>
    <s v="DUSA"/>
    <n v="1"/>
    <n v="431.03"/>
  </r>
  <r>
    <s v="Conchitas CEL"/>
    <s v="25/01/2026"/>
    <x v="2"/>
    <s v="7503020596957"/>
    <s v="Shot Shumatsu Fun Hombre - DUSA"/>
    <s v="CONSUMIBLE PROPIO"/>
    <s v="DUSA"/>
    <n v="2"/>
    <n v="344.82"/>
  </r>
  <r>
    <s v="Conchitas CEL"/>
    <s v="25/01/2026"/>
    <x v="2"/>
    <s v="7503024256192"/>
    <s v="Shot Shumatsu Fun Mujer - DUSA"/>
    <s v="CONSUMIBLE PROPIO"/>
    <s v="DUSA"/>
    <n v="2"/>
    <n v="344.82"/>
  </r>
  <r>
    <s v="Conchitas CEL"/>
    <s v="26/01/2026"/>
    <x v="7"/>
    <s v="7503050524265"/>
    <s v="He Plus 30ml - DUSA"/>
    <s v="CONSUMIBLE PROPIO"/>
    <s v="DUSA"/>
    <n v="1"/>
    <n v="431.03"/>
  </r>
  <r>
    <s v="Conchitas CEL"/>
    <s v="26/01/2026"/>
    <x v="7"/>
    <s v="7503020596957"/>
    <s v="Shot Shumatsu Fun Hombre - DUSA"/>
    <s v="CONSUMIBLE PROPIO"/>
    <s v="DUSA"/>
    <n v="1"/>
    <n v="172.41"/>
  </r>
  <r>
    <s v="Conchitas CEL"/>
    <s v="27/01/2026"/>
    <x v="7"/>
    <s v="7503013378980"/>
    <s v="Lubricante Body Surf Termico Chicle DUSA 60ml"/>
    <s v="CONSUMIBLE PROPIO"/>
    <s v="DUSA"/>
    <n v="1"/>
    <n v="387.93"/>
  </r>
  <r>
    <s v="Conchitas CEL"/>
    <s v="27/01/2026"/>
    <x v="7"/>
    <s v="7503020596957"/>
    <s v="Shot Shumatsu Fun Hombre - DUSA"/>
    <s v="CONSUMIBLE PROPIO"/>
    <s v="DUSA"/>
    <n v="1"/>
    <n v="172.41"/>
  </r>
  <r>
    <s v="Conchitas CEL"/>
    <s v="27/01/2026"/>
    <x v="7"/>
    <s v="7503024256192"/>
    <s v="Shot Shumatsu Fun Mujer - DUSA"/>
    <s v="CONSUMIBLE PROPIO"/>
    <s v="DUSA"/>
    <n v="4"/>
    <n v="689.64"/>
  </r>
  <r>
    <s v="Conchitas CEL"/>
    <s v="28/01/2026"/>
    <x v="2"/>
    <s v="7503032300993"/>
    <s v="Liquid Love Pleasure 30ml - DUSA"/>
    <s v="CONSUMIBLE PROPIO"/>
    <s v="DUSA"/>
    <n v="1"/>
    <n v="301.72000000000003"/>
  </r>
  <r>
    <s v="Conchitas CEL"/>
    <s v="28/01/2026"/>
    <x v="2"/>
    <s v="7503013378645"/>
    <s v="Liquid Love Pleasure 100ml - DUSA"/>
    <s v="CONSUMIBLE PROPIO"/>
    <s v="DUSA"/>
    <n v="1"/>
    <n v="775.86"/>
  </r>
  <r>
    <s v="Conchitas CEL"/>
    <s v="28/01/2026"/>
    <x v="2"/>
    <s v="7503024256154"/>
    <s v="Lubricante Body Surf Termico Cereza DUSA 60ml"/>
    <s v="CONSUMIBLE PROPIO"/>
    <s v="DUSA"/>
    <n v="1"/>
    <n v="387.93"/>
  </r>
  <r>
    <s v="Conchitas CEL"/>
    <s v="29/01/2026"/>
    <x v="7"/>
    <s v="7503050524265"/>
    <s v="He Plus 30ml - DUSA"/>
    <s v="CONSUMIBLE PROPIO"/>
    <s v="DUSA"/>
    <n v="1"/>
    <n v="431.03"/>
  </r>
  <r>
    <s v="Conchitas CEL"/>
    <s v="29/01/2026"/>
    <x v="7"/>
    <s v="7503043917012"/>
    <s v="Liquid Love Backdoor 30ml - DUSA"/>
    <s v="CONSUMIBLE PROPIO"/>
    <s v="DUSA"/>
    <n v="1"/>
    <n v="301.72000000000003"/>
  </r>
  <r>
    <s v="Conchitas CEL"/>
    <s v="29/01/2026"/>
    <x v="7"/>
    <s v="7503013378010"/>
    <s v="Rigidex 2 pzas - DUSA"/>
    <s v="CONSUMIBLE PROPIO"/>
    <s v="DUSA"/>
    <n v="1"/>
    <n v="431.03"/>
  </r>
  <r>
    <s v="Conchitas CEL"/>
    <s v="29/01/2026"/>
    <x v="7"/>
    <s v="7503024256192"/>
    <s v="Shot Shumatsu Fun Mujer - DUSA"/>
    <s v="CONSUMIBLE PROPIO"/>
    <s v="DUSA"/>
    <n v="1"/>
    <n v="172.41"/>
  </r>
  <r>
    <s v="Conchitas CEL"/>
    <s v="30/01/2026"/>
    <x v="7"/>
    <s v="7503013378010"/>
    <s v="Rigidex 2 pzas - DUSA"/>
    <s v="CONSUMIBLE PROPIO"/>
    <s v="DUSA"/>
    <n v="1"/>
    <n v="431.03"/>
  </r>
  <r>
    <s v="Conchitas CEL"/>
    <s v="30/01/2026"/>
    <x v="7"/>
    <s v="7503010217048"/>
    <s v="Vela para masaje rose - DUSA"/>
    <s v="CONSUMIBLE PROPIO"/>
    <s v="DUSA"/>
    <n v="1"/>
    <n v="241.38"/>
  </r>
  <r>
    <s v="Conchitas CEL"/>
    <s v="31/01/2026"/>
    <x v="7"/>
    <s v="7503050524265"/>
    <s v="He Plus 30ml - DUSA"/>
    <s v="CONSUMIBLE PROPIO"/>
    <s v="DUSA"/>
    <n v="1"/>
    <n v="431.03"/>
  </r>
  <r>
    <s v="Conchitas CEL"/>
    <s v="31/01/2026"/>
    <x v="7"/>
    <s v="7503013378652"/>
    <s v="Liquid Love Backdoor 100ml - DUSA"/>
    <s v="CONSUMIBLE PROPIO"/>
    <s v="DUSA"/>
    <n v="1"/>
    <n v="1077.5899999999999"/>
  </r>
  <r>
    <s v="Conchitas CEL"/>
    <s v="31/01/2026"/>
    <x v="7"/>
    <s v="7503032300993"/>
    <s v="Liquid Love Pleasure 30ml - DUSA"/>
    <s v="CONSUMIBLE PROPIO"/>
    <s v="DUSA"/>
    <n v="1"/>
    <n v="301.72000000000003"/>
  </r>
  <r>
    <s v="Conchitas CEL"/>
    <s v="31/01/2026"/>
    <x v="7"/>
    <s v="7503013378645"/>
    <s v="Liquid Love Pleasure 100ml - DUSA"/>
    <s v="CONSUMIBLE PROPIO"/>
    <s v="DUSA"/>
    <n v="2"/>
    <n v="1551.72"/>
  </r>
  <r>
    <s v="Conchitas CEL"/>
    <s v="31/01/2026"/>
    <x v="7"/>
    <s v="7503024256154"/>
    <s v="Lubricante Body Surf Termico Cereza DUSA 60ml"/>
    <s v="CONSUMIBLE PROPIO"/>
    <s v="DUSA"/>
    <n v="1"/>
    <n v="387.93"/>
  </r>
  <r>
    <s v="Conchitas CEL"/>
    <s v="31/01/2026"/>
    <x v="7"/>
    <s v="7503013378010"/>
    <s v="Rigidex 2 pzas - DUSA"/>
    <s v="CONSUMIBLE PROPIO"/>
    <s v="DUSA"/>
    <n v="2"/>
    <n v="862.06"/>
  </r>
  <r>
    <s v="Federalismo CEL"/>
    <s v="02/01/2026"/>
    <x v="8"/>
    <s v="7503043917012"/>
    <s v="Liquid Love Backdoor 30ml - DUSA"/>
    <s v="CONSUMIBLE PROPIO"/>
    <s v="DUSA"/>
    <n v="1"/>
    <n v="301.72000000000003"/>
  </r>
  <r>
    <s v="Federalismo CEL"/>
    <s v="02/01/2026"/>
    <x v="8"/>
    <s v="7503032300993"/>
    <s v="Liquid Love Pleasure 30ml - DUSA"/>
    <s v="CONSUMIBLE PROPIO"/>
    <s v="DUSA"/>
    <n v="2"/>
    <n v="603.44000000000005"/>
  </r>
  <r>
    <s v="Federalismo CEL"/>
    <s v="03/01/2026"/>
    <x v="8"/>
    <s v="7503050524265"/>
    <s v="He Plus 30ml - DUSA"/>
    <s v="CONSUMIBLE PROPIO"/>
    <s v="DUSA"/>
    <n v="1"/>
    <n v="431.03"/>
  </r>
  <r>
    <s v="Federalismo CEL"/>
    <s v="03/01/2026"/>
    <x v="8"/>
    <s v="7503043917012"/>
    <s v="Liquid Love Backdoor 30ml - DUSA"/>
    <s v="CONSUMIBLE PROPIO"/>
    <s v="DUSA"/>
    <n v="1"/>
    <n v="301.72000000000003"/>
  </r>
  <r>
    <s v="Federalismo CEL"/>
    <s v="03/01/2026"/>
    <x v="8"/>
    <s v="7503043917005"/>
    <s v="Liquid Love Clear 30ml - DUSA"/>
    <s v="CONSUMIBLE PROPIO"/>
    <s v="DUSA"/>
    <n v="2"/>
    <n v="603.44000000000005"/>
  </r>
  <r>
    <s v="Federalismo CEL"/>
    <s v="03/01/2026"/>
    <x v="8"/>
    <s v="7503013378126"/>
    <s v="Lubricante Body Surf Frio Natural DUSA 60ml"/>
    <s v="CONSUMIBLE PROPIO"/>
    <s v="DUSA"/>
    <n v="1"/>
    <n v="387.93"/>
  </r>
  <r>
    <s v="Federalismo CEL"/>
    <s v="03/01/2026"/>
    <x v="8"/>
    <s v="7503050524241"/>
    <s v="Orgasmik 30ml - DUSA"/>
    <s v="CONSUMIBLE PROPIO"/>
    <s v="DUSA"/>
    <n v="1"/>
    <n v="431.03"/>
  </r>
  <r>
    <s v="Federalismo CEL"/>
    <s v="03/01/2026"/>
    <x v="8"/>
    <s v="7503020596063"/>
    <s v="Stallion Regenerador - DUSA"/>
    <s v="CONSUMIBLE PROPIO"/>
    <s v="DUSA"/>
    <n v="1"/>
    <n v="1293.0999999999999"/>
  </r>
  <r>
    <s v="Federalismo CEL"/>
    <s v="04/01/2026"/>
    <x v="8"/>
    <s v="7503013378799"/>
    <s v="Lubricante Body Surf Termico Citricos DUSA 60ml"/>
    <s v="CONSUMIBLE PROPIO"/>
    <s v="DUSA"/>
    <n v="1"/>
    <n v="387.93"/>
  </r>
  <r>
    <s v="Federalismo CEL"/>
    <s v="05/01/2026"/>
    <x v="8"/>
    <s v="7503020596001"/>
    <s v="Liquid Love Clear 100ml - DUSA"/>
    <s v="CONSUMIBLE PROPIO"/>
    <s v="DUSA"/>
    <n v="1"/>
    <n v="775.86"/>
  </r>
  <r>
    <s v="Federalismo CEL"/>
    <s v="05/01/2026"/>
    <x v="8"/>
    <s v="7503013378010"/>
    <s v="Rigidex 2 pzas - DUSA"/>
    <s v="CONSUMIBLE PROPIO"/>
    <s v="DUSA"/>
    <n v="2"/>
    <n v="862.07"/>
  </r>
  <r>
    <s v="Federalismo CEL"/>
    <s v="08/01/2026"/>
    <x v="8"/>
    <s v="7503013378492"/>
    <s v="Clean Whisper 120ml - DUSA"/>
    <s v="CONSUMIBLE PROPIO"/>
    <s v="DUSA"/>
    <n v="1"/>
    <n v="301.72000000000003"/>
  </r>
  <r>
    <s v="Federalismo CEL"/>
    <s v="08/01/2026"/>
    <x v="8"/>
    <s v="7503050524265"/>
    <s v="He Plus 30ml - DUSA"/>
    <s v="CONSUMIBLE PROPIO"/>
    <s v="DUSA"/>
    <n v="1"/>
    <n v="431.03"/>
  </r>
  <r>
    <s v="Federalismo CEL"/>
    <s v="08/01/2026"/>
    <x v="8"/>
    <s v="7503043917012"/>
    <s v="Liquid Love Backdoor 30ml - DUSA"/>
    <s v="CONSUMIBLE PROPIO"/>
    <s v="DUSA"/>
    <n v="1"/>
    <n v="301.72000000000003"/>
  </r>
  <r>
    <s v="Federalismo CEL"/>
    <s v="08/01/2026"/>
    <x v="8"/>
    <s v="7503024256154"/>
    <s v="Lubricante Body Surf Termico Cereza DUSA 60ml"/>
    <s v="CONSUMIBLE PROPIO"/>
    <s v="DUSA"/>
    <n v="1"/>
    <n v="387.93"/>
  </r>
  <r>
    <s v="Federalismo CEL"/>
    <s v="09/01/2026"/>
    <x v="8"/>
    <s v="7503032300993"/>
    <s v="Liquid Love Pleasure 30ml - DUSA"/>
    <s v="CONSUMIBLE PROPIO"/>
    <s v="DUSA"/>
    <n v="1"/>
    <n v="301.72000000000003"/>
  </r>
  <r>
    <s v="Federalismo CEL"/>
    <s v="09/01/2026"/>
    <x v="8"/>
    <s v="7503013378645"/>
    <s v="Liquid Love Pleasure 100ml - DUSA"/>
    <s v="CONSUMIBLE PROPIO"/>
    <s v="DUSA"/>
    <n v="1"/>
    <n v="775.86"/>
  </r>
  <r>
    <s v="Federalismo CEL"/>
    <s v="10/01/2026"/>
    <x v="8"/>
    <s v="7503020596513"/>
    <s v="Liquid Love Natural 20ml - DUSA"/>
    <s v="CONSUMIBLE PROPIO"/>
    <s v="DUSA"/>
    <n v="1"/>
    <n v="258.62"/>
  </r>
  <r>
    <s v="Federalismo CEL"/>
    <s v="10/01/2026"/>
    <x v="8"/>
    <s v="7503013378010"/>
    <s v="Rigidex 2 pzas - DUSA"/>
    <s v="CONSUMIBLE PROPIO"/>
    <s v="DUSA"/>
    <n v="1"/>
    <n v="431.03"/>
  </r>
  <r>
    <s v="Federalismo CEL"/>
    <s v="11/01/2026"/>
    <x v="8"/>
    <s v="7503043917005"/>
    <s v="Liquid Love Clear 30ml - DUSA"/>
    <s v="CONSUMIBLE PROPIO"/>
    <s v="DUSA"/>
    <n v="1"/>
    <n v="301.72000000000003"/>
  </r>
  <r>
    <s v="Federalismo CEL"/>
    <s v="12/01/2026"/>
    <x v="8"/>
    <s v="7503013378492"/>
    <s v="Clean Whisper 120ml - DUSA"/>
    <s v="CONSUMIBLE PROPIO"/>
    <s v="DUSA"/>
    <n v="1"/>
    <n v="301.72000000000003"/>
  </r>
  <r>
    <s v="Federalismo CEL"/>
    <s v="13/01/2026"/>
    <x v="8"/>
    <s v="7503043917005"/>
    <s v="Liquid Love Clear 30ml - DUSA"/>
    <s v="CONSUMIBLE PROPIO"/>
    <s v="DUSA"/>
    <n v="1"/>
    <n v="301.72000000000003"/>
  </r>
  <r>
    <s v="Federalismo CEL"/>
    <s v="14/01/2026"/>
    <x v="8"/>
    <s v="7503032300993"/>
    <s v="Liquid Love Pleasure 30ml - DUSA"/>
    <s v="CONSUMIBLE PROPIO"/>
    <s v="DUSA"/>
    <n v="1"/>
    <n v="301.72000000000003"/>
  </r>
  <r>
    <s v="Federalismo CEL"/>
    <s v="16/01/2026"/>
    <x v="8"/>
    <s v="7503043917012"/>
    <s v="Liquid Love Backdoor 30ml - DUSA"/>
    <s v="CONSUMIBLE PROPIO"/>
    <s v="DUSA"/>
    <n v="1"/>
    <n v="301.72000000000003"/>
  </r>
  <r>
    <s v="Federalismo CEL"/>
    <s v="17/01/2026"/>
    <x v="8"/>
    <s v="7503013378010"/>
    <s v="Rigidex 2 pzas - DUSA"/>
    <s v="CONSUMIBLE PROPIO"/>
    <s v="DUSA"/>
    <n v="4"/>
    <n v="1724.14"/>
  </r>
  <r>
    <s v="Federalismo CEL"/>
    <s v="18/01/2026"/>
    <x v="8"/>
    <s v="7503020596957"/>
    <s v="Shot Shumatsu Fun Hombre - DUSA"/>
    <s v="CONSUMIBLE PROPIO"/>
    <s v="DUSA"/>
    <n v="1"/>
    <n v="172.41"/>
  </r>
  <r>
    <s v="Federalismo CEL"/>
    <s v="23/01/2026"/>
    <x v="8"/>
    <s v="7503050524265"/>
    <s v="He Plus 30ml - DUSA"/>
    <s v="CONSUMIBLE PROPIO"/>
    <s v="DUSA"/>
    <n v="1"/>
    <n v="431.03"/>
  </r>
  <r>
    <s v="Federalismo CEL"/>
    <s v="23/01/2026"/>
    <x v="8"/>
    <s v="7503020596049"/>
    <s v="Sensicool - DUSA"/>
    <s v="CONSUMIBLE PROPIO"/>
    <s v="DUSA"/>
    <n v="1"/>
    <n v="431.03"/>
  </r>
  <r>
    <s v="Federalismo CEL"/>
    <s v="24/01/2026"/>
    <x v="8"/>
    <s v="7503013378010"/>
    <s v="Rigidex 2 pzas - DUSA"/>
    <s v="CONSUMIBLE PROPIO"/>
    <s v="DUSA"/>
    <n v="2"/>
    <n v="862.06"/>
  </r>
  <r>
    <s v="Federalismo CEL"/>
    <s v="26/01/2026"/>
    <x v="8"/>
    <s v="7503050524241"/>
    <s v="Orgasmik 30ml - DUSA"/>
    <s v="CONSUMIBLE PROPIO"/>
    <s v="DUSA"/>
    <n v="1"/>
    <n v="431.03"/>
  </r>
  <r>
    <s v="Federalismo CEL"/>
    <s v="27/01/2026"/>
    <x v="8"/>
    <s v="7503050524241"/>
    <s v="Orgasmik 30ml - DUSA"/>
    <s v="CONSUMIBLE PROPIO"/>
    <s v="DUSA"/>
    <n v="1"/>
    <n v="431.03"/>
  </r>
  <r>
    <s v="Federalismo CEL"/>
    <s v="27/01/2026"/>
    <x v="8"/>
    <s v="7503020596957"/>
    <s v="Shot Shumatsu Fun Hombre - DUSA"/>
    <s v="CONSUMIBLE PROPIO"/>
    <s v="DUSA"/>
    <n v="1"/>
    <n v="172.41"/>
  </r>
  <r>
    <s v="Federalismo CEL"/>
    <s v="28/01/2026"/>
    <x v="8"/>
    <s v="7503032300993"/>
    <s v="Liquid Love Pleasure 30ml - DUSA"/>
    <s v="CONSUMIBLE PROPIO"/>
    <s v="DUSA"/>
    <n v="1"/>
    <n v="301.72000000000003"/>
  </r>
  <r>
    <s v="Federalismo CEL"/>
    <s v="29/01/2026"/>
    <x v="8"/>
    <s v="7503013378492"/>
    <s v="Clean Whisper 120ml - DUSA"/>
    <s v="CONSUMIBLE PROPIO"/>
    <s v="DUSA"/>
    <n v="1"/>
    <n v="301.72000000000003"/>
  </r>
  <r>
    <s v="Federalismo CEL"/>
    <s v="29/01/2026"/>
    <x v="8"/>
    <s v="7503032300993"/>
    <s v="Liquid Love Pleasure 30ml - DUSA"/>
    <s v="CONSUMIBLE PROPIO"/>
    <s v="DUSA"/>
    <n v="1"/>
    <n v="301.72000000000003"/>
  </r>
  <r>
    <s v="Federalismo CEL"/>
    <s v="31/01/2026"/>
    <x v="8"/>
    <s v="7503032300993"/>
    <s v="Liquid Love Pleasure 30ml - DUSA"/>
    <s v="CONSUMIBLE PROPIO"/>
    <s v="DUSA"/>
    <n v="1"/>
    <n v="301.72000000000003"/>
  </r>
  <r>
    <s v="Federalismo CEL"/>
    <s v="31/01/2026"/>
    <x v="8"/>
    <s v="7503024256192"/>
    <s v="Shot Shumatsu Fun Mujer - DUSA"/>
    <s v="CONSUMIBLE PROPIO"/>
    <s v="DUSA"/>
    <n v="1"/>
    <n v="172.41"/>
  </r>
  <r>
    <s v="Hidalgo CEL"/>
    <s v="02/01/2026"/>
    <x v="9"/>
    <s v="7503024256192"/>
    <s v="Shot Shumatsu Fun Mujer - DUSA"/>
    <s v="CONSUMIBLE PROPIO"/>
    <s v="DUSA"/>
    <n v="1"/>
    <n v="172.41"/>
  </r>
  <r>
    <s v="Hidalgo CEL"/>
    <s v="02/01/2026"/>
    <x v="9"/>
    <s v="7503010217046"/>
    <s v="Vela para masaje bear - DUSA"/>
    <s v="CONSUMIBLE PROPIO"/>
    <s v="DUSA"/>
    <n v="1"/>
    <n v="310.33999999999997"/>
  </r>
  <r>
    <s v="Hidalgo CEL"/>
    <s v="03/01/2026"/>
    <x v="9"/>
    <s v="7503013378010"/>
    <s v="Rigidex 2 pzas - DUSA"/>
    <s v="CONSUMIBLE PROPIO"/>
    <s v="DUSA"/>
    <n v="1"/>
    <n v="431.03"/>
  </r>
  <r>
    <s v="Hidalgo CEL"/>
    <s v="04/01/2026"/>
    <x v="9"/>
    <s v="7503032300993"/>
    <s v="Liquid Love Pleasure 30ml - DUSA"/>
    <s v="CONSUMIBLE PROPIO"/>
    <s v="DUSA"/>
    <n v="1"/>
    <n v="301.72000000000003"/>
  </r>
  <r>
    <s v="Hidalgo CEL"/>
    <s v="05/01/2026"/>
    <x v="2"/>
    <s v="7503032300993"/>
    <s v="Liquid Love Pleasure 30ml - DUSA"/>
    <s v="CONSUMIBLE PROPIO"/>
    <s v="DUSA"/>
    <n v="1"/>
    <n v="301.72000000000003"/>
  </r>
  <r>
    <s v="Hidalgo CEL"/>
    <s v="06/01/2026"/>
    <x v="9"/>
    <s v="7503032300993"/>
    <s v="Liquid Love Pleasure 30ml - DUSA"/>
    <s v="CONSUMIBLE PROPIO"/>
    <s v="DUSA"/>
    <n v="1"/>
    <n v="301.72000000000003"/>
  </r>
  <r>
    <s v="Hidalgo CEL"/>
    <s v="07/01/2026"/>
    <x v="2"/>
    <s v="7503032300993"/>
    <s v="Liquid Love Pleasure 30ml - DUSA"/>
    <s v="CONSUMIBLE PROPIO"/>
    <s v="DUSA"/>
    <n v="1"/>
    <n v="301.72000000000003"/>
  </r>
  <r>
    <s v="Hidalgo CEL"/>
    <s v="07/01/2026"/>
    <x v="2"/>
    <s v="7503013378010"/>
    <s v="Rigidex 2 pzas - DUSA"/>
    <s v="CONSUMIBLE PROPIO"/>
    <s v="DUSA"/>
    <n v="1"/>
    <n v="431.03"/>
  </r>
  <r>
    <s v="Hidalgo CEL"/>
    <s v="08/01/2026"/>
    <x v="9"/>
    <s v="7503043917012"/>
    <s v="Liquid Love Backdoor 30ml - DUSA"/>
    <s v="CONSUMIBLE PROPIO"/>
    <s v="DUSA"/>
    <n v="2"/>
    <n v="603.44000000000005"/>
  </r>
  <r>
    <s v="Hidalgo CEL"/>
    <s v="09/01/2026"/>
    <x v="9"/>
    <s v="7503020596513"/>
    <s v="Liquid Love Natural 20ml - DUSA"/>
    <s v="CONSUMIBLE PROPIO"/>
    <s v="DUSA"/>
    <n v="1"/>
    <n v="258.62"/>
  </r>
  <r>
    <s v="Hidalgo CEL"/>
    <s v="09/01/2026"/>
    <x v="9"/>
    <s v="7503024256154"/>
    <s v="Lubricante Body Surf Termico Cereza DUSA 60ml"/>
    <s v="CONSUMIBLE PROPIO"/>
    <s v="DUSA"/>
    <n v="1"/>
    <n v="387.93"/>
  </r>
  <r>
    <s v="Hidalgo CEL"/>
    <s v="10/01/2026"/>
    <x v="9"/>
    <s v="7503043917012"/>
    <s v="Liquid Love Backdoor 30ml - DUSA"/>
    <s v="CONSUMIBLE PROPIO"/>
    <s v="DUSA"/>
    <n v="2"/>
    <n v="603.44000000000005"/>
  </r>
  <r>
    <s v="Hidalgo CEL"/>
    <s v="10/01/2026"/>
    <x v="9"/>
    <s v="7503024256154"/>
    <s v="Lubricante Body Surf Termico Cereza DUSA 60ml"/>
    <s v="CONSUMIBLE PROPIO"/>
    <s v="DUSA"/>
    <n v="1"/>
    <n v="387.93"/>
  </r>
  <r>
    <s v="Hidalgo CEL"/>
    <s v="10/01/2026"/>
    <x v="9"/>
    <s v="7503013378980"/>
    <s v="Lubricante Body Surf Termico Chicle DUSA 60ml"/>
    <s v="CONSUMIBLE PROPIO"/>
    <s v="DUSA"/>
    <n v="1"/>
    <n v="387.93"/>
  </r>
  <r>
    <s v="Hidalgo CEL"/>
    <s v="10/01/2026"/>
    <x v="9"/>
    <s v="7503024256192"/>
    <s v="Shot Shumatsu Fun Mujer - DUSA"/>
    <s v="CONSUMIBLE PROPIO"/>
    <s v="DUSA"/>
    <n v="1"/>
    <n v="172.41"/>
  </r>
  <r>
    <s v="Hidalgo CEL"/>
    <s v="12/01/2026"/>
    <x v="9"/>
    <s v="7503013378492"/>
    <s v="Clean Whisper 120ml - DUSA"/>
    <s v="CONSUMIBLE PROPIO"/>
    <s v="DUSA"/>
    <n v="1"/>
    <n v="301.72000000000003"/>
  </r>
  <r>
    <s v="Hidalgo CEL"/>
    <s v="12/01/2026"/>
    <x v="9"/>
    <s v="7503013378980"/>
    <s v="Lubricante Body Surf Termico Chicle DUSA 60ml"/>
    <s v="CONSUMIBLE PROPIO"/>
    <s v="DUSA"/>
    <n v="2"/>
    <n v="775.86"/>
  </r>
  <r>
    <s v="Hidalgo CEL"/>
    <s v="12/01/2026"/>
    <x v="9"/>
    <s v="7503020596063"/>
    <s v="Stallion Regenerador - DUSA"/>
    <s v="CONSUMIBLE PROPIO"/>
    <s v="DUSA"/>
    <n v="1"/>
    <n v="1293.0999999999999"/>
  </r>
  <r>
    <s v="Hidalgo CEL"/>
    <s v="13/01/2026"/>
    <x v="9"/>
    <s v="7503032300993"/>
    <s v="Liquid Love Pleasure 30ml - DUSA"/>
    <s v="CONSUMIBLE PROPIO"/>
    <s v="DUSA"/>
    <n v="1"/>
    <n v="301.72000000000003"/>
  </r>
  <r>
    <s v="Hidalgo CEL"/>
    <s v="13/01/2026"/>
    <x v="9"/>
    <s v="7503013378010"/>
    <s v="Rigidex 2 pzas - DUSA"/>
    <s v="CONSUMIBLE PROPIO"/>
    <s v="DUSA"/>
    <n v="1"/>
    <n v="431.03"/>
  </r>
  <r>
    <s v="Hidalgo CEL"/>
    <s v="14/01/2026"/>
    <x v="2"/>
    <s v="7503043917005"/>
    <s v="Liquid Love Clear 30ml - DUSA"/>
    <s v="CONSUMIBLE PROPIO"/>
    <s v="DUSA"/>
    <n v="1"/>
    <n v="301.72000000000003"/>
  </r>
  <r>
    <s v="Hidalgo CEL"/>
    <s v="15/01/2026"/>
    <x v="9"/>
    <s v="7503043917012"/>
    <s v="Liquid Love Backdoor 30ml - DUSA"/>
    <s v="CONSUMIBLE PROPIO"/>
    <s v="DUSA"/>
    <n v="1"/>
    <n v="301.72000000000003"/>
  </r>
  <r>
    <s v="Hidalgo CEL"/>
    <s v="15/01/2026"/>
    <x v="9"/>
    <s v="7503043917005"/>
    <s v="Liquid Love Clear 30ml - DUSA"/>
    <s v="CONSUMIBLE PROPIO"/>
    <s v="DUSA"/>
    <n v="1"/>
    <n v="301.72000000000003"/>
  </r>
  <r>
    <s v="Hidalgo CEL"/>
    <s v="15/01/2026"/>
    <x v="9"/>
    <s v="7503013378645"/>
    <s v="Liquid Love Pleasure 100ml - DUSA"/>
    <s v="CONSUMIBLE PROPIO"/>
    <s v="DUSA"/>
    <n v="1"/>
    <n v="775.86"/>
  </r>
  <r>
    <s v="Hidalgo CEL"/>
    <s v="16/01/2026"/>
    <x v="9"/>
    <s v="7503013378010"/>
    <s v="Rigidex 2 pzas - DUSA"/>
    <s v="CONSUMIBLE PROPIO"/>
    <s v="DUSA"/>
    <n v="1"/>
    <n v="431.03"/>
  </r>
  <r>
    <s v="Hidalgo CEL"/>
    <s v="16/01/2026"/>
    <x v="9"/>
    <s v="7503024256192"/>
    <s v="Shot Shumatsu Fun Mujer - DUSA"/>
    <s v="CONSUMIBLE PROPIO"/>
    <s v="DUSA"/>
    <n v="3"/>
    <n v="517.23"/>
  </r>
  <r>
    <s v="Hidalgo CEL"/>
    <s v="17/01/2026"/>
    <x v="9"/>
    <s v="7503043917012"/>
    <s v="Liquid Love Backdoor 30ml - DUSA"/>
    <s v="CONSUMIBLE PROPIO"/>
    <s v="DUSA"/>
    <n v="1"/>
    <n v="301.72000000000003"/>
  </r>
  <r>
    <s v="Hidalgo CEL"/>
    <s v="17/01/2026"/>
    <x v="9"/>
    <s v="7503020596001"/>
    <s v="Liquid Love Clear 100ml - DUSA"/>
    <s v="CONSUMIBLE PROPIO"/>
    <s v="DUSA"/>
    <n v="1"/>
    <n v="775.86"/>
  </r>
  <r>
    <s v="Hidalgo CEL"/>
    <s v="18/01/2026"/>
    <x v="9"/>
    <s v="7503020596957"/>
    <s v="Shot Shumatsu Fun Hombre - DUSA"/>
    <s v="CONSUMIBLE PROPIO"/>
    <s v="DUSA"/>
    <n v="1"/>
    <n v="172.41"/>
  </r>
  <r>
    <s v="Hidalgo CEL"/>
    <s v="19/01/2026"/>
    <x v="9"/>
    <s v="7503050524241"/>
    <s v="Orgasmik 30ml - DUSA"/>
    <s v="CONSUMIBLE PROPIO"/>
    <s v="DUSA"/>
    <n v="1"/>
    <n v="431.03"/>
  </r>
  <r>
    <s v="Hidalgo CEL"/>
    <s v="20/01/2026"/>
    <x v="3"/>
    <s v="7503043917005"/>
    <s v="Liquid Love Clear 30ml - DUSA"/>
    <s v="CONSUMIBLE PROPIO"/>
    <s v="DUSA"/>
    <n v="1"/>
    <n v="301.72000000000003"/>
  </r>
  <r>
    <s v="Hidalgo CEL"/>
    <s v="20/01/2026"/>
    <x v="3"/>
    <s v="7503050524241"/>
    <s v="Orgasmik 30ml - DUSA"/>
    <s v="CONSUMIBLE PROPIO"/>
    <s v="DUSA"/>
    <n v="1"/>
    <n v="431.03"/>
  </r>
  <r>
    <s v="Hidalgo CEL"/>
    <s v="20/01/2026"/>
    <x v="3"/>
    <s v="7503013378010"/>
    <s v="Rigidex 2 pzas - DUSA"/>
    <s v="CONSUMIBLE PROPIO"/>
    <s v="DUSA"/>
    <n v="1"/>
    <n v="431.03"/>
  </r>
  <r>
    <s v="Hidalgo CEL"/>
    <s v="21/01/2026"/>
    <x v="9"/>
    <s v="7503013378980"/>
    <s v="Lubricante Body Surf Termico Chicle DUSA 60ml"/>
    <s v="CONSUMIBLE PROPIO"/>
    <s v="DUSA"/>
    <n v="1"/>
    <n v="387.93"/>
  </r>
  <r>
    <s v="Hidalgo CEL"/>
    <s v="24/01/2026"/>
    <x v="9"/>
    <s v="7503043917005"/>
    <s v="Liquid Love Clear 30ml - DUSA"/>
    <s v="CONSUMIBLE PROPIO"/>
    <s v="DUSA"/>
    <n v="1"/>
    <n v="301.72000000000003"/>
  </r>
  <r>
    <s v="Hidalgo CEL"/>
    <s v="24/01/2026"/>
    <x v="9"/>
    <s v="7503013378126"/>
    <s v="Lubricante Body Surf Frio Natural DUSA 60ml"/>
    <s v="CONSUMIBLE PROPIO"/>
    <s v="DUSA"/>
    <n v="1"/>
    <n v="387.93"/>
  </r>
  <r>
    <s v="Hidalgo CEL"/>
    <s v="24/01/2026"/>
    <x v="9"/>
    <s v="7503013378980"/>
    <s v="Lubricante Body Surf Termico Chicle DUSA 60ml"/>
    <s v="CONSUMIBLE PROPIO"/>
    <s v="DUSA"/>
    <n v="1"/>
    <n v="387.93"/>
  </r>
  <r>
    <s v="Hidalgo CEL"/>
    <s v="26/01/2026"/>
    <x v="9"/>
    <s v="7503013378492"/>
    <s v="Clean Whisper 120ml - DUSA"/>
    <s v="CONSUMIBLE PROPIO"/>
    <s v="DUSA"/>
    <n v="1"/>
    <n v="301.72000000000003"/>
  </r>
  <r>
    <s v="Hidalgo CEL"/>
    <s v="26/01/2026"/>
    <x v="9"/>
    <s v="7503043917005"/>
    <s v="Liquid Love Clear 30ml - DUSA"/>
    <s v="CONSUMIBLE PROPIO"/>
    <s v="DUSA"/>
    <n v="1"/>
    <n v="301.72000000000003"/>
  </r>
  <r>
    <s v="Hidalgo CEL"/>
    <s v="26/01/2026"/>
    <x v="9"/>
    <s v="7503020596957"/>
    <s v="Shot Shumatsu Fun Hombre - DUSA"/>
    <s v="CONSUMIBLE PROPIO"/>
    <s v="DUSA"/>
    <n v="1"/>
    <n v="172.41"/>
  </r>
  <r>
    <s v="Hidalgo CEL"/>
    <s v="27/01/2026"/>
    <x v="2"/>
    <s v="7503013378645"/>
    <s v="Liquid Love Pleasure 100ml - DUSA"/>
    <s v="CONSUMIBLE PROPIO"/>
    <s v="DUSA"/>
    <n v="1"/>
    <n v="775.86"/>
  </r>
  <r>
    <s v="Hidalgo CEL"/>
    <s v="29/01/2026"/>
    <x v="2"/>
    <s v="7503020596513"/>
    <s v="Liquid Love Natural 20ml - DUSA"/>
    <s v="CONSUMIBLE PROPIO"/>
    <s v="DUSA"/>
    <n v="1"/>
    <n v="258.62"/>
  </r>
  <r>
    <s v="Hidalgo CEL"/>
    <s v="30/01/2026"/>
    <x v="9"/>
    <s v="7503013378492"/>
    <s v="Clean Whisper 120ml - DUSA"/>
    <s v="CONSUMIBLE PROPIO"/>
    <s v="DUSA"/>
    <n v="1"/>
    <n v="301.72000000000003"/>
  </r>
  <r>
    <s v="Hidalgo CEL"/>
    <s v="30/01/2026"/>
    <x v="9"/>
    <s v="7503020596056"/>
    <s v="He Plus - DUSA"/>
    <s v="CONSUMIBLE PROPIO"/>
    <s v="DUSA"/>
    <n v="1"/>
    <n v="431.03"/>
  </r>
  <r>
    <s v="Hidalgo CEL"/>
    <s v="30/01/2026"/>
    <x v="9"/>
    <s v="7503020596049"/>
    <s v="Sensicool - DUSA"/>
    <s v="CONSUMIBLE PROPIO"/>
    <s v="DUSA"/>
    <n v="1"/>
    <n v="431.03"/>
  </r>
  <r>
    <s v="Hidalgo CEL"/>
    <s v="31/01/2026"/>
    <x v="9"/>
    <s v="7503024256192"/>
    <s v="Shot Shumatsu Fun Mujer - DUSA"/>
    <s v="CONSUMIBLE PROPIO"/>
    <s v="DUSA"/>
    <n v="1"/>
    <n v="172.41"/>
  </r>
  <r>
    <s v="Hidalgo CEL"/>
    <s v="31/01/2026"/>
    <x v="9"/>
    <s v="7503020596063"/>
    <s v="Stallion Regenerador - DUSA"/>
    <s v="CONSUMIBLE PROPIO"/>
    <s v="DUSA"/>
    <n v="1"/>
    <n v="1293.0999999999999"/>
  </r>
  <r>
    <s v="Hotel los Reyes CEL"/>
    <s v="02/01/2026"/>
    <x v="10"/>
    <s v="7503032300993"/>
    <s v="Liquid Love Pleasure 30ml - DUSA"/>
    <s v="CONSUMIBLE PROPIO"/>
    <s v="DUSA"/>
    <n v="1"/>
    <n v="301.72000000000003"/>
  </r>
  <r>
    <s v="Hotel los Reyes CEL"/>
    <s v="02/01/2026"/>
    <x v="10"/>
    <s v="7503024256154"/>
    <s v="Lubricante Body Surf Termico Cereza DUSA 60ml"/>
    <s v="CONSUMIBLE PROPIO"/>
    <s v="DUSA"/>
    <n v="1"/>
    <n v="387.93"/>
  </r>
  <r>
    <s v="Hotel los Reyes CEL"/>
    <s v="02/01/2026"/>
    <x v="10"/>
    <s v="7503020596957"/>
    <s v="Shot Shumatsu Fun Hombre - DUSA"/>
    <s v="CONSUMIBLE PROPIO"/>
    <s v="DUSA"/>
    <n v="2"/>
    <n v="344.82"/>
  </r>
  <r>
    <s v="Hotel los Reyes CEL"/>
    <s v="02/01/2026"/>
    <x v="10"/>
    <s v="7503024256192"/>
    <s v="Shot Shumatsu Fun Mujer - DUSA"/>
    <s v="CONSUMIBLE PROPIO"/>
    <s v="DUSA"/>
    <n v="2"/>
    <n v="344.82"/>
  </r>
  <r>
    <s v="Hotel los Reyes CEL"/>
    <s v="03/01/2026"/>
    <x v="10"/>
    <s v="7503020596513"/>
    <s v="Liquid Love Natural 20ml - DUSA"/>
    <s v="CONSUMIBLE PROPIO"/>
    <s v="DUSA"/>
    <n v="1"/>
    <n v="258.62"/>
  </r>
  <r>
    <s v="Hotel los Reyes CEL"/>
    <s v="03/01/2026"/>
    <x v="10"/>
    <s v="7503050524241"/>
    <s v="Orgasmik 30ml - DUSA"/>
    <s v="CONSUMIBLE PROPIO"/>
    <s v="DUSA"/>
    <n v="1"/>
    <n v="431.03"/>
  </r>
  <r>
    <s v="Hotel los Reyes CEL"/>
    <s v="03/01/2026"/>
    <x v="10"/>
    <s v="7503024256192"/>
    <s v="Shot Shumatsu Fun Mujer - DUSA"/>
    <s v="CONSUMIBLE PROPIO"/>
    <s v="DUSA"/>
    <n v="2"/>
    <n v="344.82"/>
  </r>
  <r>
    <s v="Hotel los Reyes CEL"/>
    <s v="04/01/2026"/>
    <x v="10"/>
    <s v="7503020596513"/>
    <s v="Liquid Love Natural 20ml - DUSA"/>
    <s v="CONSUMIBLE PROPIO"/>
    <s v="DUSA"/>
    <n v="1"/>
    <n v="258.62"/>
  </r>
  <r>
    <s v="Hotel los Reyes CEL"/>
    <s v="04/01/2026"/>
    <x v="10"/>
    <s v="7503020596957"/>
    <s v="Shot Shumatsu Fun Hombre - DUSA"/>
    <s v="CONSUMIBLE PROPIO"/>
    <s v="DUSA"/>
    <n v="1"/>
    <n v="172.41"/>
  </r>
  <r>
    <s v="Hotel los Reyes CEL"/>
    <s v="05/01/2026"/>
    <x v="10"/>
    <s v="7503020596957"/>
    <s v="Shot Shumatsu Fun Hombre - DUSA"/>
    <s v="CONSUMIBLE PROPIO"/>
    <s v="DUSA"/>
    <n v="1"/>
    <n v="172.41"/>
  </r>
  <r>
    <s v="Hotel los Reyes CEL"/>
    <s v="06/01/2026"/>
    <x v="10"/>
    <s v="7503020596513"/>
    <s v="Liquid Love Natural 20ml - DUSA"/>
    <s v="CONSUMIBLE PROPIO"/>
    <s v="DUSA"/>
    <n v="1"/>
    <n v="258.62"/>
  </r>
  <r>
    <s v="Hotel los Reyes CEL"/>
    <s v="07/01/2026"/>
    <x v="10"/>
    <s v="7503020596513"/>
    <s v="Liquid Love Natural 20ml - DUSA"/>
    <s v="CONSUMIBLE PROPIO"/>
    <s v="DUSA"/>
    <n v="1"/>
    <n v="258.62"/>
  </r>
  <r>
    <s v="Hotel los Reyes CEL"/>
    <s v="08/01/2026"/>
    <x v="10"/>
    <s v="7503020596957"/>
    <s v="Shot Shumatsu Fun Hombre - DUSA"/>
    <s v="CONSUMIBLE PROPIO"/>
    <s v="DUSA"/>
    <n v="1"/>
    <n v="172.41"/>
  </r>
  <r>
    <s v="Hotel los Reyes CEL"/>
    <s v="08/01/2026"/>
    <x v="10"/>
    <s v="7503024256192"/>
    <s v="Shot Shumatsu Fun Mujer - DUSA"/>
    <s v="CONSUMIBLE PROPIO"/>
    <s v="DUSA"/>
    <n v="1"/>
    <n v="172.41"/>
  </r>
  <r>
    <s v="Hotel los Reyes CEL"/>
    <s v="10/01/2026"/>
    <x v="10"/>
    <s v="7503013378010"/>
    <s v="Rigidex 2 pzas - DUSA"/>
    <s v="CONSUMIBLE PROPIO"/>
    <s v="DUSA"/>
    <n v="1"/>
    <n v="431.03"/>
  </r>
  <r>
    <s v="Hotel los Reyes CEL"/>
    <s v="11/01/2026"/>
    <x v="10"/>
    <s v="7503020596957"/>
    <s v="Shot Shumatsu Fun Hombre - DUSA"/>
    <s v="CONSUMIBLE PROPIO"/>
    <s v="DUSA"/>
    <n v="2"/>
    <n v="344.82"/>
  </r>
  <r>
    <s v="Hotel los Reyes CEL"/>
    <s v="12/01/2026"/>
    <x v="5"/>
    <s v="7503043917005"/>
    <s v="Liquid Love Clear 30ml - DUSA"/>
    <s v="CONSUMIBLE PROPIO"/>
    <s v="DUSA"/>
    <n v="1"/>
    <n v="301.72000000000003"/>
  </r>
  <r>
    <s v="Hotel los Reyes CEL"/>
    <s v="17/01/2026"/>
    <x v="10"/>
    <s v="7503043917012"/>
    <s v="Liquid Love Backdoor 30ml - DUSA"/>
    <s v="CONSUMIBLE PROPIO"/>
    <s v="DUSA"/>
    <n v="2"/>
    <n v="603.44000000000005"/>
  </r>
  <r>
    <s v="Hotel los Reyes CEL"/>
    <s v="17/01/2026"/>
    <x v="10"/>
    <s v="7503024256154"/>
    <s v="Lubricante Body Surf Termico Cereza DUSA 60ml"/>
    <s v="CONSUMIBLE PROPIO"/>
    <s v="DUSA"/>
    <n v="1"/>
    <n v="387.93"/>
  </r>
  <r>
    <s v="Hotel los Reyes CEL"/>
    <s v="17/01/2026"/>
    <x v="10"/>
    <s v="7503013378980"/>
    <s v="Lubricante Body Surf Termico Chicle DUSA 60ml"/>
    <s v="CONSUMIBLE PROPIO"/>
    <s v="DUSA"/>
    <n v="1"/>
    <n v="387.93"/>
  </r>
  <r>
    <s v="Hotel los Reyes CEL"/>
    <s v="17/01/2026"/>
    <x v="10"/>
    <s v="7503020596957"/>
    <s v="Shot Shumatsu Fun Hombre - DUSA"/>
    <s v="CONSUMIBLE PROPIO"/>
    <s v="DUSA"/>
    <n v="3"/>
    <n v="517.23"/>
  </r>
  <r>
    <s v="Hotel los Reyes CEL"/>
    <s v="17/01/2026"/>
    <x v="10"/>
    <s v="7503024256192"/>
    <s v="Shot Shumatsu Fun Mujer - DUSA"/>
    <s v="CONSUMIBLE PROPIO"/>
    <s v="DUSA"/>
    <n v="2"/>
    <n v="344.82"/>
  </r>
  <r>
    <s v="Hotel los Reyes CEL"/>
    <s v="19/01/2026"/>
    <x v="2"/>
    <s v="7503032300993"/>
    <s v="Liquid Love Pleasure 30ml - DUSA"/>
    <s v="CONSUMIBLE PROPIO"/>
    <s v="DUSA"/>
    <n v="1"/>
    <n v="301.72000000000003"/>
  </r>
  <r>
    <s v="Hotel los Reyes CEL"/>
    <s v="20/01/2026"/>
    <x v="10"/>
    <s v="7503043917012"/>
    <s v="Liquid Love Backdoor 30ml - DUSA"/>
    <s v="CONSUMIBLE PROPIO"/>
    <s v="DUSA"/>
    <n v="1"/>
    <n v="301.72000000000003"/>
  </r>
  <r>
    <s v="Hotel los Reyes CEL"/>
    <s v="20/01/2026"/>
    <x v="10"/>
    <s v="7503024256192"/>
    <s v="Shot Shumatsu Fun Mujer - DUSA"/>
    <s v="CONSUMIBLE PROPIO"/>
    <s v="DUSA"/>
    <n v="1"/>
    <n v="172.41"/>
  </r>
  <r>
    <s v="Hotel los Reyes CEL"/>
    <s v="21/01/2026"/>
    <x v="10"/>
    <s v="7503020596957"/>
    <s v="Shot Shumatsu Fun Hombre - DUSA"/>
    <s v="CONSUMIBLE PROPIO"/>
    <s v="DUSA"/>
    <n v="1"/>
    <n v="172.41"/>
  </r>
  <r>
    <s v="Hotel los Reyes CEL"/>
    <s v="22/01/2026"/>
    <x v="10"/>
    <s v="7503024256192"/>
    <s v="Shot Shumatsu Fun Mujer - DUSA"/>
    <s v="CONSUMIBLE PROPIO"/>
    <s v="DUSA"/>
    <n v="1"/>
    <n v="172.41"/>
  </r>
  <r>
    <s v="Hotel los Reyes CEL"/>
    <s v="23/01/2026"/>
    <x v="10"/>
    <s v="7503043917012"/>
    <s v="Liquid Love Backdoor 30ml - DUSA"/>
    <s v="CONSUMIBLE PROPIO"/>
    <s v="DUSA"/>
    <n v="1"/>
    <n v="301.72000000000003"/>
  </r>
  <r>
    <s v="Hotel los Reyes CEL"/>
    <s v="23/01/2026"/>
    <x v="10"/>
    <s v="7503013378010"/>
    <s v="Rigidex 2 pzas - DUSA"/>
    <s v="CONSUMIBLE PROPIO"/>
    <s v="DUSA"/>
    <n v="2"/>
    <n v="862.07"/>
  </r>
  <r>
    <s v="Hotel los Reyes CEL"/>
    <s v="23/01/2026"/>
    <x v="10"/>
    <s v="7503020596957"/>
    <s v="Shot Shumatsu Fun Hombre - DUSA"/>
    <s v="CONSUMIBLE PROPIO"/>
    <s v="DUSA"/>
    <n v="1"/>
    <n v="172.41"/>
  </r>
  <r>
    <s v="Hotel los Reyes CEL"/>
    <s v="23/01/2026"/>
    <x v="10"/>
    <s v="7503024256192"/>
    <s v="Shot Shumatsu Fun Mujer - DUSA"/>
    <s v="CONSUMIBLE PROPIO"/>
    <s v="DUSA"/>
    <n v="1"/>
    <n v="172.41"/>
  </r>
  <r>
    <s v="Hotel los Reyes CEL"/>
    <s v="24/01/2026"/>
    <x v="10"/>
    <s v="7503043917005"/>
    <s v="Liquid Love Clear 30ml - DUSA"/>
    <s v="CONSUMIBLE PROPIO"/>
    <s v="DUSA"/>
    <n v="1"/>
    <n v="301.72000000000003"/>
  </r>
  <r>
    <s v="Hotel los Reyes CEL"/>
    <s v="24/01/2026"/>
    <x v="10"/>
    <s v="7503032300993"/>
    <s v="Liquid Love Pleasure 30ml - DUSA"/>
    <s v="CONSUMIBLE PROPIO"/>
    <s v="DUSA"/>
    <n v="1"/>
    <n v="301.72000000000003"/>
  </r>
  <r>
    <s v="Hotel los Reyes CEL"/>
    <s v="25/01/2026"/>
    <x v="10"/>
    <s v="7503043917012"/>
    <s v="Liquid Love Backdoor 30ml - DUSA"/>
    <s v="CONSUMIBLE PROPIO"/>
    <s v="DUSA"/>
    <n v="2"/>
    <n v="603.44000000000005"/>
  </r>
  <r>
    <s v="Hotel los Reyes CEL"/>
    <s v="25/01/2026"/>
    <x v="10"/>
    <s v="7503020596957"/>
    <s v="Shot Shumatsu Fun Hombre - DUSA"/>
    <s v="CONSUMIBLE PROPIO"/>
    <s v="DUSA"/>
    <n v="1"/>
    <n v="172.41"/>
  </r>
  <r>
    <s v="Hotel los Reyes CEL"/>
    <s v="26/01/2026"/>
    <x v="10"/>
    <s v="7503020596957"/>
    <s v="Shot Shumatsu Fun Hombre - DUSA"/>
    <s v="CONSUMIBLE PROPIO"/>
    <s v="DUSA"/>
    <n v="1"/>
    <n v="172.41"/>
  </r>
  <r>
    <s v="Hotel los Reyes CEL"/>
    <s v="26/01/2026"/>
    <x v="10"/>
    <s v="7503024256192"/>
    <s v="Shot Shumatsu Fun Mujer - DUSA"/>
    <s v="CONSUMIBLE PROPIO"/>
    <s v="DUSA"/>
    <n v="1"/>
    <n v="172.41"/>
  </r>
  <r>
    <s v="Hotel los Reyes CEL"/>
    <s v="27/01/2026"/>
    <x v="1"/>
    <s v="7503050524241"/>
    <s v="Orgasmik 30ml - DUSA"/>
    <s v="CONSUMIBLE PROPIO"/>
    <s v="DUSA"/>
    <n v="1"/>
    <n v="431.03"/>
  </r>
  <r>
    <s v="Hotel los Reyes CEL"/>
    <s v="29/01/2026"/>
    <x v="10"/>
    <s v="7503013378010"/>
    <s v="Rigidex 2 pzas - DUSA"/>
    <s v="CONSUMIBLE PROPIO"/>
    <s v="DUSA"/>
    <n v="1"/>
    <n v="431.03"/>
  </r>
  <r>
    <s v="Hotel los Reyes CEL"/>
    <s v="30/01/2026"/>
    <x v="10"/>
    <s v="7503024256154"/>
    <s v="Lubricante Body Surf Termico Cereza DUSA 60ml"/>
    <s v="CONSUMIBLE PROPIO"/>
    <s v="DUSA"/>
    <n v="1"/>
    <n v="387.93"/>
  </r>
  <r>
    <s v="Hotel los Reyes CEL"/>
    <s v="30/01/2026"/>
    <x v="10"/>
    <s v="7503013378799"/>
    <s v="Lubricante Body Surf Termico Citricos DUSA 60ml"/>
    <s v="CONSUMIBLE PROPIO"/>
    <s v="DUSA"/>
    <n v="1"/>
    <n v="387.93"/>
  </r>
  <r>
    <s v="Hotel los Reyes CEL"/>
    <s v="30/01/2026"/>
    <x v="10"/>
    <s v="7503020596957"/>
    <s v="Shot Shumatsu Fun Hombre - DUSA"/>
    <s v="CONSUMIBLE PROPIO"/>
    <s v="DUSA"/>
    <n v="1"/>
    <n v="172.41"/>
  </r>
  <r>
    <s v="Hotel los Reyes CEL"/>
    <s v="31/01/2026"/>
    <x v="10"/>
    <s v="7503043917005"/>
    <s v="Liquid Love Clear 30ml - DUSA"/>
    <s v="CONSUMIBLE PROPIO"/>
    <s v="DUSA"/>
    <n v="2"/>
    <n v="603.44000000000005"/>
  </r>
  <r>
    <s v="León 1 CEL"/>
    <s v="02/01/2026"/>
    <x v="11"/>
    <s v="7503013378645"/>
    <s v="Liquid Love Pleasure 100ml - DUSA"/>
    <s v="CONSUMIBLE PROPIO"/>
    <s v="DUSA"/>
    <n v="1"/>
    <n v="775.86"/>
  </r>
  <r>
    <s v="León 1 CEL"/>
    <s v="03/01/2026"/>
    <x v="11"/>
    <s v="7503024256154"/>
    <s v="Lubricante Body Surf Termico Cereza DUSA 60ml"/>
    <s v="CONSUMIBLE PROPIO"/>
    <s v="DUSA"/>
    <n v="1"/>
    <n v="387.93"/>
  </r>
  <r>
    <s v="León 1 CEL"/>
    <s v="03/01/2026"/>
    <x v="11"/>
    <s v="7503024256192"/>
    <s v="Shot Shumatsu Fun Mujer - DUSA"/>
    <s v="CONSUMIBLE PROPIO"/>
    <s v="DUSA"/>
    <n v="1"/>
    <n v="172.41"/>
  </r>
  <r>
    <s v="León 1 CEL"/>
    <s v="05/01/2026"/>
    <x v="11"/>
    <s v="7503020596001"/>
    <s v="Liquid Love Clear 100ml - DUSA"/>
    <s v="CONSUMIBLE PROPIO"/>
    <s v="DUSA"/>
    <n v="1"/>
    <n v="775.86"/>
  </r>
  <r>
    <s v="León 1 CEL"/>
    <s v="05/01/2026"/>
    <x v="11"/>
    <s v="7503013378645"/>
    <s v="Liquid Love Pleasure 100ml - DUSA"/>
    <s v="CONSUMIBLE PROPIO"/>
    <s v="DUSA"/>
    <n v="1"/>
    <n v="775.86"/>
  </r>
  <r>
    <s v="León 1 CEL"/>
    <s v="05/01/2026"/>
    <x v="11"/>
    <s v="7503024256192"/>
    <s v="Shot Shumatsu Fun Mujer - DUSA"/>
    <s v="CONSUMIBLE PROPIO"/>
    <s v="DUSA"/>
    <n v="1"/>
    <n v="172.41"/>
  </r>
  <r>
    <s v="León 1 CEL"/>
    <s v="05/01/2026"/>
    <x v="11"/>
    <s v="7503010217045"/>
    <s v="Vela para masaje red love - DUSA"/>
    <s v="CONSUMIBLE PROPIO"/>
    <s v="DUSA"/>
    <n v="1"/>
    <n v="241.38"/>
  </r>
  <r>
    <s v="León 1 CEL"/>
    <s v="07/01/2026"/>
    <x v="11"/>
    <s v="7503050524265"/>
    <s v="He Plus 30ml - DUSA"/>
    <s v="CONSUMIBLE PROPIO"/>
    <s v="DUSA"/>
    <n v="2"/>
    <n v="862.06"/>
  </r>
  <r>
    <s v="León 1 CEL"/>
    <s v="07/01/2026"/>
    <x v="11"/>
    <s v="7503013378126"/>
    <s v="Lubricante Body Surf Frio Natural DUSA 60ml"/>
    <s v="CONSUMIBLE PROPIO"/>
    <s v="DUSA"/>
    <n v="1"/>
    <n v="387.93"/>
  </r>
  <r>
    <s v="León 1 CEL"/>
    <s v="08/01/2026"/>
    <x v="11"/>
    <s v="7503020596001"/>
    <s v="Liquid Love Clear 100ml - DUSA"/>
    <s v="CONSUMIBLE PROPIO"/>
    <s v="DUSA"/>
    <n v="1"/>
    <n v="775.86"/>
  </r>
  <r>
    <s v="León 1 CEL"/>
    <s v="08/01/2026"/>
    <x v="11"/>
    <s v="7503013378645"/>
    <s v="Liquid Love Pleasure 100ml - DUSA"/>
    <s v="CONSUMIBLE PROPIO"/>
    <s v="DUSA"/>
    <n v="1"/>
    <n v="775.86"/>
  </r>
  <r>
    <s v="León 1 CEL"/>
    <s v="10/01/2026"/>
    <x v="11"/>
    <s v="7503050524265"/>
    <s v="He Plus 30ml - DUSA"/>
    <s v="CONSUMIBLE PROPIO"/>
    <s v="DUSA"/>
    <n v="1"/>
    <n v="431.03"/>
  </r>
  <r>
    <s v="León 1 CEL"/>
    <s v="10/01/2026"/>
    <x v="11"/>
    <s v="7503024256192"/>
    <s v="Shot Shumatsu Fun Mujer - DUSA"/>
    <s v="CONSUMIBLE PROPIO"/>
    <s v="DUSA"/>
    <n v="1"/>
    <n v="172.41"/>
  </r>
  <r>
    <s v="León 1 CEL"/>
    <s v="12/01/2026"/>
    <x v="11"/>
    <s v="7503013378652"/>
    <s v="Liquid Love Backdoor 100ml - DUSA"/>
    <s v="CONSUMIBLE PROPIO"/>
    <s v="DUSA"/>
    <n v="1"/>
    <n v="1077.5899999999999"/>
  </r>
  <r>
    <s v="León 1 CEL"/>
    <s v="13/01/2026"/>
    <x v="11"/>
    <s v="7503013378980"/>
    <s v="Lubricante Body Surf Termico Chicle DUSA 60ml"/>
    <s v="CONSUMIBLE PROPIO"/>
    <s v="DUSA"/>
    <n v="1"/>
    <n v="387.93"/>
  </r>
  <r>
    <s v="León 1 CEL"/>
    <s v="14/01/2026"/>
    <x v="11"/>
    <s v="7503050524265"/>
    <s v="He Plus 30ml - DUSA"/>
    <s v="CONSUMIBLE PROPIO"/>
    <s v="DUSA"/>
    <n v="1"/>
    <n v="431.03"/>
  </r>
  <r>
    <s v="León 1 CEL"/>
    <s v="14/01/2026"/>
    <x v="11"/>
    <s v="7503013378980"/>
    <s v="Lubricante Body Surf Termico Chicle DUSA 60ml"/>
    <s v="CONSUMIBLE PROPIO"/>
    <s v="DUSA"/>
    <n v="1"/>
    <n v="387.93"/>
  </r>
  <r>
    <s v="León 1 CEL"/>
    <s v="15/01/2026"/>
    <x v="11"/>
    <s v="7503024256154"/>
    <s v="Lubricante Body Surf Termico Cereza DUSA 60ml"/>
    <s v="CONSUMIBLE PROPIO"/>
    <s v="DUSA"/>
    <n v="1"/>
    <n v="387.93"/>
  </r>
  <r>
    <s v="León 1 CEL"/>
    <s v="15/01/2026"/>
    <x v="11"/>
    <s v="7503013378980"/>
    <s v="Lubricante Body Surf Termico Chicle DUSA 60ml"/>
    <s v="CONSUMIBLE PROPIO"/>
    <s v="DUSA"/>
    <n v="1"/>
    <n v="387.93"/>
  </r>
  <r>
    <s v="León 1 CEL"/>
    <s v="15/01/2026"/>
    <x v="11"/>
    <s v="7503024256192"/>
    <s v="Shot Shumatsu Fun Mujer - DUSA"/>
    <s v="CONSUMIBLE PROPIO"/>
    <s v="DUSA"/>
    <n v="1"/>
    <n v="172.41"/>
  </r>
  <r>
    <s v="León 1 CEL"/>
    <s v="16/01/2026"/>
    <x v="11"/>
    <s v="7503032300993"/>
    <s v="Liquid Love Pleasure 30ml - DUSA"/>
    <s v="CONSUMIBLE PROPIO"/>
    <s v="DUSA"/>
    <n v="1"/>
    <n v="301.72000000000003"/>
  </r>
  <r>
    <s v="León 1 CEL"/>
    <s v="16/01/2026"/>
    <x v="11"/>
    <s v="7503020596957"/>
    <s v="Shot Shumatsu Fun Hombre - DUSA"/>
    <s v="CONSUMIBLE PROPIO"/>
    <s v="DUSA"/>
    <n v="1"/>
    <n v="172.41"/>
  </r>
  <r>
    <s v="León 1 CEL"/>
    <s v="17/01/2026"/>
    <x v="11"/>
    <s v="7503050524265"/>
    <s v="He Plus 30ml - DUSA"/>
    <s v="CONSUMIBLE PROPIO"/>
    <s v="DUSA"/>
    <n v="1"/>
    <n v="431.03"/>
  </r>
  <r>
    <s v="León 1 CEL"/>
    <s v="21/01/2026"/>
    <x v="11"/>
    <s v="7503024256154"/>
    <s v="Lubricante Body Surf Termico Cereza DUSA 60ml"/>
    <s v="CONSUMIBLE PROPIO"/>
    <s v="DUSA"/>
    <n v="1"/>
    <n v="387.93"/>
  </r>
  <r>
    <s v="León 1 CEL"/>
    <s v="21/01/2026"/>
    <x v="11"/>
    <s v="7503020596957"/>
    <s v="Shot Shumatsu Fun Hombre - DUSA"/>
    <s v="CONSUMIBLE PROPIO"/>
    <s v="DUSA"/>
    <n v="3"/>
    <n v="517.23"/>
  </r>
  <r>
    <s v="León 1 CEL"/>
    <s v="22/01/2026"/>
    <x v="11"/>
    <s v="7503024256154"/>
    <s v="Lubricante Body Surf Termico Cereza DUSA 60ml"/>
    <s v="CONSUMIBLE PROPIO"/>
    <s v="DUSA"/>
    <n v="1"/>
    <n v="387.93"/>
  </r>
  <r>
    <s v="León 1 CEL"/>
    <s v="22/01/2026"/>
    <x v="11"/>
    <s v="7503020596957"/>
    <s v="Shot Shumatsu Fun Hombre - DUSA"/>
    <s v="CONSUMIBLE PROPIO"/>
    <s v="DUSA"/>
    <n v="1"/>
    <n v="172.41"/>
  </r>
  <r>
    <s v="León 1 CEL"/>
    <s v="23/01/2026"/>
    <x v="11"/>
    <s v="7503013378492"/>
    <s v="Clean Whisper 120ml - DUSA"/>
    <s v="CONSUMIBLE PROPIO"/>
    <s v="DUSA"/>
    <n v="1"/>
    <n v="301.72000000000003"/>
  </r>
  <r>
    <s v="León 1 CEL"/>
    <s v="23/01/2026"/>
    <x v="11"/>
    <s v="7503032300993"/>
    <s v="Liquid Love Pleasure 30ml - DUSA"/>
    <s v="CONSUMIBLE PROPIO"/>
    <s v="DUSA"/>
    <n v="1"/>
    <n v="301.72000000000003"/>
  </r>
  <r>
    <s v="León 1 CEL"/>
    <s v="23/01/2026"/>
    <x v="11"/>
    <s v="7503013378799"/>
    <s v="Lubricante Body Surf Termico Citricos DUSA 60ml"/>
    <s v="CONSUMIBLE PROPIO"/>
    <s v="DUSA"/>
    <n v="1"/>
    <n v="387.93"/>
  </r>
  <r>
    <s v="León 1 CEL"/>
    <s v="23/01/2026"/>
    <x v="11"/>
    <s v="7503020596957"/>
    <s v="Shot Shumatsu Fun Hombre - DUSA"/>
    <s v="CONSUMIBLE PROPIO"/>
    <s v="DUSA"/>
    <n v="2"/>
    <n v="344.82"/>
  </r>
  <r>
    <s v="León 1 CEL"/>
    <s v="24/01/2026"/>
    <x v="11"/>
    <s v="7503024256192"/>
    <s v="Shot Shumatsu Fun Mujer - DUSA"/>
    <s v="CONSUMIBLE PROPIO"/>
    <s v="DUSA"/>
    <n v="1"/>
    <n v="172.41"/>
  </r>
  <r>
    <s v="León 1 CEL"/>
    <s v="26/01/2026"/>
    <x v="11"/>
    <s v="7503032300993"/>
    <s v="Liquid Love Pleasure 30ml - DUSA"/>
    <s v="CONSUMIBLE PROPIO"/>
    <s v="DUSA"/>
    <n v="1"/>
    <n v="301.72000000000003"/>
  </r>
  <r>
    <s v="León 1 CEL"/>
    <s v="27/01/2026"/>
    <x v="11"/>
    <s v="7503032300993"/>
    <s v="Liquid Love Pleasure 30ml - DUSA"/>
    <s v="CONSUMIBLE PROPIO"/>
    <s v="DUSA"/>
    <n v="1"/>
    <n v="301.72000000000003"/>
  </r>
  <r>
    <s v="León 1 CEL"/>
    <s v="27/01/2026"/>
    <x v="11"/>
    <s v="7503020596957"/>
    <s v="Shot Shumatsu Fun Hombre - DUSA"/>
    <s v="CONSUMIBLE PROPIO"/>
    <s v="DUSA"/>
    <n v="1"/>
    <n v="172.41"/>
  </r>
  <r>
    <s v="León 1 CEL"/>
    <s v="28/01/2026"/>
    <x v="11"/>
    <s v="7503032300993"/>
    <s v="Liquid Love Pleasure 30ml - DUSA"/>
    <s v="CONSUMIBLE PROPIO"/>
    <s v="DUSA"/>
    <n v="1"/>
    <n v="301.72000000000003"/>
  </r>
  <r>
    <s v="León 1 CEL"/>
    <s v="29/01/2026"/>
    <x v="11"/>
    <s v="7503043917005"/>
    <s v="Liquid Love Clear 30ml - DUSA"/>
    <s v="CONSUMIBLE PROPIO"/>
    <s v="DUSA"/>
    <n v="1"/>
    <n v="301.72000000000003"/>
  </r>
  <r>
    <s v="León 1 CEL"/>
    <s v="29/01/2026"/>
    <x v="11"/>
    <s v="7503013378980"/>
    <s v="Lubricante Body Surf Termico Chicle DUSA 60ml"/>
    <s v="CONSUMIBLE PROPIO"/>
    <s v="DUSA"/>
    <n v="1"/>
    <n v="387.93"/>
  </r>
  <r>
    <s v="León 1 CEL"/>
    <s v="29/01/2026"/>
    <x v="11"/>
    <s v="7503020596957"/>
    <s v="Shot Shumatsu Fun Hombre - DUSA"/>
    <s v="CONSUMIBLE PROPIO"/>
    <s v="DUSA"/>
    <n v="1"/>
    <n v="172.41"/>
  </r>
  <r>
    <s v="León 1 CEL"/>
    <s v="29/01/2026"/>
    <x v="11"/>
    <s v="7503024256192"/>
    <s v="Shot Shumatsu Fun Mujer - DUSA"/>
    <s v="CONSUMIBLE PROPIO"/>
    <s v="DUSA"/>
    <n v="1"/>
    <n v="172.41"/>
  </r>
  <r>
    <s v="León 1 CEL"/>
    <s v="30/01/2026"/>
    <x v="11"/>
    <s v="7503032300993"/>
    <s v="Liquid Love Pleasure 30ml - DUSA"/>
    <s v="CONSUMIBLE PROPIO"/>
    <s v="DUSA"/>
    <n v="1"/>
    <n v="301.72000000000003"/>
  </r>
  <r>
    <s v="León 1 CEL"/>
    <s v="30/01/2026"/>
    <x v="11"/>
    <s v="7503013378799"/>
    <s v="Lubricante Body Surf Termico Citricos DUSA 60ml"/>
    <s v="CONSUMIBLE PROPIO"/>
    <s v="DUSA"/>
    <n v="1"/>
    <n v="387.93"/>
  </r>
  <r>
    <s v="León 1 CEL"/>
    <s v="30/01/2026"/>
    <x v="11"/>
    <s v="7503020596957"/>
    <s v="Shot Shumatsu Fun Hombre - DUSA"/>
    <s v="CONSUMIBLE PROPIO"/>
    <s v="DUSA"/>
    <n v="1"/>
    <n v="172.41"/>
  </r>
  <r>
    <s v="León 1 CEL"/>
    <s v="31/01/2026"/>
    <x v="11"/>
    <s v="7503032300993"/>
    <s v="Liquid Love Pleasure 30ml - DUSA"/>
    <s v="CONSUMIBLE PROPIO"/>
    <s v="DUSA"/>
    <n v="2"/>
    <n v="603.44000000000005"/>
  </r>
  <r>
    <s v="León 1 CEL"/>
    <s v="31/01/2026"/>
    <x v="11"/>
    <s v="7503020596957"/>
    <s v="Shot Shumatsu Fun Hombre - DUSA"/>
    <s v="CONSUMIBLE PROPIO"/>
    <s v="DUSA"/>
    <n v="3"/>
    <n v="517.23"/>
  </r>
  <r>
    <s v="Naciones Unidas CEL"/>
    <s v="02/01/2026"/>
    <x v="12"/>
    <s v="7503020596957"/>
    <s v="Shot Shumatsu Fun Hombre - DUSA"/>
    <s v="CONSUMIBLE PROPIO"/>
    <s v="DUSA"/>
    <n v="2"/>
    <n v="344.82"/>
  </r>
  <r>
    <s v="Naciones Unidas CEL"/>
    <s v="03/01/2026"/>
    <x v="12"/>
    <s v="7503050524265"/>
    <s v="He Plus 30ml - DUSA"/>
    <s v="CONSUMIBLE PROPIO"/>
    <s v="DUSA"/>
    <n v="1"/>
    <n v="431.03"/>
  </r>
  <r>
    <s v="Naciones Unidas CEL"/>
    <s v="05/01/2026"/>
    <x v="12"/>
    <s v="7503013378645"/>
    <s v="Liquid Love Pleasure 100ml - DUSA"/>
    <s v="CONSUMIBLE PROPIO"/>
    <s v="DUSA"/>
    <n v="1"/>
    <n v="775.86"/>
  </r>
  <r>
    <s v="Naciones Unidas CEL"/>
    <s v="05/01/2026"/>
    <x v="12"/>
    <s v="7503013378126"/>
    <s v="Lubricante Body Surf Frio Natural DUSA 60ml"/>
    <s v="CONSUMIBLE PROPIO"/>
    <s v="DUSA"/>
    <n v="1"/>
    <n v="387.93"/>
  </r>
  <r>
    <s v="Naciones Unidas CEL"/>
    <s v="05/01/2026"/>
    <x v="12"/>
    <s v="7503050524241"/>
    <s v="Orgasmik 30ml - DUSA"/>
    <s v="CONSUMIBLE PROPIO"/>
    <s v="DUSA"/>
    <n v="1"/>
    <n v="431.03"/>
  </r>
  <r>
    <s v="Naciones Unidas CEL"/>
    <s v="05/01/2026"/>
    <x v="12"/>
    <s v="7503050524258"/>
    <s v="Sensicool 30ml - DUSA"/>
    <s v="CONSUMIBLE PROPIO"/>
    <s v="DUSA"/>
    <n v="1"/>
    <n v="431.03"/>
  </r>
  <r>
    <s v="Naciones Unidas CEL"/>
    <s v="05/01/2026"/>
    <x v="12"/>
    <s v="7503020596957"/>
    <s v="Shot Shumatsu Fun Hombre - DUSA"/>
    <s v="CONSUMIBLE PROPIO"/>
    <s v="DUSA"/>
    <n v="5"/>
    <n v="862.05"/>
  </r>
  <r>
    <s v="Naciones Unidas CEL"/>
    <s v="05/01/2026"/>
    <x v="12"/>
    <s v="7503024256192"/>
    <s v="Shot Shumatsu Fun Mujer - DUSA"/>
    <s v="CONSUMIBLE PROPIO"/>
    <s v="DUSA"/>
    <n v="4"/>
    <n v="689.64"/>
  </r>
  <r>
    <s v="Naciones Unidas CEL"/>
    <s v="06/01/2026"/>
    <x v="12"/>
    <s v="7503013378645"/>
    <s v="Liquid Love Pleasure 100ml - DUSA"/>
    <s v="CONSUMIBLE PROPIO"/>
    <s v="DUSA"/>
    <n v="1"/>
    <n v="775.86"/>
  </r>
  <r>
    <s v="Naciones Unidas CEL"/>
    <s v="06/01/2026"/>
    <x v="12"/>
    <s v="7503024256192"/>
    <s v="Shot Shumatsu Fun Mujer - DUSA"/>
    <s v="CONSUMIBLE PROPIO"/>
    <s v="DUSA"/>
    <n v="1"/>
    <n v="172.41"/>
  </r>
  <r>
    <s v="Naciones Unidas CEL"/>
    <s v="07/01/2026"/>
    <x v="12"/>
    <s v="7503032300993"/>
    <s v="Liquid Love Pleasure 30ml - DUSA"/>
    <s v="CONSUMIBLE PROPIO"/>
    <s v="DUSA"/>
    <n v="1"/>
    <n v="301.72000000000003"/>
  </r>
  <r>
    <s v="Naciones Unidas CEL"/>
    <s v="08/01/2026"/>
    <x v="12"/>
    <s v="7503013378492"/>
    <s v="Clean Whisper 120ml - DUSA"/>
    <s v="CONSUMIBLE PROPIO"/>
    <s v="DUSA"/>
    <n v="1"/>
    <n v="301.72000000000003"/>
  </r>
  <r>
    <s v="Naciones Unidas CEL"/>
    <s v="08/01/2026"/>
    <x v="12"/>
    <s v="7503043917012"/>
    <s v="Liquid Love Backdoor 30ml - DUSA"/>
    <s v="CONSUMIBLE PROPIO"/>
    <s v="DUSA"/>
    <n v="1"/>
    <n v="301.72000000000003"/>
  </r>
  <r>
    <s v="Naciones Unidas CEL"/>
    <s v="08/01/2026"/>
    <x v="12"/>
    <s v="7503032300993"/>
    <s v="Liquid Love Pleasure 30ml - DUSA"/>
    <s v="CONSUMIBLE PROPIO"/>
    <s v="DUSA"/>
    <n v="2"/>
    <n v="603.44000000000005"/>
  </r>
  <r>
    <s v="Naciones Unidas CEL"/>
    <s v="08/01/2026"/>
    <x v="12"/>
    <s v="7503013378645"/>
    <s v="Liquid Love Pleasure 100ml - DUSA"/>
    <s v="CONSUMIBLE PROPIO"/>
    <s v="DUSA"/>
    <n v="1"/>
    <n v="775.86"/>
  </r>
  <r>
    <s v="Naciones Unidas CEL"/>
    <s v="08/01/2026"/>
    <x v="12"/>
    <s v="7503013378010"/>
    <s v="Rigidex 2 pzas - DUSA"/>
    <s v="CONSUMIBLE PROPIO"/>
    <s v="DUSA"/>
    <n v="1"/>
    <n v="431.03"/>
  </r>
  <r>
    <s v="Naciones Unidas CEL"/>
    <s v="08/01/2026"/>
    <x v="12"/>
    <s v="7503020596063"/>
    <s v="Stallion Regenerador - DUSA"/>
    <s v="CONSUMIBLE PROPIO"/>
    <s v="DUSA"/>
    <n v="1"/>
    <n v="1293.0999999999999"/>
  </r>
  <r>
    <s v="Naciones Unidas CEL"/>
    <s v="10/01/2026"/>
    <x v="12"/>
    <s v="7503013378652"/>
    <s v="Liquid Love Backdoor 100ml - DUSA"/>
    <s v="CONSUMIBLE PROPIO"/>
    <s v="DUSA"/>
    <n v="1"/>
    <n v="1077.5899999999999"/>
  </r>
  <r>
    <s v="Naciones Unidas CEL"/>
    <s v="10/01/2026"/>
    <x v="12"/>
    <s v="7503024256192"/>
    <s v="Shot Shumatsu Fun Mujer - DUSA"/>
    <s v="CONSUMIBLE PROPIO"/>
    <s v="DUSA"/>
    <n v="1"/>
    <n v="172.41"/>
  </r>
  <r>
    <s v="Naciones Unidas CEL"/>
    <s v="14/01/2026"/>
    <x v="12"/>
    <s v="7503024256154"/>
    <s v="Lubricante Body Surf Termico Cereza DUSA 60ml"/>
    <s v="CONSUMIBLE PROPIO"/>
    <s v="DUSA"/>
    <n v="1"/>
    <n v="387.93"/>
  </r>
  <r>
    <s v="Naciones Unidas CEL"/>
    <s v="14/01/2026"/>
    <x v="12"/>
    <s v="7503024256192"/>
    <s v="Shot Shumatsu Fun Mujer - DUSA"/>
    <s v="CONSUMIBLE PROPIO"/>
    <s v="DUSA"/>
    <n v="1"/>
    <n v="172.41"/>
  </r>
  <r>
    <s v="Naciones Unidas CEL"/>
    <s v="15/01/2026"/>
    <x v="12"/>
    <s v="7503013378010"/>
    <s v="Rigidex 2 pzas - DUSA"/>
    <s v="CONSUMIBLE PROPIO"/>
    <s v="DUSA"/>
    <n v="1"/>
    <n v="431.03"/>
  </r>
  <r>
    <s v="Naciones Unidas CEL"/>
    <s v="15/01/2026"/>
    <x v="12"/>
    <s v="7503024256192"/>
    <s v="Shot Shumatsu Fun Mujer - DUSA"/>
    <s v="CONSUMIBLE PROPIO"/>
    <s v="DUSA"/>
    <n v="2"/>
    <n v="344.82"/>
  </r>
  <r>
    <s v="Naciones Unidas CEL"/>
    <s v="17/01/2026"/>
    <x v="12"/>
    <s v="7503050524265"/>
    <s v="He Plus 30ml - DUSA"/>
    <s v="CONSUMIBLE PROPIO"/>
    <s v="DUSA"/>
    <n v="1"/>
    <n v="431.03"/>
  </r>
  <r>
    <s v="Naciones Unidas CEL"/>
    <s v="17/01/2026"/>
    <x v="12"/>
    <s v="7503032300993"/>
    <s v="Liquid Love Pleasure 30ml - DUSA"/>
    <s v="CONSUMIBLE PROPIO"/>
    <s v="DUSA"/>
    <n v="1"/>
    <n v="301.72000000000003"/>
  </r>
  <r>
    <s v="Naciones Unidas CEL"/>
    <s v="17/01/2026"/>
    <x v="12"/>
    <s v="7503024256154"/>
    <s v="Lubricante Body Surf Termico Cereza DUSA 60ml"/>
    <s v="CONSUMIBLE PROPIO"/>
    <s v="DUSA"/>
    <n v="1"/>
    <n v="387.93"/>
  </r>
  <r>
    <s v="Naciones Unidas CEL"/>
    <s v="17/01/2026"/>
    <x v="12"/>
    <s v="7503013378799"/>
    <s v="Lubricante Body Surf Termico Citricos DUSA 60ml"/>
    <s v="CONSUMIBLE PROPIO"/>
    <s v="DUSA"/>
    <n v="1"/>
    <n v="387.93"/>
  </r>
  <r>
    <s v="Naciones Unidas CEL"/>
    <s v="17/01/2026"/>
    <x v="12"/>
    <s v="7503024256192"/>
    <s v="Shot Shumatsu Fun Mujer - DUSA"/>
    <s v="CONSUMIBLE PROPIO"/>
    <s v="DUSA"/>
    <n v="1"/>
    <n v="172.41"/>
  </r>
  <r>
    <s v="Naciones Unidas CEL"/>
    <s v="19/01/2026"/>
    <x v="12"/>
    <s v="7503013378645"/>
    <s v="Liquid Love Pleasure 100ml - DUSA"/>
    <s v="CONSUMIBLE PROPIO"/>
    <s v="DUSA"/>
    <n v="1"/>
    <n v="775.86"/>
  </r>
  <r>
    <s v="Naciones Unidas CEL"/>
    <s v="19/01/2026"/>
    <x v="12"/>
    <s v="7503050524241"/>
    <s v="Orgasmik 30ml - DUSA"/>
    <s v="CONSUMIBLE PROPIO"/>
    <s v="DUSA"/>
    <n v="1"/>
    <n v="431.03"/>
  </r>
  <r>
    <s v="Naciones Unidas CEL"/>
    <s v="19/01/2026"/>
    <x v="12"/>
    <s v="7503020596957"/>
    <s v="Shot Shumatsu Fun Hombre - DUSA"/>
    <s v="CONSUMIBLE PROPIO"/>
    <s v="DUSA"/>
    <n v="1"/>
    <n v="172.41"/>
  </r>
  <r>
    <s v="Naciones Unidas CEL"/>
    <s v="19/01/2026"/>
    <x v="12"/>
    <s v="7503024256192"/>
    <s v="Shot Shumatsu Fun Mujer - DUSA"/>
    <s v="CONSUMIBLE PROPIO"/>
    <s v="DUSA"/>
    <n v="1"/>
    <n v="172.41"/>
  </r>
  <r>
    <s v="Naciones Unidas CEL"/>
    <s v="22/01/2026"/>
    <x v="12"/>
    <s v="7503013378652"/>
    <s v="Liquid Love Backdoor 100ml - DUSA"/>
    <s v="CONSUMIBLE PROPIO"/>
    <s v="DUSA"/>
    <n v="2"/>
    <n v="2155.1799999999998"/>
  </r>
  <r>
    <s v="Naciones Unidas CEL"/>
    <s v="22/01/2026"/>
    <x v="12"/>
    <s v="7503013378645"/>
    <s v="Liquid Love Pleasure 100ml - DUSA"/>
    <s v="CONSUMIBLE PROPIO"/>
    <s v="DUSA"/>
    <n v="1"/>
    <n v="775.86"/>
  </r>
  <r>
    <s v="Naciones Unidas CEL"/>
    <s v="22/01/2026"/>
    <x v="12"/>
    <s v="7503050524241"/>
    <s v="Orgasmik 30ml - DUSA"/>
    <s v="CONSUMIBLE PROPIO"/>
    <s v="DUSA"/>
    <n v="4"/>
    <n v="1724.12"/>
  </r>
  <r>
    <s v="Naciones Unidas CEL"/>
    <s v="22/01/2026"/>
    <x v="12"/>
    <s v="7503020596957"/>
    <s v="Shot Shumatsu Fun Hombre - DUSA"/>
    <s v="CONSUMIBLE PROPIO"/>
    <s v="DUSA"/>
    <n v="3"/>
    <n v="517.23"/>
  </r>
  <r>
    <s v="Naciones Unidas CEL"/>
    <s v="22/01/2026"/>
    <x v="12"/>
    <s v="7503024256192"/>
    <s v="Shot Shumatsu Fun Mujer - DUSA"/>
    <s v="CONSUMIBLE PROPIO"/>
    <s v="DUSA"/>
    <n v="3"/>
    <n v="517.23"/>
  </r>
  <r>
    <s v="Naciones Unidas CEL"/>
    <s v="23/01/2026"/>
    <x v="12"/>
    <s v="7503050524241"/>
    <s v="Orgasmik 30ml - DUSA"/>
    <s v="CONSUMIBLE PROPIO"/>
    <s v="DUSA"/>
    <n v="1"/>
    <n v="431.03"/>
  </r>
  <r>
    <s v="Naciones Unidas CEL"/>
    <s v="26/01/2026"/>
    <x v="12"/>
    <s v="7503032300993"/>
    <s v="Liquid Love Pleasure 30ml - DUSA"/>
    <s v="CONSUMIBLE PROPIO"/>
    <s v="DUSA"/>
    <n v="1"/>
    <n v="301.72000000000003"/>
  </r>
  <r>
    <s v="Naciones Unidas CEL"/>
    <s v="26/01/2026"/>
    <x v="12"/>
    <s v="7503013378645"/>
    <s v="Liquid Love Pleasure 100ml - DUSA"/>
    <s v="CONSUMIBLE PROPIO"/>
    <s v="DUSA"/>
    <n v="1"/>
    <n v="775.86"/>
  </r>
  <r>
    <s v="Naciones Unidas CEL"/>
    <s v="26/01/2026"/>
    <x v="12"/>
    <s v="7503013378010"/>
    <s v="Rigidex 2 pzas - DUSA"/>
    <s v="CONSUMIBLE PROPIO"/>
    <s v="DUSA"/>
    <n v="20"/>
    <n v="8620.69"/>
  </r>
  <r>
    <s v="Naciones Unidas CEL"/>
    <s v="27/01/2026"/>
    <x v="12"/>
    <s v="7503024256154"/>
    <s v="Lubricante Body Surf Termico Cereza DUSA 60ml"/>
    <s v="CONSUMIBLE PROPIO"/>
    <s v="DUSA"/>
    <n v="1"/>
    <n v="387.93"/>
  </r>
  <r>
    <s v="Naciones Unidas CEL"/>
    <s v="27/01/2026"/>
    <x v="12"/>
    <s v="7503020596957"/>
    <s v="Shot Shumatsu Fun Hombre - DUSA"/>
    <s v="CONSUMIBLE PROPIO"/>
    <s v="DUSA"/>
    <n v="1"/>
    <n v="172.41"/>
  </r>
  <r>
    <s v="Naciones Unidas CEL"/>
    <s v="27/01/2026"/>
    <x v="12"/>
    <s v="7503024256192"/>
    <s v="Shot Shumatsu Fun Mujer - DUSA"/>
    <s v="CONSUMIBLE PROPIO"/>
    <s v="DUSA"/>
    <n v="1"/>
    <n v="172.41"/>
  </r>
  <r>
    <s v="Naciones Unidas CEL"/>
    <s v="30/01/2026"/>
    <x v="12"/>
    <s v="7503032300993"/>
    <s v="Liquid Love Pleasure 30ml - DUSA"/>
    <s v="CONSUMIBLE PROPIO"/>
    <s v="DUSA"/>
    <n v="1"/>
    <n v="301.72000000000003"/>
  </r>
  <r>
    <s v="Naciones Unidas CEL"/>
    <s v="30/01/2026"/>
    <x v="12"/>
    <s v="7503050524241"/>
    <s v="Orgasmik 30ml - DUSA"/>
    <s v="CONSUMIBLE PROPIO"/>
    <s v="DUSA"/>
    <n v="1"/>
    <n v="431.03"/>
  </r>
  <r>
    <s v="Naciones Unidas CEL"/>
    <s v="30/01/2026"/>
    <x v="12"/>
    <s v="7503020596957"/>
    <s v="Shot Shumatsu Fun Hombre - DUSA"/>
    <s v="CONSUMIBLE PROPIO"/>
    <s v="DUSA"/>
    <n v="1"/>
    <n v="172.41"/>
  </r>
  <r>
    <s v="Naciones Unidas CEL"/>
    <s v="30/01/2026"/>
    <x v="12"/>
    <s v="7503024256192"/>
    <s v="Shot Shumatsu Fun Mujer - DUSA"/>
    <s v="CONSUMIBLE PROPIO"/>
    <s v="DUSA"/>
    <n v="1"/>
    <n v="172.41"/>
  </r>
  <r>
    <s v="Naciones Unidas CEL"/>
    <s v="31/01/2026"/>
    <x v="12"/>
    <s v="7503050524265"/>
    <s v="He Plus 30ml - DUSA"/>
    <s v="CONSUMIBLE PROPIO"/>
    <s v="DUSA"/>
    <n v="1"/>
    <n v="431.03"/>
  </r>
  <r>
    <s v="Naciones Unidas CEL"/>
    <s v="31/01/2026"/>
    <x v="12"/>
    <s v="7503043917012"/>
    <s v="Liquid Love Backdoor 30ml - DUSA"/>
    <s v="CONSUMIBLE PROPIO"/>
    <s v="DUSA"/>
    <n v="2"/>
    <n v="603.44000000000005"/>
  </r>
  <r>
    <s v="Naciones Unidas CEL"/>
    <s v="31/01/2026"/>
    <x v="12"/>
    <s v="7503013378799"/>
    <s v="Lubricante Body Surf Termico Citricos DUSA 60ml"/>
    <s v="CONSUMIBLE PROPIO"/>
    <s v="DUSA"/>
    <n v="1"/>
    <n v="387.93"/>
  </r>
  <r>
    <s v="Naciones Unidas CEL"/>
    <s v="31/01/2026"/>
    <x v="12"/>
    <s v="7503050524241"/>
    <s v="Orgasmik 30ml - DUSA"/>
    <s v="CONSUMIBLE PROPIO"/>
    <s v="DUSA"/>
    <n v="1"/>
    <n v="431.03"/>
  </r>
  <r>
    <s v="Naciones Unidas CEL"/>
    <s v="31/01/2026"/>
    <x v="12"/>
    <s v="7503020596049"/>
    <s v="Sensicool - DUSA"/>
    <s v="CONSUMIBLE PROPIO"/>
    <s v="DUSA"/>
    <n v="1"/>
    <n v="431.03"/>
  </r>
  <r>
    <s v="Naciones Unidas CEL"/>
    <s v="31/01/2026"/>
    <x v="12"/>
    <s v="7503024256192"/>
    <s v="Shot Shumatsu Fun Mujer - DUSA"/>
    <s v="CONSUMIBLE PROPIO"/>
    <s v="DUSA"/>
    <n v="1"/>
    <n v="172.41"/>
  </r>
  <r>
    <s v="Patria -CEL"/>
    <s v="02/01/2026"/>
    <x v="2"/>
    <s v="7503032300993"/>
    <s v="Liquid Love Pleasure 30ml - DUSA"/>
    <s v="CONSUMIBLE PROPIO"/>
    <s v="DUSA"/>
    <n v="2"/>
    <n v="603.44000000000005"/>
  </r>
  <r>
    <s v="Patria -CEL"/>
    <s v="03/01/2026"/>
    <x v="13"/>
    <s v="7503013378492"/>
    <s v="Clean Whisper 120ml - DUSA"/>
    <s v="CONSUMIBLE PROPIO"/>
    <s v="DUSA"/>
    <n v="1"/>
    <n v="301.72000000000003"/>
  </r>
  <r>
    <s v="Patria -CEL"/>
    <s v="03/01/2026"/>
    <x v="13"/>
    <s v="7503043917012"/>
    <s v="Liquid Love Backdoor 30ml - DUSA"/>
    <s v="CONSUMIBLE PROPIO"/>
    <s v="DUSA"/>
    <n v="1"/>
    <n v="301.72000000000003"/>
  </r>
  <r>
    <s v="Patria -CEL"/>
    <s v="03/01/2026"/>
    <x v="13"/>
    <s v="7503043917005"/>
    <s v="Liquid Love Clear 30ml - DUSA"/>
    <s v="CONSUMIBLE PROPIO"/>
    <s v="DUSA"/>
    <n v="2"/>
    <n v="603.44000000000005"/>
  </r>
  <r>
    <s v="Patria -CEL"/>
    <s v="03/01/2026"/>
    <x v="13"/>
    <s v="7503032300993"/>
    <s v="Liquid Love Pleasure 30ml - DUSA"/>
    <s v="CONSUMIBLE PROPIO"/>
    <s v="DUSA"/>
    <n v="1"/>
    <n v="301.72000000000003"/>
  </r>
  <r>
    <s v="Patria -CEL"/>
    <s v="03/01/2026"/>
    <x v="13"/>
    <s v="7503013378010"/>
    <s v="Rigidex 2 pzas - DUSA"/>
    <s v="CONSUMIBLE PROPIO"/>
    <s v="DUSA"/>
    <n v="1"/>
    <n v="431.03"/>
  </r>
  <r>
    <s v="Patria -CEL"/>
    <s v="03/01/2026"/>
    <x v="13"/>
    <s v="7503024256192"/>
    <s v="Shot Shumatsu Fun Mujer - DUSA"/>
    <s v="CONSUMIBLE PROPIO"/>
    <s v="DUSA"/>
    <n v="4"/>
    <n v="689.64"/>
  </r>
  <r>
    <s v="Patria -CEL"/>
    <s v="05/01/2026"/>
    <x v="13"/>
    <s v="7503013378652"/>
    <s v="Liquid Love Backdoor 100ml - DUSA"/>
    <s v="CONSUMIBLE PROPIO"/>
    <s v="DUSA"/>
    <n v="1"/>
    <n v="1077.5899999999999"/>
  </r>
  <r>
    <s v="Patria -CEL"/>
    <s v="05/01/2026"/>
    <x v="13"/>
    <s v="7503032300993"/>
    <s v="Liquid Love Pleasure 30ml - DUSA"/>
    <s v="CONSUMIBLE PROPIO"/>
    <s v="DUSA"/>
    <n v="1"/>
    <n v="301.72000000000003"/>
  </r>
  <r>
    <s v="Patria -CEL"/>
    <s v="05/01/2026"/>
    <x v="13"/>
    <s v="7503013378645"/>
    <s v="Liquid Love Pleasure 100ml - DUSA"/>
    <s v="CONSUMIBLE PROPIO"/>
    <s v="DUSA"/>
    <n v="1"/>
    <n v="775.86"/>
  </r>
  <r>
    <s v="Patria -CEL"/>
    <s v="05/01/2026"/>
    <x v="13"/>
    <s v="7503020596049"/>
    <s v="Sensicool - DUSA"/>
    <s v="CONSUMIBLE PROPIO"/>
    <s v="DUSA"/>
    <n v="1"/>
    <n v="431.03"/>
  </r>
  <r>
    <s v="Patria -CEL"/>
    <s v="05/01/2026"/>
    <x v="13"/>
    <s v="7503020596957"/>
    <s v="Shot Shumatsu Fun Hombre - DUSA"/>
    <s v="CONSUMIBLE PROPIO"/>
    <s v="DUSA"/>
    <n v="1"/>
    <n v="172.41"/>
  </r>
  <r>
    <s v="Patria -CEL"/>
    <s v="05/01/2026"/>
    <x v="13"/>
    <s v="7503024256192"/>
    <s v="Shot Shumatsu Fun Mujer - DUSA"/>
    <s v="CONSUMIBLE PROPIO"/>
    <s v="DUSA"/>
    <n v="1"/>
    <n v="172.41"/>
  </r>
  <r>
    <s v="Patria -CEL"/>
    <s v="06/01/2026"/>
    <x v="2"/>
    <s v="7503013378799"/>
    <s v="Lubricante Body Surf Termico Citricos DUSA 60ml"/>
    <s v="CONSUMIBLE PROPIO"/>
    <s v="DUSA"/>
    <n v="1"/>
    <n v="387.93"/>
  </r>
  <r>
    <s v="Patria -CEL"/>
    <s v="07/01/2026"/>
    <x v="13"/>
    <s v="7503043917012"/>
    <s v="Liquid Love Backdoor 30ml - DUSA"/>
    <s v="CONSUMIBLE PROPIO"/>
    <s v="DUSA"/>
    <n v="1"/>
    <n v="301.72000000000003"/>
  </r>
  <r>
    <s v="Patria -CEL"/>
    <s v="07/01/2026"/>
    <x v="13"/>
    <s v="7503032300993"/>
    <s v="Liquid Love Pleasure 30ml - DUSA"/>
    <s v="CONSUMIBLE PROPIO"/>
    <s v="DUSA"/>
    <n v="2"/>
    <n v="603.44000000000005"/>
  </r>
  <r>
    <s v="Patria -CEL"/>
    <s v="07/01/2026"/>
    <x v="13"/>
    <s v="7503013378645"/>
    <s v="Liquid Love Pleasure 100ml - DUSA"/>
    <s v="CONSUMIBLE PROPIO"/>
    <s v="DUSA"/>
    <n v="1"/>
    <n v="775.86"/>
  </r>
  <r>
    <s v="Patria -CEL"/>
    <s v="08/01/2026"/>
    <x v="13"/>
    <s v="7503032300993"/>
    <s v="Liquid Love Pleasure 30ml - DUSA"/>
    <s v="CONSUMIBLE PROPIO"/>
    <s v="DUSA"/>
    <n v="1"/>
    <n v="301.72000000000003"/>
  </r>
  <r>
    <s v="Patria -CEL"/>
    <s v="08/01/2026"/>
    <x v="13"/>
    <s v="7503013378010"/>
    <s v="Rigidex 2 pzas - DUSA"/>
    <s v="CONSUMIBLE PROPIO"/>
    <s v="DUSA"/>
    <n v="2"/>
    <n v="862.06"/>
  </r>
  <r>
    <s v="Patria -CEL"/>
    <s v="08/01/2026"/>
    <x v="13"/>
    <s v="7503020596957"/>
    <s v="Shot Shumatsu Fun Hombre - DUSA"/>
    <s v="CONSUMIBLE PROPIO"/>
    <s v="DUSA"/>
    <n v="1"/>
    <n v="172.41"/>
  </r>
  <r>
    <s v="Patria -CEL"/>
    <s v="09/01/2026"/>
    <x v="13"/>
    <s v="7503013378492"/>
    <s v="Clean Whisper 120ml - DUSA"/>
    <s v="CONSUMIBLE PROPIO"/>
    <s v="DUSA"/>
    <n v="1"/>
    <n v="301.72000000000003"/>
  </r>
  <r>
    <s v="Patria -CEL"/>
    <s v="09/01/2026"/>
    <x v="13"/>
    <s v="7503043917012"/>
    <s v="Liquid Love Backdoor 30ml - DUSA"/>
    <s v="CONSUMIBLE PROPIO"/>
    <s v="DUSA"/>
    <n v="1"/>
    <n v="301.72000000000003"/>
  </r>
  <r>
    <s v="Patria -CEL"/>
    <s v="09/01/2026"/>
    <x v="13"/>
    <s v="7503013378010"/>
    <s v="Rigidex 2 pzas - DUSA"/>
    <s v="CONSUMIBLE PROPIO"/>
    <s v="DUSA"/>
    <n v="1"/>
    <n v="431.03"/>
  </r>
  <r>
    <s v="Patria -CEL"/>
    <s v="10/01/2026"/>
    <x v="13"/>
    <s v="7503013378492"/>
    <s v="Clean Whisper 120ml - DUSA"/>
    <s v="CONSUMIBLE PROPIO"/>
    <s v="DUSA"/>
    <n v="1"/>
    <n v="301.72000000000003"/>
  </r>
  <r>
    <s v="Patria -CEL"/>
    <s v="10/01/2026"/>
    <x v="13"/>
    <s v="7503020596056"/>
    <s v="He Plus - DUSA"/>
    <s v="CONSUMIBLE PROPIO"/>
    <s v="DUSA"/>
    <n v="1"/>
    <n v="431.03"/>
  </r>
  <r>
    <s v="Patria -CEL"/>
    <s v="10/01/2026"/>
    <x v="13"/>
    <s v="7503013378652"/>
    <s v="Liquid Love Backdoor 100ml - DUSA"/>
    <s v="CONSUMIBLE PROPIO"/>
    <s v="DUSA"/>
    <n v="1"/>
    <n v="1077.5899999999999"/>
  </r>
  <r>
    <s v="Patria -CEL"/>
    <s v="10/01/2026"/>
    <x v="13"/>
    <s v="7503020596513"/>
    <s v="Liquid Love Natural 20ml - DUSA"/>
    <s v="CONSUMIBLE PROPIO"/>
    <s v="DUSA"/>
    <n v="1"/>
    <n v="258.62"/>
  </r>
  <r>
    <s v="Patria -CEL"/>
    <s v="10/01/2026"/>
    <x v="13"/>
    <s v="7503013378645"/>
    <s v="Liquid Love Pleasure 100ml - DUSA"/>
    <s v="CONSUMIBLE PROPIO"/>
    <s v="DUSA"/>
    <n v="2"/>
    <n v="1551.72"/>
  </r>
  <r>
    <s v="Patria -CEL"/>
    <s v="10/01/2026"/>
    <x v="13"/>
    <s v="7503024256154"/>
    <s v="Lubricante Body Surf Termico Cereza DUSA 60ml"/>
    <s v="CONSUMIBLE PROPIO"/>
    <s v="DUSA"/>
    <n v="1"/>
    <n v="387.93"/>
  </r>
  <r>
    <s v="Patria -CEL"/>
    <s v="10/01/2026"/>
    <x v="13"/>
    <s v="7503020596957"/>
    <s v="Shot Shumatsu Fun Hombre - DUSA"/>
    <s v="CONSUMIBLE PROPIO"/>
    <s v="DUSA"/>
    <n v="2"/>
    <n v="344.82"/>
  </r>
  <r>
    <s v="Patria -CEL"/>
    <s v="10/01/2026"/>
    <x v="13"/>
    <s v="7503024256192"/>
    <s v="Shot Shumatsu Fun Mujer - DUSA"/>
    <s v="CONSUMIBLE PROPIO"/>
    <s v="DUSA"/>
    <n v="2"/>
    <n v="344.82"/>
  </r>
  <r>
    <s v="Patria -CEL"/>
    <s v="11/01/2026"/>
    <x v="13"/>
    <s v="7503032300993"/>
    <s v="Liquid Love Pleasure 30ml - DUSA"/>
    <s v="CONSUMIBLE PROPIO"/>
    <s v="DUSA"/>
    <n v="3"/>
    <n v="905.16000000000008"/>
  </r>
  <r>
    <s v="Patria -CEL"/>
    <s v="11/01/2026"/>
    <x v="13"/>
    <s v="7503020596957"/>
    <s v="Shot Shumatsu Fun Hombre - DUSA"/>
    <s v="CONSUMIBLE PROPIO"/>
    <s v="DUSA"/>
    <n v="2"/>
    <n v="344.82"/>
  </r>
  <r>
    <s v="Patria -CEL"/>
    <s v="11/01/2026"/>
    <x v="13"/>
    <s v="7503024256192"/>
    <s v="Shot Shumatsu Fun Mujer - DUSA"/>
    <s v="CONSUMIBLE PROPIO"/>
    <s v="DUSA"/>
    <n v="3"/>
    <n v="517.23"/>
  </r>
  <r>
    <s v="Patria -CEL"/>
    <s v="12/01/2026"/>
    <x v="13"/>
    <s v="7503013378492"/>
    <s v="Clean Whisper 120ml - DUSA"/>
    <s v="CONSUMIBLE PROPIO"/>
    <s v="DUSA"/>
    <n v="2"/>
    <n v="603.44000000000005"/>
  </r>
  <r>
    <s v="Patria -CEL"/>
    <s v="12/01/2026"/>
    <x v="13"/>
    <s v="7503032300993"/>
    <s v="Liquid Love Pleasure 30ml - DUSA"/>
    <s v="CONSUMIBLE PROPIO"/>
    <s v="DUSA"/>
    <n v="1"/>
    <n v="301.72000000000003"/>
  </r>
  <r>
    <s v="Patria -CEL"/>
    <s v="12/01/2026"/>
    <x v="13"/>
    <s v="7503013378645"/>
    <s v="Liquid Love Pleasure 100ml - DUSA"/>
    <s v="CONSUMIBLE PROPIO"/>
    <s v="DUSA"/>
    <n v="1"/>
    <n v="775.86"/>
  </r>
  <r>
    <s v="Patria -CEL"/>
    <s v="13/01/2026"/>
    <x v="13"/>
    <s v="7503032300993"/>
    <s v="Liquid Love Pleasure 30ml - DUSA"/>
    <s v="CONSUMIBLE PROPIO"/>
    <s v="DUSA"/>
    <n v="2"/>
    <n v="603.44000000000005"/>
  </r>
  <r>
    <s v="Patria -CEL"/>
    <s v="14/01/2026"/>
    <x v="13"/>
    <s v="7503013378010"/>
    <s v="Rigidex 2 pzas - DUSA"/>
    <s v="CONSUMIBLE PROPIO"/>
    <s v="DUSA"/>
    <n v="1"/>
    <n v="431.03"/>
  </r>
  <r>
    <s v="Patria -CEL"/>
    <s v="15/01/2026"/>
    <x v="13"/>
    <s v="7503013378010"/>
    <s v="Rigidex 2 pzas - DUSA"/>
    <s v="CONSUMIBLE PROPIO"/>
    <s v="DUSA"/>
    <n v="1"/>
    <n v="431.03"/>
  </r>
  <r>
    <s v="Patria -CEL"/>
    <s v="16/01/2026"/>
    <x v="13"/>
    <s v="7503020596513"/>
    <s v="Liquid Love Natural 20ml - DUSA"/>
    <s v="CONSUMIBLE PROPIO"/>
    <s v="DUSA"/>
    <n v="1"/>
    <n v="258.62"/>
  </r>
  <r>
    <s v="Patria -CEL"/>
    <s v="16/01/2026"/>
    <x v="13"/>
    <s v="7503032300993"/>
    <s v="Liquid Love Pleasure 30ml - DUSA"/>
    <s v="CONSUMIBLE PROPIO"/>
    <s v="DUSA"/>
    <n v="3"/>
    <n v="905.16000000000008"/>
  </r>
  <r>
    <s v="Patria -CEL"/>
    <s v="16/01/2026"/>
    <x v="13"/>
    <s v="7503013378645"/>
    <s v="Liquid Love Pleasure 100ml - DUSA"/>
    <s v="CONSUMIBLE PROPIO"/>
    <s v="DUSA"/>
    <n v="1"/>
    <n v="775.86"/>
  </r>
  <r>
    <s v="Patria -CEL"/>
    <s v="16/01/2026"/>
    <x v="13"/>
    <s v="7503020596957"/>
    <s v="Shot Shumatsu Fun Hombre - DUSA"/>
    <s v="CONSUMIBLE PROPIO"/>
    <s v="DUSA"/>
    <n v="2"/>
    <n v="344.82"/>
  </r>
  <r>
    <s v="Patria -CEL"/>
    <s v="16/01/2026"/>
    <x v="13"/>
    <s v="7503024256192"/>
    <s v="Shot Shumatsu Fun Mujer - DUSA"/>
    <s v="CONSUMIBLE PROPIO"/>
    <s v="DUSA"/>
    <n v="1"/>
    <n v="172.41"/>
  </r>
  <r>
    <s v="Patria -CEL"/>
    <s v="17/01/2026"/>
    <x v="13"/>
    <s v="7503032300993"/>
    <s v="Liquid Love Pleasure 30ml - DUSA"/>
    <s v="CONSUMIBLE PROPIO"/>
    <s v="DUSA"/>
    <n v="1"/>
    <n v="301.72000000000003"/>
  </r>
  <r>
    <s v="Patria -CEL"/>
    <s v="17/01/2026"/>
    <x v="13"/>
    <s v="7503013378645"/>
    <s v="Liquid Love Pleasure 100ml - DUSA"/>
    <s v="CONSUMIBLE PROPIO"/>
    <s v="DUSA"/>
    <n v="1"/>
    <n v="775.86"/>
  </r>
  <r>
    <s v="Patria -CEL"/>
    <s v="17/01/2026"/>
    <x v="13"/>
    <s v="7503010217046"/>
    <s v="Vela para masaje bear - DUSA"/>
    <s v="CONSUMIBLE PROPIO"/>
    <s v="DUSA"/>
    <n v="1"/>
    <n v="310.33999999999997"/>
  </r>
  <r>
    <s v="Patria -CEL"/>
    <s v="18/01/2026"/>
    <x v="1"/>
    <s v="7503043917005"/>
    <s v="Liquid Love Clear 30ml - DUSA"/>
    <s v="CONSUMIBLE PROPIO"/>
    <s v="DUSA"/>
    <n v="2"/>
    <n v="603.44000000000005"/>
  </r>
  <r>
    <s v="Patria -CEL"/>
    <s v="19/01/2026"/>
    <x v="13"/>
    <s v="7503032300993"/>
    <s v="Liquid Love Pleasure 30ml - DUSA"/>
    <s v="CONSUMIBLE PROPIO"/>
    <s v="DUSA"/>
    <n v="1"/>
    <n v="301.72000000000003"/>
  </r>
  <r>
    <s v="Patria -CEL"/>
    <s v="20/01/2026"/>
    <x v="13"/>
    <s v="7503020596063"/>
    <s v="Stallion Regenerador - DUSA"/>
    <s v="CONSUMIBLE PROPIO"/>
    <s v="DUSA"/>
    <n v="1"/>
    <n v="1293.0999999999999"/>
  </r>
  <r>
    <s v="Patria -CEL"/>
    <s v="21/01/2026"/>
    <x v="13"/>
    <s v="7503043917005"/>
    <s v="Liquid Love Clear 30ml - DUSA"/>
    <s v="CONSUMIBLE PROPIO"/>
    <s v="DUSA"/>
    <n v="2"/>
    <n v="603.44000000000005"/>
  </r>
  <r>
    <s v="Patria -CEL"/>
    <s v="22/01/2026"/>
    <x v="2"/>
    <s v="7503032300993"/>
    <s v="Liquid Love Pleasure 30ml - DUSA"/>
    <s v="CONSUMIBLE PROPIO"/>
    <s v="DUSA"/>
    <n v="1"/>
    <n v="301.72000000000003"/>
  </r>
  <r>
    <s v="Patria -CEL"/>
    <s v="22/01/2026"/>
    <x v="2"/>
    <s v="7503050524258"/>
    <s v="Sensicool 30ml - DUSA"/>
    <s v="CONSUMIBLE PROPIO"/>
    <s v="DUSA"/>
    <n v="1"/>
    <n v="431.03"/>
  </r>
  <r>
    <s v="Patria -CEL"/>
    <s v="23/01/2026"/>
    <x v="13"/>
    <s v="7503043917005"/>
    <s v="Liquid Love Clear 30ml - DUSA"/>
    <s v="CONSUMIBLE PROPIO"/>
    <s v="DUSA"/>
    <n v="1"/>
    <n v="301.72000000000003"/>
  </r>
  <r>
    <s v="Patria -CEL"/>
    <s v="23/01/2026"/>
    <x v="13"/>
    <s v="7503032300993"/>
    <s v="Liquid Love Pleasure 30ml - DUSA"/>
    <s v="CONSUMIBLE PROPIO"/>
    <s v="DUSA"/>
    <n v="1"/>
    <n v="301.72000000000003"/>
  </r>
  <r>
    <s v="Patria -CEL"/>
    <s v="23/01/2026"/>
    <x v="13"/>
    <s v="7503020596957"/>
    <s v="Shot Shumatsu Fun Hombre - DUSA"/>
    <s v="CONSUMIBLE PROPIO"/>
    <s v="DUSA"/>
    <n v="1"/>
    <n v="172.41"/>
  </r>
  <r>
    <s v="Patria -CEL"/>
    <s v="23/01/2026"/>
    <x v="13"/>
    <s v="7503024256192"/>
    <s v="Shot Shumatsu Fun Mujer - DUSA"/>
    <s v="CONSUMIBLE PROPIO"/>
    <s v="DUSA"/>
    <n v="1"/>
    <n v="172.41"/>
  </r>
  <r>
    <s v="Patria -CEL"/>
    <s v="23/01/2026"/>
    <x v="13"/>
    <s v="7503020596063"/>
    <s v="Stallion Regenerador - DUSA"/>
    <s v="CONSUMIBLE PROPIO"/>
    <s v="DUSA"/>
    <n v="1"/>
    <n v="1293.0999999999999"/>
  </r>
  <r>
    <s v="Patria -CEL"/>
    <s v="24/01/2026"/>
    <x v="13"/>
    <s v="7503043917005"/>
    <s v="Liquid Love Clear 30ml - DUSA"/>
    <s v="CONSUMIBLE PROPIO"/>
    <s v="DUSA"/>
    <n v="1"/>
    <n v="301.72000000000003"/>
  </r>
  <r>
    <s v="Patria -CEL"/>
    <s v="24/01/2026"/>
    <x v="13"/>
    <s v="7503032300993"/>
    <s v="Liquid Love Pleasure 30ml - DUSA"/>
    <s v="CONSUMIBLE PROPIO"/>
    <s v="DUSA"/>
    <n v="1"/>
    <n v="301.72000000000003"/>
  </r>
  <r>
    <s v="Patria -CEL"/>
    <s v="27/01/2026"/>
    <x v="13"/>
    <s v="7503013378645"/>
    <s v="Liquid Love Pleasure 100ml - DUSA"/>
    <s v="CONSUMIBLE PROPIO"/>
    <s v="DUSA"/>
    <n v="2"/>
    <n v="1551.72"/>
  </r>
  <r>
    <s v="Patria -CEL"/>
    <s v="28/01/2026"/>
    <x v="1"/>
    <s v="7503013378645"/>
    <s v="Liquid Love Pleasure 100ml - DUSA"/>
    <s v="CONSUMIBLE PROPIO"/>
    <s v="DUSA"/>
    <n v="1"/>
    <n v="775.86"/>
  </r>
  <r>
    <s v="Patria -CEL"/>
    <s v="29/01/2026"/>
    <x v="13"/>
    <s v="7503013378010"/>
    <s v="Rigidex 2 pzas - DUSA"/>
    <s v="CONSUMIBLE PROPIO"/>
    <s v="DUSA"/>
    <n v="1"/>
    <n v="431.03"/>
  </r>
  <r>
    <s v="Patria -CEL"/>
    <s v="29/01/2026"/>
    <x v="13"/>
    <s v="7503050524258"/>
    <s v="Sensicool 30ml - DUSA"/>
    <s v="CONSUMIBLE PROPIO"/>
    <s v="DUSA"/>
    <n v="1"/>
    <n v="431.03"/>
  </r>
  <r>
    <s v="Patria -CEL"/>
    <s v="30/01/2026"/>
    <x v="13"/>
    <s v="7503050524265"/>
    <s v="He Plus 30ml - DUSA"/>
    <s v="CONSUMIBLE PROPIO"/>
    <s v="DUSA"/>
    <n v="1"/>
    <n v="431.03"/>
  </r>
  <r>
    <s v="Patria -CEL"/>
    <s v="30/01/2026"/>
    <x v="13"/>
    <s v="7503043917012"/>
    <s v="Liquid Love Backdoor 30ml - DUSA"/>
    <s v="CONSUMIBLE PROPIO"/>
    <s v="DUSA"/>
    <n v="1"/>
    <n v="301.72000000000003"/>
  </r>
  <r>
    <s v="Patria -CEL"/>
    <s v="30/01/2026"/>
    <x v="13"/>
    <s v="7503043917005"/>
    <s v="Liquid Love Clear 30ml - DUSA"/>
    <s v="CONSUMIBLE PROPIO"/>
    <s v="DUSA"/>
    <n v="1"/>
    <n v="301.72000000000003"/>
  </r>
  <r>
    <s v="Patria -CEL"/>
    <s v="30/01/2026"/>
    <x v="13"/>
    <s v="7503020596957"/>
    <s v="Shot Shumatsu Fun Hombre - DUSA"/>
    <s v="CONSUMIBLE PROPIO"/>
    <s v="DUSA"/>
    <n v="2"/>
    <n v="344.82"/>
  </r>
  <r>
    <s v="Patria -CEL"/>
    <s v="30/01/2026"/>
    <x v="13"/>
    <s v="7503024256192"/>
    <s v="Shot Shumatsu Fun Mujer - DUSA"/>
    <s v="CONSUMIBLE PROPIO"/>
    <s v="DUSA"/>
    <n v="2"/>
    <n v="344.82"/>
  </r>
  <r>
    <s v="Patria -CEL"/>
    <s v="31/01/2026"/>
    <x v="13"/>
    <s v="7503013378492"/>
    <s v="Clean Whisper 120ml - DUSA"/>
    <s v="CONSUMIBLE PROPIO"/>
    <s v="DUSA"/>
    <n v="1"/>
    <n v="301.72000000000003"/>
  </r>
  <r>
    <s v="Patria -CEL"/>
    <s v="31/01/2026"/>
    <x v="13"/>
    <s v="7503013378126"/>
    <s v="Lubricante Body Surf Frio Natural DUSA 60ml"/>
    <s v="CONSUMIBLE PROPIO"/>
    <s v="DUSA"/>
    <n v="1"/>
    <n v="387.93"/>
  </r>
  <r>
    <s v="Patria -CEL"/>
    <s v="31/01/2026"/>
    <x v="13"/>
    <s v="7503050524241"/>
    <s v="Orgasmik 30ml - DUSA"/>
    <s v="CONSUMIBLE PROPIO"/>
    <s v="DUSA"/>
    <n v="1"/>
    <n v="431.03"/>
  </r>
  <r>
    <s v="Plaza Alamo CELESTERRA"/>
    <s v="02/01/2026"/>
    <x v="14"/>
    <s v="7503013378492"/>
    <s v="Clean Whisper 120ml - DUSA"/>
    <s v="CONSUMIBLE PROPIO"/>
    <s v="DUSA"/>
    <n v="1"/>
    <n v="301.72000000000003"/>
  </r>
  <r>
    <s v="Plaza Alamo CELESTERRA"/>
    <s v="02/01/2026"/>
    <x v="14"/>
    <s v="7503032300993"/>
    <s v="Liquid Love Pleasure 30ml - DUSA"/>
    <s v="CONSUMIBLE PROPIO"/>
    <s v="DUSA"/>
    <n v="1"/>
    <n v="301.72000000000003"/>
  </r>
  <r>
    <s v="Plaza Alamo CELESTERRA"/>
    <s v="02/01/2026"/>
    <x v="14"/>
    <s v="7503013378645"/>
    <s v="Liquid Love Pleasure 100ml - DUSA"/>
    <s v="CONSUMIBLE PROPIO"/>
    <s v="DUSA"/>
    <n v="1"/>
    <n v="775.86"/>
  </r>
  <r>
    <s v="Plaza Alamo CELESTERRA"/>
    <s v="02/01/2026"/>
    <x v="14"/>
    <s v="7503050524258"/>
    <s v="Sensicool 30ml - DUSA"/>
    <s v="CONSUMIBLE PROPIO"/>
    <s v="DUSA"/>
    <n v="1"/>
    <n v="431.03"/>
  </r>
  <r>
    <s v="Plaza Alamo CELESTERRA"/>
    <s v="02/01/2026"/>
    <x v="14"/>
    <s v="7503020596957"/>
    <s v="Shot Shumatsu Fun Hombre - DUSA"/>
    <s v="CONSUMIBLE PROPIO"/>
    <s v="DUSA"/>
    <n v="1"/>
    <n v="172.41"/>
  </r>
  <r>
    <s v="Plaza Alamo CELESTERRA"/>
    <s v="03/01/2026"/>
    <x v="14"/>
    <s v="7503050524265"/>
    <s v="He Plus 30ml - DUSA"/>
    <s v="CONSUMIBLE PROPIO"/>
    <s v="DUSA"/>
    <n v="2"/>
    <n v="862.06"/>
  </r>
  <r>
    <s v="Plaza Alamo CELESTERRA"/>
    <s v="03/01/2026"/>
    <x v="14"/>
    <s v="7503032300993"/>
    <s v="Liquid Love Pleasure 30ml - DUSA"/>
    <s v="CONSUMIBLE PROPIO"/>
    <s v="DUSA"/>
    <n v="2"/>
    <n v="603.44000000000005"/>
  </r>
  <r>
    <s v="Plaza Alamo CELESTERRA"/>
    <s v="03/01/2026"/>
    <x v="14"/>
    <s v="7503013378010"/>
    <s v="Rigidex 2 pzas - DUSA"/>
    <s v="CONSUMIBLE PROPIO"/>
    <s v="DUSA"/>
    <n v="1"/>
    <n v="431.03"/>
  </r>
  <r>
    <s v="Plaza Alamo CELESTERRA"/>
    <s v="04/01/2026"/>
    <x v="14"/>
    <s v="7503050524258"/>
    <s v="Sensicool 30ml - DUSA"/>
    <s v="CONSUMIBLE PROPIO"/>
    <s v="DUSA"/>
    <n v="1"/>
    <n v="431.03"/>
  </r>
  <r>
    <s v="Plaza Alamo CELESTERRA"/>
    <s v="04/01/2026"/>
    <x v="14"/>
    <s v="7503024256192"/>
    <s v="Shot Shumatsu Fun Mujer - DUSA"/>
    <s v="CONSUMIBLE PROPIO"/>
    <s v="DUSA"/>
    <n v="1"/>
    <n v="172.41"/>
  </r>
  <r>
    <s v="Plaza Alamo CELESTERRA"/>
    <s v="06/01/2026"/>
    <x v="14"/>
    <s v="7503043917005"/>
    <s v="Liquid Love Clear 30ml - DUSA"/>
    <s v="CONSUMIBLE PROPIO"/>
    <s v="DUSA"/>
    <n v="2"/>
    <n v="603.44000000000005"/>
  </r>
  <r>
    <s v="Plaza Alamo CELESTERRA"/>
    <s v="06/01/2026"/>
    <x v="14"/>
    <s v="7503050524258"/>
    <s v="Sensicool 30ml - DUSA"/>
    <s v="CONSUMIBLE PROPIO"/>
    <s v="DUSA"/>
    <n v="1"/>
    <n v="431.03"/>
  </r>
  <r>
    <s v="Plaza Alamo CELESTERRA"/>
    <s v="06/01/2026"/>
    <x v="14"/>
    <s v="7503020596957"/>
    <s v="Shot Shumatsu Fun Hombre - DUSA"/>
    <s v="CONSUMIBLE PROPIO"/>
    <s v="DUSA"/>
    <n v="2"/>
    <n v="344.82"/>
  </r>
  <r>
    <s v="Plaza Alamo CELESTERRA"/>
    <s v="07/01/2026"/>
    <x v="14"/>
    <s v="7503032300993"/>
    <s v="Liquid Love Pleasure 30ml - DUSA"/>
    <s v="CONSUMIBLE PROPIO"/>
    <s v="DUSA"/>
    <n v="1"/>
    <n v="301.72000000000003"/>
  </r>
  <r>
    <s v="Plaza Alamo CELESTERRA"/>
    <s v="07/01/2026"/>
    <x v="14"/>
    <s v="7503013378010"/>
    <s v="Rigidex 2 pzas - DUSA"/>
    <s v="CONSUMIBLE PROPIO"/>
    <s v="DUSA"/>
    <n v="1"/>
    <n v="431.03"/>
  </r>
  <r>
    <s v="Plaza Alamo CELESTERRA"/>
    <s v="08/01/2026"/>
    <x v="14"/>
    <s v="7503050524265"/>
    <s v="He Plus 30ml - DUSA"/>
    <s v="CONSUMIBLE PROPIO"/>
    <s v="DUSA"/>
    <n v="1"/>
    <n v="431.03"/>
  </r>
  <r>
    <s v="Plaza Alamo CELESTERRA"/>
    <s v="08/01/2026"/>
    <x v="14"/>
    <s v="7503032300993"/>
    <s v="Liquid Love Pleasure 30ml - DUSA"/>
    <s v="CONSUMIBLE PROPIO"/>
    <s v="DUSA"/>
    <n v="1"/>
    <n v="301.72000000000003"/>
  </r>
  <r>
    <s v="Plaza Alamo CELESTERRA"/>
    <s v="08/01/2026"/>
    <x v="14"/>
    <s v="7503013378010"/>
    <s v="Rigidex 2 pzas - DUSA"/>
    <s v="CONSUMIBLE PROPIO"/>
    <s v="DUSA"/>
    <n v="1"/>
    <n v="431.03"/>
  </r>
  <r>
    <s v="Plaza Alamo CELESTERRA"/>
    <s v="09/01/2026"/>
    <x v="14"/>
    <s v="7503013378980"/>
    <s v="Lubricante Body Surf Termico Chicle DUSA 60ml"/>
    <s v="CONSUMIBLE PROPIO"/>
    <s v="DUSA"/>
    <n v="1"/>
    <n v="387.93"/>
  </r>
  <r>
    <s v="Plaza Alamo CELESTERRA"/>
    <s v="09/01/2026"/>
    <x v="14"/>
    <s v="7503013378010"/>
    <s v="Rigidex 2 pzas - DUSA"/>
    <s v="CONSUMIBLE PROPIO"/>
    <s v="DUSA"/>
    <n v="1"/>
    <n v="431.03"/>
  </r>
  <r>
    <s v="Plaza Alamo CELESTERRA"/>
    <s v="09/01/2026"/>
    <x v="14"/>
    <s v="7503024256192"/>
    <s v="Shot Shumatsu Fun Mujer - DUSA"/>
    <s v="CONSUMIBLE PROPIO"/>
    <s v="DUSA"/>
    <n v="1"/>
    <n v="172.41"/>
  </r>
  <r>
    <s v="Plaza Alamo CELESTERRA"/>
    <s v="10/01/2026"/>
    <x v="14"/>
    <s v="7503043917005"/>
    <s v="Liquid Love Clear 30ml - DUSA"/>
    <s v="CONSUMIBLE PROPIO"/>
    <s v="DUSA"/>
    <n v="1"/>
    <n v="301.72000000000003"/>
  </r>
  <r>
    <s v="Plaza Alamo CELESTERRA"/>
    <s v="10/01/2026"/>
    <x v="14"/>
    <s v="7503032300993"/>
    <s v="Liquid Love Pleasure 30ml - DUSA"/>
    <s v="CONSUMIBLE PROPIO"/>
    <s v="DUSA"/>
    <n v="2"/>
    <n v="603.44000000000005"/>
  </r>
  <r>
    <s v="Plaza Alamo CELESTERRA"/>
    <s v="11/01/2026"/>
    <x v="14"/>
    <s v="7503032300993"/>
    <s v="Liquid Love Pleasure 30ml - DUSA"/>
    <s v="CONSUMIBLE PROPIO"/>
    <s v="DUSA"/>
    <n v="1"/>
    <n v="301.72000000000003"/>
  </r>
  <r>
    <s v="Plaza Alamo CELESTERRA"/>
    <s v="11/01/2026"/>
    <x v="14"/>
    <s v="7503020596957"/>
    <s v="Shot Shumatsu Fun Hombre - DUSA"/>
    <s v="CONSUMIBLE PROPIO"/>
    <s v="DUSA"/>
    <n v="1"/>
    <n v="172.41"/>
  </r>
  <r>
    <s v="Plaza Alamo CELESTERRA"/>
    <s v="11/01/2026"/>
    <x v="14"/>
    <s v="7503024256192"/>
    <s v="Shot Shumatsu Fun Mujer - DUSA"/>
    <s v="CONSUMIBLE PROPIO"/>
    <s v="DUSA"/>
    <n v="1"/>
    <n v="172.41"/>
  </r>
  <r>
    <s v="Plaza Alamo CELESTERRA"/>
    <s v="12/01/2026"/>
    <x v="14"/>
    <s v="7503043917005"/>
    <s v="Liquid Love Clear 30ml - DUSA"/>
    <s v="CONSUMIBLE PROPIO"/>
    <s v="DUSA"/>
    <n v="1"/>
    <n v="301.72000000000003"/>
  </r>
  <r>
    <s v="Plaza Alamo CELESTERRA"/>
    <s v="12/01/2026"/>
    <x v="14"/>
    <s v="7503032300993"/>
    <s v="Liquid Love Pleasure 30ml - DUSA"/>
    <s v="CONSUMIBLE PROPIO"/>
    <s v="DUSA"/>
    <n v="1"/>
    <n v="301.72000000000003"/>
  </r>
  <r>
    <s v="Plaza Alamo CELESTERRA"/>
    <s v="15/01/2026"/>
    <x v="14"/>
    <s v="7503020596957"/>
    <s v="Shot Shumatsu Fun Hombre - DUSA"/>
    <s v="CONSUMIBLE PROPIO"/>
    <s v="DUSA"/>
    <n v="1"/>
    <n v="172.41"/>
  </r>
  <r>
    <s v="Plaza Alamo CELESTERRA"/>
    <s v="16/01/2026"/>
    <x v="14"/>
    <s v="7503013378492"/>
    <s v="Clean Whisper 120ml - DUSA"/>
    <s v="CONSUMIBLE PROPIO"/>
    <s v="DUSA"/>
    <n v="1"/>
    <n v="301.72000000000003"/>
  </r>
  <r>
    <s v="Plaza Alamo CELESTERRA"/>
    <s v="16/01/2026"/>
    <x v="14"/>
    <s v="7503050524265"/>
    <s v="He Plus 30ml - DUSA"/>
    <s v="CONSUMIBLE PROPIO"/>
    <s v="DUSA"/>
    <n v="2"/>
    <n v="862.06"/>
  </r>
  <r>
    <s v="Plaza Alamo CELESTERRA"/>
    <s v="16/01/2026"/>
    <x v="14"/>
    <s v="7503043917012"/>
    <s v="Liquid Love Backdoor 30ml - DUSA"/>
    <s v="CONSUMIBLE PROPIO"/>
    <s v="DUSA"/>
    <n v="1"/>
    <n v="301.72000000000003"/>
  </r>
  <r>
    <s v="Plaza Alamo CELESTERRA"/>
    <s v="16/01/2026"/>
    <x v="14"/>
    <s v="7503050524241"/>
    <s v="Orgasmik 30ml - DUSA"/>
    <s v="CONSUMIBLE PROPIO"/>
    <s v="DUSA"/>
    <n v="1"/>
    <n v="431.03"/>
  </r>
  <r>
    <s v="Plaza Alamo CELESTERRA"/>
    <s v="16/01/2026"/>
    <x v="14"/>
    <s v="7503013378010"/>
    <s v="Rigidex 2 pzas - DUSA"/>
    <s v="CONSUMIBLE PROPIO"/>
    <s v="DUSA"/>
    <n v="1"/>
    <n v="431.03"/>
  </r>
  <r>
    <s v="Plaza Alamo CELESTERRA"/>
    <s v="17/01/2026"/>
    <x v="14"/>
    <s v="7503013378010"/>
    <s v="Rigidex 2 pzas - DUSA"/>
    <s v="CONSUMIBLE PROPIO"/>
    <s v="DUSA"/>
    <n v="1"/>
    <n v="431.03"/>
  </r>
  <r>
    <s v="Plaza Alamo CELESTERRA"/>
    <s v="18/01/2026"/>
    <x v="14"/>
    <s v="7503050524265"/>
    <s v="He Plus 30ml - DUSA"/>
    <s v="CONSUMIBLE PROPIO"/>
    <s v="DUSA"/>
    <n v="1"/>
    <n v="431.03"/>
  </r>
  <r>
    <s v="Plaza Alamo CELESTERRA"/>
    <s v="18/01/2026"/>
    <x v="14"/>
    <s v="7503013378645"/>
    <s v="Liquid Love Pleasure 100ml - DUSA"/>
    <s v="CONSUMIBLE PROPIO"/>
    <s v="DUSA"/>
    <n v="1"/>
    <n v="775.86"/>
  </r>
  <r>
    <s v="Plaza Alamo CELESTERRA"/>
    <s v="18/01/2026"/>
    <x v="14"/>
    <s v="7503024256154"/>
    <s v="Lubricante Body Surf Termico Cereza DUSA 60ml"/>
    <s v="CONSUMIBLE PROPIO"/>
    <s v="DUSA"/>
    <n v="1"/>
    <n v="387.93"/>
  </r>
  <r>
    <s v="Plaza Alamo CELESTERRA"/>
    <s v="19/01/2026"/>
    <x v="14"/>
    <s v="7503043917012"/>
    <s v="Liquid Love Backdoor 30ml - DUSA"/>
    <s v="CONSUMIBLE PROPIO"/>
    <s v="DUSA"/>
    <n v="1"/>
    <n v="301.72000000000003"/>
  </r>
  <r>
    <s v="Plaza Alamo CELESTERRA"/>
    <s v="19/01/2026"/>
    <x v="14"/>
    <s v="7503024256154"/>
    <s v="Lubricante Body Surf Termico Cereza DUSA 60ml"/>
    <s v="CONSUMIBLE PROPIO"/>
    <s v="DUSA"/>
    <n v="1"/>
    <n v="387.93"/>
  </r>
  <r>
    <s v="Plaza Alamo CELESTERRA"/>
    <s v="20/01/2026"/>
    <x v="14"/>
    <s v="7503013378010"/>
    <s v="Rigidex 2 pzas - DUSA"/>
    <s v="CONSUMIBLE PROPIO"/>
    <s v="DUSA"/>
    <n v="1"/>
    <n v="431.03"/>
  </r>
  <r>
    <s v="Plaza Alamo CELESTERRA"/>
    <s v="21/01/2026"/>
    <x v="3"/>
    <s v="7503043917005"/>
    <s v="Liquid Love Clear 30ml - DUSA"/>
    <s v="CONSUMIBLE PROPIO"/>
    <s v="DUSA"/>
    <n v="1"/>
    <n v="301.72000000000003"/>
  </r>
  <r>
    <s v="Plaza Alamo CELESTERRA"/>
    <s v="22/01/2026"/>
    <x v="14"/>
    <s v="7503050524265"/>
    <s v="He Plus 30ml - DUSA"/>
    <s v="CONSUMIBLE PROPIO"/>
    <s v="DUSA"/>
    <n v="1"/>
    <n v="431.03"/>
  </r>
  <r>
    <s v="Plaza Alamo CELESTERRA"/>
    <s v="22/01/2026"/>
    <x v="14"/>
    <s v="7503043917005"/>
    <s v="Liquid Love Clear 30ml - DUSA"/>
    <s v="CONSUMIBLE PROPIO"/>
    <s v="DUSA"/>
    <n v="1"/>
    <n v="301.72000000000003"/>
  </r>
  <r>
    <s v="Plaza Alamo CELESTERRA"/>
    <s v="22/01/2026"/>
    <x v="14"/>
    <s v="7503013378645"/>
    <s v="Liquid Love Pleasure 100ml - DUSA"/>
    <s v="CONSUMIBLE PROPIO"/>
    <s v="DUSA"/>
    <n v="1"/>
    <n v="775.86"/>
  </r>
  <r>
    <s v="Plaza Alamo CELESTERRA"/>
    <s v="22/01/2026"/>
    <x v="14"/>
    <s v="7503020596957"/>
    <s v="Shot Shumatsu Fun Hombre - DUSA"/>
    <s v="CONSUMIBLE PROPIO"/>
    <s v="DUSA"/>
    <n v="2"/>
    <n v="344.82"/>
  </r>
  <r>
    <s v="Plaza Alamo CELESTERRA"/>
    <s v="22/01/2026"/>
    <x v="14"/>
    <s v="7503024256192"/>
    <s v="Shot Shumatsu Fun Mujer - DUSA"/>
    <s v="CONSUMIBLE PROPIO"/>
    <s v="DUSA"/>
    <n v="1"/>
    <n v="172.41"/>
  </r>
  <r>
    <s v="Plaza Alamo CELESTERRA"/>
    <s v="23/01/2026"/>
    <x v="14"/>
    <s v="7503024256154"/>
    <s v="Lubricante Body Surf Termico Cereza DUSA 60ml"/>
    <s v="CONSUMIBLE PROPIO"/>
    <s v="DUSA"/>
    <n v="1"/>
    <n v="387.93"/>
  </r>
  <r>
    <s v="Plaza Alamo CELESTERRA"/>
    <s v="23/01/2026"/>
    <x v="14"/>
    <s v="7503020596957"/>
    <s v="Shot Shumatsu Fun Hombre - DUSA"/>
    <s v="CONSUMIBLE PROPIO"/>
    <s v="DUSA"/>
    <n v="1"/>
    <n v="172.41"/>
  </r>
  <r>
    <s v="Plaza Alamo CELESTERRA"/>
    <s v="23/01/2026"/>
    <x v="14"/>
    <s v="7503024256192"/>
    <s v="Shot Shumatsu Fun Mujer - DUSA"/>
    <s v="CONSUMIBLE PROPIO"/>
    <s v="DUSA"/>
    <n v="1"/>
    <n v="172.41"/>
  </r>
  <r>
    <s v="Plaza Alamo CELESTERRA"/>
    <s v="24/01/2026"/>
    <x v="14"/>
    <s v="7503024256192"/>
    <s v="Shot Shumatsu Fun Mujer - DUSA"/>
    <s v="CONSUMIBLE PROPIO"/>
    <s v="DUSA"/>
    <n v="1"/>
    <n v="172.41"/>
  </r>
  <r>
    <s v="Plaza Alamo CELESTERRA"/>
    <s v="26/01/2026"/>
    <x v="14"/>
    <s v="7503013378010"/>
    <s v="Rigidex 2 pzas - DUSA"/>
    <s v="CONSUMIBLE PROPIO"/>
    <s v="DUSA"/>
    <n v="1"/>
    <n v="431.03"/>
  </r>
  <r>
    <s v="Plaza Alamo CELESTERRA"/>
    <s v="27/01/2026"/>
    <x v="14"/>
    <s v="7503024256154"/>
    <s v="Lubricante Body Surf Termico Cereza DUSA 60ml"/>
    <s v="CONSUMIBLE PROPIO"/>
    <s v="DUSA"/>
    <n v="1"/>
    <n v="387.93"/>
  </r>
  <r>
    <s v="Plaza Alamo CELESTERRA"/>
    <s v="27/01/2026"/>
    <x v="14"/>
    <s v="7503013378799"/>
    <s v="Lubricante Body Surf Termico Citricos DUSA 60ml"/>
    <s v="CONSUMIBLE PROPIO"/>
    <s v="DUSA"/>
    <n v="1"/>
    <n v="387.93"/>
  </r>
  <r>
    <s v="Plaza Alamo CELESTERRA"/>
    <s v="28/01/2026"/>
    <x v="14"/>
    <s v="7503013378010"/>
    <s v="Rigidex 2 pzas - DUSA"/>
    <s v="CONSUMIBLE PROPIO"/>
    <s v="DUSA"/>
    <n v="1"/>
    <n v="431.03"/>
  </r>
  <r>
    <s v="Plaza Alamo CELESTERRA"/>
    <s v="30/01/2026"/>
    <x v="5"/>
    <s v="7503020596957"/>
    <s v="Shot Shumatsu Fun Hombre - DUSA"/>
    <s v="CONSUMIBLE PROPIO"/>
    <s v="DUSA"/>
    <n v="1"/>
    <n v="172.41"/>
  </r>
  <r>
    <s v="Plaza Alamo CELESTERRA"/>
    <s v="31/01/2026"/>
    <x v="14"/>
    <s v="7503024256154"/>
    <s v="Lubricante Body Surf Termico Cereza DUSA 60ml"/>
    <s v="CONSUMIBLE PROPIO"/>
    <s v="DUSA"/>
    <n v="1"/>
    <n v="387.93"/>
  </r>
  <r>
    <s v="Plaza Alamo CELESTERRA"/>
    <s v="31/01/2026"/>
    <x v="14"/>
    <s v="7503020596957"/>
    <s v="Shot Shumatsu Fun Hombre - DUSA"/>
    <s v="CONSUMIBLE PROPIO"/>
    <s v="DUSA"/>
    <n v="1"/>
    <n v="172.41"/>
  </r>
  <r>
    <s v="Plaza Alamo CELESTERRA"/>
    <s v="31/01/2026"/>
    <x v="14"/>
    <s v="7503024256192"/>
    <s v="Shot Shumatsu Fun Mujer - DUSA"/>
    <s v="CONSUMIBLE PROPIO"/>
    <s v="DUSA"/>
    <n v="1"/>
    <n v="172.41"/>
  </r>
  <r>
    <s v="Plaza Conchitas CEL"/>
    <s v="02/01/2026"/>
    <x v="15"/>
    <s v="7503013378492"/>
    <s v="Clean Whisper 120ml - DUSA"/>
    <s v="CONSUMIBLE PROPIO"/>
    <s v="DUSA"/>
    <n v="1"/>
    <n v="301.72000000000003"/>
  </r>
  <r>
    <s v="Plaza Conchitas CEL"/>
    <s v="02/01/2026"/>
    <x v="15"/>
    <s v="7503050524265"/>
    <s v="He Plus 30ml - DUSA"/>
    <s v="CONSUMIBLE PROPIO"/>
    <s v="DUSA"/>
    <n v="1"/>
    <n v="431.03"/>
  </r>
  <r>
    <s v="Plaza Conchitas CEL"/>
    <s v="02/01/2026"/>
    <x v="15"/>
    <s v="7503013378645"/>
    <s v="Liquid Love Pleasure 100ml - DUSA"/>
    <s v="CONSUMIBLE PROPIO"/>
    <s v="DUSA"/>
    <n v="1"/>
    <n v="775.86"/>
  </r>
  <r>
    <s v="Plaza Conchitas CEL"/>
    <s v="02/01/2026"/>
    <x v="15"/>
    <s v="7503024256154"/>
    <s v="Lubricante Body Surf Termico Cereza DUSA 60ml"/>
    <s v="CONSUMIBLE PROPIO"/>
    <s v="DUSA"/>
    <n v="1"/>
    <n v="387.93"/>
  </r>
  <r>
    <s v="Plaza Conchitas CEL"/>
    <s v="02/01/2026"/>
    <x v="15"/>
    <s v="7503050524241"/>
    <s v="Orgasmik 30ml - DUSA"/>
    <s v="CONSUMIBLE PROPIO"/>
    <s v="DUSA"/>
    <n v="1"/>
    <n v="431.03"/>
  </r>
  <r>
    <s v="Plaza Conchitas CEL"/>
    <s v="02/01/2026"/>
    <x v="15"/>
    <s v="7503013378010"/>
    <s v="Rigidex 2 pzas - DUSA"/>
    <s v="CONSUMIBLE PROPIO"/>
    <s v="DUSA"/>
    <n v="3"/>
    <n v="1293.0999999999999"/>
  </r>
  <r>
    <s v="Plaza Conchitas CEL"/>
    <s v="02/01/2026"/>
    <x v="15"/>
    <s v="7503024256192"/>
    <s v="Shot Shumatsu Fun Mujer - DUSA"/>
    <s v="CONSUMIBLE PROPIO"/>
    <s v="DUSA"/>
    <n v="1"/>
    <n v="172.41"/>
  </r>
  <r>
    <s v="Plaza Conchitas CEL"/>
    <s v="03/01/2026"/>
    <x v="15"/>
    <s v="7503050524265"/>
    <s v="He Plus 30ml - DUSA"/>
    <s v="CONSUMIBLE PROPIO"/>
    <s v="DUSA"/>
    <n v="1"/>
    <n v="431.03"/>
  </r>
  <r>
    <s v="Plaza Conchitas CEL"/>
    <s v="03/01/2026"/>
    <x v="15"/>
    <s v="7503032300993"/>
    <s v="Liquid Love Pleasure 30ml - DUSA"/>
    <s v="CONSUMIBLE PROPIO"/>
    <s v="DUSA"/>
    <n v="1"/>
    <n v="301.72000000000003"/>
  </r>
  <r>
    <s v="Plaza Conchitas CEL"/>
    <s v="03/01/2026"/>
    <x v="15"/>
    <s v="7503013378980"/>
    <s v="Lubricante Body Surf Termico Chicle DUSA 60ml"/>
    <s v="CONSUMIBLE PROPIO"/>
    <s v="DUSA"/>
    <n v="1"/>
    <n v="387.93"/>
  </r>
  <r>
    <s v="Plaza Conchitas CEL"/>
    <s v="03/01/2026"/>
    <x v="15"/>
    <s v="7503020596063"/>
    <s v="Stallion Regenerador - DUSA"/>
    <s v="CONSUMIBLE PROPIO"/>
    <s v="DUSA"/>
    <n v="2"/>
    <n v="2586.1999999999998"/>
  </r>
  <r>
    <s v="Plaza Conchitas CEL"/>
    <s v="04/01/2026"/>
    <x v="15"/>
    <s v="7503020596001"/>
    <s v="Liquid Love Clear 100ml - DUSA"/>
    <s v="CONSUMIBLE PROPIO"/>
    <s v="DUSA"/>
    <n v="1"/>
    <n v="775.86"/>
  </r>
  <r>
    <s v="Plaza Conchitas CEL"/>
    <s v="04/01/2026"/>
    <x v="15"/>
    <s v="7503020596957"/>
    <s v="Shot Shumatsu Fun Hombre - DUSA"/>
    <s v="CONSUMIBLE PROPIO"/>
    <s v="DUSA"/>
    <n v="2"/>
    <n v="344.82"/>
  </r>
  <r>
    <s v="Plaza Conchitas CEL"/>
    <s v="07/01/2026"/>
    <x v="15"/>
    <s v="7503013378645"/>
    <s v="Liquid Love Pleasure 100ml - DUSA"/>
    <s v="CONSUMIBLE PROPIO"/>
    <s v="DUSA"/>
    <n v="1"/>
    <n v="775.86"/>
  </r>
  <r>
    <s v="Plaza Conchitas CEL"/>
    <s v="07/01/2026"/>
    <x v="15"/>
    <s v="7503020596957"/>
    <s v="Shot Shumatsu Fun Hombre - DUSA"/>
    <s v="CONSUMIBLE PROPIO"/>
    <s v="DUSA"/>
    <n v="1"/>
    <n v="172.41"/>
  </r>
  <r>
    <s v="Plaza Conchitas CEL"/>
    <s v="08/01/2026"/>
    <x v="5"/>
    <s v="7503050524265"/>
    <s v="He Plus 30ml - DUSA"/>
    <s v="CONSUMIBLE PROPIO"/>
    <s v="DUSA"/>
    <n v="1"/>
    <n v="431.03"/>
  </r>
  <r>
    <s v="Plaza Conchitas CEL"/>
    <s v="08/01/2026"/>
    <x v="5"/>
    <s v="7503024256154"/>
    <s v="Lubricante Body Surf Termico Cereza DUSA 60ml"/>
    <s v="CONSUMIBLE PROPIO"/>
    <s v="DUSA"/>
    <n v="1"/>
    <n v="387.93"/>
  </r>
  <r>
    <s v="Plaza Conchitas CEL"/>
    <s v="08/01/2026"/>
    <x v="5"/>
    <s v="7503050524241"/>
    <s v="Orgasmik 30ml - DUSA"/>
    <s v="CONSUMIBLE PROPIO"/>
    <s v="DUSA"/>
    <n v="1"/>
    <n v="431.03"/>
  </r>
  <r>
    <s v="Plaza Conchitas CEL"/>
    <s v="09/01/2026"/>
    <x v="15"/>
    <s v="7503013378492"/>
    <s v="Clean Whisper 120ml - DUSA"/>
    <s v="CONSUMIBLE PROPIO"/>
    <s v="DUSA"/>
    <n v="1"/>
    <n v="301.72000000000003"/>
  </r>
  <r>
    <s v="Plaza Conchitas CEL"/>
    <s v="09/01/2026"/>
    <x v="15"/>
    <s v="7503013378980"/>
    <s v="Lubricante Body Surf Termico Chicle DUSA 60ml"/>
    <s v="CONSUMIBLE PROPIO"/>
    <s v="DUSA"/>
    <n v="1"/>
    <n v="387.93"/>
  </r>
  <r>
    <s v="Plaza Conchitas CEL"/>
    <s v="09/01/2026"/>
    <x v="15"/>
    <s v="7503013378010"/>
    <s v="Rigidex 2 pzas - DUSA"/>
    <s v="CONSUMIBLE PROPIO"/>
    <s v="DUSA"/>
    <n v="2"/>
    <n v="862.06"/>
  </r>
  <r>
    <s v="Plaza Conchitas CEL"/>
    <s v="09/01/2026"/>
    <x v="15"/>
    <s v="7503020596957"/>
    <s v="Shot Shumatsu Fun Hombre - DUSA"/>
    <s v="CONSUMIBLE PROPIO"/>
    <s v="DUSA"/>
    <n v="1"/>
    <n v="172.41"/>
  </r>
  <r>
    <s v="Plaza Conchitas CEL"/>
    <s v="10/01/2026"/>
    <x v="15"/>
    <s v="7503032300993"/>
    <s v="Liquid Love Pleasure 30ml - DUSA"/>
    <s v="CONSUMIBLE PROPIO"/>
    <s v="DUSA"/>
    <n v="1"/>
    <n v="301.72000000000003"/>
  </r>
  <r>
    <s v="Plaza Conchitas CEL"/>
    <s v="10/01/2026"/>
    <x v="15"/>
    <s v="7503013378010"/>
    <s v="Rigidex 2 pzas - DUSA"/>
    <s v="CONSUMIBLE PROPIO"/>
    <s v="DUSA"/>
    <n v="2"/>
    <n v="862.06"/>
  </r>
  <r>
    <s v="Plaza Conchitas CEL"/>
    <s v="11/01/2026"/>
    <x v="15"/>
    <s v="7503024256154"/>
    <s v="Lubricante Body Surf Termico Cereza DUSA 60ml"/>
    <s v="CONSUMIBLE PROPIO"/>
    <s v="DUSA"/>
    <n v="1"/>
    <n v="387.93"/>
  </r>
  <r>
    <s v="Plaza Conchitas CEL"/>
    <s v="12/01/2026"/>
    <x v="15"/>
    <s v="7503050524265"/>
    <s v="He Plus 30ml - DUSA"/>
    <s v="CONSUMIBLE PROPIO"/>
    <s v="DUSA"/>
    <n v="1"/>
    <n v="431.03"/>
  </r>
  <r>
    <s v="Plaza Conchitas CEL"/>
    <s v="12/01/2026"/>
    <x v="15"/>
    <s v="7503020596957"/>
    <s v="Shot Shumatsu Fun Hombre - DUSA"/>
    <s v="CONSUMIBLE PROPIO"/>
    <s v="DUSA"/>
    <n v="1"/>
    <n v="172.41"/>
  </r>
  <r>
    <s v="Plaza Conchitas CEL"/>
    <s v="13/01/2026"/>
    <x v="15"/>
    <s v="7503024256154"/>
    <s v="Lubricante Body Surf Termico Cereza DUSA 60ml"/>
    <s v="CONSUMIBLE PROPIO"/>
    <s v="DUSA"/>
    <n v="1"/>
    <n v="387.93"/>
  </r>
  <r>
    <s v="Plaza Conchitas CEL"/>
    <s v="13/01/2026"/>
    <x v="15"/>
    <s v="7503013378010"/>
    <s v="Rigidex 2 pzas - DUSA"/>
    <s v="CONSUMIBLE PROPIO"/>
    <s v="DUSA"/>
    <n v="1"/>
    <n v="431.03"/>
  </r>
  <r>
    <s v="Plaza Conchitas CEL"/>
    <s v="13/01/2026"/>
    <x v="15"/>
    <s v="7503020596063"/>
    <s v="Stallion Regenerador - DUSA"/>
    <s v="CONSUMIBLE PROPIO"/>
    <s v="DUSA"/>
    <n v="1"/>
    <n v="1293.0999999999999"/>
  </r>
  <r>
    <s v="Plaza Conchitas CEL"/>
    <s v="14/01/2026"/>
    <x v="15"/>
    <s v="7503013378645"/>
    <s v="Liquid Love Pleasure 100ml - DUSA"/>
    <s v="CONSUMIBLE PROPIO"/>
    <s v="DUSA"/>
    <n v="2"/>
    <n v="1551.72"/>
  </r>
  <r>
    <s v="Plaza Conchitas CEL"/>
    <s v="14/01/2026"/>
    <x v="15"/>
    <s v="7503013378010"/>
    <s v="Rigidex 2 pzas - DUSA"/>
    <s v="CONSUMIBLE PROPIO"/>
    <s v="DUSA"/>
    <n v="3"/>
    <n v="1293.0999999999999"/>
  </r>
  <r>
    <s v="Plaza Conchitas CEL"/>
    <s v="15/01/2026"/>
    <x v="5"/>
    <s v="7503043917012"/>
    <s v="Liquid Love Backdoor 30ml - DUSA"/>
    <s v="CONSUMIBLE PROPIO"/>
    <s v="DUSA"/>
    <n v="1"/>
    <n v="301.72000000000003"/>
  </r>
  <r>
    <s v="Plaza Conchitas CEL"/>
    <s v="15/01/2026"/>
    <x v="5"/>
    <s v="7503043917005"/>
    <s v="Liquid Love Clear 30ml - DUSA"/>
    <s v="CONSUMIBLE PROPIO"/>
    <s v="DUSA"/>
    <n v="1"/>
    <n v="301.72000000000003"/>
  </r>
  <r>
    <s v="Plaza Conchitas CEL"/>
    <s v="15/01/2026"/>
    <x v="5"/>
    <s v="7503013378645"/>
    <s v="Liquid Love Pleasure 100ml - DUSA"/>
    <s v="CONSUMIBLE PROPIO"/>
    <s v="DUSA"/>
    <n v="1"/>
    <n v="775.86"/>
  </r>
  <r>
    <s v="Plaza Conchitas CEL"/>
    <s v="15/01/2026"/>
    <x v="5"/>
    <s v="7503024256154"/>
    <s v="Lubricante Body Surf Termico Cereza DUSA 60ml"/>
    <s v="CONSUMIBLE PROPIO"/>
    <s v="DUSA"/>
    <n v="1"/>
    <n v="387.93"/>
  </r>
  <r>
    <s v="Plaza Conchitas CEL"/>
    <s v="15/01/2026"/>
    <x v="5"/>
    <s v="7503013378010"/>
    <s v="Rigidex 2 pzas - DUSA"/>
    <s v="CONSUMIBLE PROPIO"/>
    <s v="DUSA"/>
    <n v="1"/>
    <n v="431.03"/>
  </r>
  <r>
    <s v="Plaza Conchitas CEL"/>
    <s v="16/01/2026"/>
    <x v="15"/>
    <s v="7503013378652"/>
    <s v="Liquid Love Backdoor 100ml - DUSA"/>
    <s v="CONSUMIBLE PROPIO"/>
    <s v="DUSA"/>
    <n v="1"/>
    <n v="1077.5899999999999"/>
  </r>
  <r>
    <s v="Plaza Conchitas CEL"/>
    <s v="16/01/2026"/>
    <x v="15"/>
    <s v="7503032300993"/>
    <s v="Liquid Love Pleasure 30ml - DUSA"/>
    <s v="CONSUMIBLE PROPIO"/>
    <s v="DUSA"/>
    <n v="1"/>
    <n v="301.72000000000003"/>
  </r>
  <r>
    <s v="Plaza Conchitas CEL"/>
    <s v="16/01/2026"/>
    <x v="15"/>
    <s v="7503013378645"/>
    <s v="Liquid Love Pleasure 100ml - DUSA"/>
    <s v="CONSUMIBLE PROPIO"/>
    <s v="DUSA"/>
    <n v="1"/>
    <n v="775.86"/>
  </r>
  <r>
    <s v="Plaza Conchitas CEL"/>
    <s v="16/01/2026"/>
    <x v="15"/>
    <s v="7503024256154"/>
    <s v="Lubricante Body Surf Termico Cereza DUSA 60ml"/>
    <s v="CONSUMIBLE PROPIO"/>
    <s v="DUSA"/>
    <n v="1"/>
    <n v="387.93"/>
  </r>
  <r>
    <s v="Plaza Conchitas CEL"/>
    <s v="16/01/2026"/>
    <x v="15"/>
    <s v="7503020596957"/>
    <s v="Shot Shumatsu Fun Hombre - DUSA"/>
    <s v="CONSUMIBLE PROPIO"/>
    <s v="DUSA"/>
    <n v="1"/>
    <n v="172.41"/>
  </r>
  <r>
    <s v="Plaza Conchitas CEL"/>
    <s v="17/01/2026"/>
    <x v="15"/>
    <s v="7503024256192"/>
    <s v="Shot Shumatsu Fun Mujer - DUSA"/>
    <s v="CONSUMIBLE PROPIO"/>
    <s v="DUSA"/>
    <n v="1"/>
    <n v="172.41"/>
  </r>
  <r>
    <s v="Plaza Conchitas CEL"/>
    <s v="17/01/2026"/>
    <x v="15"/>
    <s v="7503010217046"/>
    <s v="Vela para masaje bear - DUSA"/>
    <s v="CONSUMIBLE PROPIO"/>
    <s v="DUSA"/>
    <n v="1"/>
    <n v="310.33999999999997"/>
  </r>
  <r>
    <s v="Plaza Conchitas CEL"/>
    <s v="18/01/2026"/>
    <x v="15"/>
    <s v="7503032300993"/>
    <s v="Liquid Love Pleasure 30ml - DUSA"/>
    <s v="CONSUMIBLE PROPIO"/>
    <s v="DUSA"/>
    <n v="1"/>
    <n v="301.72000000000003"/>
  </r>
  <r>
    <s v="Plaza Conchitas CEL"/>
    <s v="18/01/2026"/>
    <x v="15"/>
    <s v="7503020596957"/>
    <s v="Shot Shumatsu Fun Hombre - DUSA"/>
    <s v="CONSUMIBLE PROPIO"/>
    <s v="DUSA"/>
    <n v="1"/>
    <n v="172.41"/>
  </r>
  <r>
    <s v="Plaza Conchitas CEL"/>
    <s v="18/01/2026"/>
    <x v="15"/>
    <s v="7503024256192"/>
    <s v="Shot Shumatsu Fun Mujer - DUSA"/>
    <s v="CONSUMIBLE PROPIO"/>
    <s v="DUSA"/>
    <n v="1"/>
    <n v="172.41"/>
  </r>
  <r>
    <s v="Plaza Conchitas CEL"/>
    <s v="19/01/2026"/>
    <x v="15"/>
    <s v="7503032300993"/>
    <s v="Liquid Love Pleasure 30ml - DUSA"/>
    <s v="CONSUMIBLE PROPIO"/>
    <s v="DUSA"/>
    <n v="1"/>
    <n v="301.72000000000003"/>
  </r>
  <r>
    <s v="Plaza Conchitas CEL"/>
    <s v="19/01/2026"/>
    <x v="15"/>
    <s v="7503013378645"/>
    <s v="Liquid Love Pleasure 100ml - DUSA"/>
    <s v="CONSUMIBLE PROPIO"/>
    <s v="DUSA"/>
    <n v="1"/>
    <n v="775.86"/>
  </r>
  <r>
    <s v="Plaza Conchitas CEL"/>
    <s v="19/01/2026"/>
    <x v="15"/>
    <s v="7503020596957"/>
    <s v="Shot Shumatsu Fun Hombre - DUSA"/>
    <s v="CONSUMIBLE PROPIO"/>
    <s v="DUSA"/>
    <n v="1"/>
    <n v="172.41"/>
  </r>
  <r>
    <s v="Plaza Conchitas CEL"/>
    <s v="19/01/2026"/>
    <x v="15"/>
    <s v="7503024256192"/>
    <s v="Shot Shumatsu Fun Mujer - DUSA"/>
    <s v="CONSUMIBLE PROPIO"/>
    <s v="DUSA"/>
    <n v="2"/>
    <n v="344.82"/>
  </r>
  <r>
    <s v="Plaza Conchitas CEL"/>
    <s v="19/01/2026"/>
    <x v="15"/>
    <s v="7503020596063"/>
    <s v="Stallion Regenerador - DUSA"/>
    <s v="CONSUMIBLE PROPIO"/>
    <s v="DUSA"/>
    <n v="1"/>
    <n v="1293.0999999999999"/>
  </r>
  <r>
    <s v="Plaza Conchitas CEL"/>
    <s v="19/01/2026"/>
    <x v="15"/>
    <s v="7503010217048"/>
    <s v="Vela para masaje rose - DUSA"/>
    <s v="CONSUMIBLE PROPIO"/>
    <s v="DUSA"/>
    <n v="1"/>
    <n v="241.38"/>
  </r>
  <r>
    <s v="Plaza Conchitas CEL"/>
    <s v="21/01/2026"/>
    <x v="15"/>
    <s v="7503024256192"/>
    <s v="Shot Shumatsu Fun Mujer - DUSA"/>
    <s v="CONSUMIBLE PROPIO"/>
    <s v="DUSA"/>
    <n v="2"/>
    <n v="344.82"/>
  </r>
  <r>
    <s v="Plaza Conchitas CEL"/>
    <s v="22/01/2026"/>
    <x v="5"/>
    <s v="7503043917005"/>
    <s v="Liquid Love Clear 30ml - DUSA"/>
    <s v="CONSUMIBLE PROPIO"/>
    <s v="DUSA"/>
    <n v="1"/>
    <n v="301.72000000000003"/>
  </r>
  <r>
    <s v="Plaza Conchitas CEL"/>
    <s v="23/01/2026"/>
    <x v="15"/>
    <s v="7503013378980"/>
    <s v="Lubricante Body Surf Termico Chicle DUSA 60ml"/>
    <s v="CONSUMIBLE PROPIO"/>
    <s v="DUSA"/>
    <n v="1"/>
    <n v="387.93"/>
  </r>
  <r>
    <s v="Plaza Conchitas CEL"/>
    <s v="23/01/2026"/>
    <x v="15"/>
    <s v="7503013378010"/>
    <s v="Rigidex 2 pzas - DUSA"/>
    <s v="CONSUMIBLE PROPIO"/>
    <s v="DUSA"/>
    <n v="1"/>
    <n v="431.03"/>
  </r>
  <r>
    <s v="Plaza Conchitas CEL"/>
    <s v="24/01/2026"/>
    <x v="15"/>
    <s v="7503013378492"/>
    <s v="Clean Whisper 120ml - DUSA"/>
    <s v="CONSUMIBLE PROPIO"/>
    <s v="DUSA"/>
    <n v="1"/>
    <n v="301.72000000000003"/>
  </r>
  <r>
    <s v="Plaza Conchitas CEL"/>
    <s v="24/01/2026"/>
    <x v="15"/>
    <s v="7503043917012"/>
    <s v="Liquid Love Backdoor 30ml - DUSA"/>
    <s v="CONSUMIBLE PROPIO"/>
    <s v="DUSA"/>
    <n v="1"/>
    <n v="301.72000000000003"/>
  </r>
  <r>
    <s v="Plaza Conchitas CEL"/>
    <s v="24/01/2026"/>
    <x v="15"/>
    <s v="7503032300993"/>
    <s v="Liquid Love Pleasure 30ml - DUSA"/>
    <s v="CONSUMIBLE PROPIO"/>
    <s v="DUSA"/>
    <n v="1"/>
    <n v="301.72000000000003"/>
  </r>
  <r>
    <s v="Plaza Conchitas CEL"/>
    <s v="24/01/2026"/>
    <x v="15"/>
    <s v="7503013378980"/>
    <s v="Lubricante Body Surf Termico Chicle DUSA 60ml"/>
    <s v="CONSUMIBLE PROPIO"/>
    <s v="DUSA"/>
    <n v="1"/>
    <n v="387.93"/>
  </r>
  <r>
    <s v="Plaza Conchitas CEL"/>
    <s v="25/01/2026"/>
    <x v="15"/>
    <s v="7503013378492"/>
    <s v="Clean Whisper 120ml - DUSA"/>
    <s v="CONSUMIBLE PROPIO"/>
    <s v="DUSA"/>
    <n v="1"/>
    <n v="301.72000000000003"/>
  </r>
  <r>
    <s v="Plaza Conchitas CEL"/>
    <s v="25/01/2026"/>
    <x v="15"/>
    <s v="7503050524265"/>
    <s v="He Plus 30ml - DUSA"/>
    <s v="CONSUMIBLE PROPIO"/>
    <s v="DUSA"/>
    <n v="1"/>
    <n v="431.03"/>
  </r>
  <r>
    <s v="Plaza Conchitas CEL"/>
    <s v="25/01/2026"/>
    <x v="15"/>
    <s v="7503013378126"/>
    <s v="Lubricante Body Surf Frio Natural DUSA 60ml"/>
    <s v="CONSUMIBLE PROPIO"/>
    <s v="DUSA"/>
    <n v="1"/>
    <n v="387.93"/>
  </r>
  <r>
    <s v="Plaza Conchitas CEL"/>
    <s v="26/01/2026"/>
    <x v="15"/>
    <s v="7503032300993"/>
    <s v="Liquid Love Pleasure 30ml - DUSA"/>
    <s v="CONSUMIBLE PROPIO"/>
    <s v="DUSA"/>
    <n v="1"/>
    <n v="301.72000000000003"/>
  </r>
  <r>
    <s v="Plaza Conchitas CEL"/>
    <s v="27/01/2026"/>
    <x v="15"/>
    <s v="7503013378492"/>
    <s v="Clean Whisper 120ml - DUSA"/>
    <s v="CONSUMIBLE PROPIO"/>
    <s v="DUSA"/>
    <n v="1"/>
    <n v="301.72000000000003"/>
  </r>
  <r>
    <s v="Plaza Conchitas CEL"/>
    <s v="27/01/2026"/>
    <x v="15"/>
    <s v="7503043917005"/>
    <s v="Liquid Love Clear 30ml - DUSA"/>
    <s v="CONSUMIBLE PROPIO"/>
    <s v="DUSA"/>
    <n v="1"/>
    <n v="301.72000000000003"/>
  </r>
  <r>
    <s v="Plaza Conchitas CEL"/>
    <s v="27/01/2026"/>
    <x v="15"/>
    <s v="7503024256154"/>
    <s v="Lubricante Body Surf Termico Cereza DUSA 60ml"/>
    <s v="CONSUMIBLE PROPIO"/>
    <s v="DUSA"/>
    <n v="1"/>
    <n v="387.93"/>
  </r>
  <r>
    <s v="Plaza Conchitas CEL"/>
    <s v="27/01/2026"/>
    <x v="15"/>
    <s v="7503013378010"/>
    <s v="Rigidex 2 pzas - DUSA"/>
    <s v="CONSUMIBLE PROPIO"/>
    <s v="DUSA"/>
    <n v="1"/>
    <n v="431.03"/>
  </r>
  <r>
    <s v="Plaza Conchitas CEL"/>
    <s v="27/01/2026"/>
    <x v="15"/>
    <s v="7503020596957"/>
    <s v="Shot Shumatsu Fun Hombre - DUSA"/>
    <s v="CONSUMIBLE PROPIO"/>
    <s v="DUSA"/>
    <n v="1"/>
    <n v="172.41"/>
  </r>
  <r>
    <s v="Plaza Conchitas CEL"/>
    <s v="28/01/2026"/>
    <x v="5"/>
    <s v="7503013378010"/>
    <s v="Rigidex 2 pzas - DUSA"/>
    <s v="CONSUMIBLE PROPIO"/>
    <s v="DUSA"/>
    <n v="1"/>
    <n v="431.03"/>
  </r>
  <r>
    <s v="Plaza Conchitas CEL"/>
    <s v="28/01/2026"/>
    <x v="5"/>
    <s v="7503020596957"/>
    <s v="Shot Shumatsu Fun Hombre - DUSA"/>
    <s v="CONSUMIBLE PROPIO"/>
    <s v="DUSA"/>
    <n v="1"/>
    <n v="172.41"/>
  </r>
  <r>
    <s v="Plaza Conchitas CEL"/>
    <s v="29/01/2026"/>
    <x v="15"/>
    <s v="7503050524265"/>
    <s v="He Plus 30ml - DUSA"/>
    <s v="CONSUMIBLE PROPIO"/>
    <s v="DUSA"/>
    <n v="1"/>
    <n v="431.03"/>
  </r>
  <r>
    <s v="Plaza Conchitas CEL"/>
    <s v="29/01/2026"/>
    <x v="15"/>
    <s v="7503013378645"/>
    <s v="Liquid Love Pleasure 100ml - DUSA"/>
    <s v="CONSUMIBLE PROPIO"/>
    <s v="DUSA"/>
    <n v="1"/>
    <n v="775.86"/>
  </r>
  <r>
    <s v="Plaza Conchitas CEL"/>
    <s v="29/01/2026"/>
    <x v="15"/>
    <s v="7503050524241"/>
    <s v="Orgasmik 30ml - DUSA"/>
    <s v="CONSUMIBLE PROPIO"/>
    <s v="DUSA"/>
    <n v="1"/>
    <n v="431.03"/>
  </r>
  <r>
    <s v="Plaza Conchitas CEL"/>
    <s v="29/01/2026"/>
    <x v="15"/>
    <s v="7503020596957"/>
    <s v="Shot Shumatsu Fun Hombre - DUSA"/>
    <s v="CONSUMIBLE PROPIO"/>
    <s v="DUSA"/>
    <n v="2"/>
    <n v="344.82"/>
  </r>
  <r>
    <s v="Plaza Conchitas CEL"/>
    <s v="30/01/2026"/>
    <x v="15"/>
    <s v="7503013378492"/>
    <s v="Clean Whisper 120ml - DUSA"/>
    <s v="CONSUMIBLE PROPIO"/>
    <s v="DUSA"/>
    <n v="1"/>
    <n v="301.72000000000003"/>
  </r>
  <r>
    <s v="Plaza Conchitas CEL"/>
    <s v="30/01/2026"/>
    <x v="15"/>
    <s v="7503050524265"/>
    <s v="He Plus 30ml - DUSA"/>
    <s v="CONSUMIBLE PROPIO"/>
    <s v="DUSA"/>
    <n v="1"/>
    <n v="431.03"/>
  </r>
  <r>
    <s v="Plaza Conchitas CEL"/>
    <s v="30/01/2026"/>
    <x v="15"/>
    <s v="7503013378010"/>
    <s v="Rigidex 2 pzas - DUSA"/>
    <s v="CONSUMIBLE PROPIO"/>
    <s v="DUSA"/>
    <n v="4"/>
    <n v="1724.1299999999999"/>
  </r>
  <r>
    <s v="Plaza Conchitas CEL"/>
    <s v="31/01/2026"/>
    <x v="15"/>
    <s v="7503013378492"/>
    <s v="Clean Whisper 120ml - DUSA"/>
    <s v="CONSUMIBLE PROPIO"/>
    <s v="DUSA"/>
    <n v="3"/>
    <n v="905.16000000000008"/>
  </r>
  <r>
    <s v="Plaza Conchitas CEL"/>
    <s v="31/01/2026"/>
    <x v="15"/>
    <s v="7503032300993"/>
    <s v="Liquid Love Pleasure 30ml - DUSA"/>
    <s v="CONSUMIBLE PROPIO"/>
    <s v="DUSA"/>
    <n v="1"/>
    <n v="301.72000000000003"/>
  </r>
  <r>
    <s v="Plaza Conchitas CEL"/>
    <s v="31/01/2026"/>
    <x v="15"/>
    <s v="7503013378645"/>
    <s v="Liquid Love Pleasure 100ml - DUSA"/>
    <s v="CONSUMIBLE PROPIO"/>
    <s v="DUSA"/>
    <n v="2"/>
    <n v="1551.72"/>
  </r>
  <r>
    <s v="Plaza Conchitas CEL"/>
    <s v="31/01/2026"/>
    <x v="15"/>
    <s v="7503024256154"/>
    <s v="Lubricante Body Surf Termico Cereza DUSA 60ml"/>
    <s v="CONSUMIBLE PROPIO"/>
    <s v="DUSA"/>
    <n v="1"/>
    <n v="387.93"/>
  </r>
  <r>
    <s v="Plaza Conchitas CEL"/>
    <s v="31/01/2026"/>
    <x v="15"/>
    <s v="7503013378010"/>
    <s v="Rigidex 2 pzas - DUSA"/>
    <s v="CONSUMIBLE PROPIO"/>
    <s v="DUSA"/>
    <n v="1"/>
    <n v="431.03"/>
  </r>
  <r>
    <s v="Plaza Conchitas CEL"/>
    <s v="31/01/2026"/>
    <x v="15"/>
    <s v="7503020596957"/>
    <s v="Shot Shumatsu Fun Hombre - DUSA"/>
    <s v="CONSUMIBLE PROPIO"/>
    <s v="DUSA"/>
    <n v="1"/>
    <n v="172.41"/>
  </r>
  <r>
    <s v="Plaza las Torres CELESTERRA"/>
    <s v="02/01/2026"/>
    <x v="3"/>
    <s v="7503013378645"/>
    <s v="Liquid Love Pleasure 100ml - DUSA"/>
    <s v="CONSUMIBLE PROPIO"/>
    <s v="DUSA"/>
    <n v="2"/>
    <n v="1551.72"/>
  </r>
  <r>
    <s v="Plaza las Torres CELESTERRA"/>
    <s v="02/01/2026"/>
    <x v="3"/>
    <s v="7503013378010"/>
    <s v="Rigidex 2 pzas - DUSA"/>
    <s v="CONSUMIBLE PROPIO"/>
    <s v="DUSA"/>
    <n v="1"/>
    <n v="431.03"/>
  </r>
  <r>
    <s v="Plaza las Torres CELESTERRA"/>
    <s v="02/01/2026"/>
    <x v="3"/>
    <s v="7503020596957"/>
    <s v="Shot Shumatsu Fun Hombre - DUSA"/>
    <s v="CONSUMIBLE PROPIO"/>
    <s v="DUSA"/>
    <n v="3"/>
    <n v="517.23"/>
  </r>
  <r>
    <s v="Plaza las Torres CELESTERRA"/>
    <s v="03/01/2026"/>
    <x v="3"/>
    <s v="7503013378645"/>
    <s v="Liquid Love Pleasure 100ml - DUSA"/>
    <s v="CONSUMIBLE PROPIO"/>
    <s v="DUSA"/>
    <n v="1"/>
    <n v="775.86"/>
  </r>
  <r>
    <s v="Plaza las Torres CELESTERRA"/>
    <s v="03/01/2026"/>
    <x v="3"/>
    <s v="7503020596957"/>
    <s v="Shot Shumatsu Fun Hombre - DUSA"/>
    <s v="CONSUMIBLE PROPIO"/>
    <s v="DUSA"/>
    <n v="1"/>
    <n v="172.41"/>
  </r>
  <r>
    <s v="Plaza las Torres CELESTERRA"/>
    <s v="03/01/2026"/>
    <x v="3"/>
    <s v="7503024256192"/>
    <s v="Shot Shumatsu Fun Mujer - DUSA"/>
    <s v="CONSUMIBLE PROPIO"/>
    <s v="DUSA"/>
    <n v="1"/>
    <n v="172.41"/>
  </r>
  <r>
    <s v="Plaza las Torres CELESTERRA"/>
    <s v="04/01/2026"/>
    <x v="3"/>
    <s v="7503050524241"/>
    <s v="Orgasmik 30ml - DUSA"/>
    <s v="CONSUMIBLE PROPIO"/>
    <s v="DUSA"/>
    <n v="1"/>
    <n v="431.03"/>
  </r>
  <r>
    <s v="Plaza las Torres CELESTERRA"/>
    <s v="05/01/2026"/>
    <x v="3"/>
    <s v="7503043917005"/>
    <s v="Liquid Love Clear 30ml - DUSA"/>
    <s v="CONSUMIBLE PROPIO"/>
    <s v="DUSA"/>
    <n v="1"/>
    <n v="301.72000000000003"/>
  </r>
  <r>
    <s v="Plaza las Torres CELESTERRA"/>
    <s v="05/01/2026"/>
    <x v="3"/>
    <s v="7503013378126"/>
    <s v="Lubricante Body Surf Frio Natural DUSA 60ml"/>
    <s v="CONSUMIBLE PROPIO"/>
    <s v="DUSA"/>
    <n v="1"/>
    <n v="387.93"/>
  </r>
  <r>
    <s v="Plaza las Torres CELESTERRA"/>
    <s v="05/01/2026"/>
    <x v="3"/>
    <s v="7503013378010"/>
    <s v="Rigidex 2 pzas - DUSA"/>
    <s v="CONSUMIBLE PROPIO"/>
    <s v="DUSA"/>
    <n v="2"/>
    <n v="862.06"/>
  </r>
  <r>
    <s v="Plaza las Torres CELESTERRA"/>
    <s v="05/01/2026"/>
    <x v="3"/>
    <s v="7503020596957"/>
    <s v="Shot Shumatsu Fun Hombre - DUSA"/>
    <s v="CONSUMIBLE PROPIO"/>
    <s v="DUSA"/>
    <n v="2"/>
    <n v="344.82"/>
  </r>
  <r>
    <s v="Plaza las Torres CELESTERRA"/>
    <s v="06/01/2026"/>
    <x v="3"/>
    <s v="7503043917012"/>
    <s v="Liquid Love Backdoor 30ml - DUSA"/>
    <s v="CONSUMIBLE PROPIO"/>
    <s v="DUSA"/>
    <n v="1"/>
    <n v="301.72000000000003"/>
  </r>
  <r>
    <s v="Plaza las Torres CELESTERRA"/>
    <s v="06/01/2026"/>
    <x v="3"/>
    <s v="7503020596001"/>
    <s v="Liquid Love Clear 100ml - DUSA"/>
    <s v="CONSUMIBLE PROPIO"/>
    <s v="DUSA"/>
    <n v="1"/>
    <n v="775.86"/>
  </r>
  <r>
    <s v="Plaza las Torres CELESTERRA"/>
    <s v="06/01/2026"/>
    <x v="3"/>
    <s v="7503032300993"/>
    <s v="Liquid Love Pleasure 30ml - DUSA"/>
    <s v="CONSUMIBLE PROPIO"/>
    <s v="DUSA"/>
    <n v="1"/>
    <n v="301.72000000000003"/>
  </r>
  <r>
    <s v="Plaza las Torres CELESTERRA"/>
    <s v="06/01/2026"/>
    <x v="3"/>
    <s v="7503013378645"/>
    <s v="Liquid Love Pleasure 100ml - DUSA"/>
    <s v="CONSUMIBLE PROPIO"/>
    <s v="DUSA"/>
    <n v="1"/>
    <n v="775.86"/>
  </r>
  <r>
    <s v="Plaza las Torres CELESTERRA"/>
    <s v="06/01/2026"/>
    <x v="3"/>
    <s v="7503050524241"/>
    <s v="Orgasmik 30ml - DUSA"/>
    <s v="CONSUMIBLE PROPIO"/>
    <s v="DUSA"/>
    <n v="1"/>
    <n v="431.03"/>
  </r>
  <r>
    <s v="Plaza las Torres CELESTERRA"/>
    <s v="06/01/2026"/>
    <x v="3"/>
    <s v="7503020596957"/>
    <s v="Shot Shumatsu Fun Hombre - DUSA"/>
    <s v="CONSUMIBLE PROPIO"/>
    <s v="DUSA"/>
    <n v="1"/>
    <n v="172.41"/>
  </r>
  <r>
    <s v="Plaza las Torres CELESTERRA"/>
    <s v="07/01/2026"/>
    <x v="3"/>
    <s v="7503013378645"/>
    <s v="Liquid Love Pleasure 100ml - DUSA"/>
    <s v="CONSUMIBLE PROPIO"/>
    <s v="DUSA"/>
    <n v="1"/>
    <n v="775.86"/>
  </r>
  <r>
    <s v="Plaza las Torres CELESTERRA"/>
    <s v="07/01/2026"/>
    <x v="3"/>
    <s v="7503013378010"/>
    <s v="Rigidex 2 pzas - DUSA"/>
    <s v="CONSUMIBLE PROPIO"/>
    <s v="DUSA"/>
    <n v="2"/>
    <n v="862.06"/>
  </r>
  <r>
    <s v="Plaza las Torres CELESTERRA"/>
    <s v="08/01/2026"/>
    <x v="2"/>
    <s v="7503043917005"/>
    <s v="Liquid Love Clear 30ml - DUSA"/>
    <s v="CONSUMIBLE PROPIO"/>
    <s v="DUSA"/>
    <n v="1"/>
    <n v="301.72000000000003"/>
  </r>
  <r>
    <s v="Plaza las Torres CELESTERRA"/>
    <s v="08/01/2026"/>
    <x v="2"/>
    <s v="7503050524241"/>
    <s v="Orgasmik 30ml - DUSA"/>
    <s v="CONSUMIBLE PROPIO"/>
    <s v="DUSA"/>
    <n v="1"/>
    <n v="431.03"/>
  </r>
  <r>
    <s v="Plaza las Torres CELESTERRA"/>
    <s v="08/01/2026"/>
    <x v="2"/>
    <s v="7503013378010"/>
    <s v="Rigidex 2 pzas - DUSA"/>
    <s v="CONSUMIBLE PROPIO"/>
    <s v="DUSA"/>
    <n v="3"/>
    <n v="1293.0999999999999"/>
  </r>
  <r>
    <s v="Plaza las Torres CELESTERRA"/>
    <s v="09/01/2026"/>
    <x v="3"/>
    <s v="7503050524265"/>
    <s v="He Plus 30ml - DUSA"/>
    <s v="CONSUMIBLE PROPIO"/>
    <s v="DUSA"/>
    <n v="1"/>
    <n v="431.03"/>
  </r>
  <r>
    <s v="Plaza las Torres CELESTERRA"/>
    <s v="09/01/2026"/>
    <x v="3"/>
    <s v="7503043917012"/>
    <s v="Liquid Love Backdoor 30ml - DUSA"/>
    <s v="CONSUMIBLE PROPIO"/>
    <s v="DUSA"/>
    <n v="2"/>
    <n v="603.44000000000005"/>
  </r>
  <r>
    <s v="Plaza las Torres CELESTERRA"/>
    <s v="09/01/2026"/>
    <x v="3"/>
    <s v="7503013378645"/>
    <s v="Liquid Love Pleasure 100ml - DUSA"/>
    <s v="CONSUMIBLE PROPIO"/>
    <s v="DUSA"/>
    <n v="1"/>
    <n v="775.86"/>
  </r>
  <r>
    <s v="Plaza las Torres CELESTERRA"/>
    <s v="09/01/2026"/>
    <x v="3"/>
    <s v="7503050524241"/>
    <s v="Orgasmik 30ml - DUSA"/>
    <s v="CONSUMIBLE PROPIO"/>
    <s v="DUSA"/>
    <n v="3"/>
    <n v="1293.0899999999999"/>
  </r>
  <r>
    <s v="Plaza las Torres CELESTERRA"/>
    <s v="09/01/2026"/>
    <x v="3"/>
    <s v="7503013378010"/>
    <s v="Rigidex 2 pzas - DUSA"/>
    <s v="CONSUMIBLE PROPIO"/>
    <s v="DUSA"/>
    <n v="1"/>
    <n v="431.03"/>
  </r>
  <r>
    <s v="Plaza las Torres CELESTERRA"/>
    <s v="10/01/2026"/>
    <x v="3"/>
    <s v="7503013378010"/>
    <s v="Rigidex 2 pzas - DUSA"/>
    <s v="CONSUMIBLE PROPIO"/>
    <s v="DUSA"/>
    <n v="2"/>
    <n v="862.06"/>
  </r>
  <r>
    <s v="Plaza las Torres CELESTERRA"/>
    <s v="10/01/2026"/>
    <x v="3"/>
    <s v="7503020596957"/>
    <s v="Shot Shumatsu Fun Hombre - DUSA"/>
    <s v="CONSUMIBLE PROPIO"/>
    <s v="DUSA"/>
    <n v="1"/>
    <n v="172.41"/>
  </r>
  <r>
    <s v="Plaza las Torres CELESTERRA"/>
    <s v="10/01/2026"/>
    <x v="3"/>
    <s v="7503024256192"/>
    <s v="Shot Shumatsu Fun Mujer - DUSA"/>
    <s v="CONSUMIBLE PROPIO"/>
    <s v="DUSA"/>
    <n v="1"/>
    <n v="172.41"/>
  </r>
  <r>
    <s v="Plaza las Torres CELESTERRA"/>
    <s v="11/01/2026"/>
    <x v="3"/>
    <s v="7503043917012"/>
    <s v="Liquid Love Backdoor 30ml - DUSA"/>
    <s v="CONSUMIBLE PROPIO"/>
    <s v="DUSA"/>
    <n v="1"/>
    <n v="301.72000000000003"/>
  </r>
  <r>
    <s v="Plaza las Torres CELESTERRA"/>
    <s v="11/01/2026"/>
    <x v="3"/>
    <s v="7503020596957"/>
    <s v="Shot Shumatsu Fun Hombre - DUSA"/>
    <s v="CONSUMIBLE PROPIO"/>
    <s v="DUSA"/>
    <n v="1"/>
    <n v="172.41"/>
  </r>
  <r>
    <s v="Plaza las Torres CELESTERRA"/>
    <s v="12/01/2026"/>
    <x v="3"/>
    <s v="7503043917005"/>
    <s v="Liquid Love Clear 30ml - DUSA"/>
    <s v="CONSUMIBLE PROPIO"/>
    <s v="DUSA"/>
    <n v="1"/>
    <n v="301.72000000000003"/>
  </r>
  <r>
    <s v="Plaza las Torres CELESTERRA"/>
    <s v="12/01/2026"/>
    <x v="3"/>
    <s v="7503013378010"/>
    <s v="Rigidex 2 pzas - DUSA"/>
    <s v="CONSUMIBLE PROPIO"/>
    <s v="DUSA"/>
    <n v="1"/>
    <n v="431.03"/>
  </r>
  <r>
    <s v="Plaza las Torres CELESTERRA"/>
    <s v="13/01/2026"/>
    <x v="1"/>
    <s v="7503043917005"/>
    <s v="Liquid Love Clear 30ml - DUSA"/>
    <s v="CONSUMIBLE PROPIO"/>
    <s v="DUSA"/>
    <n v="2"/>
    <n v="603.44000000000005"/>
  </r>
  <r>
    <s v="Plaza las Torres CELESTERRA"/>
    <s v="13/01/2026"/>
    <x v="1"/>
    <s v="7503050524241"/>
    <s v="Orgasmik 30ml - DUSA"/>
    <s v="CONSUMIBLE PROPIO"/>
    <s v="DUSA"/>
    <n v="3"/>
    <n v="1293.0899999999999"/>
  </r>
  <r>
    <s v="Plaza las Torres CELESTERRA"/>
    <s v="14/01/2026"/>
    <x v="5"/>
    <s v="7503013378652"/>
    <s v="Liquid Love Backdoor 100ml - DUSA"/>
    <s v="CONSUMIBLE PROPIO"/>
    <s v="DUSA"/>
    <n v="1"/>
    <n v="1077.5899999999999"/>
  </r>
  <r>
    <s v="Plaza las Torres CELESTERRA"/>
    <s v="14/01/2026"/>
    <x v="5"/>
    <s v="7503043917005"/>
    <s v="Liquid Love Clear 30ml - DUSA"/>
    <s v="CONSUMIBLE PROPIO"/>
    <s v="DUSA"/>
    <n v="1"/>
    <n v="301.72000000000003"/>
  </r>
  <r>
    <s v="Plaza las Torres CELESTERRA"/>
    <s v="14/01/2026"/>
    <x v="5"/>
    <s v="7503050524241"/>
    <s v="Orgasmik 30ml - DUSA"/>
    <s v="CONSUMIBLE PROPIO"/>
    <s v="DUSA"/>
    <n v="1"/>
    <n v="431.03"/>
  </r>
  <r>
    <s v="Plaza las Torres CELESTERRA"/>
    <s v="14/01/2026"/>
    <x v="5"/>
    <s v="7503013378010"/>
    <s v="Rigidex 2 pzas - DUSA"/>
    <s v="CONSUMIBLE PROPIO"/>
    <s v="DUSA"/>
    <n v="3"/>
    <n v="1293.0899999999999"/>
  </r>
  <r>
    <s v="Plaza las Torres CELESTERRA"/>
    <s v="14/01/2026"/>
    <x v="5"/>
    <s v="7503020596957"/>
    <s v="Shot Shumatsu Fun Hombre - DUSA"/>
    <s v="CONSUMIBLE PROPIO"/>
    <s v="DUSA"/>
    <n v="1"/>
    <n v="172.41"/>
  </r>
  <r>
    <s v="Plaza las Torres CELESTERRA"/>
    <s v="15/01/2026"/>
    <x v="1"/>
    <s v="7503013378010"/>
    <s v="Rigidex 2 pzas - DUSA"/>
    <s v="CONSUMIBLE PROPIO"/>
    <s v="DUSA"/>
    <n v="2"/>
    <n v="862.06"/>
  </r>
  <r>
    <s v="Plaza las Torres CELESTERRA"/>
    <s v="16/01/2026"/>
    <x v="1"/>
    <s v="7503043917012"/>
    <s v="Liquid Love Backdoor 30ml - DUSA"/>
    <s v="CONSUMIBLE PROPIO"/>
    <s v="DUSA"/>
    <n v="1"/>
    <n v="301.72000000000003"/>
  </r>
  <r>
    <s v="Plaza las Torres CELESTERRA"/>
    <s v="16/01/2026"/>
    <x v="1"/>
    <s v="7503043917005"/>
    <s v="Liquid Love Clear 30ml - DUSA"/>
    <s v="CONSUMIBLE PROPIO"/>
    <s v="DUSA"/>
    <n v="1"/>
    <n v="301.72000000000003"/>
  </r>
  <r>
    <s v="Plaza las Torres CELESTERRA"/>
    <s v="16/01/2026"/>
    <x v="1"/>
    <s v="7503013378010"/>
    <s v="Rigidex 2 pzas - DUSA"/>
    <s v="CONSUMIBLE PROPIO"/>
    <s v="DUSA"/>
    <n v="1"/>
    <n v="431.03"/>
  </r>
  <r>
    <s v="Plaza las Torres CELESTERRA"/>
    <s v="16/01/2026"/>
    <x v="1"/>
    <s v="7503024256192"/>
    <s v="Shot Shumatsu Fun Mujer - DUSA"/>
    <s v="CONSUMIBLE PROPIO"/>
    <s v="DUSA"/>
    <n v="1"/>
    <n v="172.41"/>
  </r>
  <r>
    <s v="Plaza las Torres CELESTERRA"/>
    <s v="17/01/2026"/>
    <x v="5"/>
    <s v="7503043917012"/>
    <s v="Liquid Love Backdoor 30ml - DUSA"/>
    <s v="CONSUMIBLE PROPIO"/>
    <s v="DUSA"/>
    <n v="1"/>
    <n v="301.72000000000003"/>
  </r>
  <r>
    <s v="Plaza las Torres CELESTERRA"/>
    <s v="17/01/2026"/>
    <x v="5"/>
    <s v="7503043917005"/>
    <s v="Liquid Love Clear 30ml - DUSA"/>
    <s v="CONSUMIBLE PROPIO"/>
    <s v="DUSA"/>
    <n v="1"/>
    <n v="301.72000000000003"/>
  </r>
  <r>
    <s v="Plaza las Torres CELESTERRA"/>
    <s v="17/01/2026"/>
    <x v="5"/>
    <s v="7503050524258"/>
    <s v="Sensicool 30ml - DUSA"/>
    <s v="CONSUMIBLE PROPIO"/>
    <s v="DUSA"/>
    <n v="1"/>
    <n v="431.03"/>
  </r>
  <r>
    <s v="Plaza las Torres CELESTERRA"/>
    <s v="17/01/2026"/>
    <x v="5"/>
    <s v="7503020596957"/>
    <s v="Shot Shumatsu Fun Hombre - DUSA"/>
    <s v="CONSUMIBLE PROPIO"/>
    <s v="DUSA"/>
    <n v="1"/>
    <n v="172.41"/>
  </r>
  <r>
    <s v="Plaza las Torres CELESTERRA"/>
    <s v="19/01/2026"/>
    <x v="5"/>
    <s v="7503043917012"/>
    <s v="Liquid Love Backdoor 30ml - DUSA"/>
    <s v="CONSUMIBLE PROPIO"/>
    <s v="DUSA"/>
    <n v="1"/>
    <n v="301.72000000000003"/>
  </r>
  <r>
    <s v="Plaza las Torres CELESTERRA"/>
    <s v="19/01/2026"/>
    <x v="5"/>
    <s v="7503020596513"/>
    <s v="Liquid Love Natural 20ml - DUSA"/>
    <s v="CONSUMIBLE PROPIO"/>
    <s v="DUSA"/>
    <n v="1"/>
    <n v="258.62"/>
  </r>
  <r>
    <s v="Plaza las Torres CELESTERRA"/>
    <s v="20/01/2026"/>
    <x v="1"/>
    <s v="7503043917005"/>
    <s v="Liquid Love Clear 30ml - DUSA"/>
    <s v="CONSUMIBLE PROPIO"/>
    <s v="DUSA"/>
    <n v="1"/>
    <n v="301.72000000000003"/>
  </r>
  <r>
    <s v="Plaza las Torres CELESTERRA"/>
    <s v="22/01/2026"/>
    <x v="1"/>
    <s v="7503050524265"/>
    <s v="He Plus 30ml - DUSA"/>
    <s v="CONSUMIBLE PROPIO"/>
    <s v="DUSA"/>
    <n v="1"/>
    <n v="431.03"/>
  </r>
  <r>
    <s v="Plaza las Torres CELESTERRA"/>
    <s v="22/01/2026"/>
    <x v="1"/>
    <s v="7503043917012"/>
    <s v="Liquid Love Backdoor 30ml - DUSA"/>
    <s v="CONSUMIBLE PROPIO"/>
    <s v="DUSA"/>
    <n v="2"/>
    <n v="603.44000000000005"/>
  </r>
  <r>
    <s v="Plaza las Torres CELESTERRA"/>
    <s v="22/01/2026"/>
    <x v="1"/>
    <s v="7503050524241"/>
    <s v="Orgasmik 30ml - DUSA"/>
    <s v="CONSUMIBLE PROPIO"/>
    <s v="DUSA"/>
    <n v="1"/>
    <n v="431.03"/>
  </r>
  <r>
    <s v="Plaza las Torres CELESTERRA"/>
    <s v="22/01/2026"/>
    <x v="1"/>
    <s v="7503013378010"/>
    <s v="Rigidex 2 pzas - DUSA"/>
    <s v="CONSUMIBLE PROPIO"/>
    <s v="DUSA"/>
    <n v="1"/>
    <n v="431.03"/>
  </r>
  <r>
    <s v="Plaza las Torres CELESTERRA"/>
    <s v="23/01/2026"/>
    <x v="1"/>
    <s v="7503043917012"/>
    <s v="Liquid Love Backdoor 30ml - DUSA"/>
    <s v="CONSUMIBLE PROPIO"/>
    <s v="DUSA"/>
    <n v="2"/>
    <n v="603.44000000000005"/>
  </r>
  <r>
    <s v="Plaza las Torres CELESTERRA"/>
    <s v="23/01/2026"/>
    <x v="1"/>
    <s v="7503043917005"/>
    <s v="Liquid Love Clear 30ml - DUSA"/>
    <s v="CONSUMIBLE PROPIO"/>
    <s v="DUSA"/>
    <n v="1"/>
    <n v="301.72000000000003"/>
  </r>
  <r>
    <s v="Plaza las Torres CELESTERRA"/>
    <s v="24/01/2026"/>
    <x v="1"/>
    <s v="7503013378492"/>
    <s v="Clean Whisper 120ml - DUSA"/>
    <s v="CONSUMIBLE PROPIO"/>
    <s v="DUSA"/>
    <n v="1"/>
    <n v="301.72000000000003"/>
  </r>
  <r>
    <s v="Plaza las Torres CELESTERRA"/>
    <s v="24/01/2026"/>
    <x v="1"/>
    <s v="7503043917012"/>
    <s v="Liquid Love Backdoor 30ml - DUSA"/>
    <s v="CONSUMIBLE PROPIO"/>
    <s v="DUSA"/>
    <n v="1"/>
    <n v="301.72000000000003"/>
  </r>
  <r>
    <s v="Plaza las Torres CELESTERRA"/>
    <s v="24/01/2026"/>
    <x v="1"/>
    <s v="7503013378010"/>
    <s v="Rigidex 2 pzas - DUSA"/>
    <s v="CONSUMIBLE PROPIO"/>
    <s v="DUSA"/>
    <n v="1"/>
    <n v="431.03"/>
  </r>
  <r>
    <s v="Plaza las Torres CELESTERRA"/>
    <s v="25/01/2026"/>
    <x v="1"/>
    <s v="7503050524265"/>
    <s v="He Plus 30ml - DUSA"/>
    <s v="CONSUMIBLE PROPIO"/>
    <s v="DUSA"/>
    <n v="1"/>
    <n v="431.03"/>
  </r>
  <r>
    <s v="Plaza las Torres CELESTERRA"/>
    <s v="25/01/2026"/>
    <x v="1"/>
    <s v="7503043917012"/>
    <s v="Liquid Love Backdoor 30ml - DUSA"/>
    <s v="CONSUMIBLE PROPIO"/>
    <s v="DUSA"/>
    <n v="1"/>
    <n v="301.72000000000003"/>
  </r>
  <r>
    <s v="Plaza las Torres CELESTERRA"/>
    <s v="25/01/2026"/>
    <x v="1"/>
    <s v="7503013378652"/>
    <s v="Liquid Love Backdoor 100ml - DUSA"/>
    <s v="CONSUMIBLE PROPIO"/>
    <s v="DUSA"/>
    <n v="1"/>
    <n v="1077.5899999999999"/>
  </r>
  <r>
    <s v="Plaza las Torres CELESTERRA"/>
    <s v="25/01/2026"/>
    <x v="1"/>
    <s v="7503043917005"/>
    <s v="Liquid Love Clear 30ml - DUSA"/>
    <s v="CONSUMIBLE PROPIO"/>
    <s v="DUSA"/>
    <n v="1"/>
    <n v="301.72000000000003"/>
  </r>
  <r>
    <s v="Plaza las Torres CELESTERRA"/>
    <s v="25/01/2026"/>
    <x v="1"/>
    <s v="7503050524241"/>
    <s v="Orgasmik 30ml - DUSA"/>
    <s v="CONSUMIBLE PROPIO"/>
    <s v="DUSA"/>
    <n v="2"/>
    <n v="862.06"/>
  </r>
  <r>
    <s v="Plaza las Torres CELESTERRA"/>
    <s v="25/01/2026"/>
    <x v="1"/>
    <s v="7503013378010"/>
    <s v="Rigidex 2 pzas - DUSA"/>
    <s v="CONSUMIBLE PROPIO"/>
    <s v="DUSA"/>
    <n v="1"/>
    <n v="431.03"/>
  </r>
  <r>
    <s v="Plaza las Torres CELESTERRA"/>
    <s v="26/01/2026"/>
    <x v="1"/>
    <s v="7503050524241"/>
    <s v="Orgasmik 30ml - DUSA"/>
    <s v="CONSUMIBLE PROPIO"/>
    <s v="DUSA"/>
    <n v="1"/>
    <n v="431.03"/>
  </r>
  <r>
    <s v="Plaza las Torres CELESTERRA"/>
    <s v="26/01/2026"/>
    <x v="1"/>
    <s v="7503013378010"/>
    <s v="Rigidex 2 pzas - DUSA"/>
    <s v="CONSUMIBLE PROPIO"/>
    <s v="DUSA"/>
    <n v="1"/>
    <n v="431.03"/>
  </r>
  <r>
    <s v="Plaza las Torres CELESTERRA"/>
    <s v="28/01/2026"/>
    <x v="3"/>
    <s v="7503013378645"/>
    <s v="Liquid Love Pleasure 100ml - DUSA"/>
    <s v="CONSUMIBLE PROPIO"/>
    <s v="DUSA"/>
    <n v="1"/>
    <n v="775.86"/>
  </r>
  <r>
    <s v="Plaza las Torres CELESTERRA"/>
    <s v="30/01/2026"/>
    <x v="3"/>
    <s v="7503043917012"/>
    <s v="Liquid Love Backdoor 30ml - DUSA"/>
    <s v="CONSUMIBLE PROPIO"/>
    <s v="DUSA"/>
    <n v="1"/>
    <n v="301.72000000000003"/>
  </r>
  <r>
    <s v="Plaza las Torres CELESTERRA"/>
    <s v="30/01/2026"/>
    <x v="3"/>
    <s v="7503043917005"/>
    <s v="Liquid Love Clear 30ml - DUSA"/>
    <s v="CONSUMIBLE PROPIO"/>
    <s v="DUSA"/>
    <n v="1"/>
    <n v="301.72000000000003"/>
  </r>
  <r>
    <s v="Plaza las Torres CELESTERRA"/>
    <s v="30/01/2026"/>
    <x v="3"/>
    <s v="7503020596513"/>
    <s v="Liquid Love Natural 20ml - DUSA"/>
    <s v="CONSUMIBLE PROPIO"/>
    <s v="DUSA"/>
    <n v="1"/>
    <n v="258.62"/>
  </r>
  <r>
    <s v="Plaza las Torres CELESTERRA"/>
    <s v="31/01/2026"/>
    <x v="3"/>
    <s v="7503013378492"/>
    <s v="Clean Whisper 120ml - DUSA"/>
    <s v="CONSUMIBLE PROPIO"/>
    <s v="DUSA"/>
    <n v="1"/>
    <n v="301.72000000000003"/>
  </r>
  <r>
    <s v="Plaza las Torres CELESTERRA"/>
    <s v="31/01/2026"/>
    <x v="3"/>
    <s v="7503043917012"/>
    <s v="Liquid Love Backdoor 30ml - DUSA"/>
    <s v="CONSUMIBLE PROPIO"/>
    <s v="DUSA"/>
    <n v="1"/>
    <n v="301.72000000000003"/>
  </r>
  <r>
    <s v="Plaza las Torres CELESTERRA"/>
    <s v="31/01/2026"/>
    <x v="3"/>
    <s v="7503013378645"/>
    <s v="Liquid Love Pleasure 100ml - DUSA"/>
    <s v="CONSUMIBLE PROPIO"/>
    <s v="DUSA"/>
    <n v="1"/>
    <n v="775.86"/>
  </r>
  <r>
    <s v="Plaza Madison -CEL"/>
    <s v="02/01/2026"/>
    <x v="16"/>
    <s v="7503020596957"/>
    <s v="Shot Shumatsu Fun Hombre - DUSA"/>
    <s v="CONSUMIBLE PROPIO"/>
    <s v="DUSA"/>
    <n v="1"/>
    <n v="172.41"/>
  </r>
  <r>
    <s v="Plaza Madison -CEL"/>
    <s v="03/01/2026"/>
    <x v="16"/>
    <s v="7503043917012"/>
    <s v="Liquid Love Backdoor 30ml - DUSA"/>
    <s v="CONSUMIBLE PROPIO"/>
    <s v="DUSA"/>
    <n v="2"/>
    <n v="603.44000000000005"/>
  </r>
  <r>
    <s v="Plaza Madison -CEL"/>
    <s v="05/01/2026"/>
    <x v="16"/>
    <s v="7503020596513"/>
    <s v="Liquid Love Natural 20ml - DUSA"/>
    <s v="CONSUMIBLE PROPIO"/>
    <s v="DUSA"/>
    <n v="1"/>
    <n v="258.62"/>
  </r>
  <r>
    <s v="Plaza Madison -CEL"/>
    <s v="05/01/2026"/>
    <x v="16"/>
    <s v="7503013378126"/>
    <s v="Lubricante Body Surf Frio Natural DUSA 60ml"/>
    <s v="CONSUMIBLE PROPIO"/>
    <s v="DUSA"/>
    <n v="1"/>
    <n v="387.93"/>
  </r>
  <r>
    <s v="Plaza Madison -CEL"/>
    <s v="06/01/2026"/>
    <x v="16"/>
    <s v="7503043917005"/>
    <s v="Liquid Love Clear 30ml - DUSA"/>
    <s v="CONSUMIBLE PROPIO"/>
    <s v="DUSA"/>
    <n v="1"/>
    <n v="301.72000000000003"/>
  </r>
  <r>
    <s v="Plaza Madison -CEL"/>
    <s v="06/01/2026"/>
    <x v="16"/>
    <s v="7503020596957"/>
    <s v="Shot Shumatsu Fun Hombre - DUSA"/>
    <s v="CONSUMIBLE PROPIO"/>
    <s v="DUSA"/>
    <n v="2"/>
    <n v="344.82"/>
  </r>
  <r>
    <s v="Plaza Madison -CEL"/>
    <s v="07/01/2026"/>
    <x v="5"/>
    <s v="7503024256154"/>
    <s v="Lubricante Body Surf Termico Cereza DUSA 60ml"/>
    <s v="CONSUMIBLE PROPIO"/>
    <s v="DUSA"/>
    <n v="1"/>
    <n v="387.93"/>
  </r>
  <r>
    <s v="Plaza Madison -CEL"/>
    <s v="08/01/2026"/>
    <x v="16"/>
    <s v="7503043917005"/>
    <s v="Liquid Love Clear 30ml - DUSA"/>
    <s v="CONSUMIBLE PROPIO"/>
    <s v="DUSA"/>
    <n v="1"/>
    <n v="301.72000000000003"/>
  </r>
  <r>
    <s v="Plaza Madison -CEL"/>
    <s v="09/01/2026"/>
    <x v="16"/>
    <s v="7503032300993"/>
    <s v="Liquid Love Pleasure 30ml - DUSA"/>
    <s v="CONSUMIBLE PROPIO"/>
    <s v="DUSA"/>
    <n v="1"/>
    <n v="301.72000000000003"/>
  </r>
  <r>
    <s v="Plaza Madison -CEL"/>
    <s v="09/01/2026"/>
    <x v="16"/>
    <s v="7503050524241"/>
    <s v="Orgasmik 30ml - DUSA"/>
    <s v="CONSUMIBLE PROPIO"/>
    <s v="DUSA"/>
    <n v="1"/>
    <n v="431.03"/>
  </r>
  <r>
    <s v="Plaza Madison -CEL"/>
    <s v="09/01/2026"/>
    <x v="16"/>
    <s v="7503013378010"/>
    <s v="Rigidex 2 pzas - DUSA"/>
    <s v="CONSUMIBLE PROPIO"/>
    <s v="DUSA"/>
    <n v="1"/>
    <n v="431.03"/>
  </r>
  <r>
    <s v="Plaza Madison -CEL"/>
    <s v="09/01/2026"/>
    <x v="16"/>
    <s v="7503024256192"/>
    <s v="Shot Shumatsu Fun Mujer - DUSA"/>
    <s v="CONSUMIBLE PROPIO"/>
    <s v="DUSA"/>
    <n v="1"/>
    <n v="172.41"/>
  </r>
  <r>
    <s v="Plaza Madison -CEL"/>
    <s v="10/01/2026"/>
    <x v="16"/>
    <s v="7503043917012"/>
    <s v="Liquid Love Backdoor 30ml - DUSA"/>
    <s v="CONSUMIBLE PROPIO"/>
    <s v="DUSA"/>
    <n v="1"/>
    <n v="301.72000000000003"/>
  </r>
  <r>
    <s v="Plaza Madison -CEL"/>
    <s v="10/01/2026"/>
    <x v="16"/>
    <s v="7503020596957"/>
    <s v="Shot Shumatsu Fun Hombre - DUSA"/>
    <s v="CONSUMIBLE PROPIO"/>
    <s v="DUSA"/>
    <n v="1"/>
    <n v="172.41"/>
  </r>
  <r>
    <s v="Plaza Madison -CEL"/>
    <s v="10/01/2026"/>
    <x v="16"/>
    <s v="7503024256192"/>
    <s v="Shot Shumatsu Fun Mujer - DUSA"/>
    <s v="CONSUMIBLE PROPIO"/>
    <s v="DUSA"/>
    <n v="1"/>
    <n v="172.41"/>
  </r>
  <r>
    <s v="Plaza Madison -CEL"/>
    <s v="12/01/2026"/>
    <x v="2"/>
    <s v="7503032300993"/>
    <s v="Liquid Love Pleasure 30ml - DUSA"/>
    <s v="CONSUMIBLE PROPIO"/>
    <s v="DUSA"/>
    <n v="1"/>
    <n v="301.72000000000003"/>
  </r>
  <r>
    <s v="Plaza Madison -CEL"/>
    <s v="12/01/2026"/>
    <x v="2"/>
    <s v="7503020596957"/>
    <s v="Shot Shumatsu Fun Hombre - DUSA"/>
    <s v="CONSUMIBLE PROPIO"/>
    <s v="DUSA"/>
    <n v="1"/>
    <n v="172.41"/>
  </r>
  <r>
    <s v="Plaza Madison -CEL"/>
    <s v="12/01/2026"/>
    <x v="2"/>
    <s v="7503020596063"/>
    <s v="Stallion Regenerador - DUSA"/>
    <s v="CONSUMIBLE PROPIO"/>
    <s v="DUSA"/>
    <n v="1"/>
    <n v="1293.0999999999999"/>
  </r>
  <r>
    <s v="Plaza Madison -CEL"/>
    <s v="14/01/2026"/>
    <x v="16"/>
    <s v="7503043917012"/>
    <s v="Liquid Love Backdoor 30ml - DUSA"/>
    <s v="CONSUMIBLE PROPIO"/>
    <s v="DUSA"/>
    <n v="1"/>
    <n v="301.72000000000003"/>
  </r>
  <r>
    <s v="Plaza Madison -CEL"/>
    <s v="14/01/2026"/>
    <x v="16"/>
    <s v="7503032300993"/>
    <s v="Liquid Love Pleasure 30ml - DUSA"/>
    <s v="CONSUMIBLE PROPIO"/>
    <s v="DUSA"/>
    <n v="1"/>
    <n v="301.72000000000003"/>
  </r>
  <r>
    <s v="Plaza Madison -CEL"/>
    <s v="14/01/2026"/>
    <x v="16"/>
    <s v="7503013378010"/>
    <s v="Rigidex 2 pzas - DUSA"/>
    <s v="CONSUMIBLE PROPIO"/>
    <s v="DUSA"/>
    <n v="1"/>
    <n v="431.03"/>
  </r>
  <r>
    <s v="Plaza Madison -CEL"/>
    <s v="14/01/2026"/>
    <x v="16"/>
    <s v="7503024256192"/>
    <s v="Shot Shumatsu Fun Mujer - DUSA"/>
    <s v="CONSUMIBLE PROPIO"/>
    <s v="DUSA"/>
    <n v="1"/>
    <n v="172.41"/>
  </r>
  <r>
    <s v="Plaza Madison -CEL"/>
    <s v="15/01/2026"/>
    <x v="16"/>
    <s v="7503013378126"/>
    <s v="Lubricante Body Surf Frio Natural DUSA 60ml"/>
    <s v="CONSUMIBLE PROPIO"/>
    <s v="DUSA"/>
    <n v="1"/>
    <n v="387.93"/>
  </r>
  <r>
    <s v="Plaza Madison -CEL"/>
    <s v="15/01/2026"/>
    <x v="16"/>
    <s v="7503050524241"/>
    <s v="Orgasmik 30ml - DUSA"/>
    <s v="CONSUMIBLE PROPIO"/>
    <s v="DUSA"/>
    <n v="1"/>
    <n v="431.03"/>
  </r>
  <r>
    <s v="Plaza Madison -CEL"/>
    <s v="16/01/2026"/>
    <x v="2"/>
    <s v="7503032300993"/>
    <s v="Liquid Love Pleasure 30ml - DUSA"/>
    <s v="CONSUMIBLE PROPIO"/>
    <s v="DUSA"/>
    <n v="1"/>
    <n v="301.72000000000003"/>
  </r>
  <r>
    <s v="Plaza Madison -CEL"/>
    <s v="16/01/2026"/>
    <x v="2"/>
    <s v="7503050524241"/>
    <s v="Orgasmik 30ml - DUSA"/>
    <s v="CONSUMIBLE PROPIO"/>
    <s v="DUSA"/>
    <n v="1"/>
    <n v="431.03"/>
  </r>
  <r>
    <s v="Plaza Madison -CEL"/>
    <s v="16/01/2026"/>
    <x v="2"/>
    <s v="7503013378010"/>
    <s v="Rigidex 2 pzas - DUSA"/>
    <s v="CONSUMIBLE PROPIO"/>
    <s v="DUSA"/>
    <n v="1"/>
    <n v="431.03"/>
  </r>
  <r>
    <s v="Plaza Madison -CEL"/>
    <s v="17/01/2026"/>
    <x v="16"/>
    <s v="7503032300993"/>
    <s v="Liquid Love Pleasure 30ml - DUSA"/>
    <s v="CONSUMIBLE PROPIO"/>
    <s v="DUSA"/>
    <n v="1"/>
    <n v="301.72000000000003"/>
  </r>
  <r>
    <s v="Plaza Madison -CEL"/>
    <s v="17/01/2026"/>
    <x v="16"/>
    <s v="7503020596957"/>
    <s v="Shot Shumatsu Fun Hombre - DUSA"/>
    <s v="CONSUMIBLE PROPIO"/>
    <s v="DUSA"/>
    <n v="1"/>
    <n v="172.41"/>
  </r>
  <r>
    <s v="Plaza Madison -CEL"/>
    <s v="17/01/2026"/>
    <x v="16"/>
    <s v="7503024256192"/>
    <s v="Shot Shumatsu Fun Mujer - DUSA"/>
    <s v="CONSUMIBLE PROPIO"/>
    <s v="DUSA"/>
    <n v="1"/>
    <n v="172.41"/>
  </r>
  <r>
    <s v="Plaza Madison -CEL"/>
    <s v="18/01/2026"/>
    <x v="16"/>
    <s v="7503013378492"/>
    <s v="Clean Whisper 120ml - DUSA"/>
    <s v="CONSUMIBLE PROPIO"/>
    <s v="DUSA"/>
    <n v="1"/>
    <n v="301.72000000000003"/>
  </r>
  <r>
    <s v="Plaza Madison -CEL"/>
    <s v="18/01/2026"/>
    <x v="16"/>
    <s v="7503032300993"/>
    <s v="Liquid Love Pleasure 30ml - DUSA"/>
    <s v="CONSUMIBLE PROPIO"/>
    <s v="DUSA"/>
    <n v="1"/>
    <n v="301.72000000000003"/>
  </r>
  <r>
    <s v="Plaza Madison -CEL"/>
    <s v="18/01/2026"/>
    <x v="16"/>
    <s v="7503013378126"/>
    <s v="Lubricante Body Surf Frio Natural DUSA 60ml"/>
    <s v="CONSUMIBLE PROPIO"/>
    <s v="DUSA"/>
    <n v="1"/>
    <n v="387.93"/>
  </r>
  <r>
    <s v="Plaza Madison -CEL"/>
    <s v="18/01/2026"/>
    <x v="16"/>
    <s v="7503013378799"/>
    <s v="Lubricante Body Surf Termico Citricos DUSA 60ml"/>
    <s v="CONSUMIBLE PROPIO"/>
    <s v="DUSA"/>
    <n v="1"/>
    <n v="387.93"/>
  </r>
  <r>
    <s v="Plaza Madison -CEL"/>
    <s v="18/01/2026"/>
    <x v="16"/>
    <s v="7503024256192"/>
    <s v="Shot Shumatsu Fun Mujer - DUSA"/>
    <s v="CONSUMIBLE PROPIO"/>
    <s v="DUSA"/>
    <n v="1"/>
    <n v="172.41"/>
  </r>
  <r>
    <s v="Plaza Madison -CEL"/>
    <s v="19/01/2026"/>
    <x v="16"/>
    <s v="7503043917005"/>
    <s v="Liquid Love Clear 30ml - DUSA"/>
    <s v="CONSUMIBLE PROPIO"/>
    <s v="DUSA"/>
    <n v="1"/>
    <n v="301.72000000000003"/>
  </r>
  <r>
    <s v="Plaza Madison -CEL"/>
    <s v="19/01/2026"/>
    <x v="16"/>
    <s v="7503032300993"/>
    <s v="Liquid Love Pleasure 30ml - DUSA"/>
    <s v="CONSUMIBLE PROPIO"/>
    <s v="DUSA"/>
    <n v="1"/>
    <n v="301.72000000000003"/>
  </r>
  <r>
    <s v="Plaza Madison -CEL"/>
    <s v="19/01/2026"/>
    <x v="16"/>
    <s v="7503020596957"/>
    <s v="Shot Shumatsu Fun Hombre - DUSA"/>
    <s v="CONSUMIBLE PROPIO"/>
    <s v="DUSA"/>
    <n v="1"/>
    <n v="172.41"/>
  </r>
  <r>
    <s v="Plaza Madison -CEL"/>
    <s v="20/01/2026"/>
    <x v="16"/>
    <s v="7503043917005"/>
    <s v="Liquid Love Clear 30ml - DUSA"/>
    <s v="CONSUMIBLE PROPIO"/>
    <s v="DUSA"/>
    <n v="2"/>
    <n v="603.44000000000005"/>
  </r>
  <r>
    <s v="Plaza Madison -CEL"/>
    <s v="21/01/2026"/>
    <x v="2"/>
    <s v="7503013378492"/>
    <s v="Clean Whisper 120ml - DUSA"/>
    <s v="CONSUMIBLE PROPIO"/>
    <s v="DUSA"/>
    <n v="1"/>
    <n v="301.72000000000003"/>
  </r>
  <r>
    <s v="Plaza Madison -CEL"/>
    <s v="21/01/2026"/>
    <x v="2"/>
    <s v="7503013378645"/>
    <s v="Liquid Love Pleasure 100ml - DUSA"/>
    <s v="CONSUMIBLE PROPIO"/>
    <s v="DUSA"/>
    <n v="2"/>
    <n v="1551.72"/>
  </r>
  <r>
    <s v="Plaza Madison -CEL"/>
    <s v="21/01/2026"/>
    <x v="2"/>
    <s v="7503013378799"/>
    <s v="Lubricante Body Surf Termico Citricos DUSA 60ml"/>
    <s v="CONSUMIBLE PROPIO"/>
    <s v="DUSA"/>
    <n v="1"/>
    <n v="387.93"/>
  </r>
  <r>
    <s v="Plaza Madison -CEL"/>
    <s v="21/01/2026"/>
    <x v="2"/>
    <s v="7503050524258"/>
    <s v="Sensicool 30ml - DUSA"/>
    <s v="CONSUMIBLE PROPIO"/>
    <s v="DUSA"/>
    <n v="1"/>
    <n v="431.03"/>
  </r>
  <r>
    <s v="Plaza Madison -CEL"/>
    <s v="21/01/2026"/>
    <x v="2"/>
    <s v="7503020596957"/>
    <s v="Shot Shumatsu Fun Hombre - DUSA"/>
    <s v="CONSUMIBLE PROPIO"/>
    <s v="DUSA"/>
    <n v="1"/>
    <n v="172.41"/>
  </r>
  <r>
    <s v="Plaza Madison -CEL"/>
    <s v="22/01/2026"/>
    <x v="16"/>
    <s v="7503032300993"/>
    <s v="Liquid Love Pleasure 30ml - DUSA"/>
    <s v="CONSUMIBLE PROPIO"/>
    <s v="DUSA"/>
    <n v="1"/>
    <n v="301.72000000000003"/>
  </r>
  <r>
    <s v="Plaza Madison -CEL"/>
    <s v="22/01/2026"/>
    <x v="16"/>
    <s v="7503013378799"/>
    <s v="Lubricante Body Surf Termico Citricos DUSA 60ml"/>
    <s v="CONSUMIBLE PROPIO"/>
    <s v="DUSA"/>
    <n v="1"/>
    <n v="387.93"/>
  </r>
  <r>
    <s v="Plaza Madison -CEL"/>
    <s v="22/01/2026"/>
    <x v="16"/>
    <s v="7503050524241"/>
    <s v="Orgasmik 30ml - DUSA"/>
    <s v="CONSUMIBLE PROPIO"/>
    <s v="DUSA"/>
    <n v="1"/>
    <n v="431.03"/>
  </r>
  <r>
    <s v="Plaza Madison -CEL"/>
    <s v="24/01/2026"/>
    <x v="16"/>
    <s v="7503020596001"/>
    <s v="Liquid Love Clear 100ml - DUSA"/>
    <s v="CONSUMIBLE PROPIO"/>
    <s v="DUSA"/>
    <n v="2"/>
    <n v="1551.72"/>
  </r>
  <r>
    <s v="Plaza Madison -CEL"/>
    <s v="24/01/2026"/>
    <x v="16"/>
    <s v="7503024256154"/>
    <s v="Lubricante Body Surf Termico Cereza DUSA 60ml"/>
    <s v="CONSUMIBLE PROPIO"/>
    <s v="DUSA"/>
    <n v="1"/>
    <n v="387.93"/>
  </r>
  <r>
    <s v="Plaza Madison -CEL"/>
    <s v="24/01/2026"/>
    <x v="16"/>
    <s v="7503020596957"/>
    <s v="Shot Shumatsu Fun Hombre - DUSA"/>
    <s v="CONSUMIBLE PROPIO"/>
    <s v="DUSA"/>
    <n v="1"/>
    <n v="172.41"/>
  </r>
  <r>
    <s v="Plaza Madison -CEL"/>
    <s v="24/01/2026"/>
    <x v="16"/>
    <s v="7503024256192"/>
    <s v="Shot Shumatsu Fun Mujer - DUSA"/>
    <s v="CONSUMIBLE PROPIO"/>
    <s v="DUSA"/>
    <n v="1"/>
    <n v="172.41"/>
  </r>
  <r>
    <s v="Plaza Madison -CEL"/>
    <s v="25/01/2026"/>
    <x v="16"/>
    <s v="7503043917012"/>
    <s v="Liquid Love Backdoor 30ml - DUSA"/>
    <s v="CONSUMIBLE PROPIO"/>
    <s v="DUSA"/>
    <n v="1"/>
    <n v="301.72000000000003"/>
  </r>
  <r>
    <s v="Plaza Madison -CEL"/>
    <s v="25/01/2026"/>
    <x v="16"/>
    <s v="7503020596513"/>
    <s v="Liquid Love Natural 20ml - DUSA"/>
    <s v="CONSUMIBLE PROPIO"/>
    <s v="DUSA"/>
    <n v="1"/>
    <n v="258.62"/>
  </r>
  <r>
    <s v="Plaza Madison -CEL"/>
    <s v="25/01/2026"/>
    <x v="16"/>
    <s v="7503032300993"/>
    <s v="Liquid Love Pleasure 30ml - DUSA"/>
    <s v="CONSUMIBLE PROPIO"/>
    <s v="DUSA"/>
    <n v="1"/>
    <n v="301.72000000000003"/>
  </r>
  <r>
    <s v="Plaza Madison -CEL"/>
    <s v="25/01/2026"/>
    <x v="16"/>
    <s v="7503013378799"/>
    <s v="Lubricante Body Surf Termico Citricos DUSA 60ml"/>
    <s v="CONSUMIBLE PROPIO"/>
    <s v="DUSA"/>
    <n v="1"/>
    <n v="387.93"/>
  </r>
  <r>
    <s v="Plaza Madison -CEL"/>
    <s v="26/01/2026"/>
    <x v="16"/>
    <s v="7503013378492"/>
    <s v="Clean Whisper 120ml - DUSA"/>
    <s v="CONSUMIBLE PROPIO"/>
    <s v="DUSA"/>
    <n v="1"/>
    <n v="301.72000000000003"/>
  </r>
  <r>
    <s v="Plaza Madison -CEL"/>
    <s v="26/01/2026"/>
    <x v="16"/>
    <s v="7503043917012"/>
    <s v="Liquid Love Backdoor 30ml - DUSA"/>
    <s v="CONSUMIBLE PROPIO"/>
    <s v="DUSA"/>
    <n v="1"/>
    <n v="301.72000000000003"/>
  </r>
  <r>
    <s v="Plaza Madison -CEL"/>
    <s v="26/01/2026"/>
    <x v="16"/>
    <s v="7503050524258"/>
    <s v="Sensicool 30ml - DUSA"/>
    <s v="CONSUMIBLE PROPIO"/>
    <s v="DUSA"/>
    <n v="1"/>
    <n v="431.03"/>
  </r>
  <r>
    <s v="Plaza Madison -CEL"/>
    <s v="27/01/2026"/>
    <x v="16"/>
    <s v="7503013378010"/>
    <s v="Rigidex 2 pzas - DUSA"/>
    <s v="CONSUMIBLE PROPIO"/>
    <s v="DUSA"/>
    <n v="1"/>
    <n v="431.03"/>
  </r>
  <r>
    <s v="Plaza Madison -CEL"/>
    <s v="28/01/2026"/>
    <x v="16"/>
    <s v="7503024256154"/>
    <s v="Lubricante Body Surf Termico Cereza DUSA 60ml"/>
    <s v="CONSUMIBLE PROPIO"/>
    <s v="DUSA"/>
    <n v="1"/>
    <n v="387.93"/>
  </r>
  <r>
    <s v="Plaza Madison -CEL"/>
    <s v="28/01/2026"/>
    <x v="16"/>
    <s v="7503013378799"/>
    <s v="Lubricante Body Surf Termico Citricos DUSA 60ml"/>
    <s v="CONSUMIBLE PROPIO"/>
    <s v="DUSA"/>
    <n v="1"/>
    <n v="387.93"/>
  </r>
  <r>
    <s v="Plaza Madison -CEL"/>
    <s v="30/01/2026"/>
    <x v="16"/>
    <s v="7503013378492"/>
    <s v="Clean Whisper 120ml - DUSA"/>
    <s v="CONSUMIBLE PROPIO"/>
    <s v="DUSA"/>
    <n v="1"/>
    <n v="301.72000000000003"/>
  </r>
  <r>
    <s v="Plaza Madison -CEL"/>
    <s v="30/01/2026"/>
    <x v="16"/>
    <s v="7503043917005"/>
    <s v="Liquid Love Clear 30ml - DUSA"/>
    <s v="CONSUMIBLE PROPIO"/>
    <s v="DUSA"/>
    <n v="1"/>
    <n v="301.72000000000003"/>
  </r>
  <r>
    <s v="Plaza Madison -CEL"/>
    <s v="30/01/2026"/>
    <x v="16"/>
    <s v="7503050524241"/>
    <s v="Orgasmik 30ml - DUSA"/>
    <s v="CONSUMIBLE PROPIO"/>
    <s v="DUSA"/>
    <n v="1"/>
    <n v="431.03"/>
  </r>
  <r>
    <s v="Plaza Madison -CEL"/>
    <s v="31/01/2026"/>
    <x v="16"/>
    <s v="7503043917012"/>
    <s v="Liquid Love Backdoor 30ml - DUSA"/>
    <s v="CONSUMIBLE PROPIO"/>
    <s v="DUSA"/>
    <n v="1"/>
    <n v="301.72000000000003"/>
  </r>
  <r>
    <s v="Plaza Sauces CEL"/>
    <s v="02/01/2026"/>
    <x v="17"/>
    <s v="7503013378652"/>
    <s v="Liquid Love Backdoor 100ml - DUSA"/>
    <s v="CONSUMIBLE PROPIO"/>
    <s v="DUSA"/>
    <n v="1"/>
    <n v="1077.5899999999999"/>
  </r>
  <r>
    <s v="Plaza Sauces CEL"/>
    <s v="02/01/2026"/>
    <x v="17"/>
    <s v="7503032300993"/>
    <s v="Liquid Love Pleasure 30ml - DUSA"/>
    <s v="CONSUMIBLE PROPIO"/>
    <s v="DUSA"/>
    <n v="2"/>
    <n v="603.44000000000005"/>
  </r>
  <r>
    <s v="Plaza Sauces CEL"/>
    <s v="02/01/2026"/>
    <x v="17"/>
    <s v="7503013378645"/>
    <s v="Liquid Love Pleasure 100ml - DUSA"/>
    <s v="CONSUMIBLE PROPIO"/>
    <s v="DUSA"/>
    <n v="1"/>
    <n v="775.86"/>
  </r>
  <r>
    <s v="Plaza Sauces CEL"/>
    <s v="02/01/2026"/>
    <x v="17"/>
    <s v="7503050524258"/>
    <s v="Sensicool 30ml - DUSA"/>
    <s v="CONSUMIBLE PROPIO"/>
    <s v="DUSA"/>
    <n v="1"/>
    <n v="431.03"/>
  </r>
  <r>
    <s v="Plaza Sauces CEL"/>
    <s v="03/01/2026"/>
    <x v="5"/>
    <s v="7503032300993"/>
    <s v="Liquid Love Pleasure 30ml - DUSA"/>
    <s v="CONSUMIBLE PROPIO"/>
    <s v="DUSA"/>
    <n v="1"/>
    <n v="301.72000000000003"/>
  </r>
  <r>
    <s v="Plaza Sauces CEL"/>
    <s v="03/01/2026"/>
    <x v="5"/>
    <s v="7503013378799"/>
    <s v="Lubricante Body Surf Termico Citricos DUSA 60ml"/>
    <s v="CONSUMIBLE PROPIO"/>
    <s v="DUSA"/>
    <n v="1"/>
    <n v="387.93"/>
  </r>
  <r>
    <s v="Plaza Sauces CEL"/>
    <s v="03/01/2026"/>
    <x v="5"/>
    <s v="7503013378010"/>
    <s v="Rigidex 2 pzas - DUSA"/>
    <s v="CONSUMIBLE PROPIO"/>
    <s v="DUSA"/>
    <n v="1"/>
    <n v="431.03"/>
  </r>
  <r>
    <s v="Plaza Sauces CEL"/>
    <s v="03/01/2026"/>
    <x v="5"/>
    <s v="7503024256192"/>
    <s v="Shot Shumatsu Fun Mujer - DUSA"/>
    <s v="CONSUMIBLE PROPIO"/>
    <s v="DUSA"/>
    <n v="1"/>
    <n v="172.41"/>
  </r>
  <r>
    <s v="Plaza Sauces CEL"/>
    <s v="04/01/2026"/>
    <x v="17"/>
    <s v="7503032300993"/>
    <s v="Liquid Love Pleasure 30ml - DUSA"/>
    <s v="CONSUMIBLE PROPIO"/>
    <s v="DUSA"/>
    <n v="3"/>
    <n v="905.16000000000008"/>
  </r>
  <r>
    <s v="Plaza Sauces CEL"/>
    <s v="04/01/2026"/>
    <x v="17"/>
    <s v="7503020596957"/>
    <s v="Shot Shumatsu Fun Hombre - DUSA"/>
    <s v="CONSUMIBLE PROPIO"/>
    <s v="DUSA"/>
    <n v="1"/>
    <n v="172.41"/>
  </r>
  <r>
    <s v="Plaza Sauces CEL"/>
    <s v="04/01/2026"/>
    <x v="17"/>
    <s v="7503020596063"/>
    <s v="Stallion Regenerador - DUSA"/>
    <s v="CONSUMIBLE PROPIO"/>
    <s v="DUSA"/>
    <n v="1"/>
    <n v="1293.0999999999999"/>
  </r>
  <r>
    <s v="Plaza Sauces CEL"/>
    <s v="05/01/2026"/>
    <x v="17"/>
    <s v="7503013378645"/>
    <s v="Liquid Love Pleasure 100ml - DUSA"/>
    <s v="CONSUMIBLE PROPIO"/>
    <s v="DUSA"/>
    <n v="1"/>
    <n v="775.86"/>
  </r>
  <r>
    <s v="Plaza Sauces CEL"/>
    <s v="05/01/2026"/>
    <x v="17"/>
    <s v="7503024256154"/>
    <s v="Lubricante Body Surf Termico Cereza DUSA 60ml"/>
    <s v="CONSUMIBLE PROPIO"/>
    <s v="DUSA"/>
    <n v="1"/>
    <n v="387.93"/>
  </r>
  <r>
    <s v="Plaza Sauces CEL"/>
    <s v="05/01/2026"/>
    <x v="17"/>
    <s v="7503050524241"/>
    <s v="Orgasmik 30ml - DUSA"/>
    <s v="CONSUMIBLE PROPIO"/>
    <s v="DUSA"/>
    <n v="2"/>
    <n v="862.06"/>
  </r>
  <r>
    <s v="Plaza Sauces CEL"/>
    <s v="06/01/2026"/>
    <x v="17"/>
    <s v="7503013378645"/>
    <s v="Liquid Love Pleasure 100ml - DUSA"/>
    <s v="CONSUMIBLE PROPIO"/>
    <s v="DUSA"/>
    <n v="1"/>
    <n v="775.86"/>
  </r>
  <r>
    <s v="Plaza Sauces CEL"/>
    <s v="06/01/2026"/>
    <x v="17"/>
    <s v="7503024256154"/>
    <s v="Lubricante Body Surf Termico Cereza DUSA 60ml"/>
    <s v="CONSUMIBLE PROPIO"/>
    <s v="DUSA"/>
    <n v="1"/>
    <n v="387.93"/>
  </r>
  <r>
    <s v="Plaza Sauces CEL"/>
    <s v="07/01/2026"/>
    <x v="17"/>
    <s v="7503024256154"/>
    <s v="Lubricante Body Surf Termico Cereza DUSA 60ml"/>
    <s v="CONSUMIBLE PROPIO"/>
    <s v="DUSA"/>
    <n v="1"/>
    <n v="387.93"/>
  </r>
  <r>
    <s v="Plaza Sauces CEL"/>
    <s v="07/01/2026"/>
    <x v="17"/>
    <s v="7503050524241"/>
    <s v="Orgasmik 30ml - DUSA"/>
    <s v="CONSUMIBLE PROPIO"/>
    <s v="DUSA"/>
    <n v="1"/>
    <n v="431.03"/>
  </r>
  <r>
    <s v="Plaza Sauces CEL"/>
    <s v="08/01/2026"/>
    <x v="17"/>
    <s v="7503032300993"/>
    <s v="Liquid Love Pleasure 30ml - DUSA"/>
    <s v="CONSUMIBLE PROPIO"/>
    <s v="DUSA"/>
    <n v="1"/>
    <n v="301.72000000000003"/>
  </r>
  <r>
    <s v="Plaza Sauces CEL"/>
    <s v="08/01/2026"/>
    <x v="17"/>
    <s v="7503013378126"/>
    <s v="Lubricante Body Surf Frio Natural DUSA 60ml"/>
    <s v="CONSUMIBLE PROPIO"/>
    <s v="DUSA"/>
    <n v="1"/>
    <n v="387.93"/>
  </r>
  <r>
    <s v="Plaza Sauces CEL"/>
    <s v="08/01/2026"/>
    <x v="17"/>
    <s v="7503024256154"/>
    <s v="Lubricante Body Surf Termico Cereza DUSA 60ml"/>
    <s v="CONSUMIBLE PROPIO"/>
    <s v="DUSA"/>
    <n v="1"/>
    <n v="387.93"/>
  </r>
  <r>
    <s v="Plaza Sauces CEL"/>
    <s v="08/01/2026"/>
    <x v="17"/>
    <s v="7503013378799"/>
    <s v="Lubricante Body Surf Termico Citricos DUSA 60ml"/>
    <s v="CONSUMIBLE PROPIO"/>
    <s v="DUSA"/>
    <n v="1"/>
    <n v="387.93"/>
  </r>
  <r>
    <s v="Plaza Sauces CEL"/>
    <s v="08/01/2026"/>
    <x v="17"/>
    <s v="7503013378010"/>
    <s v="Rigidex 2 pzas - DUSA"/>
    <s v="CONSUMIBLE PROPIO"/>
    <s v="DUSA"/>
    <n v="3"/>
    <n v="1293.0999999999999"/>
  </r>
  <r>
    <s v="Plaza Sauces CEL"/>
    <s v="08/01/2026"/>
    <x v="17"/>
    <s v="7503020596957"/>
    <s v="Shot Shumatsu Fun Hombre - DUSA"/>
    <s v="CONSUMIBLE PROPIO"/>
    <s v="DUSA"/>
    <n v="1"/>
    <n v="172.41"/>
  </r>
  <r>
    <s v="Plaza Sauces CEL"/>
    <s v="08/01/2026"/>
    <x v="17"/>
    <s v="7503024256192"/>
    <s v="Shot Shumatsu Fun Mujer - DUSA"/>
    <s v="CONSUMIBLE PROPIO"/>
    <s v="DUSA"/>
    <n v="1"/>
    <n v="172.41"/>
  </r>
  <r>
    <s v="Plaza Sauces CEL"/>
    <s v="09/01/2026"/>
    <x v="5"/>
    <s v="7503050524265"/>
    <s v="He Plus 30ml - DUSA"/>
    <s v="CONSUMIBLE PROPIO"/>
    <s v="DUSA"/>
    <n v="1"/>
    <n v="431.03"/>
  </r>
  <r>
    <s v="Plaza Sauces CEL"/>
    <s v="09/01/2026"/>
    <x v="5"/>
    <s v="7503013378645"/>
    <s v="Liquid Love Pleasure 100ml - DUSA"/>
    <s v="CONSUMIBLE PROPIO"/>
    <s v="DUSA"/>
    <n v="1"/>
    <n v="775.86"/>
  </r>
  <r>
    <s v="Plaza Sauces CEL"/>
    <s v="09/01/2026"/>
    <x v="5"/>
    <s v="7503013378010"/>
    <s v="Rigidex 2 pzas - DUSA"/>
    <s v="CONSUMIBLE PROPIO"/>
    <s v="DUSA"/>
    <n v="1"/>
    <n v="431.03"/>
  </r>
  <r>
    <s v="Plaza Sauces CEL"/>
    <s v="09/01/2026"/>
    <x v="5"/>
    <s v="7503020596063"/>
    <s v="Stallion Regenerador - DUSA"/>
    <s v="CONSUMIBLE PROPIO"/>
    <s v="DUSA"/>
    <n v="1"/>
    <n v="1293.0999999999999"/>
  </r>
  <r>
    <s v="Plaza Sauces CEL"/>
    <s v="10/01/2026"/>
    <x v="17"/>
    <s v="7503032300993"/>
    <s v="Liquid Love Pleasure 30ml - DUSA"/>
    <s v="CONSUMIBLE PROPIO"/>
    <s v="DUSA"/>
    <n v="1"/>
    <n v="301.72000000000003"/>
  </r>
  <r>
    <s v="Plaza Sauces CEL"/>
    <s v="10/01/2026"/>
    <x v="17"/>
    <s v="7503013378980"/>
    <s v="Lubricante Body Surf Termico Chicle DUSA 60ml"/>
    <s v="CONSUMIBLE PROPIO"/>
    <s v="DUSA"/>
    <n v="1"/>
    <n v="387.93"/>
  </r>
  <r>
    <s v="Plaza Sauces CEL"/>
    <s v="10/01/2026"/>
    <x v="17"/>
    <s v="7503050524241"/>
    <s v="Orgasmik 30ml - DUSA"/>
    <s v="CONSUMIBLE PROPIO"/>
    <s v="DUSA"/>
    <n v="1"/>
    <n v="431.03"/>
  </r>
  <r>
    <s v="Plaza Sauces CEL"/>
    <s v="10/01/2026"/>
    <x v="17"/>
    <s v="7503013378010"/>
    <s v="Rigidex 2 pzas - DUSA"/>
    <s v="CONSUMIBLE PROPIO"/>
    <s v="DUSA"/>
    <n v="3"/>
    <n v="1293.0899999999999"/>
  </r>
  <r>
    <s v="Plaza Sauces CEL"/>
    <s v="11/01/2026"/>
    <x v="17"/>
    <s v="7503013378492"/>
    <s v="Clean Whisper 120ml - DUSA"/>
    <s v="CONSUMIBLE PROPIO"/>
    <s v="DUSA"/>
    <n v="1"/>
    <n v="301.72000000000003"/>
  </r>
  <r>
    <s v="Plaza Sauces CEL"/>
    <s v="11/01/2026"/>
    <x v="17"/>
    <s v="7503050524241"/>
    <s v="Orgasmik 30ml - DUSA"/>
    <s v="CONSUMIBLE PROPIO"/>
    <s v="DUSA"/>
    <n v="1"/>
    <n v="431.03"/>
  </r>
  <r>
    <s v="Plaza Sauces CEL"/>
    <s v="13/01/2026"/>
    <x v="17"/>
    <s v="7503032300993"/>
    <s v="Liquid Love Pleasure 30ml - DUSA"/>
    <s v="CONSUMIBLE PROPIO"/>
    <s v="DUSA"/>
    <n v="1"/>
    <n v="301.72000000000003"/>
  </r>
  <r>
    <s v="Plaza Sauces CEL"/>
    <s v="13/01/2026"/>
    <x v="17"/>
    <s v="7503013378010"/>
    <s v="Rigidex 2 pzas - DUSA"/>
    <s v="CONSUMIBLE PROPIO"/>
    <s v="DUSA"/>
    <n v="1"/>
    <n v="431.03"/>
  </r>
  <r>
    <s v="Plaza Sauces CEL"/>
    <s v="13/01/2026"/>
    <x v="17"/>
    <s v="7503024256192"/>
    <s v="Shot Shumatsu Fun Mujer - DUSA"/>
    <s v="CONSUMIBLE PROPIO"/>
    <s v="DUSA"/>
    <n v="1"/>
    <n v="172.41"/>
  </r>
  <r>
    <s v="Plaza Sauces CEL"/>
    <s v="14/01/2026"/>
    <x v="17"/>
    <s v="7503013378492"/>
    <s v="Clean Whisper 120ml - DUSA"/>
    <s v="CONSUMIBLE PROPIO"/>
    <s v="DUSA"/>
    <n v="2"/>
    <n v="603.44000000000005"/>
  </r>
  <r>
    <s v="Plaza Sauces CEL"/>
    <s v="14/01/2026"/>
    <x v="17"/>
    <s v="7503013378980"/>
    <s v="Lubricante Body Surf Termico Chicle DUSA 60ml"/>
    <s v="CONSUMIBLE PROPIO"/>
    <s v="DUSA"/>
    <n v="1"/>
    <n v="387.93"/>
  </r>
  <r>
    <s v="Plaza Sauces CEL"/>
    <s v="14/01/2026"/>
    <x v="17"/>
    <s v="7503013378799"/>
    <s v="Lubricante Body Surf Termico Citricos DUSA 60ml"/>
    <s v="CONSUMIBLE PROPIO"/>
    <s v="DUSA"/>
    <n v="1"/>
    <n v="387.93"/>
  </r>
  <r>
    <s v="Plaza Sauces CEL"/>
    <s v="14/01/2026"/>
    <x v="17"/>
    <s v="7503013378010"/>
    <s v="Rigidex 2 pzas - DUSA"/>
    <s v="CONSUMIBLE PROPIO"/>
    <s v="DUSA"/>
    <n v="2"/>
    <n v="862.06"/>
  </r>
  <r>
    <s v="Plaza Sauces CEL"/>
    <s v="15/01/2026"/>
    <x v="17"/>
    <s v="7503032300993"/>
    <s v="Liquid Love Pleasure 30ml - DUSA"/>
    <s v="CONSUMIBLE PROPIO"/>
    <s v="DUSA"/>
    <n v="1"/>
    <n v="301.72000000000003"/>
  </r>
  <r>
    <s v="Plaza Sauces CEL"/>
    <s v="15/01/2026"/>
    <x v="17"/>
    <s v="7503013378980"/>
    <s v="Lubricante Body Surf Termico Chicle DUSA 60ml"/>
    <s v="CONSUMIBLE PROPIO"/>
    <s v="DUSA"/>
    <n v="1"/>
    <n v="387.93"/>
  </r>
  <r>
    <s v="Plaza Sauces CEL"/>
    <s v="16/01/2026"/>
    <x v="17"/>
    <s v="7503013378799"/>
    <s v="Lubricante Body Surf Termico Citricos DUSA 60ml"/>
    <s v="CONSUMIBLE PROPIO"/>
    <s v="DUSA"/>
    <n v="1"/>
    <n v="387.93"/>
  </r>
  <r>
    <s v="Plaza Sauces CEL"/>
    <s v="16/01/2026"/>
    <x v="17"/>
    <s v="7503050524241"/>
    <s v="Orgasmik 30ml - DUSA"/>
    <s v="CONSUMIBLE PROPIO"/>
    <s v="DUSA"/>
    <n v="1"/>
    <n v="431.03"/>
  </r>
  <r>
    <s v="Plaza Sauces CEL"/>
    <s v="16/01/2026"/>
    <x v="17"/>
    <s v="7503013378010"/>
    <s v="Rigidex 2 pzas - DUSA"/>
    <s v="CONSUMIBLE PROPIO"/>
    <s v="DUSA"/>
    <n v="1"/>
    <n v="431.03"/>
  </r>
  <r>
    <s v="Plaza Sauces CEL"/>
    <s v="17/01/2026"/>
    <x v="3"/>
    <s v="7503032300993"/>
    <s v="Liquid Love Pleasure 30ml - DUSA"/>
    <s v="CONSUMIBLE PROPIO"/>
    <s v="DUSA"/>
    <n v="1"/>
    <n v="301.72000000000003"/>
  </r>
  <r>
    <s v="Plaza Sauces CEL"/>
    <s v="17/01/2026"/>
    <x v="3"/>
    <s v="7503020596957"/>
    <s v="Shot Shumatsu Fun Hombre - DUSA"/>
    <s v="CONSUMIBLE PROPIO"/>
    <s v="DUSA"/>
    <n v="1"/>
    <n v="172.41"/>
  </r>
  <r>
    <s v="Plaza Sauces CEL"/>
    <s v="18/01/2026"/>
    <x v="3"/>
    <s v="7503043917005"/>
    <s v="Liquid Love Clear 30ml - DUSA"/>
    <s v="CONSUMIBLE PROPIO"/>
    <s v="DUSA"/>
    <n v="1"/>
    <n v="301.72000000000003"/>
  </r>
  <r>
    <s v="Plaza Sauces CEL"/>
    <s v="18/01/2026"/>
    <x v="3"/>
    <s v="7503020596957"/>
    <s v="Shot Shumatsu Fun Hombre - DUSA"/>
    <s v="CONSUMIBLE PROPIO"/>
    <s v="DUSA"/>
    <n v="1"/>
    <n v="172.41"/>
  </r>
  <r>
    <s v="Plaza Sauces CEL"/>
    <s v="19/01/2026"/>
    <x v="17"/>
    <s v="7503013378492"/>
    <s v="Clean Whisper 120ml - DUSA"/>
    <s v="CONSUMIBLE PROPIO"/>
    <s v="DUSA"/>
    <n v="1"/>
    <n v="301.72000000000003"/>
  </r>
  <r>
    <s v="Plaza Sauces CEL"/>
    <s v="19/01/2026"/>
    <x v="17"/>
    <s v="7503043917012"/>
    <s v="Liquid Love Backdoor 30ml - DUSA"/>
    <s v="CONSUMIBLE PROPIO"/>
    <s v="DUSA"/>
    <n v="1"/>
    <n v="301.72000000000003"/>
  </r>
  <r>
    <s v="Plaza Sauces CEL"/>
    <s v="19/01/2026"/>
    <x v="17"/>
    <s v="7503032300993"/>
    <s v="Liquid Love Pleasure 30ml - DUSA"/>
    <s v="CONSUMIBLE PROPIO"/>
    <s v="DUSA"/>
    <n v="1"/>
    <n v="301.72000000000003"/>
  </r>
  <r>
    <s v="Plaza Sauces CEL"/>
    <s v="21/01/2026"/>
    <x v="17"/>
    <s v="7503013378492"/>
    <s v="Clean Whisper 120ml - DUSA"/>
    <s v="CONSUMIBLE PROPIO"/>
    <s v="DUSA"/>
    <n v="1"/>
    <n v="301.72000000000003"/>
  </r>
  <r>
    <s v="Plaza Sauces CEL"/>
    <s v="21/01/2026"/>
    <x v="17"/>
    <s v="7503043917012"/>
    <s v="Liquid Love Backdoor 30ml - DUSA"/>
    <s v="CONSUMIBLE PROPIO"/>
    <s v="DUSA"/>
    <n v="1"/>
    <n v="301.72000000000003"/>
  </r>
  <r>
    <s v="Plaza Sauces CEL"/>
    <s v="21/01/2026"/>
    <x v="17"/>
    <s v="7503024256192"/>
    <s v="Shot Shumatsu Fun Mujer - DUSA"/>
    <s v="CONSUMIBLE PROPIO"/>
    <s v="DUSA"/>
    <n v="1"/>
    <n v="172.41"/>
  </r>
  <r>
    <s v="Plaza Sauces CEL"/>
    <s v="22/01/2026"/>
    <x v="17"/>
    <s v="7503013378492"/>
    <s v="Clean Whisper 120ml - DUSA"/>
    <s v="CONSUMIBLE PROPIO"/>
    <s v="DUSA"/>
    <n v="1"/>
    <n v="301.72000000000003"/>
  </r>
  <r>
    <s v="Plaza Sauces CEL"/>
    <s v="22/01/2026"/>
    <x v="17"/>
    <s v="7503043917012"/>
    <s v="Liquid Love Backdoor 30ml - DUSA"/>
    <s v="CONSUMIBLE PROPIO"/>
    <s v="DUSA"/>
    <n v="1"/>
    <n v="301.72000000000003"/>
  </r>
  <r>
    <s v="Plaza Sauces CEL"/>
    <s v="22/01/2026"/>
    <x v="17"/>
    <s v="7503013378645"/>
    <s v="Liquid Love Pleasure 100ml - DUSA"/>
    <s v="CONSUMIBLE PROPIO"/>
    <s v="DUSA"/>
    <n v="1"/>
    <n v="775.86"/>
  </r>
  <r>
    <s v="Plaza Sauces CEL"/>
    <s v="22/01/2026"/>
    <x v="17"/>
    <s v="7503013378126"/>
    <s v="Lubricante Body Surf Frio Natural DUSA 60ml"/>
    <s v="CONSUMIBLE PROPIO"/>
    <s v="DUSA"/>
    <n v="1"/>
    <n v="387.93"/>
  </r>
  <r>
    <s v="Plaza Sauces CEL"/>
    <s v="22/01/2026"/>
    <x v="17"/>
    <s v="7503050524241"/>
    <s v="Orgasmik 30ml - DUSA"/>
    <s v="CONSUMIBLE PROPIO"/>
    <s v="DUSA"/>
    <n v="1"/>
    <n v="431.03"/>
  </r>
  <r>
    <s v="Plaza Sauces CEL"/>
    <s v="22/01/2026"/>
    <x v="17"/>
    <s v="7503050524258"/>
    <s v="Sensicool 30ml - DUSA"/>
    <s v="CONSUMIBLE PROPIO"/>
    <s v="DUSA"/>
    <n v="2"/>
    <n v="862.06"/>
  </r>
  <r>
    <s v="Plaza Sauces CEL"/>
    <s v="22/01/2026"/>
    <x v="17"/>
    <s v="7503024256192"/>
    <s v="Shot Shumatsu Fun Mujer - DUSA"/>
    <s v="CONSUMIBLE PROPIO"/>
    <s v="DUSA"/>
    <n v="1"/>
    <n v="172.41"/>
  </r>
  <r>
    <s v="Plaza Sauces CEL"/>
    <s v="23/01/2026"/>
    <x v="5"/>
    <s v="7503013378492"/>
    <s v="Clean Whisper 120ml - DUSA"/>
    <s v="CONSUMIBLE PROPIO"/>
    <s v="DUSA"/>
    <n v="1"/>
    <n v="301.72000000000003"/>
  </r>
  <r>
    <s v="Plaza Sauces CEL"/>
    <s v="23/01/2026"/>
    <x v="5"/>
    <s v="7503032300993"/>
    <s v="Liquid Love Pleasure 30ml - DUSA"/>
    <s v="CONSUMIBLE PROPIO"/>
    <s v="DUSA"/>
    <n v="1"/>
    <n v="301.72000000000003"/>
  </r>
  <r>
    <s v="Plaza Sauces CEL"/>
    <s v="23/01/2026"/>
    <x v="5"/>
    <s v="7503013378645"/>
    <s v="Liquid Love Pleasure 100ml - DUSA"/>
    <s v="CONSUMIBLE PROPIO"/>
    <s v="DUSA"/>
    <n v="1"/>
    <n v="775.86"/>
  </r>
  <r>
    <s v="Plaza Sauces CEL"/>
    <s v="24/01/2026"/>
    <x v="17"/>
    <s v="7503020596056"/>
    <s v="He Plus - DUSA"/>
    <s v="CONSUMIBLE PROPIO"/>
    <s v="DUSA"/>
    <n v="1"/>
    <n v="431.03"/>
  </r>
  <r>
    <s v="Plaza Sauces CEL"/>
    <s v="24/01/2026"/>
    <x v="17"/>
    <s v="7503043917005"/>
    <s v="Liquid Love Clear 30ml - DUSA"/>
    <s v="CONSUMIBLE PROPIO"/>
    <s v="DUSA"/>
    <n v="1"/>
    <n v="301.72000000000003"/>
  </r>
  <r>
    <s v="Plaza Sauces CEL"/>
    <s v="24/01/2026"/>
    <x v="17"/>
    <s v="7503032300993"/>
    <s v="Liquid Love Pleasure 30ml - DUSA"/>
    <s v="CONSUMIBLE PROPIO"/>
    <s v="DUSA"/>
    <n v="1"/>
    <n v="301.72000000000003"/>
  </r>
  <r>
    <s v="Plaza Sauces CEL"/>
    <s v="25/01/2026"/>
    <x v="17"/>
    <s v="7503043917005"/>
    <s v="Liquid Love Clear 30ml - DUSA"/>
    <s v="CONSUMIBLE PROPIO"/>
    <s v="DUSA"/>
    <n v="1"/>
    <n v="301.72000000000003"/>
  </r>
  <r>
    <s v="Plaza Sauces CEL"/>
    <s v="27/01/2026"/>
    <x v="17"/>
    <s v="7503043917012"/>
    <s v="Liquid Love Backdoor 30ml - DUSA"/>
    <s v="CONSUMIBLE PROPIO"/>
    <s v="DUSA"/>
    <n v="1"/>
    <n v="301.72000000000003"/>
  </r>
  <r>
    <s v="Plaza Sauces CEL"/>
    <s v="27/01/2026"/>
    <x v="17"/>
    <s v="7503013378645"/>
    <s v="Liquid Love Pleasure 100ml - DUSA"/>
    <s v="CONSUMIBLE PROPIO"/>
    <s v="DUSA"/>
    <n v="1"/>
    <n v="775.86"/>
  </r>
  <r>
    <s v="Plaza Sauces CEL"/>
    <s v="27/01/2026"/>
    <x v="17"/>
    <s v="7503020596957"/>
    <s v="Shot Shumatsu Fun Hombre - DUSA"/>
    <s v="CONSUMIBLE PROPIO"/>
    <s v="DUSA"/>
    <n v="1"/>
    <n v="172.41"/>
  </r>
  <r>
    <s v="Plaza Sauces CEL"/>
    <s v="28/01/2026"/>
    <x v="17"/>
    <s v="7503043917005"/>
    <s v="Liquid Love Clear 30ml - DUSA"/>
    <s v="CONSUMIBLE PROPIO"/>
    <s v="DUSA"/>
    <n v="1"/>
    <n v="301.72000000000003"/>
  </r>
  <r>
    <s v="Plaza Sauces CEL"/>
    <s v="28/01/2026"/>
    <x v="17"/>
    <s v="7503013378645"/>
    <s v="Liquid Love Pleasure 100ml - DUSA"/>
    <s v="CONSUMIBLE PROPIO"/>
    <s v="DUSA"/>
    <n v="2"/>
    <n v="1551.72"/>
  </r>
  <r>
    <s v="Plaza Sauces CEL"/>
    <s v="28/01/2026"/>
    <x v="17"/>
    <s v="7503013378010"/>
    <s v="Rigidex 2 pzas - DUSA"/>
    <s v="CONSUMIBLE PROPIO"/>
    <s v="DUSA"/>
    <n v="1"/>
    <n v="431.03"/>
  </r>
  <r>
    <s v="Plaza Sauces CEL"/>
    <s v="29/01/2026"/>
    <x v="17"/>
    <s v="7503024256192"/>
    <s v="Shot Shumatsu Fun Mujer - DUSA"/>
    <s v="CONSUMIBLE PROPIO"/>
    <s v="DUSA"/>
    <n v="1"/>
    <n v="172.41"/>
  </r>
  <r>
    <s v="Plaza Sauces CEL"/>
    <s v="30/01/2026"/>
    <x v="17"/>
    <s v="7503013378645"/>
    <s v="Liquid Love Pleasure 100ml - DUSA"/>
    <s v="CONSUMIBLE PROPIO"/>
    <s v="DUSA"/>
    <n v="1"/>
    <n v="775.86"/>
  </r>
  <r>
    <s v="Plaza Sauces CEL"/>
    <s v="30/01/2026"/>
    <x v="17"/>
    <s v="7503020596957"/>
    <s v="Shot Shumatsu Fun Hombre - DUSA"/>
    <s v="CONSUMIBLE PROPIO"/>
    <s v="DUSA"/>
    <n v="7"/>
    <n v="1206.8700000000001"/>
  </r>
  <r>
    <s v="Plaza Sauces CEL"/>
    <s v="30/01/2026"/>
    <x v="17"/>
    <s v="7503024256192"/>
    <s v="Shot Shumatsu Fun Mujer - DUSA"/>
    <s v="CONSUMIBLE PROPIO"/>
    <s v="DUSA"/>
    <n v="1"/>
    <n v="172.41"/>
  </r>
  <r>
    <s v="Plaza Sauces CEL"/>
    <s v="31/01/2026"/>
    <x v="5"/>
    <s v="7503020596056"/>
    <s v="He Plus - DUSA"/>
    <s v="CONSUMIBLE PROPIO"/>
    <s v="DUSA"/>
    <n v="1"/>
    <n v="431.03"/>
  </r>
  <r>
    <s v="Plaza Zenter CEL"/>
    <s v="02/01/2026"/>
    <x v="18"/>
    <s v="7503013378492"/>
    <s v="Clean Whisper 120ml - DUSA"/>
    <s v="CONSUMIBLE PROPIO"/>
    <s v="DUSA"/>
    <n v="1"/>
    <n v="301.72000000000003"/>
  </r>
  <r>
    <s v="Plaza Zenter CEL"/>
    <s v="02/01/2026"/>
    <x v="18"/>
    <s v="7503043917012"/>
    <s v="Liquid Love Backdoor 30ml - DUSA"/>
    <s v="CONSUMIBLE PROPIO"/>
    <s v="DUSA"/>
    <n v="1"/>
    <n v="301.72000000000003"/>
  </r>
  <r>
    <s v="Plaza Zenter CEL"/>
    <s v="02/01/2026"/>
    <x v="18"/>
    <s v="7503020596001"/>
    <s v="Liquid Love Clear 100ml - DUSA"/>
    <s v="CONSUMIBLE PROPIO"/>
    <s v="DUSA"/>
    <n v="1"/>
    <n v="775.86"/>
  </r>
  <r>
    <s v="Plaza Zenter CEL"/>
    <s v="02/01/2026"/>
    <x v="18"/>
    <s v="7503013378645"/>
    <s v="Liquid Love Pleasure 100ml - DUSA"/>
    <s v="CONSUMIBLE PROPIO"/>
    <s v="DUSA"/>
    <n v="1"/>
    <n v="775.86"/>
  </r>
  <r>
    <s v="Plaza Zenter CEL"/>
    <s v="02/01/2026"/>
    <x v="18"/>
    <s v="7503013378126"/>
    <s v="Lubricante Body Surf Frio Natural DUSA 60ml"/>
    <s v="CONSUMIBLE PROPIO"/>
    <s v="DUSA"/>
    <n v="1"/>
    <n v="387.93"/>
  </r>
  <r>
    <s v="Plaza Zenter CEL"/>
    <s v="02/01/2026"/>
    <x v="18"/>
    <s v="7503013378010"/>
    <s v="Rigidex 2 pzas - DUSA"/>
    <s v="CONSUMIBLE PROPIO"/>
    <s v="DUSA"/>
    <n v="1"/>
    <n v="431.03"/>
  </r>
  <r>
    <s v="Plaza Zenter CEL"/>
    <s v="02/01/2026"/>
    <x v="18"/>
    <s v="7503020596957"/>
    <s v="Shot Shumatsu Fun Hombre - DUSA"/>
    <s v="CONSUMIBLE PROPIO"/>
    <s v="DUSA"/>
    <n v="1"/>
    <n v="172.41"/>
  </r>
  <r>
    <s v="Plaza Zenter CEL"/>
    <s v="02/01/2026"/>
    <x v="18"/>
    <s v="7503024256192"/>
    <s v="Shot Shumatsu Fun Mujer - DUSA"/>
    <s v="CONSUMIBLE PROPIO"/>
    <s v="DUSA"/>
    <n v="1"/>
    <n v="172.41"/>
  </r>
  <r>
    <s v="Plaza Zenter CEL"/>
    <s v="03/01/2026"/>
    <x v="18"/>
    <s v="7503043917005"/>
    <s v="Liquid Love Clear 30ml - DUSA"/>
    <s v="CONSUMIBLE PROPIO"/>
    <s v="DUSA"/>
    <n v="1"/>
    <n v="301.72000000000003"/>
  </r>
  <r>
    <s v="Plaza Zenter CEL"/>
    <s v="03/01/2026"/>
    <x v="18"/>
    <s v="7503024256154"/>
    <s v="Lubricante Body Surf Termico Cereza DUSA 60ml"/>
    <s v="CONSUMIBLE PROPIO"/>
    <s v="DUSA"/>
    <n v="1"/>
    <n v="387.93"/>
  </r>
  <r>
    <s v="Plaza Zenter CEL"/>
    <s v="03/01/2026"/>
    <x v="18"/>
    <s v="7503013378980"/>
    <s v="Lubricante Body Surf Termico Chicle DUSA 60ml"/>
    <s v="CONSUMIBLE PROPIO"/>
    <s v="DUSA"/>
    <n v="1"/>
    <n v="387.93"/>
  </r>
  <r>
    <s v="Plaza Zenter CEL"/>
    <s v="03/01/2026"/>
    <x v="18"/>
    <s v="7503013378010"/>
    <s v="Rigidex 2 pzas - DUSA"/>
    <s v="CONSUMIBLE PROPIO"/>
    <s v="DUSA"/>
    <n v="2"/>
    <n v="862.06"/>
  </r>
  <r>
    <s v="Plaza Zenter CEL"/>
    <s v="03/01/2026"/>
    <x v="18"/>
    <s v="7503020596957"/>
    <s v="Shot Shumatsu Fun Hombre - DUSA"/>
    <s v="CONSUMIBLE PROPIO"/>
    <s v="DUSA"/>
    <n v="4"/>
    <n v="689.64"/>
  </r>
  <r>
    <s v="Plaza Zenter CEL"/>
    <s v="03/01/2026"/>
    <x v="18"/>
    <s v="7503024256192"/>
    <s v="Shot Shumatsu Fun Mujer - DUSA"/>
    <s v="CONSUMIBLE PROPIO"/>
    <s v="DUSA"/>
    <n v="1"/>
    <n v="172.41"/>
  </r>
  <r>
    <s v="Plaza Zenter CEL"/>
    <s v="04/01/2026"/>
    <x v="5"/>
    <s v="7503013378492"/>
    <s v="Clean Whisper 120ml - DUSA"/>
    <s v="CONSUMIBLE PROPIO"/>
    <s v="DUSA"/>
    <n v="1"/>
    <n v="301.72000000000003"/>
  </r>
  <r>
    <s v="Plaza Zenter CEL"/>
    <s v="04/01/2026"/>
    <x v="5"/>
    <s v="7503013378652"/>
    <s v="Liquid Love Backdoor 100ml - DUSA"/>
    <s v="CONSUMIBLE PROPIO"/>
    <s v="DUSA"/>
    <n v="1"/>
    <n v="1077.5899999999999"/>
  </r>
  <r>
    <s v="Plaza Zenter CEL"/>
    <s v="04/01/2026"/>
    <x v="5"/>
    <s v="7503050524241"/>
    <s v="Orgasmik 30ml - DUSA"/>
    <s v="CONSUMIBLE PROPIO"/>
    <s v="DUSA"/>
    <n v="1"/>
    <n v="431.03"/>
  </r>
  <r>
    <s v="Plaza Zenter CEL"/>
    <s v="05/01/2026"/>
    <x v="18"/>
    <s v="7503013378492"/>
    <s v="Clean Whisper 120ml - DUSA"/>
    <s v="CONSUMIBLE PROPIO"/>
    <s v="DUSA"/>
    <n v="1"/>
    <n v="301.72000000000003"/>
  </r>
  <r>
    <s v="Plaza Zenter CEL"/>
    <s v="05/01/2026"/>
    <x v="18"/>
    <s v="7503050524265"/>
    <s v="He Plus 30ml - DUSA"/>
    <s v="CONSUMIBLE PROPIO"/>
    <s v="DUSA"/>
    <n v="1"/>
    <n v="431.03"/>
  </r>
  <r>
    <s v="Plaza Zenter CEL"/>
    <s v="05/01/2026"/>
    <x v="18"/>
    <s v="7503043917012"/>
    <s v="Liquid Love Backdoor 30ml - DUSA"/>
    <s v="CONSUMIBLE PROPIO"/>
    <s v="DUSA"/>
    <n v="1"/>
    <n v="301.72000000000003"/>
  </r>
  <r>
    <s v="Plaza Zenter CEL"/>
    <s v="05/01/2026"/>
    <x v="18"/>
    <s v="7503050524241"/>
    <s v="Orgasmik 30ml - DUSA"/>
    <s v="CONSUMIBLE PROPIO"/>
    <s v="DUSA"/>
    <n v="1"/>
    <n v="431.03"/>
  </r>
  <r>
    <s v="Plaza Zenter CEL"/>
    <s v="05/01/2026"/>
    <x v="18"/>
    <s v="7503013378010"/>
    <s v="Rigidex 2 pzas - DUSA"/>
    <s v="CONSUMIBLE PROPIO"/>
    <s v="DUSA"/>
    <n v="1"/>
    <n v="431.03"/>
  </r>
  <r>
    <s v="Plaza Zenter CEL"/>
    <s v="05/01/2026"/>
    <x v="18"/>
    <s v="7503020596063"/>
    <s v="Stallion Regenerador - DUSA"/>
    <s v="CONSUMIBLE PROPIO"/>
    <s v="DUSA"/>
    <n v="1"/>
    <n v="1293.0999999999999"/>
  </r>
  <r>
    <s v="Plaza Zenter CEL"/>
    <s v="06/01/2026"/>
    <x v="18"/>
    <s v="7503024256154"/>
    <s v="Lubricante Body Surf Termico Cereza DUSA 60ml"/>
    <s v="CONSUMIBLE PROPIO"/>
    <s v="DUSA"/>
    <n v="1"/>
    <n v="387.93"/>
  </r>
  <r>
    <s v="Plaza Zenter CEL"/>
    <s v="06/01/2026"/>
    <x v="18"/>
    <s v="7503013378010"/>
    <s v="Rigidex 2 pzas - DUSA"/>
    <s v="CONSUMIBLE PROPIO"/>
    <s v="DUSA"/>
    <n v="1"/>
    <n v="431.03"/>
  </r>
  <r>
    <s v="Plaza Zenter CEL"/>
    <s v="07/01/2026"/>
    <x v="18"/>
    <s v="7503013378492"/>
    <s v="Clean Whisper 120ml - DUSA"/>
    <s v="CONSUMIBLE PROPIO"/>
    <s v="DUSA"/>
    <n v="2"/>
    <n v="603.44000000000005"/>
  </r>
  <r>
    <s v="Plaza Zenter CEL"/>
    <s v="07/01/2026"/>
    <x v="18"/>
    <s v="7503013378645"/>
    <s v="Liquid Love Pleasure 100ml - DUSA"/>
    <s v="CONSUMIBLE PROPIO"/>
    <s v="DUSA"/>
    <n v="1"/>
    <n v="775.86"/>
  </r>
  <r>
    <s v="Plaza Zenter CEL"/>
    <s v="07/01/2026"/>
    <x v="18"/>
    <s v="7503013378010"/>
    <s v="Rigidex 2 pzas - DUSA"/>
    <s v="CONSUMIBLE PROPIO"/>
    <s v="DUSA"/>
    <n v="2"/>
    <n v="862.06"/>
  </r>
  <r>
    <s v="Plaza Zenter CEL"/>
    <s v="07/01/2026"/>
    <x v="18"/>
    <s v="7503020596063"/>
    <s v="Stallion Regenerador - DUSA"/>
    <s v="CONSUMIBLE PROPIO"/>
    <s v="DUSA"/>
    <n v="1"/>
    <n v="1293.0999999999999"/>
  </r>
  <r>
    <s v="Plaza Zenter CEL"/>
    <s v="08/01/2026"/>
    <x v="1"/>
    <s v="7503024256154"/>
    <s v="Lubricante Body Surf Termico Cereza DUSA 60ml"/>
    <s v="CONSUMIBLE PROPIO"/>
    <s v="DUSA"/>
    <n v="1"/>
    <n v="387.93"/>
  </r>
  <r>
    <s v="Plaza Zenter CEL"/>
    <s v="08/01/2026"/>
    <x v="1"/>
    <s v="7503020596971"/>
    <s v="Orgasmik - DUSA"/>
    <s v="CONSUMIBLE PROPIO"/>
    <s v="DUSA"/>
    <n v="1"/>
    <n v="431.03"/>
  </r>
  <r>
    <s v="Plaza Zenter CEL"/>
    <s v="08/01/2026"/>
    <x v="1"/>
    <s v="7503013378010"/>
    <s v="Rigidex 2 pzas - DUSA"/>
    <s v="CONSUMIBLE PROPIO"/>
    <s v="DUSA"/>
    <n v="2"/>
    <n v="862.06"/>
  </r>
  <r>
    <s v="Plaza Zenter CEL"/>
    <s v="08/01/2026"/>
    <x v="18"/>
    <s v="7503013378645"/>
    <s v="Liquid Love Pleasure 100ml - DUSA"/>
    <s v="CONSUMIBLE PROPIO"/>
    <s v="DUSA"/>
    <n v="1"/>
    <n v="775.86"/>
  </r>
  <r>
    <s v="Plaza Zenter CEL"/>
    <s v="09/01/2026"/>
    <x v="18"/>
    <s v="7503013378652"/>
    <s v="Liquid Love Backdoor 100ml - DUSA"/>
    <s v="CONSUMIBLE PROPIO"/>
    <s v="DUSA"/>
    <n v="1"/>
    <n v="1077.5899999999999"/>
  </r>
  <r>
    <s v="Plaza Zenter CEL"/>
    <s v="09/01/2026"/>
    <x v="18"/>
    <s v="7503013378645"/>
    <s v="Liquid Love Pleasure 100ml - DUSA"/>
    <s v="CONSUMIBLE PROPIO"/>
    <s v="DUSA"/>
    <n v="1"/>
    <n v="775.86"/>
  </r>
  <r>
    <s v="Plaza Zenter CEL"/>
    <s v="09/01/2026"/>
    <x v="18"/>
    <s v="7503050524258"/>
    <s v="Sensicool 30ml - DUSA"/>
    <s v="CONSUMIBLE PROPIO"/>
    <s v="DUSA"/>
    <n v="1"/>
    <n v="431.03"/>
  </r>
  <r>
    <s v="Plaza Zenter CEL"/>
    <s v="09/01/2026"/>
    <x v="18"/>
    <s v="7503024256192"/>
    <s v="Shot Shumatsu Fun Mujer - DUSA"/>
    <s v="CONSUMIBLE PROPIO"/>
    <s v="DUSA"/>
    <n v="1"/>
    <n v="172.41"/>
  </r>
  <r>
    <s v="Plaza Zenter CEL"/>
    <s v="10/01/2026"/>
    <x v="18"/>
    <s v="7503013378492"/>
    <s v="Clean Whisper 120ml - DUSA"/>
    <s v="CONSUMIBLE PROPIO"/>
    <s v="DUSA"/>
    <n v="2"/>
    <n v="603.44000000000005"/>
  </r>
  <r>
    <s v="Plaza Zenter CEL"/>
    <s v="10/01/2026"/>
    <x v="18"/>
    <s v="7503050524265"/>
    <s v="He Plus 30ml - DUSA"/>
    <s v="CONSUMIBLE PROPIO"/>
    <s v="DUSA"/>
    <n v="1"/>
    <n v="431.03"/>
  </r>
  <r>
    <s v="Plaza Zenter CEL"/>
    <s v="10/01/2026"/>
    <x v="18"/>
    <s v="7503013378652"/>
    <s v="Liquid Love Backdoor 100ml - DUSA"/>
    <s v="CONSUMIBLE PROPIO"/>
    <s v="DUSA"/>
    <n v="1"/>
    <n v="1077.5899999999999"/>
  </r>
  <r>
    <s v="Plaza Zenter CEL"/>
    <s v="10/01/2026"/>
    <x v="18"/>
    <s v="7503020596001"/>
    <s v="Liquid Love Clear 100ml - DUSA"/>
    <s v="CONSUMIBLE PROPIO"/>
    <s v="DUSA"/>
    <n v="1"/>
    <n v="775.86"/>
  </r>
  <r>
    <s v="Plaza Zenter CEL"/>
    <s v="10/01/2026"/>
    <x v="18"/>
    <s v="7503013378645"/>
    <s v="Liquid Love Pleasure 100ml - DUSA"/>
    <s v="CONSUMIBLE PROPIO"/>
    <s v="DUSA"/>
    <n v="3"/>
    <n v="2327.58"/>
  </r>
  <r>
    <s v="Plaza Zenter CEL"/>
    <s v="10/01/2026"/>
    <x v="18"/>
    <s v="7503013378799"/>
    <s v="Lubricante Body Surf Termico Citricos DUSA 60ml"/>
    <s v="CONSUMIBLE PROPIO"/>
    <s v="DUSA"/>
    <n v="1"/>
    <n v="387.93"/>
  </r>
  <r>
    <s v="Plaza Zenter CEL"/>
    <s v="10/01/2026"/>
    <x v="18"/>
    <s v="7503013378010"/>
    <s v="Rigidex 2 pzas - DUSA"/>
    <s v="CONSUMIBLE PROPIO"/>
    <s v="DUSA"/>
    <n v="1"/>
    <n v="431.03"/>
  </r>
  <r>
    <s v="Plaza Zenter CEL"/>
    <s v="10/01/2026"/>
    <x v="18"/>
    <s v="7503050524258"/>
    <s v="Sensicool 30ml - DUSA"/>
    <s v="CONSUMIBLE PROPIO"/>
    <s v="DUSA"/>
    <n v="1"/>
    <n v="431.03"/>
  </r>
  <r>
    <s v="Plaza Zenter CEL"/>
    <s v="11/01/2026"/>
    <x v="5"/>
    <s v="7503013378492"/>
    <s v="Clean Whisper 120ml - DUSA"/>
    <s v="CONSUMIBLE PROPIO"/>
    <s v="DUSA"/>
    <n v="1"/>
    <n v="301.72000000000003"/>
  </r>
  <r>
    <s v="Plaza Zenter CEL"/>
    <s v="11/01/2026"/>
    <x v="5"/>
    <s v="7503050524265"/>
    <s v="He Plus 30ml - DUSA"/>
    <s v="CONSUMIBLE PROPIO"/>
    <s v="DUSA"/>
    <n v="2"/>
    <n v="862.06"/>
  </r>
  <r>
    <s v="Plaza Zenter CEL"/>
    <s v="11/01/2026"/>
    <x v="5"/>
    <s v="7503013378645"/>
    <s v="Liquid Love Pleasure 100ml - DUSA"/>
    <s v="CONSUMIBLE PROPIO"/>
    <s v="DUSA"/>
    <n v="2"/>
    <n v="1551.72"/>
  </r>
  <r>
    <s v="Plaza Zenter CEL"/>
    <s v="11/01/2026"/>
    <x v="5"/>
    <s v="7503024256154"/>
    <s v="Lubricante Body Surf Termico Cereza DUSA 60ml"/>
    <s v="CONSUMIBLE PROPIO"/>
    <s v="DUSA"/>
    <n v="1"/>
    <n v="387.93"/>
  </r>
  <r>
    <s v="Plaza Zenter CEL"/>
    <s v="11/01/2026"/>
    <x v="5"/>
    <s v="7503013378010"/>
    <s v="Rigidex 2 pzas - DUSA"/>
    <s v="CONSUMIBLE PROPIO"/>
    <s v="DUSA"/>
    <n v="4"/>
    <n v="1724.1299999999999"/>
  </r>
  <r>
    <s v="Plaza Zenter CEL"/>
    <s v="11/01/2026"/>
    <x v="5"/>
    <s v="7503010217048"/>
    <s v="Vela para masaje rose - DUSA"/>
    <s v="CONSUMIBLE PROPIO"/>
    <s v="DUSA"/>
    <n v="1"/>
    <n v="241.38"/>
  </r>
  <r>
    <s v="Plaza Zenter CEL"/>
    <s v="12/01/2026"/>
    <x v="18"/>
    <s v="7503013378645"/>
    <s v="Liquid Love Pleasure 100ml - DUSA"/>
    <s v="CONSUMIBLE PROPIO"/>
    <s v="DUSA"/>
    <n v="1"/>
    <n v="775.86"/>
  </r>
  <r>
    <s v="Plaza Zenter CEL"/>
    <s v="12/01/2026"/>
    <x v="18"/>
    <s v="7503024256154"/>
    <s v="Lubricante Body Surf Termico Cereza DUSA 60ml"/>
    <s v="CONSUMIBLE PROPIO"/>
    <s v="DUSA"/>
    <n v="1"/>
    <n v="387.93"/>
  </r>
  <r>
    <s v="Plaza Zenter CEL"/>
    <s v="12/01/2026"/>
    <x v="18"/>
    <s v="7503020596971"/>
    <s v="Orgasmik - DUSA"/>
    <s v="CONSUMIBLE PROPIO"/>
    <s v="DUSA"/>
    <n v="1"/>
    <n v="431.03"/>
  </r>
  <r>
    <s v="Plaza Zenter CEL"/>
    <s v="12/01/2026"/>
    <x v="18"/>
    <s v="7503050524258"/>
    <s v="Sensicool 30ml - DUSA"/>
    <s v="CONSUMIBLE PROPIO"/>
    <s v="DUSA"/>
    <n v="1"/>
    <n v="431.03"/>
  </r>
  <r>
    <s v="Plaza Zenter CEL"/>
    <s v="13/01/2026"/>
    <x v="18"/>
    <s v="7503032300993"/>
    <s v="Liquid Love Pleasure 30ml - DUSA"/>
    <s v="CONSUMIBLE PROPIO"/>
    <s v="DUSA"/>
    <n v="1"/>
    <n v="301.72000000000003"/>
  </r>
  <r>
    <s v="Plaza Zenter CEL"/>
    <s v="13/01/2026"/>
    <x v="18"/>
    <s v="7503013378645"/>
    <s v="Liquid Love Pleasure 100ml - DUSA"/>
    <s v="CONSUMIBLE PROPIO"/>
    <s v="DUSA"/>
    <n v="1"/>
    <n v="775.86"/>
  </r>
  <r>
    <s v="Plaza Zenter CEL"/>
    <s v="13/01/2026"/>
    <x v="18"/>
    <s v="7503013378980"/>
    <s v="Lubricante Body Surf Termico Chicle DUSA 60ml"/>
    <s v="CONSUMIBLE PROPIO"/>
    <s v="DUSA"/>
    <n v="1"/>
    <n v="387.93"/>
  </r>
  <r>
    <s v="Plaza Zenter CEL"/>
    <s v="14/01/2026"/>
    <x v="18"/>
    <s v="7503043917012"/>
    <s v="Liquid Love Backdoor 30ml - DUSA"/>
    <s v="CONSUMIBLE PROPIO"/>
    <s v="DUSA"/>
    <n v="1"/>
    <n v="301.72000000000003"/>
  </r>
  <r>
    <s v="Plaza Zenter CEL"/>
    <s v="14/01/2026"/>
    <x v="18"/>
    <s v="7503013378652"/>
    <s v="Liquid Love Backdoor 100ml - DUSA"/>
    <s v="CONSUMIBLE PROPIO"/>
    <s v="DUSA"/>
    <n v="1"/>
    <n v="1077.5899999999999"/>
  </r>
  <r>
    <s v="Plaza Zenter CEL"/>
    <s v="14/01/2026"/>
    <x v="18"/>
    <s v="7503032300993"/>
    <s v="Liquid Love Pleasure 30ml - DUSA"/>
    <s v="CONSUMIBLE PROPIO"/>
    <s v="DUSA"/>
    <n v="2"/>
    <n v="603.44000000000005"/>
  </r>
  <r>
    <s v="Plaza Zenter CEL"/>
    <s v="14/01/2026"/>
    <x v="18"/>
    <s v="7503013378645"/>
    <s v="Liquid Love Pleasure 100ml - DUSA"/>
    <s v="CONSUMIBLE PROPIO"/>
    <s v="DUSA"/>
    <n v="2"/>
    <n v="1551.72"/>
  </r>
  <r>
    <s v="Plaza Zenter CEL"/>
    <s v="14/01/2026"/>
    <x v="18"/>
    <s v="7503050524258"/>
    <s v="Sensicool 30ml - DUSA"/>
    <s v="CONSUMIBLE PROPIO"/>
    <s v="DUSA"/>
    <n v="1"/>
    <n v="431.03"/>
  </r>
  <r>
    <s v="Plaza Zenter CEL"/>
    <s v="15/01/2026"/>
    <x v="18"/>
    <s v="7503032300993"/>
    <s v="Liquid Love Pleasure 30ml - DUSA"/>
    <s v="CONSUMIBLE PROPIO"/>
    <s v="DUSA"/>
    <n v="1"/>
    <n v="301.72000000000003"/>
  </r>
  <r>
    <s v="Plaza Zenter CEL"/>
    <s v="15/01/2026"/>
    <x v="18"/>
    <s v="7503013378645"/>
    <s v="Liquid Love Pleasure 100ml - DUSA"/>
    <s v="CONSUMIBLE PROPIO"/>
    <s v="DUSA"/>
    <n v="1"/>
    <n v="775.86"/>
  </r>
  <r>
    <s v="Plaza Zenter CEL"/>
    <s v="15/01/2026"/>
    <x v="18"/>
    <s v="7503013378010"/>
    <s v="Rigidex 2 pzas - DUSA"/>
    <s v="CONSUMIBLE PROPIO"/>
    <s v="DUSA"/>
    <n v="2"/>
    <n v="862.06"/>
  </r>
  <r>
    <s v="Plaza Zenter CEL"/>
    <s v="16/01/2026"/>
    <x v="5"/>
    <s v="7503013378652"/>
    <s v="Liquid Love Backdoor 100ml - DUSA"/>
    <s v="CONSUMIBLE PROPIO"/>
    <s v="DUSA"/>
    <n v="1"/>
    <n v="1077.5899999999999"/>
  </r>
  <r>
    <s v="Plaza Zenter CEL"/>
    <s v="16/01/2026"/>
    <x v="5"/>
    <s v="7503013378645"/>
    <s v="Liquid Love Pleasure 100ml - DUSA"/>
    <s v="CONSUMIBLE PROPIO"/>
    <s v="DUSA"/>
    <n v="1"/>
    <n v="775.86"/>
  </r>
  <r>
    <s v="Plaza Zenter CEL"/>
    <s v="16/01/2026"/>
    <x v="5"/>
    <s v="7503013378980"/>
    <s v="Lubricante Body Surf Termico Chicle DUSA 60ml"/>
    <s v="CONSUMIBLE PROPIO"/>
    <s v="DUSA"/>
    <n v="1"/>
    <n v="387.93"/>
  </r>
  <r>
    <s v="Plaza Zenter CEL"/>
    <s v="16/01/2026"/>
    <x v="5"/>
    <s v="7503013378010"/>
    <s v="Rigidex 2 pzas - DUSA"/>
    <s v="CONSUMIBLE PROPIO"/>
    <s v="DUSA"/>
    <n v="1"/>
    <n v="431.03"/>
  </r>
  <r>
    <s v="Plaza Zenter CEL"/>
    <s v="17/01/2026"/>
    <x v="18"/>
    <s v="7503013378492"/>
    <s v="Clean Whisper 120ml - DUSA"/>
    <s v="CONSUMIBLE PROPIO"/>
    <s v="DUSA"/>
    <n v="1"/>
    <n v="301.72000000000003"/>
  </r>
  <r>
    <s v="Plaza Zenter CEL"/>
    <s v="18/01/2026"/>
    <x v="5"/>
    <s v="7503013378652"/>
    <s v="Liquid Love Backdoor 100ml - DUSA"/>
    <s v="CONSUMIBLE PROPIO"/>
    <s v="DUSA"/>
    <n v="1"/>
    <n v="1077.5899999999999"/>
  </r>
  <r>
    <s v="Plaza Zenter CEL"/>
    <s v="18/01/2026"/>
    <x v="5"/>
    <s v="7503020596971"/>
    <s v="Orgasmik - DUSA"/>
    <s v="CONSUMIBLE PROPIO"/>
    <s v="DUSA"/>
    <n v="1"/>
    <n v="431.03"/>
  </r>
  <r>
    <s v="Plaza Zenter CEL"/>
    <s v="19/01/2026"/>
    <x v="18"/>
    <s v="7503013378652"/>
    <s v="Liquid Love Backdoor 100ml - DUSA"/>
    <s v="CONSUMIBLE PROPIO"/>
    <s v="DUSA"/>
    <n v="1"/>
    <n v="1077.5899999999999"/>
  </r>
  <r>
    <s v="Plaza Zenter CEL"/>
    <s v="19/01/2026"/>
    <x v="18"/>
    <s v="7503013378645"/>
    <s v="Liquid Love Pleasure 100ml - DUSA"/>
    <s v="CONSUMIBLE PROPIO"/>
    <s v="DUSA"/>
    <n v="1"/>
    <n v="775.86"/>
  </r>
  <r>
    <s v="Plaza Zenter CEL"/>
    <s v="19/01/2026"/>
    <x v="18"/>
    <s v="7503050524258"/>
    <s v="Sensicool 30ml - DUSA"/>
    <s v="CONSUMIBLE PROPIO"/>
    <s v="DUSA"/>
    <n v="1"/>
    <n v="431.03"/>
  </r>
  <r>
    <s v="Plaza Zenter CEL"/>
    <s v="19/01/2026"/>
    <x v="18"/>
    <s v="7503020596063"/>
    <s v="Stallion Regenerador - DUSA"/>
    <s v="CONSUMIBLE PROPIO"/>
    <s v="DUSA"/>
    <n v="1"/>
    <n v="1293.0999999999999"/>
  </r>
  <r>
    <s v="Plaza Zenter CEL"/>
    <s v="20/01/2026"/>
    <x v="2"/>
    <s v="7503013378645"/>
    <s v="Liquid Love Pleasure 100ml - DUSA"/>
    <s v="CONSUMIBLE PROPIO"/>
    <s v="DUSA"/>
    <n v="1"/>
    <n v="775.86"/>
  </r>
  <r>
    <s v="Plaza Zenter CEL"/>
    <s v="20/01/2026"/>
    <x v="2"/>
    <s v="7503013378980"/>
    <s v="Lubricante Body Surf Termico Chicle DUSA 60ml"/>
    <s v="CONSUMIBLE PROPIO"/>
    <s v="DUSA"/>
    <n v="1"/>
    <n v="387.93"/>
  </r>
  <r>
    <s v="Plaza Zenter CEL"/>
    <s v="20/01/2026"/>
    <x v="18"/>
    <s v="7503013378980"/>
    <s v="Lubricante Body Surf Termico Chicle DUSA 60ml"/>
    <s v="CONSUMIBLE PROPIO"/>
    <s v="DUSA"/>
    <n v="1"/>
    <n v="387.93"/>
  </r>
  <r>
    <s v="Plaza Zenter CEL"/>
    <s v="21/01/2026"/>
    <x v="18"/>
    <s v="7503020596971"/>
    <s v="Orgasmik - DUSA"/>
    <s v="CONSUMIBLE PROPIO"/>
    <s v="DUSA"/>
    <n v="1"/>
    <n v="431.03"/>
  </r>
  <r>
    <s v="Plaza Zenter CEL"/>
    <s v="21/01/2026"/>
    <x v="18"/>
    <s v="7503013378010"/>
    <s v="Rigidex 2 pzas - DUSA"/>
    <s v="CONSUMIBLE PROPIO"/>
    <s v="DUSA"/>
    <n v="1"/>
    <n v="431.03"/>
  </r>
  <r>
    <s v="Plaza Zenter CEL"/>
    <s v="22/01/2026"/>
    <x v="18"/>
    <s v="7503020596971"/>
    <s v="Orgasmik - DUSA"/>
    <s v="CONSUMIBLE PROPIO"/>
    <s v="DUSA"/>
    <n v="1"/>
    <n v="431.03"/>
  </r>
  <r>
    <s v="Plaza Zenter CEL"/>
    <s v="23/01/2026"/>
    <x v="18"/>
    <s v="7503013378645"/>
    <s v="Liquid Love Pleasure 100ml - DUSA"/>
    <s v="CONSUMIBLE PROPIO"/>
    <s v="DUSA"/>
    <n v="3"/>
    <n v="2327.58"/>
  </r>
  <r>
    <s v="Plaza Zenter CEL"/>
    <s v="23/01/2026"/>
    <x v="18"/>
    <s v="7503013378980"/>
    <s v="Lubricante Body Surf Termico Chicle DUSA 60ml"/>
    <s v="CONSUMIBLE PROPIO"/>
    <s v="DUSA"/>
    <n v="1"/>
    <n v="387.93"/>
  </r>
  <r>
    <s v="Plaza Zenter CEL"/>
    <s v="23/01/2026"/>
    <x v="18"/>
    <s v="7503020596063"/>
    <s v="Stallion Regenerador - DUSA"/>
    <s v="CONSUMIBLE PROPIO"/>
    <s v="DUSA"/>
    <n v="1"/>
    <n v="1293.0999999999999"/>
  </r>
  <r>
    <s v="Plaza Zenter CEL"/>
    <s v="24/01/2026"/>
    <x v="18"/>
    <s v="7503013378492"/>
    <s v="Clean Whisper 120ml - DUSA"/>
    <s v="CONSUMIBLE PROPIO"/>
    <s v="DUSA"/>
    <n v="1"/>
    <n v="301.72000000000003"/>
  </r>
  <r>
    <s v="Plaza Zenter CEL"/>
    <s v="24/01/2026"/>
    <x v="18"/>
    <s v="7503013378652"/>
    <s v="Liquid Love Backdoor 100ml - DUSA"/>
    <s v="CONSUMIBLE PROPIO"/>
    <s v="DUSA"/>
    <n v="1"/>
    <n v="1077.5899999999999"/>
  </r>
  <r>
    <s v="Plaza Zenter CEL"/>
    <s v="24/01/2026"/>
    <x v="18"/>
    <s v="7503013378645"/>
    <s v="Liquid Love Pleasure 100ml - DUSA"/>
    <s v="CONSUMIBLE PROPIO"/>
    <s v="DUSA"/>
    <n v="1"/>
    <n v="775.86"/>
  </r>
  <r>
    <s v="Plaza Zenter CEL"/>
    <s v="24/01/2026"/>
    <x v="18"/>
    <s v="7503013378980"/>
    <s v="Lubricante Body Surf Termico Chicle DUSA 60ml"/>
    <s v="CONSUMIBLE PROPIO"/>
    <s v="DUSA"/>
    <n v="2"/>
    <n v="775.86"/>
  </r>
  <r>
    <s v="Plaza Zenter CEL"/>
    <s v="24/01/2026"/>
    <x v="18"/>
    <s v="7503020596957"/>
    <s v="Shot Shumatsu Fun Hombre - DUSA"/>
    <s v="CONSUMIBLE PROPIO"/>
    <s v="DUSA"/>
    <n v="1"/>
    <n v="172.41"/>
  </r>
  <r>
    <s v="Plaza Zenter CEL"/>
    <s v="24/01/2026"/>
    <x v="18"/>
    <s v="7503024256192"/>
    <s v="Shot Shumatsu Fun Mujer - DUSA"/>
    <s v="CONSUMIBLE PROPIO"/>
    <s v="DUSA"/>
    <n v="1"/>
    <n v="172.41"/>
  </r>
  <r>
    <s v="Plaza Zenter CEL"/>
    <s v="25/01/2026"/>
    <x v="5"/>
    <s v="7503013378645"/>
    <s v="Liquid Love Pleasure 100ml - DUSA"/>
    <s v="CONSUMIBLE PROPIO"/>
    <s v="DUSA"/>
    <n v="1"/>
    <n v="775.86"/>
  </r>
  <r>
    <s v="Plaza Zenter CEL"/>
    <s v="26/01/2026"/>
    <x v="18"/>
    <s v="7503032300993"/>
    <s v="Liquid Love Pleasure 30ml - DUSA"/>
    <s v="CONSUMIBLE PROPIO"/>
    <s v="DUSA"/>
    <n v="1"/>
    <n v="301.72000000000003"/>
  </r>
  <r>
    <s v="Plaza Zenter CEL"/>
    <s v="27/01/2026"/>
    <x v="5"/>
    <s v="7503013378645"/>
    <s v="Liquid Love Pleasure 100ml - DUSA"/>
    <s v="CONSUMIBLE PROPIO"/>
    <s v="DUSA"/>
    <n v="1"/>
    <n v="775.86"/>
  </r>
  <r>
    <s v="Plaza Zenter CEL"/>
    <s v="27/01/2026"/>
    <x v="5"/>
    <s v="7503050524241"/>
    <s v="Orgasmik 30ml - DUSA"/>
    <s v="CONSUMIBLE PROPIO"/>
    <s v="DUSA"/>
    <n v="1"/>
    <n v="431.03"/>
  </r>
  <r>
    <s v="Plaza Zenter CEL"/>
    <s v="29/01/2026"/>
    <x v="1"/>
    <s v="7503043917012"/>
    <s v="Liquid Love Backdoor 30ml - DUSA"/>
    <s v="CONSUMIBLE PROPIO"/>
    <s v="DUSA"/>
    <n v="1"/>
    <n v="301.72000000000003"/>
  </r>
  <r>
    <s v="Plaza Zenter CEL"/>
    <s v="29/01/2026"/>
    <x v="1"/>
    <s v="7503013378645"/>
    <s v="Liquid Love Pleasure 100ml - DUSA"/>
    <s v="CONSUMIBLE PROPIO"/>
    <s v="DUSA"/>
    <n v="1"/>
    <n v="775.86"/>
  </r>
  <r>
    <s v="Plaza Zenter CEL"/>
    <s v="29/01/2026"/>
    <x v="1"/>
    <s v="7503010217048"/>
    <s v="Vela para masaje rose - DUSA"/>
    <s v="CONSUMIBLE PROPIO"/>
    <s v="DUSA"/>
    <n v="1"/>
    <n v="241.38"/>
  </r>
  <r>
    <s v="Plaza Zenter CEL"/>
    <s v="30/01/2026"/>
    <x v="18"/>
    <s v="7503013378652"/>
    <s v="Liquid Love Backdoor 100ml - DUSA"/>
    <s v="CONSUMIBLE PROPIO"/>
    <s v="DUSA"/>
    <n v="1"/>
    <n v="1077.5899999999999"/>
  </r>
  <r>
    <s v="Plaza Zenter CEL"/>
    <s v="31/01/2026"/>
    <x v="18"/>
    <s v="7503043917012"/>
    <s v="Liquid Love Backdoor 30ml - DUSA"/>
    <s v="CONSUMIBLE PROPIO"/>
    <s v="DUSA"/>
    <n v="1"/>
    <n v="301.72000000000003"/>
  </r>
  <r>
    <s v="Plaza Zenter CEL"/>
    <s v="31/01/2026"/>
    <x v="18"/>
    <s v="7503032300993"/>
    <s v="Liquid Love Pleasure 30ml - DUSA"/>
    <s v="CONSUMIBLE PROPIO"/>
    <s v="DUSA"/>
    <n v="1"/>
    <n v="301.72000000000003"/>
  </r>
  <r>
    <s v="Plaza Zenter CEL"/>
    <s v="31/01/2026"/>
    <x v="18"/>
    <s v="7503050524241"/>
    <s v="Orgasmik 30ml - DUSA"/>
    <s v="CONSUMIBLE PROPIO"/>
    <s v="DUSA"/>
    <n v="2"/>
    <n v="862.06"/>
  </r>
  <r>
    <s v="Plaza Zenter CEL"/>
    <s v="31/01/2026"/>
    <x v="18"/>
    <s v="7503020596063"/>
    <s v="Stallion Regenerador - DUSA"/>
    <s v="CONSUMIBLE PROPIO"/>
    <s v="DUSA"/>
    <n v="1"/>
    <n v="1293.0999999999999"/>
  </r>
  <r>
    <s v="Provenza-Cel"/>
    <s v="02/01/2026"/>
    <x v="19"/>
    <s v="7503050524265"/>
    <s v="He Plus 30ml - DUSA"/>
    <s v="CONSUMIBLE PROPIO"/>
    <s v="DUSA"/>
    <n v="1"/>
    <n v="431.03"/>
  </r>
  <r>
    <s v="Provenza-Cel"/>
    <s v="02/01/2026"/>
    <x v="19"/>
    <s v="7503043917005"/>
    <s v="Liquid Love Clear 30ml - DUSA"/>
    <s v="CONSUMIBLE PROPIO"/>
    <s v="DUSA"/>
    <n v="2"/>
    <n v="603.44000000000005"/>
  </r>
  <r>
    <s v="Provenza-Cel"/>
    <s v="02/01/2026"/>
    <x v="19"/>
    <s v="7503032300993"/>
    <s v="Liquid Love Pleasure 30ml - DUSA"/>
    <s v="CONSUMIBLE PROPIO"/>
    <s v="DUSA"/>
    <n v="1"/>
    <n v="301.72000000000003"/>
  </r>
  <r>
    <s v="Provenza-Cel"/>
    <s v="02/01/2026"/>
    <x v="19"/>
    <s v="7503013378980"/>
    <s v="Lubricante Body Surf Termico Chicle DUSA 60ml"/>
    <s v="CONSUMIBLE PROPIO"/>
    <s v="DUSA"/>
    <n v="1"/>
    <n v="387.93"/>
  </r>
  <r>
    <s v="Provenza-Cel"/>
    <s v="02/01/2026"/>
    <x v="19"/>
    <s v="7503013378010"/>
    <s v="Rigidex 2 pzas - DUSA"/>
    <s v="CONSUMIBLE PROPIO"/>
    <s v="DUSA"/>
    <n v="3"/>
    <n v="1293.0899999999999"/>
  </r>
  <r>
    <s v="Provenza-Cel"/>
    <s v="03/01/2026"/>
    <x v="1"/>
    <s v="7503013378645"/>
    <s v="Liquid Love Pleasure 100ml - DUSA"/>
    <s v="CONSUMIBLE PROPIO"/>
    <s v="DUSA"/>
    <n v="1"/>
    <n v="775.86"/>
  </r>
  <r>
    <s v="Provenza-Cel"/>
    <s v="03/01/2026"/>
    <x v="1"/>
    <s v="7503013378980"/>
    <s v="Lubricante Body Surf Termico Chicle DUSA 60ml"/>
    <s v="CONSUMIBLE PROPIO"/>
    <s v="DUSA"/>
    <n v="1"/>
    <n v="387.93"/>
  </r>
  <r>
    <s v="Provenza-Cel"/>
    <s v="04/01/2026"/>
    <x v="19"/>
    <s v="7503043917005"/>
    <s v="Liquid Love Clear 30ml - DUSA"/>
    <s v="CONSUMIBLE PROPIO"/>
    <s v="DUSA"/>
    <n v="2"/>
    <n v="603.44000000000005"/>
  </r>
  <r>
    <s v="Provenza-Cel"/>
    <s v="05/01/2026"/>
    <x v="19"/>
    <s v="7503032300993"/>
    <s v="Liquid Love Pleasure 30ml - DUSA"/>
    <s v="CONSUMIBLE PROPIO"/>
    <s v="DUSA"/>
    <n v="1"/>
    <n v="301.72000000000003"/>
  </r>
  <r>
    <s v="Provenza-Cel"/>
    <s v="05/01/2026"/>
    <x v="19"/>
    <s v="7503020596957"/>
    <s v="Shot Shumatsu Fun Hombre - DUSA"/>
    <s v="CONSUMIBLE PROPIO"/>
    <s v="DUSA"/>
    <n v="1"/>
    <n v="172.41"/>
  </r>
  <r>
    <s v="Provenza-Cel"/>
    <s v="05/01/2026"/>
    <x v="19"/>
    <s v="7503024256192"/>
    <s v="Shot Shumatsu Fun Mujer - DUSA"/>
    <s v="CONSUMIBLE PROPIO"/>
    <s v="DUSA"/>
    <n v="1"/>
    <n v="172.41"/>
  </r>
  <r>
    <s v="Provenza-Cel"/>
    <s v="05/01/2026"/>
    <x v="19"/>
    <s v="7503020596063"/>
    <s v="Stallion Regenerador - DUSA"/>
    <s v="CONSUMIBLE PROPIO"/>
    <s v="DUSA"/>
    <n v="1"/>
    <n v="1293.0999999999999"/>
  </r>
  <r>
    <s v="Provenza-Cel"/>
    <s v="06/01/2026"/>
    <x v="19"/>
    <s v="7503020596957"/>
    <s v="Shot Shumatsu Fun Hombre - DUSA"/>
    <s v="CONSUMIBLE PROPIO"/>
    <s v="DUSA"/>
    <n v="1"/>
    <n v="172.41"/>
  </r>
  <r>
    <s v="Provenza-Cel"/>
    <s v="07/01/2026"/>
    <x v="19"/>
    <s v="7503013378980"/>
    <s v="Lubricante Body Surf Termico Chicle DUSA 60ml"/>
    <s v="CONSUMIBLE PROPIO"/>
    <s v="DUSA"/>
    <n v="2"/>
    <n v="775.86"/>
  </r>
  <r>
    <s v="Provenza-Cel"/>
    <s v="07/01/2026"/>
    <x v="19"/>
    <s v="7503050524241"/>
    <s v="Orgasmik 30ml - DUSA"/>
    <s v="CONSUMIBLE PROPIO"/>
    <s v="DUSA"/>
    <n v="2"/>
    <n v="862.06"/>
  </r>
  <r>
    <s v="Provenza-Cel"/>
    <s v="07/01/2026"/>
    <x v="19"/>
    <s v="7503024256192"/>
    <s v="Shot Shumatsu Fun Mujer - DUSA"/>
    <s v="CONSUMIBLE PROPIO"/>
    <s v="DUSA"/>
    <n v="1"/>
    <n v="172.41"/>
  </r>
  <r>
    <s v="Provenza-Cel"/>
    <s v="08/01/2026"/>
    <x v="19"/>
    <s v="7503013378010"/>
    <s v="Rigidex 2 pzas - DUSA"/>
    <s v="CONSUMIBLE PROPIO"/>
    <s v="DUSA"/>
    <n v="5"/>
    <n v="2155.16"/>
  </r>
  <r>
    <s v="Provenza-Cel"/>
    <s v="08/01/2026"/>
    <x v="19"/>
    <s v="7503020596063"/>
    <s v="Stallion Regenerador - DUSA"/>
    <s v="CONSUMIBLE PROPIO"/>
    <s v="DUSA"/>
    <n v="1"/>
    <n v="1293.0999999999999"/>
  </r>
  <r>
    <s v="Provenza-Cel"/>
    <s v="09/01/2026"/>
    <x v="19"/>
    <s v="7503032300993"/>
    <s v="Liquid Love Pleasure 30ml - DUSA"/>
    <s v="CONSUMIBLE PROPIO"/>
    <s v="DUSA"/>
    <n v="1"/>
    <n v="301.72000000000003"/>
  </r>
  <r>
    <s v="Provenza-Cel"/>
    <s v="09/01/2026"/>
    <x v="19"/>
    <s v="7503013378645"/>
    <s v="Liquid Love Pleasure 100ml - DUSA"/>
    <s v="CONSUMIBLE PROPIO"/>
    <s v="DUSA"/>
    <n v="1"/>
    <n v="775.86"/>
  </r>
  <r>
    <s v="Provenza-Cel"/>
    <s v="10/01/2026"/>
    <x v="1"/>
    <s v="7503050524265"/>
    <s v="He Plus 30ml - DUSA"/>
    <s v="CONSUMIBLE PROPIO"/>
    <s v="DUSA"/>
    <n v="1"/>
    <n v="431.03"/>
  </r>
  <r>
    <s v="Provenza-Cel"/>
    <s v="10/01/2026"/>
    <x v="1"/>
    <s v="7503043917012"/>
    <s v="Liquid Love Backdoor 30ml - DUSA"/>
    <s v="CONSUMIBLE PROPIO"/>
    <s v="DUSA"/>
    <n v="1"/>
    <n v="301.72000000000003"/>
  </r>
  <r>
    <s v="Provenza-Cel"/>
    <s v="10/01/2026"/>
    <x v="1"/>
    <s v="7503032300993"/>
    <s v="Liquid Love Pleasure 30ml - DUSA"/>
    <s v="CONSUMIBLE PROPIO"/>
    <s v="DUSA"/>
    <n v="1"/>
    <n v="301.72000000000003"/>
  </r>
  <r>
    <s v="Provenza-Cel"/>
    <s v="11/01/2026"/>
    <x v="19"/>
    <s v="7503043917012"/>
    <s v="Liquid Love Backdoor 30ml - DUSA"/>
    <s v="CONSUMIBLE PROPIO"/>
    <s v="DUSA"/>
    <n v="1"/>
    <n v="301.72000000000003"/>
  </r>
  <r>
    <s v="Provenza-Cel"/>
    <s v="12/01/2026"/>
    <x v="19"/>
    <s v="7503024256154"/>
    <s v="Lubricante Body Surf Termico Cereza DUSA 60ml"/>
    <s v="CONSUMIBLE PROPIO"/>
    <s v="DUSA"/>
    <n v="1"/>
    <n v="387.93"/>
  </r>
  <r>
    <s v="Provenza-Cel"/>
    <s v="12/01/2026"/>
    <x v="19"/>
    <s v="7503024256192"/>
    <s v="Shot Shumatsu Fun Mujer - DUSA"/>
    <s v="CONSUMIBLE PROPIO"/>
    <s v="DUSA"/>
    <n v="1"/>
    <n v="172.41"/>
  </r>
  <r>
    <s v="Provenza-Cel"/>
    <s v="14/01/2026"/>
    <x v="19"/>
    <s v="7503013378010"/>
    <s v="Rigidex 2 pzas - DUSA"/>
    <s v="CONSUMIBLE PROPIO"/>
    <s v="DUSA"/>
    <n v="2"/>
    <n v="862.06"/>
  </r>
  <r>
    <s v="Provenza-Cel"/>
    <s v="14/01/2026"/>
    <x v="19"/>
    <s v="7503020596957"/>
    <s v="Shot Shumatsu Fun Hombre - DUSA"/>
    <s v="CONSUMIBLE PROPIO"/>
    <s v="DUSA"/>
    <n v="1"/>
    <n v="172.41"/>
  </r>
  <r>
    <s v="Provenza-Cel"/>
    <s v="14/01/2026"/>
    <x v="19"/>
    <s v="7503020596063"/>
    <s v="Stallion Regenerador - DUSA"/>
    <s v="CONSUMIBLE PROPIO"/>
    <s v="DUSA"/>
    <n v="1"/>
    <n v="1293.0999999999999"/>
  </r>
  <r>
    <s v="Provenza-Cel"/>
    <s v="15/01/2026"/>
    <x v="19"/>
    <s v="7503050524241"/>
    <s v="Orgasmik 30ml - DUSA"/>
    <s v="CONSUMIBLE PROPIO"/>
    <s v="DUSA"/>
    <n v="1"/>
    <n v="431.03"/>
  </r>
  <r>
    <s v="Provenza-Cel"/>
    <s v="16/01/2026"/>
    <x v="19"/>
    <s v="7503043917005"/>
    <s v="Liquid Love Clear 30ml - DUSA"/>
    <s v="CONSUMIBLE PROPIO"/>
    <s v="DUSA"/>
    <n v="1"/>
    <n v="301.72000000000003"/>
  </r>
  <r>
    <s v="Provenza-Cel"/>
    <s v="16/01/2026"/>
    <x v="19"/>
    <s v="7503013378010"/>
    <s v="Rigidex 2 pzas - DUSA"/>
    <s v="CONSUMIBLE PROPIO"/>
    <s v="DUSA"/>
    <n v="1"/>
    <n v="431.03"/>
  </r>
  <r>
    <s v="Provenza-Cel"/>
    <s v="17/01/2026"/>
    <x v="1"/>
    <s v="7503043917012"/>
    <s v="Liquid Love Backdoor 30ml - DUSA"/>
    <s v="CONSUMIBLE PROPIO"/>
    <s v="DUSA"/>
    <n v="2"/>
    <n v="603.44000000000005"/>
  </r>
  <r>
    <s v="Provenza-Cel"/>
    <s v="17/01/2026"/>
    <x v="1"/>
    <s v="7503013378645"/>
    <s v="Liquid Love Pleasure 100ml - DUSA"/>
    <s v="CONSUMIBLE PROPIO"/>
    <s v="DUSA"/>
    <n v="1"/>
    <n v="775.86"/>
  </r>
  <r>
    <s v="Provenza-Cel"/>
    <s v="18/01/2026"/>
    <x v="19"/>
    <s v="7503032300993"/>
    <s v="Liquid Love Pleasure 30ml - DUSA"/>
    <s v="CONSUMIBLE PROPIO"/>
    <s v="DUSA"/>
    <n v="1"/>
    <n v="301.72000000000003"/>
  </r>
  <r>
    <s v="Provenza-Cel"/>
    <s v="18/01/2026"/>
    <x v="19"/>
    <s v="7503024256192"/>
    <s v="Shot Shumatsu Fun Mujer - DUSA"/>
    <s v="CONSUMIBLE PROPIO"/>
    <s v="DUSA"/>
    <n v="1"/>
    <n v="172.41"/>
  </r>
  <r>
    <s v="Provenza-Cel"/>
    <s v="19/01/2026"/>
    <x v="19"/>
    <s v="7503050524241"/>
    <s v="Orgasmik 30ml - DUSA"/>
    <s v="CONSUMIBLE PROPIO"/>
    <s v="DUSA"/>
    <n v="1"/>
    <n v="431.03"/>
  </r>
  <r>
    <s v="Provenza-Cel"/>
    <s v="19/01/2026"/>
    <x v="19"/>
    <s v="7503013378010"/>
    <s v="Rigidex 2 pzas - DUSA"/>
    <s v="CONSUMIBLE PROPIO"/>
    <s v="DUSA"/>
    <n v="1"/>
    <n v="431.03"/>
  </r>
  <r>
    <s v="Provenza-Cel"/>
    <s v="19/01/2026"/>
    <x v="19"/>
    <s v="7503024256192"/>
    <s v="Shot Shumatsu Fun Mujer - DUSA"/>
    <s v="CONSUMIBLE PROPIO"/>
    <s v="DUSA"/>
    <n v="1"/>
    <n v="172.41"/>
  </r>
  <r>
    <s v="Provenza-Cel"/>
    <s v="20/01/2026"/>
    <x v="19"/>
    <s v="7503020596957"/>
    <s v="Shot Shumatsu Fun Hombre - DUSA"/>
    <s v="CONSUMIBLE PROPIO"/>
    <s v="DUSA"/>
    <n v="1"/>
    <n v="172.41"/>
  </r>
  <r>
    <s v="Provenza-Cel"/>
    <s v="21/01/2026"/>
    <x v="19"/>
    <s v="7503043917005"/>
    <s v="Liquid Love Clear 30ml - DUSA"/>
    <s v="CONSUMIBLE PROPIO"/>
    <s v="DUSA"/>
    <n v="1"/>
    <n v="301.72000000000003"/>
  </r>
  <r>
    <s v="Provenza-Cel"/>
    <s v="21/01/2026"/>
    <x v="19"/>
    <s v="7503032300993"/>
    <s v="Liquid Love Pleasure 30ml - DUSA"/>
    <s v="CONSUMIBLE PROPIO"/>
    <s v="DUSA"/>
    <n v="1"/>
    <n v="301.72000000000003"/>
  </r>
  <r>
    <s v="Provenza-Cel"/>
    <s v="21/01/2026"/>
    <x v="19"/>
    <s v="7503013378010"/>
    <s v="Rigidex 2 pzas - DUSA"/>
    <s v="CONSUMIBLE PROPIO"/>
    <s v="DUSA"/>
    <n v="1"/>
    <n v="431.03"/>
  </r>
  <r>
    <s v="Provenza-Cel"/>
    <s v="21/01/2026"/>
    <x v="19"/>
    <s v="7503024256192"/>
    <s v="Shot Shumatsu Fun Mujer - DUSA"/>
    <s v="CONSUMIBLE PROPIO"/>
    <s v="DUSA"/>
    <n v="1"/>
    <n v="172.41"/>
  </r>
  <r>
    <s v="Provenza-Cel"/>
    <s v="22/01/2026"/>
    <x v="19"/>
    <s v="7503032300993"/>
    <s v="Liquid Love Pleasure 30ml - DUSA"/>
    <s v="CONSUMIBLE PROPIO"/>
    <s v="DUSA"/>
    <n v="1"/>
    <n v="301.72000000000003"/>
  </r>
  <r>
    <s v="Provenza-Cel"/>
    <s v="22/01/2026"/>
    <x v="19"/>
    <s v="7503050524241"/>
    <s v="Orgasmik 30ml - DUSA"/>
    <s v="CONSUMIBLE PROPIO"/>
    <s v="DUSA"/>
    <n v="1"/>
    <n v="431.03"/>
  </r>
  <r>
    <s v="Provenza-Cel"/>
    <s v="22/01/2026"/>
    <x v="19"/>
    <s v="7503020596957"/>
    <s v="Shot Shumatsu Fun Hombre - DUSA"/>
    <s v="CONSUMIBLE PROPIO"/>
    <s v="DUSA"/>
    <n v="3"/>
    <n v="517.23"/>
  </r>
  <r>
    <s v="Provenza-Cel"/>
    <s v="22/01/2026"/>
    <x v="19"/>
    <s v="7503024256192"/>
    <s v="Shot Shumatsu Fun Mujer - DUSA"/>
    <s v="CONSUMIBLE PROPIO"/>
    <s v="DUSA"/>
    <n v="2"/>
    <n v="344.82"/>
  </r>
  <r>
    <s v="Provenza-Cel"/>
    <s v="23/01/2026"/>
    <x v="19"/>
    <s v="7503020596957"/>
    <s v="Shot Shumatsu Fun Hombre - DUSA"/>
    <s v="CONSUMIBLE PROPIO"/>
    <s v="DUSA"/>
    <n v="1"/>
    <n v="172.41"/>
  </r>
  <r>
    <s v="Provenza-Cel"/>
    <s v="23/01/2026"/>
    <x v="19"/>
    <s v="7503024256192"/>
    <s v="Shot Shumatsu Fun Mujer - DUSA"/>
    <s v="CONSUMIBLE PROPIO"/>
    <s v="DUSA"/>
    <n v="1"/>
    <n v="172.41"/>
  </r>
  <r>
    <s v="Provenza-Cel"/>
    <s v="24/01/2026"/>
    <x v="5"/>
    <s v="7503020596957"/>
    <s v="Shot Shumatsu Fun Hombre - DUSA"/>
    <s v="CONSUMIBLE PROPIO"/>
    <s v="DUSA"/>
    <n v="2"/>
    <n v="344.82"/>
  </r>
  <r>
    <s v="Provenza-Cel"/>
    <s v="24/01/2026"/>
    <x v="5"/>
    <s v="7503024256192"/>
    <s v="Shot Shumatsu Fun Mujer - DUSA"/>
    <s v="CONSUMIBLE PROPIO"/>
    <s v="DUSA"/>
    <n v="5"/>
    <n v="862.05"/>
  </r>
  <r>
    <s v="Provenza-Cel"/>
    <s v="25/01/2026"/>
    <x v="19"/>
    <s v="7503032300993"/>
    <s v="Liquid Love Pleasure 30ml - DUSA"/>
    <s v="CONSUMIBLE PROPIO"/>
    <s v="DUSA"/>
    <n v="1"/>
    <n v="301.72000000000003"/>
  </r>
  <r>
    <s v="Provenza-Cel"/>
    <s v="25/01/2026"/>
    <x v="19"/>
    <s v="7503024256154"/>
    <s v="Lubricante Body Surf Termico Cereza DUSA 60ml"/>
    <s v="CONSUMIBLE PROPIO"/>
    <s v="DUSA"/>
    <n v="1"/>
    <n v="387.93"/>
  </r>
  <r>
    <s v="Provenza-Cel"/>
    <s v="27/01/2026"/>
    <x v="19"/>
    <s v="7503043917005"/>
    <s v="Liquid Love Clear 30ml - DUSA"/>
    <s v="CONSUMIBLE PROPIO"/>
    <s v="DUSA"/>
    <n v="2"/>
    <n v="603.44000000000005"/>
  </r>
  <r>
    <s v="Provenza-Cel"/>
    <s v="27/01/2026"/>
    <x v="19"/>
    <s v="7503013378980"/>
    <s v="Lubricante Body Surf Termico Chicle DUSA 60ml"/>
    <s v="CONSUMIBLE PROPIO"/>
    <s v="DUSA"/>
    <n v="1"/>
    <n v="387.93"/>
  </r>
  <r>
    <s v="Provenza-Cel"/>
    <s v="28/01/2026"/>
    <x v="19"/>
    <s v="7503043917012"/>
    <s v="Liquid Love Backdoor 30ml - DUSA"/>
    <s v="CONSUMIBLE PROPIO"/>
    <s v="DUSA"/>
    <n v="1"/>
    <n v="301.72000000000003"/>
  </r>
  <r>
    <s v="Provenza-Cel"/>
    <s v="28/01/2026"/>
    <x v="19"/>
    <s v="7503050524258"/>
    <s v="Sensicool 30ml - DUSA"/>
    <s v="CONSUMIBLE PROPIO"/>
    <s v="DUSA"/>
    <n v="1"/>
    <n v="431.03"/>
  </r>
  <r>
    <s v="Provenza-Cel"/>
    <s v="28/01/2026"/>
    <x v="19"/>
    <s v="7503020596957"/>
    <s v="Shot Shumatsu Fun Hombre - DUSA"/>
    <s v="CONSUMIBLE PROPIO"/>
    <s v="DUSA"/>
    <n v="2"/>
    <n v="344.82"/>
  </r>
  <r>
    <s v="Provenza-Cel"/>
    <s v="29/01/2026"/>
    <x v="19"/>
    <s v="7503043917012"/>
    <s v="Liquid Love Backdoor 30ml - DUSA"/>
    <s v="CONSUMIBLE PROPIO"/>
    <s v="DUSA"/>
    <n v="1"/>
    <n v="301.72000000000003"/>
  </r>
  <r>
    <s v="Provenza-Cel"/>
    <s v="29/01/2026"/>
    <x v="19"/>
    <s v="7503013378652"/>
    <s v="Liquid Love Backdoor 100ml - DUSA"/>
    <s v="CONSUMIBLE PROPIO"/>
    <s v="DUSA"/>
    <n v="1"/>
    <n v="1077.5899999999999"/>
  </r>
  <r>
    <s v="Provenza-Cel"/>
    <s v="29/01/2026"/>
    <x v="19"/>
    <s v="7503020596001"/>
    <s v="Liquid Love Clear 100ml - DUSA"/>
    <s v="CONSUMIBLE PROPIO"/>
    <s v="DUSA"/>
    <n v="1"/>
    <n v="775.86"/>
  </r>
  <r>
    <s v="Provenza-Cel"/>
    <s v="29/01/2026"/>
    <x v="19"/>
    <s v="7503050524241"/>
    <s v="Orgasmik 30ml - DUSA"/>
    <s v="CONSUMIBLE PROPIO"/>
    <s v="DUSA"/>
    <n v="1"/>
    <n v="431.03"/>
  </r>
  <r>
    <s v="Provenza-Cel"/>
    <s v="29/01/2026"/>
    <x v="19"/>
    <s v="7503050524258"/>
    <s v="Sensicool 30ml - DUSA"/>
    <s v="CONSUMIBLE PROPIO"/>
    <s v="DUSA"/>
    <n v="1"/>
    <n v="431.03"/>
  </r>
  <r>
    <s v="Provenza-Cel"/>
    <s v="29/01/2026"/>
    <x v="19"/>
    <s v="7503020596957"/>
    <s v="Shot Shumatsu Fun Hombre - DUSA"/>
    <s v="CONSUMIBLE PROPIO"/>
    <s v="DUSA"/>
    <n v="3"/>
    <n v="517.23"/>
  </r>
  <r>
    <s v="Provenza-Cel"/>
    <s v="29/01/2026"/>
    <x v="19"/>
    <s v="7503024256192"/>
    <s v="Shot Shumatsu Fun Mujer - DUSA"/>
    <s v="CONSUMIBLE PROPIO"/>
    <s v="DUSA"/>
    <n v="5"/>
    <n v="862.05"/>
  </r>
  <r>
    <s v="Provenza-Cel"/>
    <s v="29/01/2026"/>
    <x v="19"/>
    <s v="7503020596063"/>
    <s v="Stallion Regenerador - DUSA"/>
    <s v="CONSUMIBLE PROPIO"/>
    <s v="DUSA"/>
    <n v="1"/>
    <n v="1293.0999999999999"/>
  </r>
  <r>
    <s v="Provenza-Cel"/>
    <s v="30/01/2026"/>
    <x v="19"/>
    <s v="7503020596001"/>
    <s v="Liquid Love Clear 100ml - DUSA"/>
    <s v="CONSUMIBLE PROPIO"/>
    <s v="DUSA"/>
    <n v="1"/>
    <n v="775.86"/>
  </r>
  <r>
    <s v="Provenza-Cel"/>
    <s v="30/01/2026"/>
    <x v="19"/>
    <s v="7503013378980"/>
    <s v="Lubricante Body Surf Termico Chicle DUSA 60ml"/>
    <s v="CONSUMIBLE PROPIO"/>
    <s v="DUSA"/>
    <n v="1"/>
    <n v="387.93"/>
  </r>
  <r>
    <s v="Provenza-Cel"/>
    <s v="30/01/2026"/>
    <x v="19"/>
    <s v="7503050524241"/>
    <s v="Orgasmik 30ml - DUSA"/>
    <s v="CONSUMIBLE PROPIO"/>
    <s v="DUSA"/>
    <n v="1"/>
    <n v="431.03"/>
  </r>
  <r>
    <s v="Provenza-Cel"/>
    <s v="30/01/2026"/>
    <x v="19"/>
    <s v="7503013378010"/>
    <s v="Rigidex 2 pzas - DUSA"/>
    <s v="CONSUMIBLE PROPIO"/>
    <s v="DUSA"/>
    <n v="1"/>
    <n v="431.03"/>
  </r>
  <r>
    <s v="Provenza-Cel"/>
    <s v="30/01/2026"/>
    <x v="19"/>
    <s v="7503024256192"/>
    <s v="Shot Shumatsu Fun Mujer - DUSA"/>
    <s v="CONSUMIBLE PROPIO"/>
    <s v="DUSA"/>
    <n v="1"/>
    <n v="172.41"/>
  </r>
  <r>
    <s v="Provenza-Cel"/>
    <s v="31/01/2026"/>
    <x v="1"/>
    <s v="7503043917012"/>
    <s v="Liquid Love Backdoor 30ml - DUSA"/>
    <s v="CONSUMIBLE PROPIO"/>
    <s v="DUSA"/>
    <n v="1"/>
    <n v="301.720000000000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3">
  <r>
    <s v="Arcos-C"/>
    <s v="03/01/2026"/>
    <x v="0"/>
    <s v="7503032300443"/>
    <s v="Zoe bala vibradora RETAIL - CXO"/>
    <s v="JUGUETE PROPIO"/>
    <s v="CXO"/>
    <n v="2"/>
    <n v="310.33999999999997"/>
  </r>
  <r>
    <s v="Arcos-C"/>
    <s v="05/01/2026"/>
    <x v="0"/>
    <s v="7503030211021"/>
    <s v="Anillo desechable para pene Donut - CXO"/>
    <s v="JUGUETE PROPIO"/>
    <s v="CXO"/>
    <n v="1"/>
    <n v="34.479999999999997"/>
  </r>
  <r>
    <s v="Arcos-C"/>
    <s v="05/01/2026"/>
    <x v="0"/>
    <s v="7503043917081"/>
    <s v="Blade rosa anillo vibrador - CXO"/>
    <s v="JUGUETE PROPIO"/>
    <s v="CXO"/>
    <n v="1"/>
    <n v="81.900000000000006"/>
  </r>
  <r>
    <s v="Arcos-C"/>
    <s v="05/01/2026"/>
    <x v="0"/>
    <s v="7503032300443"/>
    <s v="Zoe bala vibradora RETAIL - CXO"/>
    <s v="JUGUETE PROPIO"/>
    <s v="CXO"/>
    <n v="2"/>
    <n v="310.33999999999997"/>
  </r>
  <r>
    <s v="Arcos-C"/>
    <s v="07/01/2026"/>
    <x v="0"/>
    <s v="7503030111031"/>
    <s v="Anillo vibrador de aro doble con estimulador y dildo Javier - CXO"/>
    <s v="JUGUETE PROPIO"/>
    <s v="CXO"/>
    <n v="1"/>
    <n v="1681.03"/>
  </r>
  <r>
    <s v="Arcos-C"/>
    <s v="07/01/2026"/>
    <x v="0"/>
    <s v="7503043917081"/>
    <s v="Blade rosa anillo vibrador - CXO"/>
    <s v="JUGUETE PROPIO"/>
    <s v="CXO"/>
    <n v="3"/>
    <n v="245.70000000000002"/>
  </r>
  <r>
    <s v="Arcos-C"/>
    <s v="07/01/2026"/>
    <x v="0"/>
    <s v="M-22056"/>
    <s v="Dildo L 21cm - CXO"/>
    <s v="JUGUETE PROPIO"/>
    <s v="CXO"/>
    <n v="1"/>
    <n v="689.66"/>
  </r>
  <r>
    <s v="Arcos-C"/>
    <s v="07/01/2026"/>
    <x v="0"/>
    <s v="7503030102034"/>
    <s v="Dildo vibrador con control Anthony - CXO"/>
    <s v="JUGUETE PROPIO"/>
    <s v="CXO"/>
    <n v="1"/>
    <n v="2112.0700000000002"/>
  </r>
  <r>
    <s v="Arcos-C"/>
    <s v="07/01/2026"/>
    <x v="0"/>
    <s v="7503032300443"/>
    <s v="Zoe bala vibradora RETAIL - CXO"/>
    <s v="JUGUETE PROPIO"/>
    <s v="CXO"/>
    <n v="3"/>
    <n v="465.51"/>
  </r>
  <r>
    <s v="Arcos-C"/>
    <s v="08/01/2026"/>
    <x v="0"/>
    <s v="7503043917081"/>
    <s v="Blade rosa anillo vibrador - CXO"/>
    <s v="JUGUETE PROPIO"/>
    <s v="CXO"/>
    <n v="1"/>
    <n v="81.900000000000006"/>
  </r>
  <r>
    <s v="Arcos-C"/>
    <s v="08/01/2026"/>
    <x v="0"/>
    <s v="7503030102034"/>
    <s v="Dildo vibrador con control Anthony - CXO"/>
    <s v="JUGUETE PROPIO"/>
    <s v="CXO"/>
    <n v="1"/>
    <n v="2112.0700000000002"/>
  </r>
  <r>
    <s v="Arcos-C"/>
    <s v="09/01/2026"/>
    <x v="0"/>
    <s v="7503043917081"/>
    <s v="Blade rosa anillo vibrador - CXO"/>
    <s v="JUGUETE PROPIO"/>
    <s v="CXO"/>
    <n v="1"/>
    <n v="81.900000000000006"/>
  </r>
  <r>
    <s v="Arcos-C"/>
    <s v="09/01/2026"/>
    <x v="0"/>
    <s v="7503030102034"/>
    <s v="Dildo vibrador con control Anthony - CXO"/>
    <s v="JUGUETE PROPIO"/>
    <s v="CXO"/>
    <n v="1"/>
    <n v="2112.0700000000002"/>
  </r>
  <r>
    <s v="Arcos-C"/>
    <s v="09/01/2026"/>
    <x v="0"/>
    <s v="7503030119041"/>
    <s v="Dildo vibrador con movimiento impulsor Arma - CXO"/>
    <s v="JUGUETE PROPIO"/>
    <s v="CXO"/>
    <n v="1"/>
    <n v="1706.9"/>
  </r>
  <r>
    <s v="Arcos-C"/>
    <s v="09/01/2026"/>
    <x v="0"/>
    <s v="7503020310205"/>
    <s v="Dildo Vibrador Termico Realista 3 en 1 con movimiento Hades-CXO"/>
    <s v="JUGUETE PROPIO"/>
    <s v="CXO"/>
    <n v="1"/>
    <n v="2500"/>
  </r>
  <r>
    <s v="Arcos-C"/>
    <s v="09/01/2026"/>
    <x v="0"/>
    <s v="7503020104075"/>
    <s v="Vibrador multiorgásmico texturizado con succionador de clítoris Yeni - CXO"/>
    <s v="JUGUETE PROPIO"/>
    <s v="CXO"/>
    <n v="1"/>
    <n v="2465.52"/>
  </r>
  <r>
    <s v="Arcos-C"/>
    <s v="10/01/2026"/>
    <x v="0"/>
    <s v="7503043917081"/>
    <s v="Blade rosa anillo vibrador - CXO"/>
    <s v="JUGUETE PROPIO"/>
    <s v="CXO"/>
    <n v="4"/>
    <n v="327.60000000000002"/>
  </r>
  <r>
    <s v="Arcos-C"/>
    <s v="10/01/2026"/>
    <x v="0"/>
    <s v="7503032300443"/>
    <s v="Zoe bala vibradora RETAIL - CXO"/>
    <s v="JUGUETE PROPIO"/>
    <s v="CXO"/>
    <n v="6"/>
    <n v="931.03"/>
  </r>
  <r>
    <s v="Arcos-C"/>
    <s v="12/01/2026"/>
    <x v="0"/>
    <s v="7503032300443"/>
    <s v="Zoe bala vibradora RETAIL - CXO"/>
    <s v="JUGUETE PROPIO"/>
    <s v="CXO"/>
    <n v="1"/>
    <n v="155.16999999999999"/>
  </r>
  <r>
    <s v="Arcos-C"/>
    <s v="13/01/2026"/>
    <x v="0"/>
    <s v="7503043917081"/>
    <s v="Blade rosa anillo vibrador - CXO"/>
    <s v="JUGUETE PROPIO"/>
    <s v="CXO"/>
    <n v="3"/>
    <n v="245.70000000000002"/>
  </r>
  <r>
    <s v="Arcos-C"/>
    <s v="13/01/2026"/>
    <x v="0"/>
    <s v="7503032300443"/>
    <s v="Zoe bala vibradora RETAIL - CXO"/>
    <s v="JUGUETE PROPIO"/>
    <s v="CXO"/>
    <n v="1"/>
    <n v="155.16999999999999"/>
  </r>
  <r>
    <s v="Arcos-C"/>
    <s v="14/01/2026"/>
    <x v="0"/>
    <s v="7503032300443"/>
    <s v="Zoe bala vibradora RETAIL - CXO"/>
    <s v="JUGUETE PROPIO"/>
    <s v="CXO"/>
    <n v="1"/>
    <n v="155.16999999999999"/>
  </r>
  <r>
    <s v="Arcos-C"/>
    <s v="15/01/2026"/>
    <x v="0"/>
    <s v="7503043917081"/>
    <s v="Blade rosa anillo vibrador - CXO"/>
    <s v="JUGUETE PROPIO"/>
    <s v="CXO"/>
    <n v="2"/>
    <n v="163.80000000000001"/>
  </r>
  <r>
    <s v="Arcos-C"/>
    <s v="15/01/2026"/>
    <x v="0"/>
    <s v="USK-V11"/>
    <s v="Multiorgasmico con Lenguita Ceci - CXO"/>
    <s v="JUGUETE PROPIO"/>
    <s v="CXO"/>
    <n v="1"/>
    <n v="2474.14"/>
  </r>
  <r>
    <s v="Arcos-C"/>
    <s v="15/01/2026"/>
    <x v="0"/>
    <s v="7503032300443"/>
    <s v="Zoe bala vibradora RETAIL - CXO"/>
    <s v="JUGUETE PROPIO"/>
    <s v="CXO"/>
    <n v="1"/>
    <n v="155.16999999999999"/>
  </r>
  <r>
    <s v="Arcos-C"/>
    <s v="17/01/2026"/>
    <x v="0"/>
    <s v="7503030211021"/>
    <s v="Anillo desechable para pene Donut - CXO"/>
    <s v="JUGUETE PROPIO"/>
    <s v="CXO"/>
    <n v="1"/>
    <n v="34.479999999999997"/>
  </r>
  <r>
    <s v="Arcos-C"/>
    <s v="17/01/2026"/>
    <x v="0"/>
    <s v="7503020111072"/>
    <s v="Anillo vibrador recargable con textura negra Hank - CXO"/>
    <s v="JUGUETE PROPIO"/>
    <s v="CXO"/>
    <n v="1"/>
    <n v="1267.24"/>
  </r>
  <r>
    <s v="Arcos-C"/>
    <s v="17/01/2026"/>
    <x v="0"/>
    <s v="7503043917081"/>
    <s v="Blade rosa anillo vibrador - CXO"/>
    <s v="JUGUETE PROPIO"/>
    <s v="CXO"/>
    <n v="3"/>
    <n v="245.70000000000002"/>
  </r>
  <r>
    <s v="Arcos-C"/>
    <s v="17/01/2026"/>
    <x v="0"/>
    <s v="7503032300474"/>
    <s v="Cola de Zorro 45cm blanco S - CXO"/>
    <s v="JUGUETE PROPIO"/>
    <s v="CXO"/>
    <n v="1"/>
    <n v="258.62"/>
  </r>
  <r>
    <s v="Arcos-C"/>
    <s v="17/01/2026"/>
    <x v="0"/>
    <s v="7503020220077"/>
    <s v="Juego de mesa sensual para parejas – CXO"/>
    <s v="JUGUETE PROPIO"/>
    <s v="CXO"/>
    <n v="1"/>
    <n v="637.92999999999995"/>
  </r>
  <r>
    <s v="Arcos-C"/>
    <s v="17/01/2026"/>
    <x v="0"/>
    <s v="7503032300443"/>
    <s v="Zoe bala vibradora RETAIL - CXO"/>
    <s v="JUGUETE PROPIO"/>
    <s v="CXO"/>
    <n v="3"/>
    <n v="465.51"/>
  </r>
  <r>
    <s v="Arcos-C"/>
    <s v="21/01/2026"/>
    <x v="0"/>
    <s v="7503030211021"/>
    <s v="Anillo desechable para pene Donut - CXO"/>
    <s v="JUGUETE PROPIO"/>
    <s v="CXO"/>
    <n v="1"/>
    <n v="34.479999999999997"/>
  </r>
  <r>
    <s v="Arcos-C"/>
    <s v="21/01/2026"/>
    <x v="0"/>
    <s v="7503024256741"/>
    <s v="Cola de Zorro 45cm café S - CXO"/>
    <s v="JUGUETE PROPIO"/>
    <s v="CXO"/>
    <n v="1"/>
    <n v="258.62"/>
  </r>
  <r>
    <s v="Arcos-C"/>
    <s v="21/01/2026"/>
    <x v="0"/>
    <s v="7503020202213"/>
    <s v="Dildo realista con ventosa Nick - CXO"/>
    <s v="JUGUETE PROPIO"/>
    <s v="CXO"/>
    <n v="1"/>
    <n v="818.97"/>
  </r>
  <r>
    <s v="Arcos-C"/>
    <s v="21/01/2026"/>
    <x v="0"/>
    <s v="7503020104076"/>
    <s v="Vibrador multiorgásmico con succión y estimulación de punto G Lulu - CXO"/>
    <s v="JUGUETE PROPIO"/>
    <s v="CXO"/>
    <n v="1"/>
    <n v="2120.69"/>
  </r>
  <r>
    <s v="Arcos-C"/>
    <s v="21/01/2026"/>
    <x v="0"/>
    <s v="7503032300443"/>
    <s v="Zoe bala vibradora RETAIL - CXO"/>
    <s v="JUGUETE PROPIO"/>
    <s v="CXO"/>
    <n v="2"/>
    <n v="310.33999999999997"/>
  </r>
  <r>
    <s v="Arcos-C"/>
    <s v="22/01/2026"/>
    <x v="0"/>
    <s v="7503043917081"/>
    <s v="Blade rosa anillo vibrador - CXO"/>
    <s v="JUGUETE PROPIO"/>
    <s v="CXO"/>
    <n v="1"/>
    <n v="81.900000000000006"/>
  </r>
  <r>
    <s v="Arcos-C"/>
    <s v="22/01/2026"/>
    <x v="0"/>
    <s v="7503020202214"/>
    <s v="Dildo realista con ventosa y testiculos Eddy - CXO"/>
    <s v="JUGUETE PROPIO"/>
    <s v="CXO"/>
    <n v="1"/>
    <n v="948.28"/>
  </r>
  <r>
    <s v="Arcos-C"/>
    <s v="22/01/2026"/>
    <x v="0"/>
    <s v="7503032300443"/>
    <s v="Zoe bala vibradora RETAIL - CXO"/>
    <s v="JUGUETE PROPIO"/>
    <s v="CXO"/>
    <n v="2"/>
    <n v="310.33999999999997"/>
  </r>
  <r>
    <s v="Arcos-C"/>
    <s v="23/01/2026"/>
    <x v="0"/>
    <s v="7503043917081"/>
    <s v="Blade rosa anillo vibrador - CXO"/>
    <s v="JUGUETE PROPIO"/>
    <s v="CXO"/>
    <n v="2"/>
    <n v="163.80000000000001"/>
  </r>
  <r>
    <s v="Arcos-C"/>
    <s v="23/01/2026"/>
    <x v="0"/>
    <s v="7503032300511"/>
    <s v="Cola de Zorro 45cm rosa M - CXO"/>
    <s v="JUGUETE PROPIO"/>
    <s v="CXO"/>
    <n v="1"/>
    <n v="301.72000000000003"/>
  </r>
  <r>
    <s v="Arcos-C"/>
    <s v="23/01/2026"/>
    <x v="0"/>
    <s v="7503032300443"/>
    <s v="Zoe bala vibradora RETAIL - CXO"/>
    <s v="JUGUETE PROPIO"/>
    <s v="CXO"/>
    <n v="4"/>
    <n v="620.67999999999995"/>
  </r>
  <r>
    <s v="Arcos-C"/>
    <s v="24/01/2026"/>
    <x v="0"/>
    <s v="7503043917081"/>
    <s v="Blade rosa anillo vibrador - CXO"/>
    <s v="JUGUETE PROPIO"/>
    <s v="CXO"/>
    <n v="1"/>
    <n v="81.900000000000006"/>
  </r>
  <r>
    <s v="Arcos-C"/>
    <s v="24/01/2026"/>
    <x v="0"/>
    <s v="7503032300443"/>
    <s v="Zoe bala vibradora RETAIL - CXO"/>
    <s v="JUGUETE PROPIO"/>
    <s v="CXO"/>
    <n v="3"/>
    <n v="465.52"/>
  </r>
  <r>
    <s v="Arcos-C"/>
    <s v="25/01/2026"/>
    <x v="1"/>
    <s v="7503043917081"/>
    <s v="Blade rosa anillo vibrador - CXO"/>
    <s v="JUGUETE PROPIO"/>
    <s v="CXO"/>
    <n v="1"/>
    <n v="81.900000000000006"/>
  </r>
  <r>
    <s v="Arcos-C"/>
    <s v="25/01/2026"/>
    <x v="1"/>
    <s v="7503032300443"/>
    <s v="Zoe bala vibradora RETAIL - CXO"/>
    <s v="JUGUETE PROPIO"/>
    <s v="CXO"/>
    <n v="1"/>
    <n v="155.16999999999999"/>
  </r>
  <r>
    <s v="Arcos-C"/>
    <s v="27/01/2026"/>
    <x v="0"/>
    <s v="7503043917081"/>
    <s v="Blade rosa anillo vibrador - CXO"/>
    <s v="JUGUETE PROPIO"/>
    <s v="CXO"/>
    <n v="1"/>
    <n v="81.900000000000006"/>
  </r>
  <r>
    <s v="Arcos-C"/>
    <s v="28/01/2026"/>
    <x v="0"/>
    <s v="7503032300443"/>
    <s v="Zoe bala vibradora RETAIL - CXO"/>
    <s v="JUGUETE PROPIO"/>
    <s v="CXO"/>
    <n v="2"/>
    <n v="310.33999999999997"/>
  </r>
  <r>
    <s v="Arcos-C"/>
    <s v="29/01/2026"/>
    <x v="0"/>
    <s v="7503020202214"/>
    <s v="Dildo realista con ventosa y testiculos Eddy - CXO"/>
    <s v="JUGUETE PROPIO"/>
    <s v="CXO"/>
    <n v="1"/>
    <n v="948.28"/>
  </r>
  <r>
    <s v="Arcos-C"/>
    <s v="29/01/2026"/>
    <x v="0"/>
    <s v="7503032300443"/>
    <s v="Zoe bala vibradora RETAIL - CXO"/>
    <s v="JUGUETE PROPIO"/>
    <s v="CXO"/>
    <n v="1"/>
    <n v="155.16999999999999"/>
  </r>
  <r>
    <s v="Arcos-C"/>
    <s v="30/01/2026"/>
    <x v="0"/>
    <s v="7503013378119"/>
    <s v="Anastasia gema de colores S - CXO"/>
    <s v="JUGUETE PROPIO"/>
    <s v="CXO"/>
    <n v="1"/>
    <n v="396.55"/>
  </r>
  <r>
    <s v="Arcos-C"/>
    <s v="30/01/2026"/>
    <x v="0"/>
    <s v="7503043917081"/>
    <s v="Blade rosa anillo vibrador - CXO"/>
    <s v="JUGUETE PROPIO"/>
    <s v="CXO"/>
    <n v="3"/>
    <n v="245.70000000000002"/>
  </r>
  <r>
    <s v="Arcos-C"/>
    <s v="30/01/2026"/>
    <x v="0"/>
    <s v="7503020104073"/>
    <s v="Vibrador multiorgásmico con textura y estimulación doble Lidia - CXO"/>
    <s v="JUGUETE PROPIO"/>
    <s v="CXO"/>
    <n v="1"/>
    <n v="2008.62"/>
  </r>
  <r>
    <s v="Arcos-C"/>
    <s v="31/01/2026"/>
    <x v="0"/>
    <s v="7503020111072"/>
    <s v="Anillo vibrador recargable con textura negra Hank - CXO"/>
    <s v="JUGUETE PROPIO"/>
    <s v="CXO"/>
    <n v="1"/>
    <n v="1267.24"/>
  </r>
  <r>
    <s v="Arcos-C"/>
    <s v="31/01/2026"/>
    <x v="0"/>
    <s v="7503043917081"/>
    <s v="Blade rosa anillo vibrador - CXO"/>
    <s v="JUGUETE PROPIO"/>
    <s v="CXO"/>
    <n v="4"/>
    <n v="327.60000000000002"/>
  </r>
  <r>
    <s v="Arcos-C"/>
    <s v="31/01/2026"/>
    <x v="0"/>
    <s v="7503013378904"/>
    <s v="Dildo Mr. Hernandez - CXO"/>
    <s v="JUGUETE PROPIO"/>
    <s v="CXO"/>
    <n v="1"/>
    <n v="517.24"/>
  </r>
  <r>
    <s v="Arcos-C"/>
    <s v="31/01/2026"/>
    <x v="0"/>
    <s v="LL-A2216"/>
    <s v="Huevito con 10 modos de Vibración  Gina - CXO"/>
    <s v="JUGUETE PROPIO"/>
    <s v="CXO"/>
    <n v="1"/>
    <n v="1500"/>
  </r>
  <r>
    <s v="Arcos-C"/>
    <s v="31/01/2026"/>
    <x v="0"/>
    <s v="7503032300382"/>
    <s v="Mon - CXO"/>
    <s v="JUGUETE PROPIO"/>
    <s v="CXO"/>
    <n v="4"/>
    <n v="2068.96"/>
  </r>
  <r>
    <s v="Arcos-C"/>
    <s v="31/01/2026"/>
    <x v="0"/>
    <s v="7503030128202"/>
    <s v="Plug Anal con 10 modos de vibracion y rotacion 360 Beto - CXO"/>
    <s v="JUGUETE PROPIO"/>
    <s v="CXO"/>
    <n v="1"/>
    <n v="1577.59"/>
  </r>
  <r>
    <s v="Arcos-C"/>
    <s v="31/01/2026"/>
    <x v="0"/>
    <s v="7503032300443"/>
    <s v="Zoe bala vibradora RETAIL - CXO"/>
    <s v="JUGUETE PROPIO"/>
    <s v="CXO"/>
    <n v="3"/>
    <n v="465.51"/>
  </r>
  <r>
    <s v="Camino Real -C"/>
    <s v="03/01/2026"/>
    <x v="2"/>
    <s v="SE016"/>
    <s v="Masturbador Vagina -  CXO"/>
    <s v="JUGUETE PROPIO"/>
    <s v="CXO"/>
    <n v="1"/>
    <n v="948.28"/>
  </r>
  <r>
    <s v="Camino Real -C"/>
    <s v="03/01/2026"/>
    <x v="2"/>
    <s v="7503050226162"/>
    <s v="Plug Anal con Vibración y Control Roberto - CXO"/>
    <s v="JUGUETE PROPIO"/>
    <s v="CXO"/>
    <n v="1"/>
    <n v="1293.0999999999999"/>
  </r>
  <r>
    <s v="Camino Real -C"/>
    <s v="03/01/2026"/>
    <x v="2"/>
    <s v="7503013378256"/>
    <s v="Sammy - CXO"/>
    <s v="JUGUETE PROPIO"/>
    <s v="CXO"/>
    <n v="1"/>
    <n v="1551.72"/>
  </r>
  <r>
    <s v="Camino Real -C"/>
    <s v="04/01/2026"/>
    <x v="2"/>
    <s v="7503043917081"/>
    <s v="Blade rosa anillo vibrador - CXO"/>
    <s v="JUGUETE PROPIO"/>
    <s v="CXO"/>
    <n v="1"/>
    <n v="81.900000000000006"/>
  </r>
  <r>
    <s v="Camino Real -C"/>
    <s v="04/01/2026"/>
    <x v="2"/>
    <s v="LL-A2216"/>
    <s v="Huevito con 10 modos de Vibración  Gina - CXO"/>
    <s v="JUGUETE PROPIO"/>
    <s v="CXO"/>
    <n v="1"/>
    <n v="1500"/>
  </r>
  <r>
    <s v="Camino Real -C"/>
    <s v="05/01/2026"/>
    <x v="3"/>
    <s v="7503030220043"/>
    <s v="Dados para juegos 2 piezas - CXO"/>
    <s v="JUGUETE PROPIO"/>
    <s v="CXO"/>
    <n v="1"/>
    <n v="112.07"/>
  </r>
  <r>
    <s v="Camino Real -C"/>
    <s v="05/01/2026"/>
    <x v="3"/>
    <s v="75030205968724"/>
    <s v="Funda texturizada transparente con bala vibradora  - CXO"/>
    <s v="JUGUETE PROPIO"/>
    <s v="CXO"/>
    <n v="1"/>
    <n v="474.14"/>
  </r>
  <r>
    <s v="Camino Real -C"/>
    <s v="05/01/2026"/>
    <x v="3"/>
    <s v="SE016"/>
    <s v="Masturbador Vagina -  CXO"/>
    <s v="JUGUETE PROPIO"/>
    <s v="CXO"/>
    <n v="1"/>
    <n v="948.28"/>
  </r>
  <r>
    <s v="Camino Real -C"/>
    <s v="05/01/2026"/>
    <x v="3"/>
    <s v="7503032300443"/>
    <s v="Zoe bala vibradora RETAIL - CXO"/>
    <s v="JUGUETE PROPIO"/>
    <s v="CXO"/>
    <n v="1"/>
    <n v="155.16999999999999"/>
  </r>
  <r>
    <s v="Camino Real -C"/>
    <s v="06/01/2026"/>
    <x v="2"/>
    <s v="7503020596834"/>
    <s v="Latigo de vinipiel de tiras mini - CXO"/>
    <s v="JUGUETE PROPIO"/>
    <s v="CXO"/>
    <n v="1"/>
    <n v="129.31"/>
  </r>
  <r>
    <s v="Camino Real -C"/>
    <s v="06/01/2026"/>
    <x v="2"/>
    <s v="SE018"/>
    <s v="Masturbador Jarrón - CXO"/>
    <s v="JUGUETE PROPIO"/>
    <s v="CXO"/>
    <n v="1"/>
    <n v="1034.48"/>
  </r>
  <r>
    <s v="Camino Real -C"/>
    <s v="06/01/2026"/>
    <x v="2"/>
    <s v="SE016"/>
    <s v="Masturbador Vagina -  CXO"/>
    <s v="JUGUETE PROPIO"/>
    <s v="CXO"/>
    <n v="1"/>
    <n v="948.28"/>
  </r>
  <r>
    <s v="Camino Real -C"/>
    <s v="09/01/2026"/>
    <x v="2"/>
    <s v="7503030102034"/>
    <s v="Dildo vibrador con control Anthony - CXO"/>
    <s v="JUGUETE PROPIO"/>
    <s v="CXO"/>
    <n v="1"/>
    <n v="2112.0700000000002"/>
  </r>
  <r>
    <s v="Camino Real -C"/>
    <s v="09/01/2026"/>
    <x v="2"/>
    <s v="7503020104085"/>
    <s v="Vibrador e impulsor con ventosa Mafer – CXO"/>
    <s v="JUGUETE PROPIO"/>
    <s v="CXO"/>
    <n v="1"/>
    <n v="2413.79"/>
  </r>
  <r>
    <s v="Camino Real -C"/>
    <s v="10/01/2026"/>
    <x v="2"/>
    <s v="7503043917036"/>
    <s v="Arnes universal de argolla negro - CXO"/>
    <s v="JUGUETE PROPIO"/>
    <s v="CXO"/>
    <n v="1"/>
    <n v="474.14"/>
  </r>
  <r>
    <s v="Camino Real -C"/>
    <s v="10/01/2026"/>
    <x v="2"/>
    <s v="7503043917081"/>
    <s v="Blade rosa anillo vibrador - CXO"/>
    <s v="JUGUETE PROPIO"/>
    <s v="CXO"/>
    <n v="2"/>
    <n v="163.80000000000001"/>
  </r>
  <r>
    <s v="Camino Real -C"/>
    <s v="10/01/2026"/>
    <x v="2"/>
    <s v="7503030102034"/>
    <s v="Dildo vibrador con control Anthony - CXO"/>
    <s v="JUGUETE PROPIO"/>
    <s v="CXO"/>
    <n v="1"/>
    <n v="2112.0700000000002"/>
  </r>
  <r>
    <s v="Camino Real -C"/>
    <s v="10/01/2026"/>
    <x v="2"/>
    <s v="7503032300443"/>
    <s v="Zoe bala vibradora RETAIL - CXO"/>
    <s v="JUGUETE PROPIO"/>
    <s v="CXO"/>
    <n v="2"/>
    <n v="310.33999999999997"/>
  </r>
  <r>
    <s v="Camino Real -C"/>
    <s v="11/01/2026"/>
    <x v="2"/>
    <s v="7503043917081"/>
    <s v="Blade rosa anillo vibrador - CXO"/>
    <s v="JUGUETE PROPIO"/>
    <s v="CXO"/>
    <n v="1"/>
    <n v="81.900000000000006"/>
  </r>
  <r>
    <s v="Camino Real -C"/>
    <s v="12/01/2026"/>
    <x v="2"/>
    <s v="7503032300214"/>
    <s v="Cola de Zorro Arcoiris 38cm S - CXO"/>
    <s v="JUGUETE PROPIO"/>
    <s v="CXO"/>
    <n v="1"/>
    <n v="258.62"/>
  </r>
  <r>
    <s v="Camino Real -C"/>
    <s v="12/01/2026"/>
    <x v="2"/>
    <s v="7503043917142"/>
    <s v="Hank negro anillo vibrador - CXO"/>
    <s v="JUGUETE PROPIO"/>
    <s v="CXO"/>
    <n v="1"/>
    <n v="818.97"/>
  </r>
  <r>
    <s v="Camino Real -C"/>
    <s v="12/01/2026"/>
    <x v="2"/>
    <s v="LL-A2216"/>
    <s v="Huevito con 10 modos de Vibración  Gina - CXO"/>
    <s v="JUGUETE PROPIO"/>
    <s v="CXO"/>
    <n v="1"/>
    <n v="1500"/>
  </r>
  <r>
    <s v="Camino Real -C"/>
    <s v="12/01/2026"/>
    <x v="2"/>
    <s v="7503043917593"/>
    <s v="Nora dildo vibrador - CXO"/>
    <s v="JUGUETE PROPIO"/>
    <s v="CXO"/>
    <n v="1"/>
    <n v="474.14"/>
  </r>
  <r>
    <s v="Camino Real -C"/>
    <s v="12/01/2026"/>
    <x v="2"/>
    <s v="7503024256635"/>
    <s v="Olive  6.8&quot; rosa - CXO"/>
    <s v="JUGUETE PROPIO"/>
    <s v="CXO"/>
    <n v="1"/>
    <n v="603.45000000000005"/>
  </r>
  <r>
    <s v="Camino Real -C"/>
    <s v="13/01/2026"/>
    <x v="2"/>
    <s v="7503050226162"/>
    <s v="Plug Anal con Vibración y Control Roberto - CXO"/>
    <s v="JUGUETE PROPIO"/>
    <s v="CXO"/>
    <n v="1"/>
    <n v="1293.0999999999999"/>
  </r>
  <r>
    <s v="Camino Real -C"/>
    <s v="14/01/2026"/>
    <x v="2"/>
    <s v="7503013378102"/>
    <s v="Anastasia Gema de Colores M - CXO"/>
    <s v="JUGUETE PROPIO"/>
    <s v="CXO"/>
    <n v="1"/>
    <n v="456.9"/>
  </r>
  <r>
    <s v="Camino Real -C"/>
    <s v="14/01/2026"/>
    <x v="2"/>
    <s v="7503043917081"/>
    <s v="Blade rosa anillo vibrador - CXO"/>
    <s v="JUGUETE PROPIO"/>
    <s v="CXO"/>
    <n v="1"/>
    <n v="81.900000000000006"/>
  </r>
  <r>
    <s v="Camino Real -C"/>
    <s v="14/01/2026"/>
    <x v="2"/>
    <s v="7503024256604"/>
    <s v="Olivia 6.5&quot; rosa - CXO"/>
    <s v="JUGUETE PROPIO"/>
    <s v="CXO"/>
    <n v="1"/>
    <n v="603.45000000000005"/>
  </r>
  <r>
    <s v="Camino Real -C"/>
    <s v="14/01/2026"/>
    <x v="2"/>
    <s v="7503032300443"/>
    <s v="Zoe bala vibradora RETAIL - CXO"/>
    <s v="JUGUETE PROPIO"/>
    <s v="CXO"/>
    <n v="1"/>
    <n v="155.16999999999999"/>
  </r>
  <r>
    <s v="Camino Real -C"/>
    <s v="15/01/2026"/>
    <x v="2"/>
    <s v="7503032300443"/>
    <s v="Zoe bala vibradora RETAIL - CXO"/>
    <s v="JUGUETE PROPIO"/>
    <s v="CXO"/>
    <n v="1"/>
    <n v="155.16999999999999"/>
  </r>
  <r>
    <s v="Camino Real -C"/>
    <s v="16/01/2026"/>
    <x v="2"/>
    <s v="7503032300443"/>
    <s v="Zoe bala vibradora RETAIL - CXO"/>
    <s v="JUGUETE PROPIO"/>
    <s v="CXO"/>
    <n v="1"/>
    <n v="155.16999999999999"/>
  </r>
  <r>
    <s v="Camino Real -C"/>
    <s v="17/01/2026"/>
    <x v="2"/>
    <s v="7503013378102"/>
    <s v="Anastasia Gema de Colores M - CXO"/>
    <s v="JUGUETE PROPIO"/>
    <s v="CXO"/>
    <n v="1"/>
    <n v="456.9"/>
  </r>
  <r>
    <s v="Camino Real -C"/>
    <s v="17/01/2026"/>
    <x v="2"/>
    <s v="7503020111072"/>
    <s v="Anillo vibrador recargable con textura negra Hank - CXO"/>
    <s v="JUGUETE PROPIO"/>
    <s v="CXO"/>
    <n v="1"/>
    <n v="1267.24"/>
  </r>
  <r>
    <s v="Camino Real -C"/>
    <s v="17/01/2026"/>
    <x v="2"/>
    <s v="7503030102198"/>
    <s v="Dildo realista vibrador con ventosa Ulises - CXO"/>
    <s v="JUGUETE PROPIO"/>
    <s v="CXO"/>
    <n v="1"/>
    <n v="2000"/>
  </r>
  <r>
    <s v="Camino Real -C"/>
    <s v="17/01/2026"/>
    <x v="2"/>
    <s v="7503030128197"/>
    <s v="Ducha anal con vibracion Hector - CXO"/>
    <s v="JUGUETE PROPIO"/>
    <s v="CXO"/>
    <n v="1"/>
    <n v="1862.07"/>
  </r>
  <r>
    <s v="Camino Real -C"/>
    <s v="17/01/2026"/>
    <x v="2"/>
    <s v="7503032300443"/>
    <s v="Zoe bala vibradora RETAIL - CXO"/>
    <s v="JUGUETE PROPIO"/>
    <s v="CXO"/>
    <n v="2"/>
    <n v="310.33999999999997"/>
  </r>
  <r>
    <s v="Camino Real -C"/>
    <s v="18/01/2026"/>
    <x v="2"/>
    <s v="MBS0530"/>
    <s v="Esposas de broche - CXO"/>
    <s v="JUGUETE PROPIO"/>
    <s v="CXO"/>
    <n v="1"/>
    <n v="172.41"/>
  </r>
  <r>
    <s v="Camino Real -C"/>
    <s v="18/01/2026"/>
    <x v="2"/>
    <s v="7503020104212"/>
    <s v="Vibrador multiorgasmico con aleta estimuladora Megan - CXO"/>
    <s v="JUGUETE PROPIO"/>
    <s v="CXO"/>
    <n v="1"/>
    <n v="2413.79"/>
  </r>
  <r>
    <s v="Camino Real -C"/>
    <s v="18/01/2026"/>
    <x v="2"/>
    <s v="7503032300443"/>
    <s v="Zoe bala vibradora RETAIL - CXO"/>
    <s v="JUGUETE PROPIO"/>
    <s v="CXO"/>
    <n v="1"/>
    <n v="155.16999999999999"/>
  </r>
  <r>
    <s v="Camino Real -C"/>
    <s v="22/01/2026"/>
    <x v="2"/>
    <s v="7503030128202"/>
    <s v="Plug Anal con 10 modos de vibracion y rotacion 360 Beto - CXO"/>
    <s v="JUGUETE PROPIO"/>
    <s v="CXO"/>
    <n v="1"/>
    <n v="1577.59"/>
  </r>
  <r>
    <s v="Camino Real -C"/>
    <s v="23/01/2026"/>
    <x v="2"/>
    <s v="7503030202167"/>
    <s v="Dildo hiper realista con ventosa Raul - CXO"/>
    <s v="JUGUETE PROPIO"/>
    <s v="CXO"/>
    <n v="1"/>
    <n v="1525.86"/>
  </r>
  <r>
    <s v="Camino Real -C"/>
    <s v="23/01/2026"/>
    <x v="2"/>
    <s v="7503020202214"/>
    <s v="Dildo realista con ventosa y testiculos Eddy - CXO"/>
    <s v="JUGUETE PROPIO"/>
    <s v="CXO"/>
    <n v="1"/>
    <n v="948.28"/>
  </r>
  <r>
    <s v="Camino Real -C"/>
    <s v="23/01/2026"/>
    <x v="2"/>
    <s v="7503020310116"/>
    <s v="Panty vibrador con control remoto rosa Celi - CXO"/>
    <s v="JUGUETE PROPIO"/>
    <s v="CXO"/>
    <n v="1"/>
    <n v="1681.03"/>
  </r>
  <r>
    <s v="Camino Real -C"/>
    <s v="23/01/2026"/>
    <x v="2"/>
    <s v="7503020104080"/>
    <s v="Vibrador multiorgásmico con doble motor y estimulador de conejito Ara – CXO"/>
    <s v="JUGUETE PROPIO"/>
    <s v="CXO"/>
    <n v="1"/>
    <n v="2163.79"/>
  </r>
  <r>
    <s v="Camino Real -C"/>
    <s v="24/01/2026"/>
    <x v="2"/>
    <s v="7503043917173"/>
    <s v="Vibrador Abbie morado - CXO"/>
    <s v="JUGUETE PROPIO"/>
    <s v="CXO"/>
    <n v="1"/>
    <n v="2413.79"/>
  </r>
  <r>
    <s v="Camino Real -C"/>
    <s v="24/01/2026"/>
    <x v="2"/>
    <s v="7503020104212"/>
    <s v="Vibrador multiorgasmico con aleta estimuladora Megan - CXO"/>
    <s v="JUGUETE PROPIO"/>
    <s v="CXO"/>
    <n v="1"/>
    <n v="2413.79"/>
  </r>
  <r>
    <s v="Camino Real -C"/>
    <s v="26/01/2026"/>
    <x v="2"/>
    <s v="7503020420814"/>
    <s v="Bomba de vacio manual Noah - CXO"/>
    <s v="JUGUETE PROPIO"/>
    <s v="CXO"/>
    <n v="1"/>
    <n v="818.97"/>
  </r>
  <r>
    <s v="Camino Real -C"/>
    <s v="26/01/2026"/>
    <x v="2"/>
    <s v="7503020202214"/>
    <s v="Dildo realista con ventosa y testiculos Eddy - CXO"/>
    <s v="JUGUETE PROPIO"/>
    <s v="CXO"/>
    <n v="1"/>
    <n v="948.28"/>
  </r>
  <r>
    <s v="Camino Real -C"/>
    <s v="27/01/2026"/>
    <x v="2"/>
    <s v="7503030215199"/>
    <s v="Arnes para doble penetracion - CXO"/>
    <s v="JUGUETE PROPIO"/>
    <s v="CXO"/>
    <n v="1"/>
    <n v="1422.41"/>
  </r>
  <r>
    <s v="Camino Real -C"/>
    <s v="27/01/2026"/>
    <x v="2"/>
    <s v="HRZH27262"/>
    <s v="Multiorgásmico Estimulador de Clítoris y Anal con 12 modos de Vibración  Carla- CXO"/>
    <s v="JUGUETE PROPIO"/>
    <s v="CXO"/>
    <n v="1"/>
    <n v="2543.1"/>
  </r>
  <r>
    <s v="Camino Real -C"/>
    <s v="28/01/2026"/>
    <x v="2"/>
    <s v="ACG0976SV0WB"/>
    <s v="Dildo Vibrador con Impulsor Estimulador de Clítoris Conny - CXO"/>
    <s v="JUGUETE PROPIO"/>
    <s v="CXO"/>
    <n v="1"/>
    <n v="2198.2800000000002"/>
  </r>
  <r>
    <s v="Camino Real -C"/>
    <s v="28/01/2026"/>
    <x v="2"/>
    <s v="7503030103028"/>
    <s v="Huevito vibrador con control a distancia Daniela - CXO"/>
    <s v="JUGUETE PROPIO"/>
    <s v="CXO"/>
    <n v="1"/>
    <n v="1500"/>
  </r>
  <r>
    <s v="Camino Real -C"/>
    <s v="29/01/2026"/>
    <x v="3"/>
    <s v="7503050524173"/>
    <s v="Dildo ultra realista 21cm Romeo - CXO"/>
    <s v="JUGUETE PROPIO"/>
    <s v="CXO"/>
    <n v="1"/>
    <n v="1810.34"/>
  </r>
  <r>
    <s v="Camino Real -C"/>
    <s v="29/01/2026"/>
    <x v="3"/>
    <s v="7503032300443"/>
    <s v="Zoe bala vibradora RETAIL - CXO"/>
    <s v="JUGUETE PROPIO"/>
    <s v="CXO"/>
    <n v="1"/>
    <n v="155.16999999999999"/>
  </r>
  <r>
    <s v="Camino Real -C"/>
    <s v="30/01/2026"/>
    <x v="2"/>
    <s v="7503024256741"/>
    <s v="Cola de Zorro 45cm café S - CXO"/>
    <s v="JUGUETE PROPIO"/>
    <s v="CXO"/>
    <n v="1"/>
    <n v="258.62"/>
  </r>
  <r>
    <s v="Camino Real -C"/>
    <s v="30/01/2026"/>
    <x v="2"/>
    <s v="7503050524340"/>
    <s v="Ducha Felix S - CXO"/>
    <s v="JUGUETE PROPIO"/>
    <s v="CXO"/>
    <n v="1"/>
    <n v="612.07000000000005"/>
  </r>
  <r>
    <s v="Camino Real -C"/>
    <s v="30/01/2026"/>
    <x v="2"/>
    <s v="6970556032074"/>
    <s v="Plug Anal con 10 modos de Vibracion de 11.5cm  Ramiro- CXO"/>
    <s v="JUGUETE PROPIO"/>
    <s v="CXO"/>
    <n v="1"/>
    <n v="1034.48"/>
  </r>
  <r>
    <s v="Camino Real -C"/>
    <s v="30/01/2026"/>
    <x v="2"/>
    <s v="7503020105084"/>
    <s v="Vibrador para parejas tipo C Trinity – CXO"/>
    <s v="JUGUETE PROPIO"/>
    <s v="CXO"/>
    <n v="1"/>
    <n v="2465.52"/>
  </r>
  <r>
    <s v="Circunvalación CELESTERRA"/>
    <s v="02/01/2026"/>
    <x v="4"/>
    <s v="7503043917081"/>
    <s v="Blade rosa anillo vibrador - CXO"/>
    <s v="JUGUETE PROPIO"/>
    <s v="CXO"/>
    <n v="1"/>
    <n v="81.900000000000006"/>
  </r>
  <r>
    <s v="Circunvalación CELESTERRA"/>
    <s v="02/01/2026"/>
    <x v="4"/>
    <s v="6970556033224"/>
    <s v="Huevito Vibrador con 10 modos  Danna- CXO"/>
    <s v="JUGUETE PROPIO"/>
    <s v="CXO"/>
    <n v="1"/>
    <n v="775.86"/>
  </r>
  <r>
    <s v="Circunvalación CELESTERRA"/>
    <s v="03/01/2026"/>
    <x v="5"/>
    <s v="7503043917081"/>
    <s v="Blade rosa anillo vibrador - CXO"/>
    <s v="JUGUETE PROPIO"/>
    <s v="CXO"/>
    <n v="1"/>
    <n v="81.900000000000006"/>
  </r>
  <r>
    <s v="Circunvalación CELESTERRA"/>
    <s v="03/01/2026"/>
    <x v="5"/>
    <s v="7503013378256"/>
    <s v="Sammy - CXO"/>
    <s v="JUGUETE PROPIO"/>
    <s v="CXO"/>
    <n v="1"/>
    <n v="1551.72"/>
  </r>
  <r>
    <s v="Circunvalación CELESTERRA"/>
    <s v="04/01/2026"/>
    <x v="5"/>
    <s v="7503043917081"/>
    <s v="Blade rosa anillo vibrador - CXO"/>
    <s v="JUGUETE PROPIO"/>
    <s v="CXO"/>
    <n v="1"/>
    <n v="81.900000000000006"/>
  </r>
  <r>
    <s v="Circunvalación CELESTERRA"/>
    <s v="04/01/2026"/>
    <x v="5"/>
    <s v="MBS0530"/>
    <s v="Esposas de broche - CXO"/>
    <s v="JUGUETE PROPIO"/>
    <s v="CXO"/>
    <n v="1"/>
    <n v="172.41"/>
  </r>
  <r>
    <s v="Circunvalación CELESTERRA"/>
    <s v="04/01/2026"/>
    <x v="5"/>
    <s v="6970556032074"/>
    <s v="Plug Anal con 10 modos de Vibracion de 11.5cm  Ramiro- CXO"/>
    <s v="JUGUETE PROPIO"/>
    <s v="CXO"/>
    <n v="1"/>
    <n v="1034.48"/>
  </r>
  <r>
    <s v="Circunvalación CELESTERRA"/>
    <s v="04/01/2026"/>
    <x v="5"/>
    <s v="6970556032746"/>
    <s v="Vibrador en forma de Osito Lilo- CXO"/>
    <s v="JUGUETE PROPIO"/>
    <s v="CXO"/>
    <n v="1"/>
    <n v="775.86"/>
  </r>
  <r>
    <s v="Circunvalación CELESTERRA"/>
    <s v="05/01/2026"/>
    <x v="5"/>
    <s v="7503032300443"/>
    <s v="Zoe bala vibradora RETAIL - CXO"/>
    <s v="JUGUETE PROPIO"/>
    <s v="CXO"/>
    <n v="1"/>
    <n v="155.16999999999999"/>
  </r>
  <r>
    <s v="Circunvalación CELESTERRA"/>
    <s v="09/01/2026"/>
    <x v="4"/>
    <s v="7503043917081"/>
    <s v="Blade rosa anillo vibrador - CXO"/>
    <s v="JUGUETE PROPIO"/>
    <s v="CXO"/>
    <n v="2"/>
    <n v="163.80000000000001"/>
  </r>
  <r>
    <s v="Circunvalación CELESTERRA"/>
    <s v="10/01/2026"/>
    <x v="5"/>
    <s v="7503024256635"/>
    <s v="Olive  6.8&quot; rosa - CXO"/>
    <s v="JUGUETE PROPIO"/>
    <s v="CXO"/>
    <n v="1"/>
    <n v="603.45000000000005"/>
  </r>
  <r>
    <s v="Circunvalación CELESTERRA"/>
    <s v="12/01/2026"/>
    <x v="4"/>
    <s v="7503032300337"/>
    <s v="Ducha Felix M - CXO"/>
    <s v="JUGUETE PROPIO"/>
    <s v="CXO"/>
    <n v="1"/>
    <n v="568.97"/>
  </r>
  <r>
    <s v="Circunvalación CELESTERRA"/>
    <s v="12/01/2026"/>
    <x v="4"/>
    <s v="7503050524340"/>
    <s v="Ducha Felix S - CXO"/>
    <s v="JUGUETE PROPIO"/>
    <s v="CXO"/>
    <n v="1"/>
    <n v="612.07000000000005"/>
  </r>
  <r>
    <s v="Circunvalación CELESTERRA"/>
    <s v="13/01/2026"/>
    <x v="5"/>
    <s v="7500464543059"/>
    <s v="Dildo Realista con Ventosa 15.5cms Domi CXO"/>
    <s v="JUGUETE PROPIO"/>
    <s v="CXO"/>
    <n v="1"/>
    <n v="818.97"/>
  </r>
  <r>
    <s v="Circunvalación CELESTERRA"/>
    <s v="13/01/2026"/>
    <x v="5"/>
    <s v="7503032300030"/>
    <s v="Kit de Zorro Arcoiris - CXO"/>
    <s v="JUGUETE PROPIO"/>
    <s v="CXO"/>
    <n v="1"/>
    <n v="1025.8599999999999"/>
  </r>
  <r>
    <s v="Circunvalación CELESTERRA"/>
    <s v="13/01/2026"/>
    <x v="5"/>
    <s v="7503050226162"/>
    <s v="Plug Anal con Vibración y Control Roberto - CXO"/>
    <s v="JUGUETE PROPIO"/>
    <s v="CXO"/>
    <n v="1"/>
    <n v="1293.0999999999999"/>
  </r>
  <r>
    <s v="Circunvalación CELESTERRA"/>
    <s v="14/01/2026"/>
    <x v="5"/>
    <s v="7503030103028"/>
    <s v="Huevito vibrador con control a distancia Daniela - CXO"/>
    <s v="JUGUETE PROPIO"/>
    <s v="CXO"/>
    <n v="1"/>
    <n v="1500"/>
  </r>
  <r>
    <s v="Circunvalación CELESTERRA"/>
    <s v="16/01/2026"/>
    <x v="5"/>
    <s v="7503020202213"/>
    <s v="Dildo realista con ventosa Nick - CXO"/>
    <s v="JUGUETE PROPIO"/>
    <s v="CXO"/>
    <n v="1"/>
    <n v="818.97"/>
  </r>
  <r>
    <s v="Circunvalación CELESTERRA"/>
    <s v="17/01/2026"/>
    <x v="5"/>
    <s v="7503030202035"/>
    <s v="Dildo con testiculos y ventosa Mr. Garcia - CXO"/>
    <s v="JUGUETE PROPIO"/>
    <s v="CXO"/>
    <n v="1"/>
    <n v="646.54999999999995"/>
  </r>
  <r>
    <s v="Circunvalación CELESTERRA"/>
    <s v="17/01/2026"/>
    <x v="5"/>
    <s v="SE016"/>
    <s v="Masturbador Vagina -  CXO"/>
    <s v="JUGUETE PROPIO"/>
    <s v="CXO"/>
    <n v="1"/>
    <n v="948.28"/>
  </r>
  <r>
    <s v="Circunvalación CELESTERRA"/>
    <s v="17/01/2026"/>
    <x v="5"/>
    <s v="7503020104212"/>
    <s v="Vibrador multiorgasmico con aleta estimuladora Megan - CXO"/>
    <s v="JUGUETE PROPIO"/>
    <s v="CXO"/>
    <n v="1"/>
    <n v="2413.79"/>
  </r>
  <r>
    <s v="Circunvalación CELESTERRA"/>
    <s v="17/01/2026"/>
    <x v="5"/>
    <s v="7503020104082"/>
    <s v="Vibrador multiorgásmico con succionador y perlas Andy – CXO"/>
    <s v="JUGUETE PROPIO"/>
    <s v="CXO"/>
    <n v="1"/>
    <n v="2258.62"/>
  </r>
  <r>
    <s v="Circunvalación CELESTERRA"/>
    <s v="18/01/2026"/>
    <x v="5"/>
    <s v="7503024256635"/>
    <s v="Olive  6.8&quot; rosa - CXO"/>
    <s v="JUGUETE PROPIO"/>
    <s v="CXO"/>
    <n v="1"/>
    <n v="603.45000000000005"/>
  </r>
  <r>
    <s v="Circunvalación CELESTERRA"/>
    <s v="19/01/2026"/>
    <x v="5"/>
    <s v="7503020111072"/>
    <s v="Anillo vibrador recargable con textura negra Hank - CXO"/>
    <s v="JUGUETE PROPIO"/>
    <s v="CXO"/>
    <n v="1"/>
    <n v="1267.24"/>
  </r>
  <r>
    <s v="Circunvalación CELESTERRA"/>
    <s v="19/01/2026"/>
    <x v="5"/>
    <s v="USK-V11"/>
    <s v="Multiorgasmico con Lenguita Ceci - CXO"/>
    <s v="JUGUETE PROPIO"/>
    <s v="CXO"/>
    <n v="1"/>
    <n v="2474.14"/>
  </r>
  <r>
    <s v="Circunvalación CELESTERRA"/>
    <s v="20/01/2026"/>
    <x v="5"/>
    <s v="7503050524340"/>
    <s v="Ducha Felix S - CXO"/>
    <s v="JUGUETE PROPIO"/>
    <s v="CXO"/>
    <n v="1"/>
    <n v="612.07000000000005"/>
  </r>
  <r>
    <s v="Circunvalación CELESTERRA"/>
    <s v="21/01/2026"/>
    <x v="5"/>
    <s v="7503020202214"/>
    <s v="Dildo realista con ventosa y testiculos Eddy - CXO"/>
    <s v="JUGUETE PROPIO"/>
    <s v="CXO"/>
    <n v="1"/>
    <n v="948.28"/>
  </r>
  <r>
    <s v="Circunvalación CELESTERRA"/>
    <s v="22/01/2026"/>
    <x v="5"/>
    <s v="7503020202214"/>
    <s v="Dildo realista con ventosa y testiculos Eddy - CXO"/>
    <s v="JUGUETE PROPIO"/>
    <s v="CXO"/>
    <n v="1"/>
    <n v="948.28"/>
  </r>
  <r>
    <s v="Circunvalación CELESTERRA"/>
    <s v="23/01/2026"/>
    <x v="5"/>
    <s v="7503030207201"/>
    <s v="Funda semi realista para pene Rodolfo - CXO"/>
    <s v="JUGUETE PROPIO"/>
    <s v="CXO"/>
    <n v="1"/>
    <n v="1137.93"/>
  </r>
  <r>
    <s v="Circunvalación CELESTERRA"/>
    <s v="23/01/2026"/>
    <x v="5"/>
    <s v="7503050226162"/>
    <s v="Plug Anal con Vibración y Control Roberto - CXO"/>
    <s v="JUGUETE PROPIO"/>
    <s v="CXO"/>
    <n v="1"/>
    <n v="1293.0999999999999"/>
  </r>
  <r>
    <s v="Circunvalación CELESTERRA"/>
    <s v="26/01/2026"/>
    <x v="6"/>
    <s v="7503032300238"/>
    <s v="Cola de Zorro Arcoiris 38cm L - CXO"/>
    <s v="JUGUETE PROPIO"/>
    <s v="CXO"/>
    <n v="1"/>
    <n v="344.83"/>
  </r>
  <r>
    <s v="Circunvalación CELESTERRA"/>
    <s v="26/01/2026"/>
    <x v="6"/>
    <s v="7503020220077"/>
    <s v="Juego de mesa sensual para parejas – CXO"/>
    <s v="JUGUETE PROPIO"/>
    <s v="CXO"/>
    <n v="1"/>
    <n v="637.92999999999995"/>
  </r>
  <r>
    <s v="Circunvalación CELESTERRA"/>
    <s v="26/01/2026"/>
    <x v="6"/>
    <s v="7503030128202"/>
    <s v="Plug Anal con 10 modos de vibracion y rotacion 360 Beto - CXO"/>
    <s v="JUGUETE PROPIO"/>
    <s v="CXO"/>
    <n v="1"/>
    <n v="1577.59"/>
  </r>
  <r>
    <s v="Circunvalación CELESTERRA"/>
    <s v="26/01/2026"/>
    <x v="6"/>
    <s v="7503050226162"/>
    <s v="Plug Anal con Vibración y Control Roberto - CXO"/>
    <s v="JUGUETE PROPIO"/>
    <s v="CXO"/>
    <n v="1"/>
    <n v="1293.0999999999999"/>
  </r>
  <r>
    <s v="Circunvalación CELESTERRA"/>
    <s v="27/01/2026"/>
    <x v="5"/>
    <s v="LL-A2216"/>
    <s v="Huevito con 10 modos de Vibración  Gina - CXO"/>
    <s v="JUGUETE PROPIO"/>
    <s v="CXO"/>
    <n v="1"/>
    <n v="1500"/>
  </r>
  <r>
    <s v="Circunvalación CELESTERRA"/>
    <s v="27/01/2026"/>
    <x v="5"/>
    <s v="7503043917395"/>
    <s v="Vibrador multiorgásmico Krista Mod. 02  - CXO"/>
    <s v="JUGUETE PROPIO"/>
    <s v="CXO"/>
    <n v="1"/>
    <n v="2060.9299999999998"/>
  </r>
  <r>
    <s v="Circunvalación CELESTERRA"/>
    <s v="28/01/2026"/>
    <x v="5"/>
    <s v="7503030102198"/>
    <s v="Dildo realista vibrador con ventosa Ulises - CXO"/>
    <s v="JUGUETE PROPIO"/>
    <s v="CXO"/>
    <n v="1"/>
    <n v="2000"/>
  </r>
  <r>
    <s v="Circunvalación CELESTERRA"/>
    <s v="28/01/2026"/>
    <x v="5"/>
    <s v="ACG0976SV0WB"/>
    <s v="Dildo Vibrador con Impulsor Estimulador de Clítoris Conny - CXO"/>
    <s v="JUGUETE PROPIO"/>
    <s v="CXO"/>
    <n v="1"/>
    <n v="2198.2800000000002"/>
  </r>
  <r>
    <s v="Circunvalación CELESTERRA"/>
    <s v="29/01/2026"/>
    <x v="5"/>
    <s v="7503013378904"/>
    <s v="Dildo Mr. Hernandez - CXO"/>
    <s v="JUGUETE PROPIO"/>
    <s v="CXO"/>
    <n v="1"/>
    <n v="517.24"/>
  </r>
  <r>
    <s v="Circunvalación CELESTERRA"/>
    <s v="29/01/2026"/>
    <x v="5"/>
    <s v="713001200104"/>
    <s v="Multiorgasmico con estimulador de clitoris de aleteo Marisol - CXO"/>
    <s v="JUGUETE PROPIO"/>
    <s v="CXO"/>
    <n v="1"/>
    <n v="2500"/>
  </r>
  <r>
    <s v="Circunvalación CELESTERRA"/>
    <s v="29/01/2026"/>
    <x v="5"/>
    <s v="7503050226162"/>
    <s v="Plug Anal con Vibración y Control Roberto - CXO"/>
    <s v="JUGUETE PROPIO"/>
    <s v="CXO"/>
    <n v="1"/>
    <n v="1293.0999999999999"/>
  </r>
  <r>
    <s v="Circunvalación CELESTERRA"/>
    <s v="30/01/2026"/>
    <x v="5"/>
    <s v="ACG0976SV0WB"/>
    <s v="Dildo Vibrador con Impulsor Estimulador de Clítoris Conny - CXO"/>
    <s v="JUGUETE PROPIO"/>
    <s v="CXO"/>
    <n v="1"/>
    <n v="2198.2800000000002"/>
  </r>
  <r>
    <s v="Circunvalación CELESTERRA"/>
    <s v="30/01/2026"/>
    <x v="5"/>
    <s v="7503043917395"/>
    <s v="Vibrador multiorgásmico Krista Mod. 02  - CXO"/>
    <s v="JUGUETE PROPIO"/>
    <s v="CXO"/>
    <n v="1"/>
    <n v="2060.9299999999998"/>
  </r>
  <r>
    <s v="Circunvalación CELESTERRA"/>
    <s v="31/01/2026"/>
    <x v="5"/>
    <s v="ACG0976SV0WB"/>
    <s v="Dildo Vibrador con Impulsor Estimulador de Clítoris Conny - CXO"/>
    <s v="JUGUETE PROPIO"/>
    <s v="CXO"/>
    <n v="1"/>
    <n v="2198.2800000000002"/>
  </r>
  <r>
    <s v="Conchitas CEL"/>
    <s v="02/01/2026"/>
    <x v="3"/>
    <s v="7503043917081"/>
    <s v="Blade rosa anillo vibrador - CXO"/>
    <s v="JUGUETE PROPIO"/>
    <s v="CXO"/>
    <n v="1"/>
    <n v="81.900000000000006"/>
  </r>
  <r>
    <s v="Conchitas CEL"/>
    <s v="02/01/2026"/>
    <x v="3"/>
    <s v="7503032300443"/>
    <s v="Zoe bala vibradora RETAIL - CXO"/>
    <s v="JUGUETE PROPIO"/>
    <s v="CXO"/>
    <n v="1"/>
    <n v="155.16999999999999"/>
  </r>
  <r>
    <s v="Conchitas CEL"/>
    <s v="03/01/2026"/>
    <x v="7"/>
    <s v="7503043917081"/>
    <s v="Blade rosa anillo vibrador - CXO"/>
    <s v="JUGUETE PROPIO"/>
    <s v="CXO"/>
    <n v="1"/>
    <n v="81.900000000000006"/>
  </r>
  <r>
    <s v="Conchitas CEL"/>
    <s v="03/01/2026"/>
    <x v="7"/>
    <s v="7503043917142"/>
    <s v="Hank negro anillo vibrador - CXO"/>
    <s v="JUGUETE PROPIO"/>
    <s v="CXO"/>
    <n v="1"/>
    <n v="818.97"/>
  </r>
  <r>
    <s v="Conchitas CEL"/>
    <s v="03/01/2026"/>
    <x v="7"/>
    <s v="7503020104076"/>
    <s v="Vibrador multiorgásmico con succión y estimulación de punto G Lulu - CXO"/>
    <s v="JUGUETE PROPIO"/>
    <s v="CXO"/>
    <n v="1"/>
    <n v="2120.69"/>
  </r>
  <r>
    <s v="Conchitas CEL"/>
    <s v="04/01/2026"/>
    <x v="7"/>
    <s v="7503043917081"/>
    <s v="Blade rosa anillo vibrador - CXO"/>
    <s v="JUGUETE PROPIO"/>
    <s v="CXO"/>
    <n v="1"/>
    <n v="81.900000000000006"/>
  </r>
  <r>
    <s v="Conchitas CEL"/>
    <s v="04/01/2026"/>
    <x v="7"/>
    <s v="7500464543059"/>
    <s v="Dildo Realista con Ventosa 15.5cms Domi CXO"/>
    <s v="JUGUETE PROPIO"/>
    <s v="CXO"/>
    <n v="1"/>
    <n v="818.97"/>
  </r>
  <r>
    <s v="Conchitas CEL"/>
    <s v="06/01/2026"/>
    <x v="7"/>
    <s v="7503020310205"/>
    <s v="Dildo Vibrador Termico Realista 3 en 1 con movimiento Hades-CXO"/>
    <s v="JUGUETE PROPIO"/>
    <s v="CXO"/>
    <n v="1"/>
    <n v="2500"/>
  </r>
  <r>
    <s v="Conchitas CEL"/>
    <s v="06/01/2026"/>
    <x v="7"/>
    <s v="RYSC-159-C-ZT"/>
    <s v="Juego de Ataduras BDSM Sumision - CXO"/>
    <s v="JUGUETE PROPIO"/>
    <s v="CXO"/>
    <n v="1"/>
    <n v="775.86"/>
  </r>
  <r>
    <s v="Conchitas CEL"/>
    <s v="07/01/2026"/>
    <x v="7"/>
    <s v="7503020310205"/>
    <s v="Dildo Vibrador Termico Realista 3 en 1 con movimiento Hades-CXO"/>
    <s v="JUGUETE PROPIO"/>
    <s v="CXO"/>
    <n v="1"/>
    <n v="2500"/>
  </r>
  <r>
    <s v="Conchitas CEL"/>
    <s v="08/01/2026"/>
    <x v="7"/>
    <s v="7503032300382"/>
    <s v="Mon - CXO"/>
    <s v="JUGUETE PROPIO"/>
    <s v="CXO"/>
    <n v="1"/>
    <n v="517.24"/>
  </r>
  <r>
    <s v="Conchitas CEL"/>
    <s v="09/01/2026"/>
    <x v="7"/>
    <s v="MBS0530"/>
    <s v="Esposas de broche - CXO"/>
    <s v="JUGUETE PROPIO"/>
    <s v="CXO"/>
    <n v="1"/>
    <n v="172.41"/>
  </r>
  <r>
    <s v="Conchitas CEL"/>
    <s v="09/01/2026"/>
    <x v="7"/>
    <s v="7503020104081"/>
    <s v="Vibrador multiorgásmico con succionador y textura suave Paty – CXO"/>
    <s v="JUGUETE PROPIO"/>
    <s v="CXO"/>
    <n v="1"/>
    <n v="2353.4499999999998"/>
  </r>
  <r>
    <s v="Conchitas CEL"/>
    <s v="10/01/2026"/>
    <x v="3"/>
    <s v="7503032300054"/>
    <s v="Arnes Eskeletor - CXO"/>
    <s v="JUGUETE PROPIO"/>
    <s v="CXO"/>
    <n v="1"/>
    <n v="750"/>
  </r>
  <r>
    <s v="Conchitas CEL"/>
    <s v="10/01/2026"/>
    <x v="3"/>
    <s v="7503030102034"/>
    <s v="Dildo vibrador con control Anthony - CXO"/>
    <s v="JUGUETE PROPIO"/>
    <s v="CXO"/>
    <n v="1"/>
    <n v="2112.0700000000002"/>
  </r>
  <r>
    <s v="Conchitas CEL"/>
    <s v="10/01/2026"/>
    <x v="3"/>
    <s v="7503043917142"/>
    <s v="Hank negro anillo vibrador - CXO"/>
    <s v="JUGUETE PROPIO"/>
    <s v="CXO"/>
    <n v="1"/>
    <n v="818.97"/>
  </r>
  <r>
    <s v="Conchitas CEL"/>
    <s v="10/01/2026"/>
    <x v="3"/>
    <s v="7503032300382"/>
    <s v="Mon - CXO"/>
    <s v="JUGUETE PROPIO"/>
    <s v="CXO"/>
    <n v="1"/>
    <n v="517.24"/>
  </r>
  <r>
    <s v="Conchitas CEL"/>
    <s v="10/01/2026"/>
    <x v="3"/>
    <s v="7503020104076"/>
    <s v="Vibrador multiorgásmico con succión y estimulación de punto G Lulu - CXO"/>
    <s v="JUGUETE PROPIO"/>
    <s v="CXO"/>
    <n v="1"/>
    <n v="2120.69"/>
  </r>
  <r>
    <s v="Conchitas CEL"/>
    <s v="10/01/2026"/>
    <x v="3"/>
    <s v="7503020105074"/>
    <s v="Vibrador para parejas con doble estimulación Hanna -  CXO"/>
    <s v="JUGUETE PROPIO"/>
    <s v="CXO"/>
    <n v="1"/>
    <n v="2163.79"/>
  </r>
  <r>
    <s v="Conchitas CEL"/>
    <s v="11/01/2026"/>
    <x v="7"/>
    <s v="7503024256727"/>
    <s v="Cola de Zorro 45cm negro S - CXO"/>
    <s v="JUGUETE PROPIO"/>
    <s v="CXO"/>
    <n v="1"/>
    <n v="258.62"/>
  </r>
  <r>
    <s v="Conchitas CEL"/>
    <s v="11/01/2026"/>
    <x v="7"/>
    <s v="7503032300382"/>
    <s v="Mon - CXO"/>
    <s v="JUGUETE PROPIO"/>
    <s v="CXO"/>
    <n v="1"/>
    <n v="517.24"/>
  </r>
  <r>
    <s v="Conchitas CEL"/>
    <s v="12/01/2026"/>
    <x v="7"/>
    <s v="7503030211021"/>
    <s v="Anillo desechable para pene Donut - CXO"/>
    <s v="JUGUETE PROPIO"/>
    <s v="CXO"/>
    <n v="2"/>
    <n v="68.97"/>
  </r>
  <r>
    <s v="Conchitas CEL"/>
    <s v="12/01/2026"/>
    <x v="7"/>
    <s v="7503032300382"/>
    <s v="Mon - CXO"/>
    <s v="JUGUETE PROPIO"/>
    <s v="CXO"/>
    <n v="1"/>
    <n v="517.24"/>
  </r>
  <r>
    <s v="Conchitas CEL"/>
    <s v="12/01/2026"/>
    <x v="7"/>
    <s v="7503050226162"/>
    <s v="Plug Anal con Vibración y Control Roberto - CXO"/>
    <s v="JUGUETE PROPIO"/>
    <s v="CXO"/>
    <n v="1"/>
    <n v="1293.0999999999999"/>
  </r>
  <r>
    <s v="Conchitas CEL"/>
    <s v="13/01/2026"/>
    <x v="3"/>
    <s v="75030205968724"/>
    <s v="Funda texturizada transparente con bala vibradora  - CXO"/>
    <s v="JUGUETE PROPIO"/>
    <s v="CXO"/>
    <n v="1"/>
    <n v="474.14"/>
  </r>
  <r>
    <s v="Conchitas CEL"/>
    <s v="13/01/2026"/>
    <x v="3"/>
    <s v="7503043917142"/>
    <s v="Hank negro anillo vibrador - CXO"/>
    <s v="JUGUETE PROPIO"/>
    <s v="CXO"/>
    <n v="1"/>
    <n v="818.97"/>
  </r>
  <r>
    <s v="Conchitas CEL"/>
    <s v="14/01/2026"/>
    <x v="7"/>
    <s v="7503032300474"/>
    <s v="Cola de Zorro 45cm blanco S - CXO"/>
    <s v="JUGUETE PROPIO"/>
    <s v="CXO"/>
    <n v="1"/>
    <n v="258.62"/>
  </r>
  <r>
    <s v="Conchitas CEL"/>
    <s v="14/01/2026"/>
    <x v="7"/>
    <s v="SE018"/>
    <s v="Masturbador Jarrón - CXO"/>
    <s v="JUGUETE PROPIO"/>
    <s v="CXO"/>
    <n v="1"/>
    <n v="1034.48"/>
  </r>
  <r>
    <s v="Conchitas CEL"/>
    <s v="14/01/2026"/>
    <x v="7"/>
    <s v="6970556034061"/>
    <s v="Multiorgasmico con succion y extensor Anna - CXO"/>
    <s v="JUGUETE PROPIO"/>
    <s v="CXO"/>
    <n v="1"/>
    <n v="1982.76"/>
  </r>
  <r>
    <s v="Conchitas CEL"/>
    <s v="14/01/2026"/>
    <x v="7"/>
    <s v="7503043917593"/>
    <s v="Nora dildo vibrador - CXO"/>
    <s v="JUGUETE PROPIO"/>
    <s v="CXO"/>
    <n v="1"/>
    <n v="474.14"/>
  </r>
  <r>
    <s v="Conchitas CEL"/>
    <s v="16/01/2026"/>
    <x v="7"/>
    <s v="7503024256727"/>
    <s v="Cola de Zorro 45cm negro S - CXO"/>
    <s v="JUGUETE PROPIO"/>
    <s v="CXO"/>
    <n v="1"/>
    <n v="258.62"/>
  </r>
  <r>
    <s v="Conchitas CEL"/>
    <s v="16/01/2026"/>
    <x v="7"/>
    <s v="7503032300214"/>
    <s v="Cola de Zorro Arcoiris 38cm S - CXO"/>
    <s v="JUGUETE PROPIO"/>
    <s v="CXO"/>
    <n v="1"/>
    <n v="258.62"/>
  </r>
  <r>
    <s v="Conchitas CEL"/>
    <s v="16/01/2026"/>
    <x v="7"/>
    <s v="ACG0976SV0WB"/>
    <s v="Dildo Vibrador con Impulsor Estimulador de Clítoris Conny - CXO"/>
    <s v="JUGUETE PROPIO"/>
    <s v="CXO"/>
    <n v="1"/>
    <n v="2198.2800000000002"/>
  </r>
  <r>
    <s v="Conchitas CEL"/>
    <s v="17/01/2026"/>
    <x v="7"/>
    <s v="7503020111072"/>
    <s v="Anillo vibrador recargable con textura negra Hank - CXO"/>
    <s v="JUGUETE PROPIO"/>
    <s v="CXO"/>
    <n v="1"/>
    <n v="1267.24"/>
  </r>
  <r>
    <s v="Conchitas CEL"/>
    <s v="17/01/2026"/>
    <x v="7"/>
    <s v="7503043917081"/>
    <s v="Blade rosa anillo vibrador - CXO"/>
    <s v="JUGUETE PROPIO"/>
    <s v="CXO"/>
    <n v="1"/>
    <n v="81.900000000000006"/>
  </r>
  <r>
    <s v="Conchitas CEL"/>
    <s v="17/01/2026"/>
    <x v="7"/>
    <s v="7503032300498"/>
    <s v="Cola de Zorro 45cm cafe M - CXO"/>
    <s v="JUGUETE PROPIO"/>
    <s v="CXO"/>
    <n v="1"/>
    <n v="301.72000000000003"/>
  </r>
  <r>
    <s v="Conchitas CEL"/>
    <s v="17/01/2026"/>
    <x v="7"/>
    <s v="7503032300443"/>
    <s v="Zoe bala vibradora RETAIL - CXO"/>
    <s v="JUGUETE PROPIO"/>
    <s v="CXO"/>
    <n v="1"/>
    <n v="155.16999999999999"/>
  </r>
  <r>
    <s v="Conchitas CEL"/>
    <s v="19/01/2026"/>
    <x v="7"/>
    <s v="7503030202167"/>
    <s v="Dildo hiper realista con ventosa Raul - CXO"/>
    <s v="JUGUETE PROPIO"/>
    <s v="CXO"/>
    <n v="1"/>
    <n v="1525.86"/>
  </r>
  <r>
    <s v="Conchitas CEL"/>
    <s v="19/01/2026"/>
    <x v="7"/>
    <s v="7503013378256"/>
    <s v="Sammy - CXO"/>
    <s v="JUGUETE PROPIO"/>
    <s v="CXO"/>
    <n v="1"/>
    <n v="1551.72"/>
  </r>
  <r>
    <s v="Conchitas CEL"/>
    <s v="19/01/2026"/>
    <x v="7"/>
    <s v="7503020104212"/>
    <s v="Vibrador multiorgasmico con aleta estimuladora Megan - CXO"/>
    <s v="JUGUETE PROPIO"/>
    <s v="CXO"/>
    <n v="1"/>
    <n v="2413.79"/>
  </r>
  <r>
    <s v="Conchitas CEL"/>
    <s v="20/01/2026"/>
    <x v="7"/>
    <s v="7503030207201"/>
    <s v="Funda semi realista para pene Rodolfo - CXO"/>
    <s v="JUGUETE PROPIO"/>
    <s v="CXO"/>
    <n v="1"/>
    <n v="1137.93"/>
  </r>
  <r>
    <s v="Conchitas CEL"/>
    <s v="20/01/2026"/>
    <x v="7"/>
    <s v="7503020104212"/>
    <s v="Vibrador multiorgasmico con aleta estimuladora Megan - CXO"/>
    <s v="JUGUETE PROPIO"/>
    <s v="CXO"/>
    <n v="1"/>
    <n v="2413.79"/>
  </r>
  <r>
    <s v="Conchitas CEL"/>
    <s v="21/01/2026"/>
    <x v="7"/>
    <s v="P07-00252"/>
    <s v="Huevito Vibrador con Lenguita Estimuladora de Clitoris Rosy - CXO"/>
    <s v="JUGUETE PROPIO"/>
    <s v="CXO"/>
    <n v="1"/>
    <n v="2672.41"/>
  </r>
  <r>
    <s v="Conchitas CEL"/>
    <s v="21/01/2026"/>
    <x v="7"/>
    <s v="SC258C01"/>
    <s v="Multiorgasmico dual con estimulador de clitoris 360 con 10 modos Dany - CXO"/>
    <s v="JUGUETE PROPIO"/>
    <s v="CXO"/>
    <n v="1"/>
    <n v="3017.24"/>
  </r>
  <r>
    <s v="Conchitas CEL"/>
    <s v="22/01/2026"/>
    <x v="7"/>
    <s v="7503030102198"/>
    <s v="Dildo realista vibrador con ventosa Ulises - CXO"/>
    <s v="JUGUETE PROPIO"/>
    <s v="CXO"/>
    <n v="1"/>
    <n v="2000"/>
  </r>
  <r>
    <s v="Conchitas CEL"/>
    <s v="22/01/2026"/>
    <x v="7"/>
    <s v="7503032300627"/>
    <s v="Kevin - CXO"/>
    <s v="JUGUETE PROPIO"/>
    <s v="CXO"/>
    <n v="1"/>
    <n v="775.86"/>
  </r>
  <r>
    <s v="Conchitas CEL"/>
    <s v="23/01/2026"/>
    <x v="7"/>
    <s v="AC1858SC0WB"/>
    <s v="Multiorgasmico Triple Vibracion extension telescopica y  Movimiento de Lengua - CXO"/>
    <s v="JUGUETE PROPIO"/>
    <s v="CXO"/>
    <n v="1"/>
    <n v="2224.14"/>
  </r>
  <r>
    <s v="Conchitas CEL"/>
    <s v="24/01/2026"/>
    <x v="7"/>
    <s v="7503032300733"/>
    <s v="Colette lila - CXO"/>
    <s v="JUGUETE PROPIO"/>
    <s v="CXO"/>
    <n v="1"/>
    <n v="1293.0999999999999"/>
  </r>
  <r>
    <s v="Conchitas CEL"/>
    <s v="24/01/2026"/>
    <x v="7"/>
    <s v="7503013378287"/>
    <s v="Colette rosa - CXO"/>
    <s v="JUGUETE PROPIO"/>
    <s v="CXO"/>
    <n v="1"/>
    <n v="1293.0999999999999"/>
  </r>
  <r>
    <s v="Conchitas CEL"/>
    <s v="24/01/2026"/>
    <x v="7"/>
    <s v="7503013378904"/>
    <s v="Dildo Mr. Hernandez - CXO"/>
    <s v="JUGUETE PROPIO"/>
    <s v="CXO"/>
    <n v="1"/>
    <n v="517.24"/>
  </r>
  <r>
    <s v="Conchitas CEL"/>
    <s v="24/01/2026"/>
    <x v="7"/>
    <s v="7503030102198"/>
    <s v="Dildo realista vibrador con ventosa Ulises - CXO"/>
    <s v="JUGUETE PROPIO"/>
    <s v="CXO"/>
    <n v="1"/>
    <n v="2000"/>
  </r>
  <r>
    <s v="Conchitas CEL"/>
    <s v="24/01/2026"/>
    <x v="7"/>
    <s v="7503030102034"/>
    <s v="Dildo vibrador con control Anthony - CXO"/>
    <s v="JUGUETE PROPIO"/>
    <s v="CXO"/>
    <n v="1"/>
    <n v="2112.0700000000002"/>
  </r>
  <r>
    <s v="Conchitas CEL"/>
    <s v="24/01/2026"/>
    <x v="7"/>
    <s v="7503020220077"/>
    <s v="Juego de mesa sensual para parejas – CXO"/>
    <s v="JUGUETE PROPIO"/>
    <s v="CXO"/>
    <n v="1"/>
    <n v="637.92999999999995"/>
  </r>
  <r>
    <s v="Conchitas CEL"/>
    <s v="24/01/2026"/>
    <x v="7"/>
    <s v="7503032300627"/>
    <s v="Kevin - CXO"/>
    <s v="JUGUETE PROPIO"/>
    <s v="CXO"/>
    <n v="1"/>
    <n v="775.86"/>
  </r>
  <r>
    <s v="Conchitas CEL"/>
    <s v="24/01/2026"/>
    <x v="7"/>
    <s v="7503020310116"/>
    <s v="Panty vibrador con control remoto rosa Celi - CXO"/>
    <s v="JUGUETE PROPIO"/>
    <s v="CXO"/>
    <n v="1"/>
    <n v="1681.03"/>
  </r>
  <r>
    <s v="Conchitas CEL"/>
    <s v="25/01/2026"/>
    <x v="6"/>
    <s v="7503043917081"/>
    <s v="Blade rosa anillo vibrador - CXO"/>
    <s v="JUGUETE PROPIO"/>
    <s v="CXO"/>
    <n v="2"/>
    <n v="163.80000000000001"/>
  </r>
  <r>
    <s v="Conchitas CEL"/>
    <s v="25/01/2026"/>
    <x v="6"/>
    <s v="7503020420814"/>
    <s v="Bomba de vacio manual Noah - CXO"/>
    <s v="JUGUETE PROPIO"/>
    <s v="CXO"/>
    <n v="1"/>
    <n v="818.97"/>
  </r>
  <r>
    <s v="Conchitas CEL"/>
    <s v="25/01/2026"/>
    <x v="6"/>
    <s v="7503020220077"/>
    <s v="Juego de mesa sensual para parejas – CXO"/>
    <s v="JUGUETE PROPIO"/>
    <s v="CXO"/>
    <n v="1"/>
    <n v="637.92999999999995"/>
  </r>
  <r>
    <s v="Conchitas CEL"/>
    <s v="25/01/2026"/>
    <x v="6"/>
    <s v="7503032300443"/>
    <s v="Zoe bala vibradora RETAIL - CXO"/>
    <s v="JUGUETE PROPIO"/>
    <s v="CXO"/>
    <n v="3"/>
    <n v="465.51"/>
  </r>
  <r>
    <s v="Conchitas CEL"/>
    <s v="26/01/2026"/>
    <x v="7"/>
    <s v="7503043917081"/>
    <s v="Blade rosa anillo vibrador - CXO"/>
    <s v="JUGUETE PROPIO"/>
    <s v="CXO"/>
    <n v="5"/>
    <n v="409.5"/>
  </r>
  <r>
    <s v="Conchitas CEL"/>
    <s v="27/01/2026"/>
    <x v="7"/>
    <s v="ACG0976SV0WB"/>
    <s v="Dildo Vibrador con Impulsor Estimulador de Clítoris Conny - CXO"/>
    <s v="JUGUETE PROPIO"/>
    <s v="CXO"/>
    <n v="1"/>
    <n v="2198.2800000000002"/>
  </r>
  <r>
    <s v="Conchitas CEL"/>
    <s v="28/01/2026"/>
    <x v="6"/>
    <s v="7503030102034"/>
    <s v="Dildo vibrador con control Anthony - CXO"/>
    <s v="JUGUETE PROPIO"/>
    <s v="CXO"/>
    <n v="1"/>
    <n v="2112.0700000000002"/>
  </r>
  <r>
    <s v="Conchitas CEL"/>
    <s v="29/01/2026"/>
    <x v="7"/>
    <s v="7503043917593"/>
    <s v="Nora dildo vibrador - CXO"/>
    <s v="JUGUETE PROPIO"/>
    <s v="CXO"/>
    <n v="1"/>
    <n v="474.14"/>
  </r>
  <r>
    <s v="Conchitas CEL"/>
    <s v="30/01/2026"/>
    <x v="7"/>
    <s v="7503013378287"/>
    <s v="Colette rosa - CXO"/>
    <s v="JUGUETE PROPIO"/>
    <s v="CXO"/>
    <n v="1"/>
    <n v="1293.0999999999999"/>
  </r>
  <r>
    <s v="Conchitas CEL"/>
    <s v="30/01/2026"/>
    <x v="7"/>
    <s v="7503020202213"/>
    <s v="Dildo realista con ventosa Nick - CXO"/>
    <s v="JUGUETE PROPIO"/>
    <s v="CXO"/>
    <n v="1"/>
    <n v="818.97"/>
  </r>
  <r>
    <s v="Conchitas CEL"/>
    <s v="30/01/2026"/>
    <x v="7"/>
    <s v="7503043917395"/>
    <s v="Vibrador multiorgásmico Krista Mod. 02  - CXO"/>
    <s v="JUGUETE PROPIO"/>
    <s v="CXO"/>
    <n v="1"/>
    <n v="2060.9299999999998"/>
  </r>
  <r>
    <s v="Conchitas CEL"/>
    <s v="31/01/2026"/>
    <x v="7"/>
    <s v="7503020202214"/>
    <s v="Dildo realista con ventosa y testiculos Eddy - CXO"/>
    <s v="JUGUETE PROPIO"/>
    <s v="CXO"/>
    <n v="1"/>
    <n v="948.28"/>
  </r>
  <r>
    <s v="Conchitas CEL"/>
    <s v="31/01/2026"/>
    <x v="7"/>
    <s v="SE018"/>
    <s v="Masturbador Jarrón - CXO"/>
    <s v="JUGUETE PROPIO"/>
    <s v="CXO"/>
    <n v="1"/>
    <n v="1034.48"/>
  </r>
  <r>
    <s v="Conchitas CEL"/>
    <s v="31/01/2026"/>
    <x v="7"/>
    <s v="7503032300443"/>
    <s v="Zoe bala vibradora RETAIL - CXO"/>
    <s v="JUGUETE PROPIO"/>
    <s v="CXO"/>
    <n v="1"/>
    <n v="155.16999999999999"/>
  </r>
  <r>
    <s v="Federalismo CEL"/>
    <s v="02/01/2026"/>
    <x v="8"/>
    <s v="7503013378102"/>
    <s v="Anastasia Gema de Colores M - CXO"/>
    <s v="JUGUETE PROPIO"/>
    <s v="CXO"/>
    <n v="1"/>
    <n v="456.9"/>
  </r>
  <r>
    <s v="Federalismo CEL"/>
    <s v="02/01/2026"/>
    <x v="8"/>
    <s v="7503013378119"/>
    <s v="Anastasia gema de colores S - CXO"/>
    <s v="JUGUETE PROPIO"/>
    <s v="CXO"/>
    <n v="1"/>
    <n v="396.55"/>
  </r>
  <r>
    <s v="Federalismo CEL"/>
    <s v="02/01/2026"/>
    <x v="8"/>
    <s v="7503043917081"/>
    <s v="Blade rosa anillo vibrador - CXO"/>
    <s v="JUGUETE PROPIO"/>
    <s v="CXO"/>
    <n v="1"/>
    <n v="81.900000000000006"/>
  </r>
  <r>
    <s v="Federalismo CEL"/>
    <s v="02/01/2026"/>
    <x v="8"/>
    <s v="7503032300443"/>
    <s v="Zoe bala vibradora RETAIL - CXO"/>
    <s v="JUGUETE PROPIO"/>
    <s v="CXO"/>
    <n v="1"/>
    <n v="155.16999999999999"/>
  </r>
  <r>
    <s v="Federalismo CEL"/>
    <s v="03/01/2026"/>
    <x v="8"/>
    <s v="7503043917081"/>
    <s v="Blade rosa anillo vibrador - CXO"/>
    <s v="JUGUETE PROPIO"/>
    <s v="CXO"/>
    <n v="2"/>
    <n v="163.80000000000001"/>
  </r>
  <r>
    <s v="Federalismo CEL"/>
    <s v="03/01/2026"/>
    <x v="8"/>
    <s v="7503020104082"/>
    <s v="Vibrador multiorgásmico con succionador y perlas Andy – CXO"/>
    <s v="JUGUETE PROPIO"/>
    <s v="CXO"/>
    <n v="1"/>
    <n v="2258.62"/>
  </r>
  <r>
    <s v="Federalismo CEL"/>
    <s v="03/01/2026"/>
    <x v="8"/>
    <s v="7503032300443"/>
    <s v="Zoe bala vibradora RETAIL - CXO"/>
    <s v="JUGUETE PROPIO"/>
    <s v="CXO"/>
    <n v="3"/>
    <n v="465.51"/>
  </r>
  <r>
    <s v="Federalismo CEL"/>
    <s v="06/01/2026"/>
    <x v="4"/>
    <s v="7503043917326"/>
    <s v="Caro dual - CXO"/>
    <s v="JUGUETE PROPIO"/>
    <s v="CXO"/>
    <n v="1"/>
    <n v="1379.31"/>
  </r>
  <r>
    <s v="Federalismo CEL"/>
    <s v="07/01/2026"/>
    <x v="4"/>
    <s v="7503013378102"/>
    <s v="Anastasia Gema de Colores M - CXO"/>
    <s v="JUGUETE PROPIO"/>
    <s v="CXO"/>
    <n v="1"/>
    <n v="456.9"/>
  </r>
  <r>
    <s v="Federalismo CEL"/>
    <s v="08/01/2026"/>
    <x v="8"/>
    <s v="7503043917081"/>
    <s v="Blade rosa anillo vibrador - CXO"/>
    <s v="JUGUETE PROPIO"/>
    <s v="CXO"/>
    <n v="2"/>
    <n v="163.80000000000001"/>
  </r>
  <r>
    <s v="Federalismo CEL"/>
    <s v="08/01/2026"/>
    <x v="8"/>
    <s v="WZHM24299"/>
    <s v="Funda de Silicon para Pene Realista - CXO"/>
    <s v="JUGUETE PROPIO"/>
    <s v="CXO"/>
    <n v="1"/>
    <n v="1034.48"/>
  </r>
  <r>
    <s v="Federalismo CEL"/>
    <s v="08/01/2026"/>
    <x v="8"/>
    <s v="7503030118033"/>
    <s v="Kit vibrador + estimulante para clitoris Lau - CXO"/>
    <s v="JUGUETE PROPIO"/>
    <s v="CXO"/>
    <n v="1"/>
    <n v="1706.9"/>
  </r>
  <r>
    <s v="Federalismo CEL"/>
    <s v="09/01/2026"/>
    <x v="8"/>
    <s v="7500464543059"/>
    <s v="Dildo Realista con Ventosa 15.5cms Domi CXO"/>
    <s v="JUGUETE PROPIO"/>
    <s v="CXO"/>
    <n v="1"/>
    <n v="818.97"/>
  </r>
  <r>
    <s v="Federalismo CEL"/>
    <s v="09/01/2026"/>
    <x v="8"/>
    <s v="7503043917593"/>
    <s v="Nora dildo vibrador - CXO"/>
    <s v="JUGUETE PROPIO"/>
    <s v="CXO"/>
    <n v="1"/>
    <n v="474.14"/>
  </r>
  <r>
    <s v="Federalismo CEL"/>
    <s v="09/01/2026"/>
    <x v="8"/>
    <s v="7503024256628"/>
    <s v="Olly 5&quot; morado - CXO"/>
    <s v="JUGUETE PROPIO"/>
    <s v="CXO"/>
    <n v="1"/>
    <n v="517.24"/>
  </r>
  <r>
    <s v="Federalismo CEL"/>
    <s v="10/01/2026"/>
    <x v="8"/>
    <s v="7503043917081"/>
    <s v="Blade rosa anillo vibrador - CXO"/>
    <s v="JUGUETE PROPIO"/>
    <s v="CXO"/>
    <n v="1"/>
    <n v="81.900000000000006"/>
  </r>
  <r>
    <s v="Federalismo CEL"/>
    <s v="11/01/2026"/>
    <x v="8"/>
    <s v="7503050226162"/>
    <s v="Plug Anal con Vibración y Control Roberto - CXO"/>
    <s v="JUGUETE PROPIO"/>
    <s v="CXO"/>
    <n v="1"/>
    <n v="1293.0999999999999"/>
  </r>
  <r>
    <s v="Federalismo CEL"/>
    <s v="12/01/2026"/>
    <x v="8"/>
    <s v="7503032300634"/>
    <s v="Kevin violeta - CXO"/>
    <s v="JUGUETE PROPIO"/>
    <s v="CXO"/>
    <n v="1"/>
    <n v="775.86"/>
  </r>
  <r>
    <s v="Federalismo CEL"/>
    <s v="13/01/2026"/>
    <x v="8"/>
    <s v="7503043917081"/>
    <s v="Blade rosa anillo vibrador - CXO"/>
    <s v="JUGUETE PROPIO"/>
    <s v="CXO"/>
    <n v="1"/>
    <n v="81.900000000000006"/>
  </r>
  <r>
    <s v="Federalismo CEL"/>
    <s v="13/01/2026"/>
    <x v="8"/>
    <s v="SE016"/>
    <s v="Masturbador Vagina -  CXO"/>
    <s v="JUGUETE PROPIO"/>
    <s v="CXO"/>
    <n v="1"/>
    <n v="948.28"/>
  </r>
  <r>
    <s v="Federalismo CEL"/>
    <s v="15/01/2026"/>
    <x v="8"/>
    <s v="7503020111072"/>
    <s v="Anillo vibrador recargable con textura negra Hank - CXO"/>
    <s v="JUGUETE PROPIO"/>
    <s v="CXO"/>
    <n v="1"/>
    <n v="1267.24"/>
  </r>
  <r>
    <s v="Federalismo CEL"/>
    <s v="17/01/2026"/>
    <x v="8"/>
    <s v="7503020202214"/>
    <s v="Dildo realista con ventosa y testiculos Eddy - CXO"/>
    <s v="JUGUETE PROPIO"/>
    <s v="CXO"/>
    <n v="1"/>
    <n v="948.28"/>
  </r>
  <r>
    <s v="Federalismo CEL"/>
    <s v="18/01/2026"/>
    <x v="8"/>
    <s v="7503030202035"/>
    <s v="Dildo con testiculos y ventosa Mr. Garcia - CXO"/>
    <s v="JUGUETE PROPIO"/>
    <s v="CXO"/>
    <n v="1"/>
    <n v="646.54999999999995"/>
  </r>
  <r>
    <s v="Federalismo CEL"/>
    <s v="22/01/2026"/>
    <x v="8"/>
    <s v="7503013378409"/>
    <s v="Anillo de Acero Grueso - CXO"/>
    <s v="JUGUETE PROPIO"/>
    <s v="CXO"/>
    <n v="1"/>
    <n v="474.14"/>
  </r>
  <r>
    <s v="Federalismo CEL"/>
    <s v="24/01/2026"/>
    <x v="8"/>
    <s v="7503043917081"/>
    <s v="Blade rosa anillo vibrador - CXO"/>
    <s v="JUGUETE PROPIO"/>
    <s v="CXO"/>
    <n v="1"/>
    <n v="81.900000000000006"/>
  </r>
  <r>
    <s v="Federalismo CEL"/>
    <s v="24/01/2026"/>
    <x v="8"/>
    <s v="7503030220044"/>
    <s v="Dados con posiciones 2 piezas - CXO"/>
    <s v="JUGUETE PROPIO"/>
    <s v="CXO"/>
    <n v="1"/>
    <n v="77.59"/>
  </r>
  <r>
    <s v="Federalismo CEL"/>
    <s v="29/01/2026"/>
    <x v="8"/>
    <s v="7503030118033"/>
    <s v="Kit vibrador + estimulante para clitoris Lau - CXO"/>
    <s v="JUGUETE PROPIO"/>
    <s v="CXO"/>
    <n v="1"/>
    <n v="1706.9"/>
  </r>
  <r>
    <s v="Federalismo CEL"/>
    <s v="31/01/2026"/>
    <x v="8"/>
    <s v="7503043917081"/>
    <s v="Blade rosa anillo vibrador - CXO"/>
    <s v="JUGUETE PROPIO"/>
    <s v="CXO"/>
    <n v="1"/>
    <n v="81.900000000000006"/>
  </r>
  <r>
    <s v="Federalismo CEL"/>
    <s v="31/01/2026"/>
    <x v="8"/>
    <s v="7503020202214"/>
    <s v="Dildo realista con ventosa y testiculos Eddy - CXO"/>
    <s v="JUGUETE PROPIO"/>
    <s v="CXO"/>
    <n v="1"/>
    <n v="948.28"/>
  </r>
  <r>
    <s v="Hidalgo CEL"/>
    <s v="02/01/2026"/>
    <x v="9"/>
    <s v="7503030102034"/>
    <s v="Dildo vibrador con control Anthony - CXO"/>
    <s v="JUGUETE PROPIO"/>
    <s v="CXO"/>
    <n v="1"/>
    <n v="2112.0700000000002"/>
  </r>
  <r>
    <s v="Hidalgo CEL"/>
    <s v="03/01/2026"/>
    <x v="9"/>
    <s v="7503043917036"/>
    <s v="Arnes universal de argolla negro - CXO"/>
    <s v="JUGUETE PROPIO"/>
    <s v="CXO"/>
    <n v="1"/>
    <n v="474.14"/>
  </r>
  <r>
    <s v="Hidalgo CEL"/>
    <s v="03/01/2026"/>
    <x v="9"/>
    <s v="7503032300443"/>
    <s v="Zoe bala vibradora RETAIL - CXO"/>
    <s v="JUGUETE PROPIO"/>
    <s v="CXO"/>
    <n v="2"/>
    <n v="310.33999999999997"/>
  </r>
  <r>
    <s v="Hidalgo CEL"/>
    <s v="04/01/2026"/>
    <x v="9"/>
    <s v="7503043917081"/>
    <s v="Blade rosa anillo vibrador - CXO"/>
    <s v="JUGUETE PROPIO"/>
    <s v="CXO"/>
    <n v="1"/>
    <n v="81.900000000000006"/>
  </r>
  <r>
    <s v="Hidalgo CEL"/>
    <s v="04/01/2026"/>
    <x v="9"/>
    <s v="7500464543059"/>
    <s v="Dildo Realista con Ventosa 15.5cms Domi CXO"/>
    <s v="JUGUETE PROPIO"/>
    <s v="CXO"/>
    <n v="1"/>
    <n v="818.97"/>
  </r>
  <r>
    <s v="Hidalgo CEL"/>
    <s v="05/01/2026"/>
    <x v="6"/>
    <s v="7503020111072"/>
    <s v="Anillo vibrador recargable con textura negra Hank - CXO"/>
    <s v="JUGUETE PROPIO"/>
    <s v="CXO"/>
    <n v="1"/>
    <n v="1267.24"/>
  </r>
  <r>
    <s v="Hidalgo CEL"/>
    <s v="06/01/2026"/>
    <x v="9"/>
    <s v="7503013378256"/>
    <s v="Sammy - CXO"/>
    <s v="JUGUETE PROPIO"/>
    <s v="CXO"/>
    <n v="1"/>
    <n v="1551.72"/>
  </r>
  <r>
    <s v="Hidalgo CEL"/>
    <s v="06/01/2026"/>
    <x v="9"/>
    <s v="7503032300443"/>
    <s v="Zoe bala vibradora RETAIL - CXO"/>
    <s v="JUGUETE PROPIO"/>
    <s v="CXO"/>
    <n v="1"/>
    <n v="155.16999999999999"/>
  </r>
  <r>
    <s v="Hidalgo CEL"/>
    <s v="07/01/2026"/>
    <x v="6"/>
    <s v="7503043917081"/>
    <s v="Blade rosa anillo vibrador - CXO"/>
    <s v="JUGUETE PROPIO"/>
    <s v="CXO"/>
    <n v="1"/>
    <n v="81.900000000000006"/>
  </r>
  <r>
    <s v="Hidalgo CEL"/>
    <s v="08/01/2026"/>
    <x v="9"/>
    <s v="7503043917081"/>
    <s v="Blade rosa anillo vibrador - CXO"/>
    <s v="JUGUETE PROPIO"/>
    <s v="CXO"/>
    <n v="3"/>
    <n v="245.7"/>
  </r>
  <r>
    <s v="Hidalgo CEL"/>
    <s v="09/01/2026"/>
    <x v="9"/>
    <s v="7503043917081"/>
    <s v="Blade rosa anillo vibrador - CXO"/>
    <s v="JUGUETE PROPIO"/>
    <s v="CXO"/>
    <n v="1"/>
    <n v="81.900000000000006"/>
  </r>
  <r>
    <s v="Hidalgo CEL"/>
    <s v="11/01/2026"/>
    <x v="9"/>
    <s v="7503043917081"/>
    <s v="Blade rosa anillo vibrador - CXO"/>
    <s v="JUGUETE PROPIO"/>
    <s v="CXO"/>
    <n v="1"/>
    <n v="81.900000000000006"/>
  </r>
  <r>
    <s v="Hidalgo CEL"/>
    <s v="12/01/2026"/>
    <x v="9"/>
    <s v="MBS0530"/>
    <s v="Esposas de broche - CXO"/>
    <s v="JUGUETE PROPIO"/>
    <s v="CXO"/>
    <n v="1"/>
    <n v="172.41"/>
  </r>
  <r>
    <s v="Hidalgo CEL"/>
    <s v="13/01/2026"/>
    <x v="9"/>
    <s v="7503030220044"/>
    <s v="Dados con posiciones 2 piezas - CXO"/>
    <s v="JUGUETE PROPIO"/>
    <s v="CXO"/>
    <n v="1"/>
    <n v="77.59"/>
  </r>
  <r>
    <s v="Hidalgo CEL"/>
    <s v="14/01/2026"/>
    <x v="6"/>
    <s v="7503032300443"/>
    <s v="Zoe bala vibradora RETAIL - CXO"/>
    <s v="JUGUETE PROPIO"/>
    <s v="CXO"/>
    <n v="2"/>
    <n v="310.33999999999997"/>
  </r>
  <r>
    <s v="Hidalgo CEL"/>
    <s v="15/01/2026"/>
    <x v="9"/>
    <s v="7503024256734"/>
    <s v="Cola de Zorro 45cm blanco M - CXO"/>
    <s v="JUGUETE PROPIO"/>
    <s v="CXO"/>
    <n v="1"/>
    <n v="301.72000000000003"/>
  </r>
  <r>
    <s v="Hidalgo CEL"/>
    <s v="16/01/2026"/>
    <x v="9"/>
    <s v="7503013378102"/>
    <s v="Anastasia Gema de Colores M - CXO"/>
    <s v="JUGUETE PROPIO"/>
    <s v="CXO"/>
    <n v="1"/>
    <n v="456.9"/>
  </r>
  <r>
    <s v="Hidalgo CEL"/>
    <s v="16/01/2026"/>
    <x v="9"/>
    <s v="7503030111031"/>
    <s v="Anillo vibrador de aro doble con estimulador y dildo Javier - CXO"/>
    <s v="JUGUETE PROPIO"/>
    <s v="CXO"/>
    <n v="1"/>
    <n v="1681.03"/>
  </r>
  <r>
    <s v="Hidalgo CEL"/>
    <s v="16/01/2026"/>
    <x v="9"/>
    <s v="7503043917524"/>
    <s v="Kit Lisboa 8 pzs - CXO"/>
    <s v="JUGUETE PROPIO"/>
    <s v="CXO"/>
    <n v="1"/>
    <n v="465.52"/>
  </r>
  <r>
    <s v="Hidalgo CEL"/>
    <s v="16/01/2026"/>
    <x v="9"/>
    <s v="7503032300443"/>
    <s v="Zoe bala vibradora RETAIL - CXO"/>
    <s v="JUGUETE PROPIO"/>
    <s v="CXO"/>
    <n v="1"/>
    <n v="155.16999999999999"/>
  </r>
  <r>
    <s v="Hidalgo CEL"/>
    <s v="17/01/2026"/>
    <x v="9"/>
    <s v="7503030102198"/>
    <s v="Dildo realista vibrador con ventosa Ulises - CXO"/>
    <s v="JUGUETE PROPIO"/>
    <s v="CXO"/>
    <n v="1"/>
    <n v="2000"/>
  </r>
  <r>
    <s v="Hidalgo CEL"/>
    <s v="18/01/2026"/>
    <x v="9"/>
    <s v="7503030220043"/>
    <s v="Dados para juegos 2 piezas - CXO"/>
    <s v="JUGUETE PROPIO"/>
    <s v="CXO"/>
    <n v="1"/>
    <n v="112.07"/>
  </r>
  <r>
    <s v="Hidalgo CEL"/>
    <s v="21/01/2026"/>
    <x v="9"/>
    <s v="7503020111071"/>
    <s v="Anillo vibrador Hank gris con 10 velocidades – CXO"/>
    <s v="JUGUETE PROPIO"/>
    <s v="CXO"/>
    <n v="1"/>
    <n v="1267.24"/>
  </r>
  <r>
    <s v="Hidalgo CEL"/>
    <s v="21/01/2026"/>
    <x v="9"/>
    <s v="7503030207201"/>
    <s v="Funda semi realista para pene Rodolfo - CXO"/>
    <s v="JUGUETE PROPIO"/>
    <s v="CXO"/>
    <n v="1"/>
    <n v="1137.93"/>
  </r>
  <r>
    <s v="Hidalgo CEL"/>
    <s v="23/01/2026"/>
    <x v="9"/>
    <s v="7503032300443"/>
    <s v="Zoe bala vibradora RETAIL - CXO"/>
    <s v="JUGUETE PROPIO"/>
    <s v="CXO"/>
    <n v="1"/>
    <n v="155.16999999999999"/>
  </r>
  <r>
    <s v="Hidalgo CEL"/>
    <s v="24/01/2026"/>
    <x v="9"/>
    <s v="7503030202167"/>
    <s v="Dildo hiper realista con ventosa Raul - CXO"/>
    <s v="JUGUETE PROPIO"/>
    <s v="CXO"/>
    <n v="1"/>
    <n v="1525.86"/>
  </r>
  <r>
    <s v="Hidalgo CEL"/>
    <s v="25/01/2026"/>
    <x v="9"/>
    <s v="7503030202035"/>
    <s v="Dildo con testiculos y ventosa Mr. Garcia - CXO"/>
    <s v="JUGUETE PROPIO"/>
    <s v="CXO"/>
    <n v="1"/>
    <n v="646.54999999999995"/>
  </r>
  <r>
    <s v="Hidalgo CEL"/>
    <s v="26/01/2026"/>
    <x v="9"/>
    <s v="7503032300214"/>
    <s v="Cola de Zorro Arcoiris 38cm S - CXO"/>
    <s v="JUGUETE PROPIO"/>
    <s v="CXO"/>
    <n v="1"/>
    <n v="258.62"/>
  </r>
  <r>
    <s v="Hidalgo CEL"/>
    <s v="26/01/2026"/>
    <x v="9"/>
    <s v="7503013378904"/>
    <s v="Dildo Mr. Hernandez - CXO"/>
    <s v="JUGUETE PROPIO"/>
    <s v="CXO"/>
    <n v="1"/>
    <n v="517.24"/>
  </r>
  <r>
    <s v="Hidalgo CEL"/>
    <s v="28/01/2026"/>
    <x v="9"/>
    <s v="7503020112070"/>
    <s v="Bala vibradora recargable Ely – CXO"/>
    <s v="JUGUETE PROPIO"/>
    <s v="CXO"/>
    <n v="1"/>
    <n v="793.1"/>
  </r>
  <r>
    <s v="Hidalgo CEL"/>
    <s v="28/01/2026"/>
    <x v="9"/>
    <s v="7503032300627"/>
    <s v="Kevin - CXO"/>
    <s v="JUGUETE PROPIO"/>
    <s v="CXO"/>
    <n v="1"/>
    <n v="775.86"/>
  </r>
  <r>
    <s v="Hidalgo CEL"/>
    <s v="29/01/2026"/>
    <x v="6"/>
    <s v="7503030215199"/>
    <s v="Arnes para doble penetracion - CXO"/>
    <s v="JUGUETE PROPIO"/>
    <s v="CXO"/>
    <n v="1"/>
    <n v="1422.41"/>
  </r>
  <r>
    <s v="Hidalgo CEL"/>
    <s v="30/01/2026"/>
    <x v="9"/>
    <s v="7503043917081"/>
    <s v="Blade rosa anillo vibrador - CXO"/>
    <s v="JUGUETE PROPIO"/>
    <s v="CXO"/>
    <n v="1"/>
    <n v="81.900000000000006"/>
  </r>
  <r>
    <s v="Hidalgo CEL"/>
    <s v="30/01/2026"/>
    <x v="9"/>
    <s v="7503030128202"/>
    <s v="Plug Anal con 10 modos de vibracion y rotacion 360 Beto - CXO"/>
    <s v="JUGUETE PROPIO"/>
    <s v="CXO"/>
    <n v="1"/>
    <n v="1577.59"/>
  </r>
  <r>
    <s v="Hotel los Reyes CEL"/>
    <s v="02/01/2026"/>
    <x v="10"/>
    <s v="7503020112070"/>
    <s v="Bala vibradora recargable Ely – CXO"/>
    <s v="JUGUETE PROPIO"/>
    <s v="CXO"/>
    <n v="1"/>
    <n v="793.1"/>
  </r>
  <r>
    <s v="Hotel los Reyes CEL"/>
    <s v="02/01/2026"/>
    <x v="10"/>
    <s v="7503043917609"/>
    <s v="Dados 2 pz - CXO"/>
    <s v="JUGUETE PROPIO"/>
    <s v="CXO"/>
    <n v="1"/>
    <n v="73.28"/>
  </r>
  <r>
    <s v="Hotel los Reyes CEL"/>
    <s v="03/01/2026"/>
    <x v="10"/>
    <s v="7500464543059"/>
    <s v="Dildo Realista con Ventosa 15.5cms Domi CXO"/>
    <s v="JUGUETE PROPIO"/>
    <s v="CXO"/>
    <n v="2"/>
    <n v="1637.94"/>
  </r>
  <r>
    <s v="Hotel los Reyes CEL"/>
    <s v="03/01/2026"/>
    <x v="10"/>
    <s v="7503030102034"/>
    <s v="Dildo vibrador con control Anthony - CXO"/>
    <s v="JUGUETE PROPIO"/>
    <s v="CXO"/>
    <n v="1"/>
    <n v="2112.0700000000002"/>
  </r>
  <r>
    <s v="Hotel los Reyes CEL"/>
    <s v="05/01/2026"/>
    <x v="10"/>
    <s v="7503020310205"/>
    <s v="Dildo Vibrador Termico Realista 3 en 1 con movimiento Hades-CXO"/>
    <s v="JUGUETE PROPIO"/>
    <s v="CXO"/>
    <n v="1"/>
    <n v="2500"/>
  </r>
  <r>
    <s v="Hotel los Reyes CEL"/>
    <s v="06/01/2026"/>
    <x v="10"/>
    <s v="7503020104080"/>
    <s v="Vibrador multiorgásmico con doble motor y estimulador de conejito Ara – CXO"/>
    <s v="JUGUETE PROPIO"/>
    <s v="CXO"/>
    <n v="1"/>
    <n v="2163.79"/>
  </r>
  <r>
    <s v="Hotel los Reyes CEL"/>
    <s v="08/01/2026"/>
    <x v="10"/>
    <s v="7503032300559"/>
    <s v="Cola de Zorro 45cm cafe L - CXO"/>
    <s v="JUGUETE PROPIO"/>
    <s v="CXO"/>
    <n v="1"/>
    <n v="344.83"/>
  </r>
  <r>
    <s v="Hotel los Reyes CEL"/>
    <s v="10/01/2026"/>
    <x v="10"/>
    <s v="7503020111072"/>
    <s v="Anillo vibrador recargable con textura negra Hank - CXO"/>
    <s v="JUGUETE PROPIO"/>
    <s v="CXO"/>
    <n v="1"/>
    <n v="1267.24"/>
  </r>
  <r>
    <s v="Hotel los Reyes CEL"/>
    <s v="10/01/2026"/>
    <x v="10"/>
    <s v="7503030102034"/>
    <s v="Dildo vibrador con control Anthony - CXO"/>
    <s v="JUGUETE PROPIO"/>
    <s v="CXO"/>
    <n v="1"/>
    <n v="2112.0700000000002"/>
  </r>
  <r>
    <s v="Hotel los Reyes CEL"/>
    <s v="17/01/2026"/>
    <x v="10"/>
    <s v="7503030111031"/>
    <s v="Anillo vibrador de aro doble con estimulador y dildo Javier - CXO"/>
    <s v="JUGUETE PROPIO"/>
    <s v="CXO"/>
    <n v="1"/>
    <n v="1681.03"/>
  </r>
  <r>
    <s v="Hotel los Reyes CEL"/>
    <s v="19/01/2026"/>
    <x v="6"/>
    <s v="7503030102034"/>
    <s v="Dildo vibrador con control Anthony - CXO"/>
    <s v="JUGUETE PROPIO"/>
    <s v="CXO"/>
    <n v="1"/>
    <n v="2112.0700000000002"/>
  </r>
  <r>
    <s v="Hotel los Reyes CEL"/>
    <s v="23/01/2026"/>
    <x v="10"/>
    <s v="7503013378904"/>
    <s v="Dildo Mr. Hernandez - CXO"/>
    <s v="JUGUETE PROPIO"/>
    <s v="CXO"/>
    <n v="1"/>
    <n v="517.24"/>
  </r>
  <r>
    <s v="Hotel los Reyes CEL"/>
    <s v="23/01/2026"/>
    <x v="10"/>
    <s v="7503020202213"/>
    <s v="Dildo realista con ventosa Nick - CXO"/>
    <s v="JUGUETE PROPIO"/>
    <s v="CXO"/>
    <n v="1"/>
    <n v="818.97"/>
  </r>
  <r>
    <s v="Hotel los Reyes CEL"/>
    <s v="23/01/2026"/>
    <x v="10"/>
    <s v="7503032300443"/>
    <s v="Zoe bala vibradora RETAIL - CXO"/>
    <s v="JUGUETE PROPIO"/>
    <s v="CXO"/>
    <n v="1"/>
    <n v="155.16999999999999"/>
  </r>
  <r>
    <s v="Hotel los Reyes CEL"/>
    <s v="24/01/2026"/>
    <x v="10"/>
    <s v="7503030202035"/>
    <s v="Dildo con testiculos y ventosa Mr. Garcia - CXO"/>
    <s v="JUGUETE PROPIO"/>
    <s v="CXO"/>
    <n v="1"/>
    <n v="646.54999999999995"/>
  </r>
  <r>
    <s v="Hotel los Reyes CEL"/>
    <s v="24/01/2026"/>
    <x v="10"/>
    <s v="7503030102198"/>
    <s v="Dildo realista vibrador con ventosa Ulises - CXO"/>
    <s v="JUGUETE PROPIO"/>
    <s v="CXO"/>
    <n v="1"/>
    <n v="2000"/>
  </r>
  <r>
    <s v="Hotel los Reyes CEL"/>
    <s v="24/01/2026"/>
    <x v="10"/>
    <s v="7503032300443"/>
    <s v="Zoe bala vibradora RETAIL - CXO"/>
    <s v="JUGUETE PROPIO"/>
    <s v="CXO"/>
    <n v="1"/>
    <n v="155.16999999999999"/>
  </r>
  <r>
    <s v="Hotel los Reyes CEL"/>
    <s v="25/01/2026"/>
    <x v="10"/>
    <s v="7503013378119"/>
    <s v="Anastasia gema de colores S - CXO"/>
    <s v="JUGUETE PROPIO"/>
    <s v="CXO"/>
    <n v="1"/>
    <n v="396.55"/>
  </r>
  <r>
    <s v="Hotel los Reyes CEL"/>
    <s v="25/01/2026"/>
    <x v="10"/>
    <s v="7503013378416"/>
    <s v="Angie - CXO"/>
    <s v="JUGUETE PROPIO"/>
    <s v="CXO"/>
    <n v="1"/>
    <n v="689.66"/>
  </r>
  <r>
    <s v="Hotel los Reyes CEL"/>
    <s v="25/01/2026"/>
    <x v="10"/>
    <s v="7503032300542"/>
    <s v="Cola de Zorro 45cm negro L - CXO"/>
    <s v="JUGUETE PROPIO"/>
    <s v="CXO"/>
    <n v="1"/>
    <n v="344.83"/>
  </r>
  <r>
    <s v="Hotel los Reyes CEL"/>
    <s v="26/01/2026"/>
    <x v="10"/>
    <s v="7503013378850"/>
    <s v="Amy fucsia - CXO"/>
    <s v="JUGUETE PROPIO"/>
    <s v="CXO"/>
    <n v="1"/>
    <n v="431.03"/>
  </r>
  <r>
    <s v="Hotel los Reyes CEL"/>
    <s v="26/01/2026"/>
    <x v="10"/>
    <s v="7503013378102"/>
    <s v="Anastasia Gema de Colores M - CXO"/>
    <s v="JUGUETE PROPIO"/>
    <s v="CXO"/>
    <n v="1"/>
    <n v="456.9"/>
  </r>
  <r>
    <s v="Hotel los Reyes CEL"/>
    <s v="29/01/2026"/>
    <x v="10"/>
    <s v="7503013378102"/>
    <s v="Anastasia Gema de Colores M - CXO"/>
    <s v="JUGUETE PROPIO"/>
    <s v="CXO"/>
    <n v="1"/>
    <n v="456.9"/>
  </r>
  <r>
    <s v="Hotel los Reyes CEL"/>
    <s v="29/01/2026"/>
    <x v="10"/>
    <s v="7503032300443"/>
    <s v="Zoe bala vibradora RETAIL - CXO"/>
    <s v="JUGUETE PROPIO"/>
    <s v="CXO"/>
    <n v="1"/>
    <n v="155.16999999999999"/>
  </r>
  <r>
    <s v="Hotel los Reyes CEL"/>
    <s v="30/01/2026"/>
    <x v="10"/>
    <s v="7503032300443"/>
    <s v="Zoe bala vibradora RETAIL - CXO"/>
    <s v="JUGUETE PROPIO"/>
    <s v="CXO"/>
    <n v="1"/>
    <n v="155.16999999999999"/>
  </r>
  <r>
    <s v="Hotel los Reyes CEL"/>
    <s v="31/01/2026"/>
    <x v="10"/>
    <s v="7503032300474"/>
    <s v="Cola de Zorro 45cm blanco S - CXO"/>
    <s v="JUGUETE PROPIO"/>
    <s v="CXO"/>
    <n v="1"/>
    <n v="258.62"/>
  </r>
  <r>
    <s v="León 1 CEL"/>
    <s v="02/01/2026"/>
    <x v="11"/>
    <s v="7503043917081"/>
    <s v="Blade rosa anillo vibrador - CXO"/>
    <s v="JUGUETE PROPIO"/>
    <s v="CXO"/>
    <n v="2"/>
    <n v="163.80000000000001"/>
  </r>
  <r>
    <s v="León 1 CEL"/>
    <s v="03/01/2026"/>
    <x v="11"/>
    <s v="7503043917081"/>
    <s v="Blade rosa anillo vibrador - CXO"/>
    <s v="JUGUETE PROPIO"/>
    <s v="CXO"/>
    <n v="1"/>
    <n v="81.900000000000006"/>
  </r>
  <r>
    <s v="León 1 CEL"/>
    <s v="03/01/2026"/>
    <x v="11"/>
    <s v="7503043917326"/>
    <s v="Caro dual - CXO"/>
    <s v="JUGUETE PROPIO"/>
    <s v="CXO"/>
    <n v="1"/>
    <n v="1379.31"/>
  </r>
  <r>
    <s v="León 1 CEL"/>
    <s v="03/01/2026"/>
    <x v="11"/>
    <s v="7503032300566"/>
    <s v="Cola de Zorro 45cm fucsia L - CXO"/>
    <s v="JUGUETE PROPIO"/>
    <s v="CXO"/>
    <n v="1"/>
    <n v="344.83"/>
  </r>
  <r>
    <s v="León 1 CEL"/>
    <s v="03/01/2026"/>
    <x v="11"/>
    <s v="7503020310205"/>
    <s v="Dildo Vibrador Termico Realista 3 en 1 con movimiento Hades-CXO"/>
    <s v="JUGUETE PROPIO"/>
    <s v="CXO"/>
    <n v="1"/>
    <n v="2500"/>
  </r>
  <r>
    <s v="León 1 CEL"/>
    <s v="03/01/2026"/>
    <x v="11"/>
    <s v="7503030118033"/>
    <s v="Vibrador con Aza"/>
    <s v="JUGUETE PROPIO"/>
    <s v="CXO"/>
    <n v="1"/>
    <n v="551.72"/>
  </r>
  <r>
    <s v="León 1 CEL"/>
    <s v="05/01/2026"/>
    <x v="11"/>
    <s v="7503030211021"/>
    <s v="Anillo desechable para pene Donut - CXO"/>
    <s v="JUGUETE PROPIO"/>
    <s v="CXO"/>
    <n v="1"/>
    <n v="34.479999999999997"/>
  </r>
  <r>
    <s v="León 1 CEL"/>
    <s v="05/01/2026"/>
    <x v="11"/>
    <s v="7503043917326"/>
    <s v="Caro dual - CXO"/>
    <s v="JUGUETE PROPIO"/>
    <s v="CXO"/>
    <n v="1"/>
    <n v="1379.31"/>
  </r>
  <r>
    <s v="León 1 CEL"/>
    <s v="05/01/2026"/>
    <x v="11"/>
    <s v="7503050524340"/>
    <s v="Ducha Felix S - CXO"/>
    <s v="JUGUETE PROPIO"/>
    <s v="CXO"/>
    <n v="1"/>
    <n v="612.07000000000005"/>
  </r>
  <r>
    <s v="León 1 CEL"/>
    <s v="05/01/2026"/>
    <x v="11"/>
    <s v="7503043917524"/>
    <s v="Kit Lisboa 8 pzs - CXO"/>
    <s v="JUGUETE PROPIO"/>
    <s v="CXO"/>
    <n v="1"/>
    <n v="465.52"/>
  </r>
  <r>
    <s v="León 1 CEL"/>
    <s v="06/01/2026"/>
    <x v="11"/>
    <s v="7503013378102"/>
    <s v="Anastasia Gema de Colores M - CXO"/>
    <s v="JUGUETE PROPIO"/>
    <s v="CXO"/>
    <n v="1"/>
    <n v="456.9"/>
  </r>
  <r>
    <s v="León 1 CEL"/>
    <s v="07/01/2026"/>
    <x v="11"/>
    <s v="7503043917081"/>
    <s v="Blade rosa anillo vibrador - CXO"/>
    <s v="JUGUETE PROPIO"/>
    <s v="CXO"/>
    <n v="1"/>
    <n v="81.900000000000006"/>
  </r>
  <r>
    <s v="León 1 CEL"/>
    <s v="07/01/2026"/>
    <x v="11"/>
    <s v="7503030102034"/>
    <s v="Dildo vibrador con control Anthony - CXO"/>
    <s v="JUGUETE PROPIO"/>
    <s v="CXO"/>
    <n v="1"/>
    <n v="2112.0700000000002"/>
  </r>
  <r>
    <s v="León 1 CEL"/>
    <s v="07/01/2026"/>
    <x v="11"/>
    <s v="7503020210510"/>
    <s v="Vibrador tipo C para parejas"/>
    <s v="JUGUETE PROPIO"/>
    <s v="CXO"/>
    <n v="1"/>
    <n v="646.54999999999995"/>
  </r>
  <r>
    <s v="León 1 CEL"/>
    <s v="07/01/2026"/>
    <x v="11"/>
    <s v="7503032300443"/>
    <s v="Zoe bala vibradora RETAIL - CXO"/>
    <s v="JUGUETE PROPIO"/>
    <s v="CXO"/>
    <n v="1"/>
    <n v="155.16999999999999"/>
  </r>
  <r>
    <s v="León 1 CEL"/>
    <s v="08/01/2026"/>
    <x v="11"/>
    <s v="7503030111031"/>
    <s v="Anillo vibrador de aro doble con estimulador y dildo Javier - CXO"/>
    <s v="JUGUETE PROPIO"/>
    <s v="CXO"/>
    <n v="1"/>
    <n v="1681.03"/>
  </r>
  <r>
    <s v="León 1 CEL"/>
    <s v="08/01/2026"/>
    <x v="11"/>
    <s v="7503020310205"/>
    <s v="Dildo Vibrador Termico Realista 3 en 1 con movimiento Hades-CXO"/>
    <s v="JUGUETE PROPIO"/>
    <s v="CXO"/>
    <n v="1"/>
    <n v="2500"/>
  </r>
  <r>
    <s v="León 1 CEL"/>
    <s v="08/01/2026"/>
    <x v="11"/>
    <s v="7503050226162"/>
    <s v="Plug Anal con Vibración y Control Roberto - CXO"/>
    <s v="JUGUETE PROPIO"/>
    <s v="CXO"/>
    <n v="1"/>
    <n v="1293.0999999999999"/>
  </r>
  <r>
    <s v="León 1 CEL"/>
    <s v="10/01/2026"/>
    <x v="11"/>
    <s v="7503043917081"/>
    <s v="Blade rosa anillo vibrador - CXO"/>
    <s v="JUGUETE PROPIO"/>
    <s v="CXO"/>
    <n v="2"/>
    <n v="163.80000000000001"/>
  </r>
  <r>
    <s v="León 1 CEL"/>
    <s v="10/01/2026"/>
    <x v="11"/>
    <s v="7503013378857"/>
    <s v="Micrófono Vaginal"/>
    <s v="JUGUETE PROPIO"/>
    <s v="CXO"/>
    <n v="1"/>
    <n v="310.33999999999997"/>
  </r>
  <r>
    <s v="León 1 CEL"/>
    <s v="12/01/2026"/>
    <x v="11"/>
    <s v="7503032300634"/>
    <s v="Kevin violeta - CXO"/>
    <s v="JUGUETE PROPIO"/>
    <s v="CXO"/>
    <n v="1"/>
    <n v="775.86"/>
  </r>
  <r>
    <s v="León 1 CEL"/>
    <s v="13/01/2026"/>
    <x v="11"/>
    <s v="7503013378416"/>
    <s v="Angie - CXO"/>
    <s v="JUGUETE PROPIO"/>
    <s v="CXO"/>
    <n v="1"/>
    <n v="689.66"/>
  </r>
  <r>
    <s v="León 1 CEL"/>
    <s v="13/01/2026"/>
    <x v="11"/>
    <s v="7503030211021"/>
    <s v="Anillo desechable para pene Donut - CXO"/>
    <s v="JUGUETE PROPIO"/>
    <s v="CXO"/>
    <n v="1"/>
    <n v="34.479999999999997"/>
  </r>
  <r>
    <s v="León 1 CEL"/>
    <s v="13/01/2026"/>
    <x v="11"/>
    <s v="7503043917081"/>
    <s v="Blade rosa anillo vibrador - CXO"/>
    <s v="JUGUETE PROPIO"/>
    <s v="CXO"/>
    <n v="1"/>
    <n v="81.900000000000006"/>
  </r>
  <r>
    <s v="León 1 CEL"/>
    <s v="13/01/2026"/>
    <x v="11"/>
    <s v="SE016"/>
    <s v="Masturbador Vagina -  CXO"/>
    <s v="JUGUETE PROPIO"/>
    <s v="CXO"/>
    <n v="1"/>
    <n v="948.28"/>
  </r>
  <r>
    <s v="León 1 CEL"/>
    <s v="14/01/2026"/>
    <x v="11"/>
    <s v="7503043917081"/>
    <s v="Blade rosa anillo vibrador - CXO"/>
    <s v="JUGUETE PROPIO"/>
    <s v="CXO"/>
    <n v="1"/>
    <n v="81.900000000000006"/>
  </r>
  <r>
    <s v="León 1 CEL"/>
    <s v="14/01/2026"/>
    <x v="11"/>
    <s v="7503013378857"/>
    <s v="Micrófono Vaginal"/>
    <s v="JUGUETE PROPIO"/>
    <s v="CXO"/>
    <n v="1"/>
    <n v="310.33999999999997"/>
  </r>
  <r>
    <s v="León 1 CEL"/>
    <s v="14/01/2026"/>
    <x v="11"/>
    <s v="7503032300443"/>
    <s v="Zoe bala vibradora RETAIL - CXO"/>
    <s v="JUGUETE PROPIO"/>
    <s v="CXO"/>
    <n v="2"/>
    <n v="310.33999999999997"/>
  </r>
  <r>
    <s v="León 1 CEL"/>
    <s v="15/01/2026"/>
    <x v="11"/>
    <s v="7503030211021"/>
    <s v="Anillo desechable para pene Donut - CXO"/>
    <s v="JUGUETE PROPIO"/>
    <s v="CXO"/>
    <n v="2"/>
    <n v="68.959999999999994"/>
  </r>
  <r>
    <s v="León 1 CEL"/>
    <s v="15/01/2026"/>
    <x v="11"/>
    <s v="7503020112070"/>
    <s v="Bala vibradora recargable Ely – CXO"/>
    <s v="JUGUETE PROPIO"/>
    <s v="CXO"/>
    <n v="2"/>
    <n v="1586.2"/>
  </r>
  <r>
    <s v="León 1 CEL"/>
    <s v="15/01/2026"/>
    <x v="11"/>
    <s v="7503043917081"/>
    <s v="Blade rosa anillo vibrador - CXO"/>
    <s v="JUGUETE PROPIO"/>
    <s v="CXO"/>
    <n v="1"/>
    <n v="81.900000000000006"/>
  </r>
  <r>
    <s v="León 1 CEL"/>
    <s v="15/01/2026"/>
    <x v="11"/>
    <s v="MBS0530"/>
    <s v="Esposas de broche - CXO"/>
    <s v="JUGUETE PROPIO"/>
    <s v="CXO"/>
    <n v="1"/>
    <n v="172.41"/>
  </r>
  <r>
    <s v="León 1 CEL"/>
    <s v="15/01/2026"/>
    <x v="11"/>
    <s v="6970556032074"/>
    <s v="Plug Anal con 10 modos de Vibracion de 11.5cm  Ramiro- CXO"/>
    <s v="JUGUETE PROPIO"/>
    <s v="CXO"/>
    <n v="1"/>
    <n v="1034.48"/>
  </r>
  <r>
    <s v="León 1 CEL"/>
    <s v="16/01/2026"/>
    <x v="11"/>
    <s v="7503020310205"/>
    <s v="Dildo Vibrador Termico Realista 3 en 1 con movimiento Hades-CXO"/>
    <s v="JUGUETE PROPIO"/>
    <s v="CXO"/>
    <n v="1"/>
    <n v="2500"/>
  </r>
  <r>
    <s v="León 1 CEL"/>
    <s v="16/01/2026"/>
    <x v="11"/>
    <s v="LL-A2216"/>
    <s v="Huevito con 10 modos de Vibración  Gina - CXO"/>
    <s v="JUGUETE PROPIO"/>
    <s v="CXO"/>
    <n v="1"/>
    <n v="1500"/>
  </r>
  <r>
    <s v="León 1 CEL"/>
    <s v="16/01/2026"/>
    <x v="11"/>
    <s v="SC258C01"/>
    <s v="Multiorgasmico dual con estimulador de clitoris 360 con 10 modos Dany - CXO"/>
    <s v="JUGUETE PROPIO"/>
    <s v="CXO"/>
    <n v="1"/>
    <n v="3017.24"/>
  </r>
  <r>
    <s v="León 1 CEL"/>
    <s v="17/01/2026"/>
    <x v="11"/>
    <s v="7503032300443"/>
    <s v="Zoe bala vibradora RETAIL - CXO"/>
    <s v="JUGUETE PROPIO"/>
    <s v="CXO"/>
    <n v="1"/>
    <n v="155.16999999999999"/>
  </r>
  <r>
    <s v="León 1 CEL"/>
    <s v="19/01/2026"/>
    <x v="11"/>
    <s v="6970556032746"/>
    <s v="Vibrador en forma de Osito Lilo- CXO"/>
    <s v="JUGUETE PROPIO"/>
    <s v="CXO"/>
    <n v="1"/>
    <n v="775.86"/>
  </r>
  <r>
    <s v="León 1 CEL"/>
    <s v="20/01/2026"/>
    <x v="11"/>
    <s v="7503032300009"/>
    <s v="Arnes Bond - CXO"/>
    <s v="JUGUETE PROPIO"/>
    <s v="CXO"/>
    <n v="1"/>
    <n v="625"/>
  </r>
  <r>
    <s v="León 1 CEL"/>
    <s v="20/01/2026"/>
    <x v="11"/>
    <s v="7503024256741"/>
    <s v="Cola de Zorro 45cm café S - CXO"/>
    <s v="JUGUETE PROPIO"/>
    <s v="CXO"/>
    <n v="1"/>
    <n v="258.62"/>
  </r>
  <r>
    <s v="León 1 CEL"/>
    <s v="20/01/2026"/>
    <x v="11"/>
    <s v="7503043917524"/>
    <s v="Kit Lisboa 8 pzs - CXO"/>
    <s v="JUGUETE PROPIO"/>
    <s v="CXO"/>
    <n v="1"/>
    <n v="465.52"/>
  </r>
  <r>
    <s v="León 1 CEL"/>
    <s v="21/01/2026"/>
    <x v="11"/>
    <s v="7503043917081"/>
    <s v="Blade rosa anillo vibrador - CXO"/>
    <s v="JUGUETE PROPIO"/>
    <s v="CXO"/>
    <n v="2"/>
    <n v="163.80000000000001"/>
  </r>
  <r>
    <s v="León 1 CEL"/>
    <s v="21/01/2026"/>
    <x v="11"/>
    <s v="7500464543059"/>
    <s v="Dildo Realista con Ventosa 15.5cms Domi CXO"/>
    <s v="JUGUETE PROPIO"/>
    <s v="CXO"/>
    <n v="1"/>
    <n v="818.97"/>
  </r>
  <r>
    <s v="León 1 CEL"/>
    <s v="21/01/2026"/>
    <x v="11"/>
    <s v="7503030118033"/>
    <s v="Kit vibrador + estimulante para clitoris Lau - CXO"/>
    <s v="JUGUETE PROPIO"/>
    <s v="CXO"/>
    <n v="1"/>
    <n v="1706.9"/>
  </r>
  <r>
    <s v="León 1 CEL"/>
    <s v="22/01/2026"/>
    <x v="11"/>
    <s v="7503013378409"/>
    <s v="Anillo de Acero Grueso - CXO"/>
    <s v="JUGUETE PROPIO"/>
    <s v="CXO"/>
    <n v="1"/>
    <n v="474.14"/>
  </r>
  <r>
    <s v="León 1 CEL"/>
    <s v="22/01/2026"/>
    <x v="11"/>
    <s v="7503030220043"/>
    <s v="Dados para juegos 2 piezas - CXO"/>
    <s v="JUGUETE PROPIO"/>
    <s v="CXO"/>
    <n v="1"/>
    <n v="112.07"/>
  </r>
  <r>
    <s v="León 1 CEL"/>
    <s v="23/01/2026"/>
    <x v="11"/>
    <s v="7503043917333"/>
    <s v="Bren multiorgasmico - CXO"/>
    <s v="JUGUETE PROPIO"/>
    <s v="CXO"/>
    <n v="1"/>
    <n v="1508.62"/>
  </r>
  <r>
    <s v="León 1 CEL"/>
    <s v="23/01/2026"/>
    <x v="11"/>
    <s v="FLOCXO0007910"/>
    <s v="ESTIMULADOR DE CLIROTIS CON MANGO DE AGARRE"/>
    <s v="JUGUETE PROPIO"/>
    <s v="CXO"/>
    <n v="1"/>
    <n v="1116.3800000000001"/>
  </r>
  <r>
    <s v="León 1 CEL"/>
    <s v="23/01/2026"/>
    <x v="11"/>
    <s v="6970556034061"/>
    <s v="Multiorgasmico con succion y extensor Anna - CXO"/>
    <s v="JUGUETE PROPIO"/>
    <s v="CXO"/>
    <n v="1"/>
    <n v="1982.76"/>
  </r>
  <r>
    <s v="León 1 CEL"/>
    <s v="26/01/2026"/>
    <x v="11"/>
    <s v="SE020"/>
    <s v="Masturbador 2 en 1 Vagina y Boca - CXO"/>
    <s v="JUGUETE PROPIO"/>
    <s v="CXO"/>
    <n v="1"/>
    <n v="1293.0999999999999"/>
  </r>
  <r>
    <s v="León 1 CEL"/>
    <s v="27/01/2026"/>
    <x v="11"/>
    <s v="7503032300443"/>
    <s v="Zoe bala vibradora RETAIL - CXO"/>
    <s v="JUGUETE PROPIO"/>
    <s v="CXO"/>
    <n v="1"/>
    <n v="155.16999999999999"/>
  </r>
  <r>
    <s v="León 1 CEL"/>
    <s v="28/01/2026"/>
    <x v="11"/>
    <s v="7503043917081"/>
    <s v="Blade rosa anillo vibrador - CXO"/>
    <s v="JUGUETE PROPIO"/>
    <s v="CXO"/>
    <n v="1"/>
    <n v="81.900000000000006"/>
  </r>
  <r>
    <s v="León 1 CEL"/>
    <s v="29/01/2026"/>
    <x v="11"/>
    <s v="7503030211021"/>
    <s v="Anillo desechable para pene Donut - CXO"/>
    <s v="JUGUETE PROPIO"/>
    <s v="CXO"/>
    <n v="3"/>
    <n v="103.44999999999999"/>
  </r>
  <r>
    <s v="León 1 CEL"/>
    <s v="29/01/2026"/>
    <x v="11"/>
    <s v="7503043917081"/>
    <s v="Blade rosa anillo vibrador - CXO"/>
    <s v="JUGUETE PROPIO"/>
    <s v="CXO"/>
    <n v="1"/>
    <n v="81.900000000000006"/>
  </r>
  <r>
    <s v="León 1 CEL"/>
    <s v="29/01/2026"/>
    <x v="11"/>
    <s v="7503050524340"/>
    <s v="Ducha Felix S - CXO"/>
    <s v="JUGUETE PROPIO"/>
    <s v="CXO"/>
    <n v="1"/>
    <n v="612.07000000000005"/>
  </r>
  <r>
    <s v="León 1 CEL"/>
    <s v="29/01/2026"/>
    <x v="11"/>
    <s v="HRZH27262"/>
    <s v="Multiorgásmico Estimulador de Clítoris y Anal con 12 modos de Vibración  Carla- CXO"/>
    <s v="JUGUETE PROPIO"/>
    <s v="CXO"/>
    <n v="1"/>
    <n v="2543.1"/>
  </r>
  <r>
    <s v="León 1 CEL"/>
    <s v="29/01/2026"/>
    <x v="11"/>
    <s v="7503043917593"/>
    <s v="Vibrador Babo"/>
    <s v="JUGUETE PROPIO"/>
    <s v="CXO"/>
    <n v="1"/>
    <n v="258.62"/>
  </r>
  <r>
    <s v="León 1 CEL"/>
    <s v="30/01/2026"/>
    <x v="11"/>
    <s v="7503043917081"/>
    <s v="Blade rosa anillo vibrador - CXO"/>
    <s v="JUGUETE PROPIO"/>
    <s v="CXO"/>
    <n v="2"/>
    <n v="163.80000000000001"/>
  </r>
  <r>
    <s v="León 1 CEL"/>
    <s v="31/01/2026"/>
    <x v="11"/>
    <s v="7503043917081"/>
    <s v="Blade rosa anillo vibrador - CXO"/>
    <s v="JUGUETE PROPIO"/>
    <s v="CXO"/>
    <n v="1"/>
    <n v="81.900000000000006"/>
  </r>
  <r>
    <s v="León 1 CEL"/>
    <s v="31/01/2026"/>
    <x v="11"/>
    <s v="7503032300498"/>
    <s v="Cola de Zorro 45cm cafe M - CXO"/>
    <s v="JUGUETE PROPIO"/>
    <s v="CXO"/>
    <n v="1"/>
    <n v="301.72000000000003"/>
  </r>
  <r>
    <s v="León 1 CEL"/>
    <s v="31/01/2026"/>
    <x v="11"/>
    <s v="7503013378256"/>
    <s v="VIBRADOR MONA MICROFONO"/>
    <s v="JUGUETE PROPIO"/>
    <s v="CXO"/>
    <n v="1"/>
    <n v="448.28"/>
  </r>
  <r>
    <s v="León 1 CEL"/>
    <s v="31/01/2026"/>
    <x v="11"/>
    <s v="7503032300443"/>
    <s v="Zoe bala vibradora RETAIL - CXO"/>
    <s v="JUGUETE PROPIO"/>
    <s v="CXO"/>
    <n v="1"/>
    <n v="155.16999999999999"/>
  </r>
  <r>
    <s v="Naciones Unidas CEL"/>
    <s v="02/01/2026"/>
    <x v="12"/>
    <s v="7503020112070"/>
    <s v="Bala vibradora recargable Ely – CXO"/>
    <s v="JUGUETE PROPIO"/>
    <s v="CXO"/>
    <n v="2"/>
    <n v="1586.2"/>
  </r>
  <r>
    <s v="Naciones Unidas CEL"/>
    <s v="03/01/2026"/>
    <x v="12"/>
    <s v="7503032300634"/>
    <s v="Kevin violeta - CXO"/>
    <s v="JUGUETE PROPIO"/>
    <s v="CXO"/>
    <n v="1"/>
    <n v="775.86"/>
  </r>
  <r>
    <s v="Naciones Unidas CEL"/>
    <s v="05/01/2026"/>
    <x v="12"/>
    <s v="7503013378850"/>
    <s v="Amy fucsia - CXO"/>
    <s v="JUGUETE PROPIO"/>
    <s v="CXO"/>
    <n v="1"/>
    <n v="431.03"/>
  </r>
  <r>
    <s v="Naciones Unidas CEL"/>
    <s v="05/01/2026"/>
    <x v="12"/>
    <s v="7503020111072"/>
    <s v="Anillo vibrador recargable con textura negra Hank - CXO"/>
    <s v="JUGUETE PROPIO"/>
    <s v="CXO"/>
    <n v="1"/>
    <n v="1267.24"/>
  </r>
  <r>
    <s v="Naciones Unidas CEL"/>
    <s v="05/01/2026"/>
    <x v="12"/>
    <s v="7503043917326"/>
    <s v="Caro dual - CXO"/>
    <s v="JUGUETE PROPIO"/>
    <s v="CXO"/>
    <n v="1"/>
    <n v="1379.31"/>
  </r>
  <r>
    <s v="Naciones Unidas CEL"/>
    <s v="05/01/2026"/>
    <x v="12"/>
    <s v="7503030220044"/>
    <s v="Dados con posiciones 2 piezas - CXO"/>
    <s v="JUGUETE PROPIO"/>
    <s v="CXO"/>
    <n v="1"/>
    <n v="77.59"/>
  </r>
  <r>
    <s v="Naciones Unidas CEL"/>
    <s v="05/01/2026"/>
    <x v="12"/>
    <s v="7503030220043"/>
    <s v="Dados para juegos 2 piezas - CXO"/>
    <s v="JUGUETE PROPIO"/>
    <s v="CXO"/>
    <n v="1"/>
    <n v="112.07"/>
  </r>
  <r>
    <s v="Naciones Unidas CEL"/>
    <s v="05/01/2026"/>
    <x v="12"/>
    <s v="7503030119041"/>
    <s v="Dildo vibrador con movimiento impulsor Arma - CXO"/>
    <s v="JUGUETE PROPIO"/>
    <s v="CXO"/>
    <n v="1"/>
    <n v="1706.9"/>
  </r>
  <r>
    <s v="Naciones Unidas CEL"/>
    <s v="05/01/2026"/>
    <x v="12"/>
    <s v="LL-A2216"/>
    <s v="Huevito con 10 modos de Vibración  Gina - CXO"/>
    <s v="JUGUETE PROPIO"/>
    <s v="CXO"/>
    <n v="1"/>
    <n v="1500"/>
  </r>
  <r>
    <s v="Naciones Unidas CEL"/>
    <s v="05/01/2026"/>
    <x v="12"/>
    <s v="7503050226162"/>
    <s v="Plug Anal con Vibración y Control Roberto - CXO"/>
    <s v="JUGUETE PROPIO"/>
    <s v="CXO"/>
    <n v="1"/>
    <n v="1293.0999999999999"/>
  </r>
  <r>
    <s v="Naciones Unidas CEL"/>
    <s v="05/01/2026"/>
    <x v="12"/>
    <s v="7503032300443"/>
    <s v="Zoe bala vibradora RETAIL - CXO"/>
    <s v="JUGUETE PROPIO"/>
    <s v="CXO"/>
    <n v="2"/>
    <n v="310.33999999999997"/>
  </r>
  <r>
    <s v="Naciones Unidas CEL"/>
    <s v="08/01/2026"/>
    <x v="12"/>
    <s v="7503050226162"/>
    <s v="Plug Anal con Vibración y Control Roberto - CXO"/>
    <s v="JUGUETE PROPIO"/>
    <s v="CXO"/>
    <n v="1"/>
    <n v="1293.0999999999999"/>
  </r>
  <r>
    <s v="Naciones Unidas CEL"/>
    <s v="08/01/2026"/>
    <x v="12"/>
    <s v="CXOMJ007"/>
    <s v="Succionador Penny  - CXO"/>
    <s v="JUGUETE PROPIO"/>
    <s v="CXO"/>
    <n v="1"/>
    <n v="818.97"/>
  </r>
  <r>
    <s v="Naciones Unidas CEL"/>
    <s v="10/01/2026"/>
    <x v="12"/>
    <s v="7503043917081"/>
    <s v="Blade rosa anillo vibrador - CXO"/>
    <s v="JUGUETE PROPIO"/>
    <s v="CXO"/>
    <n v="1"/>
    <n v="81.900000000000006"/>
  </r>
  <r>
    <s v="Naciones Unidas CEL"/>
    <s v="10/01/2026"/>
    <x v="12"/>
    <s v="7503020310205"/>
    <s v="Dildo Vibrador Termico Realista 3 en 1 con movimiento Hades-CXO"/>
    <s v="JUGUETE PROPIO"/>
    <s v="CXO"/>
    <n v="1"/>
    <n v="2500"/>
  </r>
  <r>
    <s v="Naciones Unidas CEL"/>
    <s v="10/01/2026"/>
    <x v="12"/>
    <s v="713001200104"/>
    <s v="Multiorgasmico con estimulador de clitoris de aleteo Marisol - CXO"/>
    <s v="JUGUETE PROPIO"/>
    <s v="CXO"/>
    <n v="1"/>
    <n v="2500"/>
  </r>
  <r>
    <s v="Naciones Unidas CEL"/>
    <s v="10/01/2026"/>
    <x v="12"/>
    <s v="7503032300443"/>
    <s v="Zoe bala vibradora RETAIL - CXO"/>
    <s v="JUGUETE PROPIO"/>
    <s v="CXO"/>
    <n v="1"/>
    <n v="155.16999999999999"/>
  </r>
  <r>
    <s v="Naciones Unidas CEL"/>
    <s v="14/01/2026"/>
    <x v="12"/>
    <s v="7503032300443"/>
    <s v="Zoe bala vibradora RETAIL - CXO"/>
    <s v="JUGUETE PROPIO"/>
    <s v="CXO"/>
    <n v="1"/>
    <n v="155.16999999999999"/>
  </r>
  <r>
    <s v="Naciones Unidas CEL"/>
    <s v="17/01/2026"/>
    <x v="12"/>
    <s v="7503024256727"/>
    <s v="Cola de Zorro 45cm negro S - CXO"/>
    <s v="JUGUETE PROPIO"/>
    <s v="CXO"/>
    <n v="1"/>
    <n v="258.62"/>
  </r>
  <r>
    <s v="Naciones Unidas CEL"/>
    <s v="17/01/2026"/>
    <x v="12"/>
    <s v="7503050226162"/>
    <s v="Plug Anal con Vibración y Control Roberto - CXO"/>
    <s v="JUGUETE PROPIO"/>
    <s v="CXO"/>
    <n v="1"/>
    <n v="1293.0999999999999"/>
  </r>
  <r>
    <s v="Naciones Unidas CEL"/>
    <s v="22/01/2026"/>
    <x v="12"/>
    <s v="7503020111072"/>
    <s v="Anillo vibrador recargable con textura negra Hank - CXO"/>
    <s v="JUGUETE PROPIO"/>
    <s v="CXO"/>
    <n v="1"/>
    <n v="1267.24"/>
  </r>
  <r>
    <s v="Naciones Unidas CEL"/>
    <s v="22/01/2026"/>
    <x v="12"/>
    <s v="7503020420814"/>
    <s v="Bomba de vacio manual Noah - CXO"/>
    <s v="JUGUETE PROPIO"/>
    <s v="CXO"/>
    <n v="1"/>
    <n v="818.97"/>
  </r>
  <r>
    <s v="Naciones Unidas CEL"/>
    <s v="22/01/2026"/>
    <x v="12"/>
    <s v="7503030220043"/>
    <s v="Dados para juegos 2 piezas - CXO"/>
    <s v="JUGUETE PROPIO"/>
    <s v="CXO"/>
    <n v="1"/>
    <n v="112.07"/>
  </r>
  <r>
    <s v="Naciones Unidas CEL"/>
    <s v="22/01/2026"/>
    <x v="12"/>
    <s v="7503020220077"/>
    <s v="Juego de mesa sensual para parejas – CXO"/>
    <s v="JUGUETE PROPIO"/>
    <s v="CXO"/>
    <n v="1"/>
    <n v="637.92999999999995"/>
  </r>
  <r>
    <s v="Naciones Unidas CEL"/>
    <s v="22/01/2026"/>
    <x v="12"/>
    <s v="PZ-812-ZT"/>
    <s v="KIT BDSM Policia - CXO"/>
    <s v="JUGUETE PROPIO"/>
    <s v="CXO"/>
    <n v="1"/>
    <n v="1724.14"/>
  </r>
  <r>
    <s v="Naciones Unidas CEL"/>
    <s v="23/01/2026"/>
    <x v="12"/>
    <s v="7503030211021"/>
    <s v="Anillo desechable para pene Donut - CXO"/>
    <s v="JUGUETE PROPIO"/>
    <s v="CXO"/>
    <n v="2"/>
    <n v="68.959999999999994"/>
  </r>
  <r>
    <s v="Naciones Unidas CEL"/>
    <s v="23/01/2026"/>
    <x v="12"/>
    <s v="7503043917524"/>
    <s v="Kit Lisboa 8 pzs - CXO"/>
    <s v="JUGUETE PROPIO"/>
    <s v="CXO"/>
    <n v="1"/>
    <n v="465.52"/>
  </r>
  <r>
    <s v="Naciones Unidas CEL"/>
    <s v="24/01/2026"/>
    <x v="12"/>
    <s v="7503030211021"/>
    <s v="Anillo desechable para pene Donut - CXO"/>
    <s v="JUGUETE PROPIO"/>
    <s v="CXO"/>
    <n v="2"/>
    <n v="68.97"/>
  </r>
  <r>
    <s v="Naciones Unidas CEL"/>
    <s v="26/01/2026"/>
    <x v="12"/>
    <s v="7503030103028"/>
    <s v="Huevito vibrador con control a distancia Daniela - CXO"/>
    <s v="JUGUETE PROPIO"/>
    <s v="CXO"/>
    <n v="1"/>
    <n v="1500"/>
  </r>
  <r>
    <s v="Naciones Unidas CEL"/>
    <s v="27/01/2026"/>
    <x v="12"/>
    <s v="7503020111072"/>
    <s v="Anillo vibrador recargable con textura negra Hank - CXO"/>
    <s v="JUGUETE PROPIO"/>
    <s v="CXO"/>
    <n v="1"/>
    <n v="1267.24"/>
  </r>
  <r>
    <s v="Naciones Unidas CEL"/>
    <s v="30/01/2026"/>
    <x v="12"/>
    <s v="7503043917081"/>
    <s v="Blade rosa anillo vibrador - CXO"/>
    <s v="JUGUETE PROPIO"/>
    <s v="CXO"/>
    <n v="1"/>
    <n v="81.900000000000006"/>
  </r>
  <r>
    <s v="Naciones Unidas CEL"/>
    <s v="30/01/2026"/>
    <x v="12"/>
    <s v="7503032300443"/>
    <s v="Zoe bala vibradora RETAIL - CXO"/>
    <s v="JUGUETE PROPIO"/>
    <s v="CXO"/>
    <n v="1"/>
    <n v="155.16999999999999"/>
  </r>
  <r>
    <s v="Naciones Unidas CEL"/>
    <s v="31/01/2026"/>
    <x v="12"/>
    <s v="7503020111072"/>
    <s v="Anillo vibrador recargable con textura negra Hank - CXO"/>
    <s v="JUGUETE PROPIO"/>
    <s v="CXO"/>
    <n v="1"/>
    <n v="1267.24"/>
  </r>
  <r>
    <s v="Naciones Unidas CEL"/>
    <s v="31/01/2026"/>
    <x v="12"/>
    <s v="7503030220043"/>
    <s v="Dados para juegos 2 piezas - CXO"/>
    <s v="JUGUETE PROPIO"/>
    <s v="CXO"/>
    <n v="1"/>
    <n v="112.07"/>
  </r>
  <r>
    <s v="Naciones Unidas CEL"/>
    <s v="31/01/2026"/>
    <x v="12"/>
    <s v="7503024256222"/>
    <s v="Jones - CXO"/>
    <s v="JUGUETE PROPIO"/>
    <s v="CXO"/>
    <n v="1"/>
    <n v="1329.11"/>
  </r>
  <r>
    <s v="Patria -CEL"/>
    <s v="03/01/2026"/>
    <x v="13"/>
    <s v="7503013378102"/>
    <s v="Anastasia Gema de Colores M - CXO"/>
    <s v="JUGUETE PROPIO"/>
    <s v="CXO"/>
    <n v="2"/>
    <n v="913.8"/>
  </r>
  <r>
    <s v="Patria -CEL"/>
    <s v="05/01/2026"/>
    <x v="13"/>
    <s v="7500464543059"/>
    <s v="Dildo Realista con Ventosa 15.5cms Domi CXO"/>
    <s v="JUGUETE PROPIO"/>
    <s v="CXO"/>
    <n v="1"/>
    <n v="818.97"/>
  </r>
  <r>
    <s v="Patria -CEL"/>
    <s v="06/01/2026"/>
    <x v="6"/>
    <s v="7503032300627"/>
    <s v="Kevin - CXO"/>
    <s v="JUGUETE PROPIO"/>
    <s v="CXO"/>
    <n v="1"/>
    <n v="775.86"/>
  </r>
  <r>
    <s v="Patria -CEL"/>
    <s v="06/01/2026"/>
    <x v="6"/>
    <s v="6970784913251"/>
    <s v="Multiorgasmico con Conejito con 10 modos Nika - CXO"/>
    <s v="JUGUETE PROPIO"/>
    <s v="CXO"/>
    <n v="1"/>
    <n v="2672.41"/>
  </r>
  <r>
    <s v="Patria -CEL"/>
    <s v="08/01/2026"/>
    <x v="13"/>
    <s v="7503030211021"/>
    <s v="Anillo desechable para pene Donut - CXO"/>
    <s v="JUGUETE PROPIO"/>
    <s v="CXO"/>
    <n v="1"/>
    <n v="34.479999999999997"/>
  </r>
  <r>
    <s v="Patria -CEL"/>
    <s v="08/01/2026"/>
    <x v="13"/>
    <s v="7503050226162"/>
    <s v="Plug Anal con Vibración y Control Roberto - CXO"/>
    <s v="JUGUETE PROPIO"/>
    <s v="CXO"/>
    <n v="1"/>
    <n v="1293.0999999999999"/>
  </r>
  <r>
    <s v="Patria -CEL"/>
    <s v="09/01/2026"/>
    <x v="13"/>
    <s v="7503030102034"/>
    <s v="Dildo vibrador con control Anthony - CXO"/>
    <s v="JUGUETE PROPIO"/>
    <s v="CXO"/>
    <n v="1"/>
    <n v="2112.0700000000002"/>
  </r>
  <r>
    <s v="Patria -CEL"/>
    <s v="09/01/2026"/>
    <x v="13"/>
    <s v="7503032300627"/>
    <s v="Kevin - CXO"/>
    <s v="JUGUETE PROPIO"/>
    <s v="CXO"/>
    <n v="2"/>
    <n v="1551.72"/>
  </r>
  <r>
    <s v="Patria -CEL"/>
    <s v="10/01/2026"/>
    <x v="13"/>
    <s v="7503043917142"/>
    <s v="Hank negro anillo vibrador - CXO"/>
    <s v="JUGUETE PROPIO"/>
    <s v="CXO"/>
    <n v="1"/>
    <n v="818.97"/>
  </r>
  <r>
    <s v="Patria -CEL"/>
    <s v="10/01/2026"/>
    <x v="13"/>
    <s v="7503020105084"/>
    <s v="Vibrador para parejas tipo C Trinity – CXO"/>
    <s v="JUGUETE PROPIO"/>
    <s v="CXO"/>
    <n v="1"/>
    <n v="2465.52"/>
  </r>
  <r>
    <s v="Patria -CEL"/>
    <s v="11/01/2026"/>
    <x v="13"/>
    <s v="RYSC-159-C-ZT"/>
    <s v="Juego de Ataduras BDSM Sumision - CXO"/>
    <s v="JUGUETE PROPIO"/>
    <s v="CXO"/>
    <n v="1"/>
    <n v="775.86"/>
  </r>
  <r>
    <s v="Patria -CEL"/>
    <s v="11/01/2026"/>
    <x v="13"/>
    <s v="7503050226162"/>
    <s v="Plug Anal con Vibración y Control Roberto - CXO"/>
    <s v="JUGUETE PROPIO"/>
    <s v="CXO"/>
    <n v="1"/>
    <n v="1293.0999999999999"/>
  </r>
  <r>
    <s v="Patria -CEL"/>
    <s v="11/01/2026"/>
    <x v="13"/>
    <s v="7503020104082"/>
    <s v="Vibrador multiorgásmico con succionador y perlas Andy – CXO"/>
    <s v="JUGUETE PROPIO"/>
    <s v="CXO"/>
    <n v="1"/>
    <n v="2258.62"/>
  </r>
  <r>
    <s v="Patria -CEL"/>
    <s v="11/01/2026"/>
    <x v="13"/>
    <s v="7503032300443"/>
    <s v="Zoe bala vibradora RETAIL - CXO"/>
    <s v="JUGUETE PROPIO"/>
    <s v="CXO"/>
    <n v="1"/>
    <n v="155.16999999999999"/>
  </r>
  <r>
    <s v="Patria -CEL"/>
    <s v="12/01/2026"/>
    <x v="13"/>
    <s v="7503020310205"/>
    <s v="Dildo Vibrador Termico Realista 3 en 1 con movimiento Hades-CXO"/>
    <s v="JUGUETE PROPIO"/>
    <s v="CXO"/>
    <n v="2"/>
    <n v="5000"/>
  </r>
  <r>
    <s v="Patria -CEL"/>
    <s v="12/01/2026"/>
    <x v="13"/>
    <s v="7503030118033"/>
    <s v="Kit vibrador + estimulante para clitoris Lau - CXO"/>
    <s v="JUGUETE PROPIO"/>
    <s v="CXO"/>
    <n v="1"/>
    <n v="1706.9"/>
  </r>
  <r>
    <s v="Patria -CEL"/>
    <s v="13/01/2026"/>
    <x v="13"/>
    <s v="7503043917081"/>
    <s v="Blade rosa anillo vibrador - CXO"/>
    <s v="JUGUETE PROPIO"/>
    <s v="CXO"/>
    <n v="2"/>
    <n v="163.80000000000001"/>
  </r>
  <r>
    <s v="Patria -CEL"/>
    <s v="13/01/2026"/>
    <x v="13"/>
    <s v="D07003"/>
    <s v="Kit BDSM 7 piezas - CXO"/>
    <s v="JUGUETE PROPIO"/>
    <s v="CXO"/>
    <n v="1"/>
    <n v="474.14"/>
  </r>
  <r>
    <s v="Patria -CEL"/>
    <s v="14/01/2026"/>
    <x v="13"/>
    <s v="7503030118033"/>
    <s v="Kit vibrador + estimulante para clitoris Lau - CXO"/>
    <s v="JUGUETE PROPIO"/>
    <s v="CXO"/>
    <n v="1"/>
    <n v="1706.9"/>
  </r>
  <r>
    <s v="Patria -CEL"/>
    <s v="16/01/2026"/>
    <x v="13"/>
    <s v="7503020111072"/>
    <s v="Anillo vibrador recargable con textura negra Hank - CXO"/>
    <s v="JUGUETE PROPIO"/>
    <s v="CXO"/>
    <n v="1"/>
    <n v="1267.24"/>
  </r>
  <r>
    <s v="Patria -CEL"/>
    <s v="16/01/2026"/>
    <x v="13"/>
    <s v="7503032300382"/>
    <s v="Mon - CXO"/>
    <s v="JUGUETE PROPIO"/>
    <s v="CXO"/>
    <n v="1"/>
    <n v="517.24"/>
  </r>
  <r>
    <s v="Patria -CEL"/>
    <s v="17/01/2026"/>
    <x v="13"/>
    <s v="7503030111031"/>
    <s v="Anillo vibrador de aro doble con estimulador y dildo Javier - CXO"/>
    <s v="JUGUETE PROPIO"/>
    <s v="CXO"/>
    <n v="1"/>
    <n v="1681.03"/>
  </r>
  <r>
    <s v="Patria -CEL"/>
    <s v="17/01/2026"/>
    <x v="13"/>
    <s v="7503050226162"/>
    <s v="Plug Anal con Vibración y Control Roberto - CXO"/>
    <s v="JUGUETE PROPIO"/>
    <s v="CXO"/>
    <n v="1"/>
    <n v="1293.0999999999999"/>
  </r>
  <r>
    <s v="Patria -CEL"/>
    <s v="19/01/2026"/>
    <x v="13"/>
    <s v="7503030114188"/>
    <s v="Bomba de vacio Nico - CXO"/>
    <s v="JUGUETE PROPIO"/>
    <s v="CXO"/>
    <n v="1"/>
    <n v="1956.9"/>
  </r>
  <r>
    <s v="Patria -CEL"/>
    <s v="21/01/2026"/>
    <x v="13"/>
    <s v="JUGERE00224XZ"/>
    <s v="Vibrador Anal de Perlas Mely - CXO"/>
    <s v="JUGUETE PROPIO"/>
    <s v="CXO"/>
    <n v="1"/>
    <n v="1681.03"/>
  </r>
  <r>
    <s v="Patria -CEL"/>
    <s v="22/01/2026"/>
    <x v="6"/>
    <s v="7503024256727"/>
    <s v="Cola de Zorro 45cm negro S - CXO"/>
    <s v="JUGUETE PROPIO"/>
    <s v="CXO"/>
    <n v="1"/>
    <n v="258.62"/>
  </r>
  <r>
    <s v="Patria -CEL"/>
    <s v="22/01/2026"/>
    <x v="6"/>
    <s v="7503030103028"/>
    <s v="Huevito vibrador con control a distancia Daniela - CXO"/>
    <s v="JUGUETE PROPIO"/>
    <s v="CXO"/>
    <n v="1"/>
    <n v="1500"/>
  </r>
  <r>
    <s v="Patria -CEL"/>
    <s v="22/01/2026"/>
    <x v="6"/>
    <s v="JUGERE00225V0"/>
    <s v="Multiorgasmico Flexible con  Lenguita y Efecto caliente Lorena - CXO"/>
    <s v="JUGUETE PROPIO"/>
    <s v="CXO"/>
    <n v="1"/>
    <n v="1896.55"/>
  </r>
  <r>
    <s v="Patria -CEL"/>
    <s v="23/01/2026"/>
    <x v="13"/>
    <s v="7503030211021"/>
    <s v="Anillo desechable para pene Donut - CXO"/>
    <s v="JUGUETE PROPIO"/>
    <s v="CXO"/>
    <n v="6"/>
    <n v="206.9"/>
  </r>
  <r>
    <s v="Patria -CEL"/>
    <s v="23/01/2026"/>
    <x v="13"/>
    <s v="7503020111072"/>
    <s v="Anillo vibrador recargable con textura negra Hank - CXO"/>
    <s v="JUGUETE PROPIO"/>
    <s v="CXO"/>
    <n v="1"/>
    <n v="1267.24"/>
  </r>
  <r>
    <s v="Patria -CEL"/>
    <s v="23/01/2026"/>
    <x v="13"/>
    <s v="7503020202214"/>
    <s v="Dildo realista con ventosa y testiculos Eddy - CXO"/>
    <s v="JUGUETE PROPIO"/>
    <s v="CXO"/>
    <n v="1"/>
    <n v="948.28"/>
  </r>
  <r>
    <s v="Patria -CEL"/>
    <s v="23/01/2026"/>
    <x v="13"/>
    <s v="7503020310116"/>
    <s v="Panty vibrador con control remoto rosa Celi - CXO"/>
    <s v="JUGUETE PROPIO"/>
    <s v="CXO"/>
    <n v="1"/>
    <n v="1681.03"/>
  </r>
  <r>
    <s v="Patria -CEL"/>
    <s v="24/01/2026"/>
    <x v="13"/>
    <s v="7503030104190"/>
    <s v="Vibrador multiorgasmico con 10 modos de vibracion Norma - CXO"/>
    <s v="JUGUETE PROPIO"/>
    <s v="CXO"/>
    <n v="1"/>
    <n v="2396.5500000000002"/>
  </r>
  <r>
    <s v="Patria -CEL"/>
    <s v="27/01/2026"/>
    <x v="13"/>
    <s v="7503030215178"/>
    <s v="Arnes tipo calzon con abertura - CXO"/>
    <s v="JUGUETE PROPIO"/>
    <s v="CXO"/>
    <n v="1"/>
    <n v="344.83"/>
  </r>
  <r>
    <s v="Patria -CEL"/>
    <s v="27/01/2026"/>
    <x v="13"/>
    <s v="7503020202214"/>
    <s v="Dildo realista con ventosa y testiculos Eddy - CXO"/>
    <s v="JUGUETE PROPIO"/>
    <s v="CXO"/>
    <n v="1"/>
    <n v="948.28"/>
  </r>
  <r>
    <s v="Patria -CEL"/>
    <s v="28/01/2026"/>
    <x v="4"/>
    <s v="7503030102198"/>
    <s v="Dildo realista vibrador con ventosa Ulises - CXO"/>
    <s v="JUGUETE PROPIO"/>
    <s v="CXO"/>
    <n v="1"/>
    <n v="2000"/>
  </r>
  <r>
    <s v="Patria -CEL"/>
    <s v="28/01/2026"/>
    <x v="4"/>
    <s v="7503050524289"/>
    <s v="Oxi bomba de vacio manual - CXO"/>
    <s v="JUGUETE PROPIO"/>
    <s v="CXO"/>
    <n v="1"/>
    <n v="853.45"/>
  </r>
  <r>
    <s v="Patria -CEL"/>
    <s v="29/01/2026"/>
    <x v="13"/>
    <s v="7503013378102"/>
    <s v="Anastasia Gema de Colores M - CXO"/>
    <s v="JUGUETE PROPIO"/>
    <s v="CXO"/>
    <n v="1"/>
    <n v="456.9"/>
  </r>
  <r>
    <s v="Patria -CEL"/>
    <s v="29/01/2026"/>
    <x v="13"/>
    <s v="7503030128197"/>
    <s v="Ducha anal con vibracion Hector - CXO"/>
    <s v="JUGUETE PROPIO"/>
    <s v="CXO"/>
    <n v="1"/>
    <n v="1862.07"/>
  </r>
  <r>
    <s v="Patria -CEL"/>
    <s v="29/01/2026"/>
    <x v="13"/>
    <s v="D07003"/>
    <s v="Kit BDSM 7 piezas - CXO"/>
    <s v="JUGUETE PROPIO"/>
    <s v="CXO"/>
    <n v="1"/>
    <n v="474.14"/>
  </r>
  <r>
    <s v="Patria -CEL"/>
    <s v="29/01/2026"/>
    <x v="13"/>
    <s v="HRZH27262"/>
    <s v="Multiorgásmico Estimulador de Clítoris y Anal con 12 modos de Vibración  Carla- CXO"/>
    <s v="JUGUETE PROPIO"/>
    <s v="CXO"/>
    <n v="1"/>
    <n v="2543.1"/>
  </r>
  <r>
    <s v="Patria -CEL"/>
    <s v="29/01/2026"/>
    <x v="13"/>
    <s v="7503020310116"/>
    <s v="Panty vibrador con control remoto rosa Celi - CXO"/>
    <s v="JUGUETE PROPIO"/>
    <s v="CXO"/>
    <n v="1"/>
    <n v="1681.03"/>
  </r>
  <r>
    <s v="Patria -CEL"/>
    <s v="30/01/2026"/>
    <x v="13"/>
    <s v="7503030109176"/>
    <s v="Osito succionador USB - CXO"/>
    <s v="JUGUETE PROPIO"/>
    <s v="CXO"/>
    <n v="1"/>
    <n v="818.97"/>
  </r>
  <r>
    <s v="Patria -CEL"/>
    <s v="30/01/2026"/>
    <x v="13"/>
    <s v="7503050226162"/>
    <s v="Plug Anal con Vibración y Control Roberto - CXO"/>
    <s v="JUGUETE PROPIO"/>
    <s v="CXO"/>
    <n v="1"/>
    <n v="1293.0999999999999"/>
  </r>
  <r>
    <s v="Patria -CEL"/>
    <s v="31/01/2026"/>
    <x v="13"/>
    <s v="7503030211021"/>
    <s v="Anillo desechable para pene Donut - CXO"/>
    <s v="JUGUETE PROPIO"/>
    <s v="CXO"/>
    <n v="2"/>
    <n v="68.959999999999994"/>
  </r>
  <r>
    <s v="Patria -CEL"/>
    <s v="31/01/2026"/>
    <x v="13"/>
    <s v="7503043917081"/>
    <s v="Blade rosa anillo vibrador - CXO"/>
    <s v="JUGUETE PROPIO"/>
    <s v="CXO"/>
    <n v="1"/>
    <n v="81.900000000000006"/>
  </r>
  <r>
    <s v="Patria -CEL"/>
    <s v="31/01/2026"/>
    <x v="13"/>
    <s v="7503024256734"/>
    <s v="Cola de Zorro 45cm blanco M - CXO"/>
    <s v="JUGUETE PROPIO"/>
    <s v="CXO"/>
    <n v="1"/>
    <n v="301.72000000000003"/>
  </r>
  <r>
    <s v="Patria -CEL"/>
    <s v="31/01/2026"/>
    <x v="13"/>
    <s v="7503020104212"/>
    <s v="Vibrador multiorgasmico con aleta estimuladora Megan - CXO"/>
    <s v="JUGUETE PROPIO"/>
    <s v="CXO"/>
    <n v="1"/>
    <n v="2413.79"/>
  </r>
  <r>
    <s v="Patria -CEL"/>
    <s v="31/01/2026"/>
    <x v="13"/>
    <s v="7503032300443"/>
    <s v="Zoe bala vibradora RETAIL - CXO"/>
    <s v="JUGUETE PROPIO"/>
    <s v="CXO"/>
    <n v="1"/>
    <n v="155.16999999999999"/>
  </r>
  <r>
    <s v="Plaza Alamo CELESTERRA"/>
    <s v="02/01/2026"/>
    <x v="14"/>
    <s v="7503043917081"/>
    <s v="Blade rosa anillo vibrador - CXO"/>
    <s v="JUGUETE PROPIO"/>
    <s v="CXO"/>
    <n v="1"/>
    <n v="81.900000000000006"/>
  </r>
  <r>
    <s v="Plaza Alamo CELESTERRA"/>
    <s v="02/01/2026"/>
    <x v="14"/>
    <s v="7503020104073"/>
    <s v="Vibrador multiorgásmico con textura y estimulación doble Lidia - CXO"/>
    <s v="JUGUETE PROPIO"/>
    <s v="CXO"/>
    <n v="1"/>
    <n v="2008.62"/>
  </r>
  <r>
    <s v="Plaza Alamo CELESTERRA"/>
    <s v="03/01/2026"/>
    <x v="14"/>
    <s v="7503043917081"/>
    <s v="Blade rosa anillo vibrador - CXO"/>
    <s v="JUGUETE PROPIO"/>
    <s v="CXO"/>
    <n v="1"/>
    <n v="81.900000000000006"/>
  </r>
  <r>
    <s v="Plaza Alamo CELESTERRA"/>
    <s v="03/01/2026"/>
    <x v="14"/>
    <s v="7503030102034"/>
    <s v="Dildo vibrador con control Anthony - CXO"/>
    <s v="JUGUETE PROPIO"/>
    <s v="CXO"/>
    <n v="1"/>
    <n v="2112.0700000000002"/>
  </r>
  <r>
    <s v="Plaza Alamo CELESTERRA"/>
    <s v="03/01/2026"/>
    <x v="14"/>
    <s v="7503032300443"/>
    <s v="Zoe bala vibradora RETAIL - CXO"/>
    <s v="JUGUETE PROPIO"/>
    <s v="CXO"/>
    <n v="1"/>
    <n v="155.16999999999999"/>
  </r>
  <r>
    <s v="Plaza Alamo CELESTERRA"/>
    <s v="04/01/2026"/>
    <x v="14"/>
    <s v="7503043917081"/>
    <s v="Blade rosa anillo vibrador - CXO"/>
    <s v="JUGUETE PROPIO"/>
    <s v="CXO"/>
    <n v="3"/>
    <n v="245.70000000000002"/>
  </r>
  <r>
    <s v="Plaza Alamo CELESTERRA"/>
    <s v="04/01/2026"/>
    <x v="14"/>
    <s v="7500464543059"/>
    <s v="Dildo Realista con Ventosa 15.5cms Domi CXO"/>
    <s v="JUGUETE PROPIO"/>
    <s v="CXO"/>
    <n v="1"/>
    <n v="818.97"/>
  </r>
  <r>
    <s v="Plaza Alamo CELESTERRA"/>
    <s v="06/01/2026"/>
    <x v="14"/>
    <s v="7503043917081"/>
    <s v="Blade rosa anillo vibrador - CXO"/>
    <s v="JUGUETE PROPIO"/>
    <s v="CXO"/>
    <n v="2"/>
    <n v="163.80000000000001"/>
  </r>
  <r>
    <s v="Plaza Alamo CELESTERRA"/>
    <s v="08/01/2026"/>
    <x v="14"/>
    <s v="7503043917081"/>
    <s v="Blade rosa anillo vibrador - CXO"/>
    <s v="JUGUETE PROPIO"/>
    <s v="CXO"/>
    <n v="2"/>
    <n v="163.80000000000001"/>
  </r>
  <r>
    <s v="Plaza Alamo CELESTERRA"/>
    <s v="08/01/2026"/>
    <x v="14"/>
    <s v="7503032300443"/>
    <s v="Zoe bala vibradora RETAIL - CXO"/>
    <s v="JUGUETE PROPIO"/>
    <s v="CXO"/>
    <n v="1"/>
    <n v="155.16999999999999"/>
  </r>
  <r>
    <s v="Plaza Alamo CELESTERRA"/>
    <s v="09/01/2026"/>
    <x v="14"/>
    <s v="7503043917081"/>
    <s v="Blade rosa anillo vibrador - CXO"/>
    <s v="JUGUETE PROPIO"/>
    <s v="CXO"/>
    <n v="4"/>
    <n v="327.60000000000002"/>
  </r>
  <r>
    <s v="Plaza Alamo CELESTERRA"/>
    <s v="09/01/2026"/>
    <x v="14"/>
    <s v="7503043917524"/>
    <s v="Kit Lisboa 8 pzs - CXO"/>
    <s v="JUGUETE PROPIO"/>
    <s v="CXO"/>
    <n v="1"/>
    <n v="465.52"/>
  </r>
  <r>
    <s v="Plaza Alamo CELESTERRA"/>
    <s v="09/01/2026"/>
    <x v="14"/>
    <s v="7503032300443"/>
    <s v="Zoe bala vibradora RETAIL - CXO"/>
    <s v="JUGUETE PROPIO"/>
    <s v="CXO"/>
    <n v="1"/>
    <n v="155.16999999999999"/>
  </r>
  <r>
    <s v="Plaza Alamo CELESTERRA"/>
    <s v="10/01/2026"/>
    <x v="14"/>
    <s v="7503030211021"/>
    <s v="Anillo desechable para pene Donut - CXO"/>
    <s v="JUGUETE PROPIO"/>
    <s v="CXO"/>
    <n v="1"/>
    <n v="34.479999999999997"/>
  </r>
  <r>
    <s v="Plaza Alamo CELESTERRA"/>
    <s v="10/01/2026"/>
    <x v="14"/>
    <s v="7503043917081"/>
    <s v="Blade rosa anillo vibrador - CXO"/>
    <s v="JUGUETE PROPIO"/>
    <s v="CXO"/>
    <n v="3"/>
    <n v="245.70000000000002"/>
  </r>
  <r>
    <s v="Plaza Alamo CELESTERRA"/>
    <s v="10/01/2026"/>
    <x v="14"/>
    <s v="7503043917333"/>
    <s v="Bren multiorgasmico - CXO"/>
    <s v="JUGUETE PROPIO"/>
    <s v="CXO"/>
    <n v="1"/>
    <n v="1508.62"/>
  </r>
  <r>
    <s v="Plaza Alamo CELESTERRA"/>
    <s v="10/01/2026"/>
    <x v="14"/>
    <s v="7503030220043"/>
    <s v="Dados para juegos 2 piezas - CXO"/>
    <s v="JUGUETE PROPIO"/>
    <s v="CXO"/>
    <n v="1"/>
    <n v="112.07"/>
  </r>
  <r>
    <s v="Plaza Alamo CELESTERRA"/>
    <s v="10/01/2026"/>
    <x v="14"/>
    <s v="7500464543059"/>
    <s v="Dildo Realista con Ventosa 15.5cms Domi CXO"/>
    <s v="JUGUETE PROPIO"/>
    <s v="CXO"/>
    <n v="1"/>
    <n v="818.97"/>
  </r>
  <r>
    <s v="Plaza Alamo CELESTERRA"/>
    <s v="10/01/2026"/>
    <x v="14"/>
    <s v="7503030102034"/>
    <s v="Dildo vibrador con control Anthony - CXO"/>
    <s v="JUGUETE PROPIO"/>
    <s v="CXO"/>
    <n v="1"/>
    <n v="2112.0700000000002"/>
  </r>
  <r>
    <s v="Plaza Alamo CELESTERRA"/>
    <s v="10/01/2026"/>
    <x v="14"/>
    <s v="7503032300627"/>
    <s v="Kevin - CXO"/>
    <s v="JUGUETE PROPIO"/>
    <s v="CXO"/>
    <n v="1"/>
    <n v="775.86"/>
  </r>
  <r>
    <s v="Plaza Alamo CELESTERRA"/>
    <s v="10/01/2026"/>
    <x v="14"/>
    <s v="SE018"/>
    <s v="Masturbador Jarrón - CXO"/>
    <s v="JUGUETE PROPIO"/>
    <s v="CXO"/>
    <n v="1"/>
    <n v="1034.48"/>
  </r>
  <r>
    <s v="Plaza Alamo CELESTERRA"/>
    <s v="11/01/2026"/>
    <x v="14"/>
    <s v="7503043917081"/>
    <s v="Blade rosa anillo vibrador - CXO"/>
    <s v="JUGUETE PROPIO"/>
    <s v="CXO"/>
    <n v="1"/>
    <n v="81.900000000000006"/>
  </r>
  <r>
    <s v="Plaza Alamo CELESTERRA"/>
    <s v="12/01/2026"/>
    <x v="14"/>
    <s v="7503043917036"/>
    <s v="Arnes universal de argolla negro - CXO"/>
    <s v="JUGUETE PROPIO"/>
    <s v="CXO"/>
    <n v="1"/>
    <n v="474.14"/>
  </r>
  <r>
    <s v="Plaza Alamo CELESTERRA"/>
    <s v="13/01/2026"/>
    <x v="14"/>
    <s v="7503043917081"/>
    <s v="Blade rosa anillo vibrador - CXO"/>
    <s v="JUGUETE PROPIO"/>
    <s v="CXO"/>
    <n v="1"/>
    <n v="81.900000000000006"/>
  </r>
  <r>
    <s v="Plaza Alamo CELESTERRA"/>
    <s v="13/01/2026"/>
    <x v="14"/>
    <s v="7503043917593"/>
    <s v="Nora dildo vibrador - CXO"/>
    <s v="JUGUETE PROPIO"/>
    <s v="CXO"/>
    <n v="1"/>
    <n v="474.14"/>
  </r>
  <r>
    <s v="Plaza Alamo CELESTERRA"/>
    <s v="13/01/2026"/>
    <x v="14"/>
    <s v="7503030104027"/>
    <s v="Vibrador con doble estimulacion y control a distancia Zafiro - CXO"/>
    <s v="JUGUETE PROPIO"/>
    <s v="CXO"/>
    <n v="1"/>
    <n v="1715.52"/>
  </r>
  <r>
    <s v="Plaza Alamo CELESTERRA"/>
    <s v="15/01/2026"/>
    <x v="14"/>
    <s v="7503024256635"/>
    <s v="Olive  6.8&quot; rosa - CXO"/>
    <s v="JUGUETE PROPIO"/>
    <s v="CXO"/>
    <n v="1"/>
    <n v="603.45000000000005"/>
  </r>
  <r>
    <s v="Plaza Alamo CELESTERRA"/>
    <s v="16/01/2026"/>
    <x v="14"/>
    <s v="7503013378775"/>
    <s v="Amy violeta - CXO"/>
    <s v="JUGUETE PROPIO"/>
    <s v="CXO"/>
    <n v="1"/>
    <n v="366.38"/>
  </r>
  <r>
    <s v="Plaza Alamo CELESTERRA"/>
    <s v="16/01/2026"/>
    <x v="14"/>
    <s v="7503013378393"/>
    <s v="Anillo de Acero con bola - CXO"/>
    <s v="JUGUETE PROPIO"/>
    <s v="CXO"/>
    <n v="1"/>
    <n v="137.93"/>
  </r>
  <r>
    <s v="Plaza Alamo CELESTERRA"/>
    <s v="16/01/2026"/>
    <x v="14"/>
    <s v="7503043917081"/>
    <s v="Blade rosa anillo vibrador - CXO"/>
    <s v="JUGUETE PROPIO"/>
    <s v="CXO"/>
    <n v="2"/>
    <n v="163.80000000000001"/>
  </r>
  <r>
    <s v="Plaza Alamo CELESTERRA"/>
    <s v="16/01/2026"/>
    <x v="14"/>
    <s v="6970556034061"/>
    <s v="Multiorgasmico con succion y extensor Anna - CXO"/>
    <s v="JUGUETE PROPIO"/>
    <s v="CXO"/>
    <n v="1"/>
    <n v="1982.76"/>
  </r>
  <r>
    <s v="Plaza Alamo CELESTERRA"/>
    <s v="16/01/2026"/>
    <x v="14"/>
    <s v="7503050226162"/>
    <s v="Plug Anal con Vibración y Control Roberto - CXO"/>
    <s v="JUGUETE PROPIO"/>
    <s v="CXO"/>
    <n v="1"/>
    <n v="1293.0999999999999"/>
  </r>
  <r>
    <s v="Plaza Alamo CELESTERRA"/>
    <s v="16/01/2026"/>
    <x v="14"/>
    <s v="7503020104083"/>
    <s v="Vibrador multiorgásmico 3 en 1 Mich – CXO"/>
    <s v="JUGUETE PROPIO"/>
    <s v="CXO"/>
    <n v="1"/>
    <n v="2232.7600000000002"/>
  </r>
  <r>
    <s v="Plaza Alamo CELESTERRA"/>
    <s v="16/01/2026"/>
    <x v="14"/>
    <s v="7503032300443"/>
    <s v="Zoe bala vibradora RETAIL - CXO"/>
    <s v="JUGUETE PROPIO"/>
    <s v="CXO"/>
    <n v="1"/>
    <n v="155.16999999999999"/>
  </r>
  <r>
    <s v="Plaza Alamo CELESTERRA"/>
    <s v="17/01/2026"/>
    <x v="14"/>
    <s v="7503020112070"/>
    <s v="Bala vibradora recargable Ely – CXO"/>
    <s v="JUGUETE PROPIO"/>
    <s v="CXO"/>
    <n v="1"/>
    <n v="793.1"/>
  </r>
  <r>
    <s v="Plaza Alamo CELESTERRA"/>
    <s v="18/01/2026"/>
    <x v="14"/>
    <s v="7503043917081"/>
    <s v="Blade rosa anillo vibrador - CXO"/>
    <s v="JUGUETE PROPIO"/>
    <s v="CXO"/>
    <n v="1"/>
    <n v="81.900000000000006"/>
  </r>
  <r>
    <s v="Plaza Alamo CELESTERRA"/>
    <s v="18/01/2026"/>
    <x v="14"/>
    <s v="7503032300207"/>
    <s v="Chibi - CXO"/>
    <s v="JUGUETE PROPIO"/>
    <s v="CXO"/>
    <n v="1"/>
    <n v="806.03"/>
  </r>
  <r>
    <s v="Plaza Alamo CELESTERRA"/>
    <s v="18/01/2026"/>
    <x v="14"/>
    <s v="7503013378904"/>
    <s v="Dildo Mr. Hernandez - CXO"/>
    <s v="JUGUETE PROPIO"/>
    <s v="CXO"/>
    <n v="1"/>
    <n v="517.24"/>
  </r>
  <r>
    <s v="Plaza Alamo CELESTERRA"/>
    <s v="18/01/2026"/>
    <x v="14"/>
    <s v="7503020220077"/>
    <s v="Juego de mesa sensual para parejas – CXO"/>
    <s v="JUGUETE PROPIO"/>
    <s v="CXO"/>
    <n v="1"/>
    <n v="637.92999999999995"/>
  </r>
  <r>
    <s v="Plaza Alamo CELESTERRA"/>
    <s v="18/01/2026"/>
    <x v="14"/>
    <s v="D07003"/>
    <s v="Kit BDSM 7 piezas - CXO"/>
    <s v="JUGUETE PROPIO"/>
    <s v="CXO"/>
    <n v="1"/>
    <n v="474.14"/>
  </r>
  <r>
    <s v="Plaza Alamo CELESTERRA"/>
    <s v="18/01/2026"/>
    <x v="14"/>
    <s v="7503032300382"/>
    <s v="Mon - CXO"/>
    <s v="JUGUETE PROPIO"/>
    <s v="CXO"/>
    <n v="1"/>
    <n v="517.24"/>
  </r>
  <r>
    <s v="Plaza Alamo CELESTERRA"/>
    <s v="18/01/2026"/>
    <x v="14"/>
    <s v="7503030128202"/>
    <s v="Plug Anal con 10 modos de vibracion y rotacion 360 Beto - CXO"/>
    <s v="JUGUETE PROPIO"/>
    <s v="CXO"/>
    <n v="1"/>
    <n v="1577.59"/>
  </r>
  <r>
    <s v="Plaza Alamo CELESTERRA"/>
    <s v="19/01/2026"/>
    <x v="14"/>
    <s v="7503024256765"/>
    <s v="Cola de Zorro 45cm azul - CXO"/>
    <s v="JUGUETE PROPIO"/>
    <s v="CXO"/>
    <n v="1"/>
    <n v="318.97000000000003"/>
  </r>
  <r>
    <s v="Plaza Alamo CELESTERRA"/>
    <s v="19/01/2026"/>
    <x v="14"/>
    <s v="LL-A2216"/>
    <s v="Huevito con 10 modos de Vibración  Gina - CXO"/>
    <s v="JUGUETE PROPIO"/>
    <s v="CXO"/>
    <n v="1"/>
    <n v="1500"/>
  </r>
  <r>
    <s v="Plaza Alamo CELESTERRA"/>
    <s v="19/01/2026"/>
    <x v="14"/>
    <s v="7503032300627"/>
    <s v="Kevin - CXO"/>
    <s v="JUGUETE PROPIO"/>
    <s v="CXO"/>
    <n v="1"/>
    <n v="775.86"/>
  </r>
  <r>
    <s v="Plaza Alamo CELESTERRA"/>
    <s v="19/01/2026"/>
    <x v="14"/>
    <s v="7503032300382"/>
    <s v="Mon - CXO"/>
    <s v="JUGUETE PROPIO"/>
    <s v="CXO"/>
    <n v="1"/>
    <n v="517.24"/>
  </r>
  <r>
    <s v="Plaza Alamo CELESTERRA"/>
    <s v="19/01/2026"/>
    <x v="14"/>
    <s v="7503050226162"/>
    <s v="Plug Anal con Vibración y Control Roberto - CXO"/>
    <s v="JUGUETE PROPIO"/>
    <s v="CXO"/>
    <n v="1"/>
    <n v="1293.0999999999999"/>
  </r>
  <r>
    <s v="Plaza Alamo CELESTERRA"/>
    <s v="19/01/2026"/>
    <x v="14"/>
    <s v="7503030104190"/>
    <s v="Vibrador multiorgasmico con 10 modos de vibracion Norma - CXO"/>
    <s v="JUGUETE PROPIO"/>
    <s v="CXO"/>
    <n v="1"/>
    <n v="2396.5500000000002"/>
  </r>
  <r>
    <s v="Plaza Alamo CELESTERRA"/>
    <s v="19/01/2026"/>
    <x v="14"/>
    <s v="7503020104075"/>
    <s v="Vibrador multiorgásmico texturizado con succionador de clítoris Yeni - CXO"/>
    <s v="JUGUETE PROPIO"/>
    <s v="CXO"/>
    <n v="1"/>
    <n v="2465.52"/>
  </r>
  <r>
    <s v="Plaza Alamo CELESTERRA"/>
    <s v="20/01/2026"/>
    <x v="14"/>
    <s v="P07-00252"/>
    <s v="Huevito Vibrador con Lenguita Estimuladora de Clitoris Rosy - CXO"/>
    <s v="JUGUETE PROPIO"/>
    <s v="CXO"/>
    <n v="1"/>
    <n v="2672.41"/>
  </r>
  <r>
    <s v="Plaza Alamo CELESTERRA"/>
    <s v="20/01/2026"/>
    <x v="14"/>
    <s v="7503020104076"/>
    <s v="Vibrador multiorgásmico con succión y estimulación de punto G Lulu - CXO"/>
    <s v="JUGUETE PROPIO"/>
    <s v="CXO"/>
    <n v="1"/>
    <n v="2120.69"/>
  </r>
  <r>
    <s v="Plaza Alamo CELESTERRA"/>
    <s v="21/01/2026"/>
    <x v="1"/>
    <s v="7503020112070"/>
    <s v="Bala vibradora recargable Ely – CXO"/>
    <s v="JUGUETE PROPIO"/>
    <s v="CXO"/>
    <n v="1"/>
    <n v="793.1"/>
  </r>
  <r>
    <s v="Plaza Alamo CELESTERRA"/>
    <s v="21/01/2026"/>
    <x v="1"/>
    <s v="7503032300474"/>
    <s v="Cola de Zorro 45cm blanco S - CXO"/>
    <s v="JUGUETE PROPIO"/>
    <s v="CXO"/>
    <n v="1"/>
    <n v="258.62"/>
  </r>
  <r>
    <s v="Plaza Alamo CELESTERRA"/>
    <s v="22/01/2026"/>
    <x v="14"/>
    <s v="7503013378119"/>
    <s v="Anastasia gema de colores S - CXO"/>
    <s v="JUGUETE PROPIO"/>
    <s v="CXO"/>
    <n v="1"/>
    <n v="396.55"/>
  </r>
  <r>
    <s v="Plaza Alamo CELESTERRA"/>
    <s v="22/01/2026"/>
    <x v="14"/>
    <s v="7503020112070"/>
    <s v="Bala vibradora recargable Ely – CXO"/>
    <s v="JUGUETE PROPIO"/>
    <s v="CXO"/>
    <n v="1"/>
    <n v="793.1"/>
  </r>
  <r>
    <s v="Plaza Alamo CELESTERRA"/>
    <s v="22/01/2026"/>
    <x v="14"/>
    <s v="7503030114188"/>
    <s v="Bomba de vacio Nico - CXO"/>
    <s v="JUGUETE PROPIO"/>
    <s v="CXO"/>
    <n v="1"/>
    <n v="1956.9"/>
  </r>
  <r>
    <s v="Plaza Alamo CELESTERRA"/>
    <s v="23/01/2026"/>
    <x v="14"/>
    <s v="7503020420814"/>
    <s v="Bomba de vacio manual Noah - CXO"/>
    <s v="JUGUETE PROPIO"/>
    <s v="CXO"/>
    <n v="1"/>
    <n v="818.97"/>
  </r>
  <r>
    <s v="Plaza Alamo CELESTERRA"/>
    <s v="24/01/2026"/>
    <x v="14"/>
    <s v="7503043917081"/>
    <s v="Blade rosa anillo vibrador - CXO"/>
    <s v="JUGUETE PROPIO"/>
    <s v="CXO"/>
    <n v="2"/>
    <n v="163.80000000000001"/>
  </r>
  <r>
    <s v="Plaza Alamo CELESTERRA"/>
    <s v="24/01/2026"/>
    <x v="14"/>
    <s v="7503032300443"/>
    <s v="Zoe bala vibradora RETAIL - CXO"/>
    <s v="JUGUETE PROPIO"/>
    <s v="CXO"/>
    <n v="2"/>
    <n v="310.33999999999997"/>
  </r>
  <r>
    <s v="Plaza Alamo CELESTERRA"/>
    <s v="25/01/2026"/>
    <x v="14"/>
    <s v="7503030211021"/>
    <s v="Anillo desechable para pene Donut - CXO"/>
    <s v="JUGUETE PROPIO"/>
    <s v="CXO"/>
    <n v="1"/>
    <n v="34.479999999999997"/>
  </r>
  <r>
    <s v="Plaza Alamo CELESTERRA"/>
    <s v="27/01/2026"/>
    <x v="14"/>
    <s v="7503043917081"/>
    <s v="Blade rosa anillo vibrador - CXO"/>
    <s v="JUGUETE PROPIO"/>
    <s v="CXO"/>
    <n v="1"/>
    <n v="81.900000000000006"/>
  </r>
  <r>
    <s v="Plaza Alamo CELESTERRA"/>
    <s v="27/01/2026"/>
    <x v="14"/>
    <s v="7503032300443"/>
    <s v="Zoe bala vibradora RETAIL - CXO"/>
    <s v="JUGUETE PROPIO"/>
    <s v="CXO"/>
    <n v="1"/>
    <n v="155.16999999999999"/>
  </r>
  <r>
    <s v="Plaza Alamo CELESTERRA"/>
    <s v="29/01/2026"/>
    <x v="14"/>
    <s v="7503024256758"/>
    <s v="Cola de Zorro 45cm lila S - CXO"/>
    <s v="JUGUETE PROPIO"/>
    <s v="CXO"/>
    <n v="1"/>
    <n v="258.62"/>
  </r>
  <r>
    <s v="Plaza Alamo CELESTERRA"/>
    <s v="30/01/2026"/>
    <x v="3"/>
    <s v="6970556033477"/>
    <s v="Bala vibradora recargable Elisa– CXO"/>
    <s v="JUGUETE PROPIO"/>
    <s v="CXO"/>
    <n v="1"/>
    <n v="793.1"/>
  </r>
  <r>
    <s v="Plaza Alamo CELESTERRA"/>
    <s v="30/01/2026"/>
    <x v="3"/>
    <s v="7503050226162"/>
    <s v="Plug Anal con Vibración y Control Roberto - CXO"/>
    <s v="JUGUETE PROPIO"/>
    <s v="CXO"/>
    <n v="1"/>
    <n v="1293.0999999999999"/>
  </r>
  <r>
    <s v="Plaza Alamo CELESTERRA"/>
    <s v="30/01/2026"/>
    <x v="3"/>
    <s v="7503032300443"/>
    <s v="Zoe bala vibradora RETAIL - CXO"/>
    <s v="JUGUETE PROPIO"/>
    <s v="CXO"/>
    <n v="1"/>
    <n v="155.16999999999999"/>
  </r>
  <r>
    <s v="Plaza Alamo CELESTERRA"/>
    <s v="31/01/2026"/>
    <x v="14"/>
    <s v="7503020111072"/>
    <s v="Anillo vibrador recargable con textura negra Hank - CXO"/>
    <s v="JUGUETE PROPIO"/>
    <s v="CXO"/>
    <n v="1"/>
    <n v="1267.24"/>
  </r>
  <r>
    <s v="Plaza Alamo CELESTERRA"/>
    <s v="31/01/2026"/>
    <x v="14"/>
    <s v="7503043917081"/>
    <s v="Blade rosa anillo vibrador - CXO"/>
    <s v="JUGUETE PROPIO"/>
    <s v="CXO"/>
    <n v="1"/>
    <n v="81.900000000000006"/>
  </r>
  <r>
    <s v="Plaza Conchitas CEL"/>
    <s v="02/01/2026"/>
    <x v="15"/>
    <s v="7503032300887"/>
    <s v="Anahi L - CXO"/>
    <s v="JUGUETE PROPIO"/>
    <s v="CXO"/>
    <n v="1"/>
    <n v="521.54999999999995"/>
  </r>
  <r>
    <s v="Plaza Conchitas CEL"/>
    <s v="02/01/2026"/>
    <x v="15"/>
    <s v="7503032300252"/>
    <s v="Dildo Nebulosa - CXO"/>
    <s v="JUGUETE PROPIO"/>
    <s v="CXO"/>
    <n v="1"/>
    <n v="474.14"/>
  </r>
  <r>
    <s v="Plaza Conchitas CEL"/>
    <s v="02/01/2026"/>
    <x v="15"/>
    <s v="7503020310205"/>
    <s v="Dildo Vibrador Termico Realista 3 en 1 con movimiento Hades-CXO"/>
    <s v="JUGUETE PROPIO"/>
    <s v="CXO"/>
    <n v="1"/>
    <n v="2500"/>
  </r>
  <r>
    <s v="Plaza Conchitas CEL"/>
    <s v="02/01/2026"/>
    <x v="15"/>
    <s v="7503043917524"/>
    <s v="Kit Lisboa 8 pzs - CXO"/>
    <s v="JUGUETE PROPIO"/>
    <s v="CXO"/>
    <n v="1"/>
    <n v="465.52"/>
  </r>
  <r>
    <s v="Plaza Conchitas CEL"/>
    <s v="02/01/2026"/>
    <x v="15"/>
    <s v="7503020104075"/>
    <s v="Vibrador multiorgásmico texturizado con succionador de clítoris Yeni - CXO"/>
    <s v="JUGUETE PROPIO"/>
    <s v="CXO"/>
    <n v="1"/>
    <n v="2465.52"/>
  </r>
  <r>
    <s v="Plaza Conchitas CEL"/>
    <s v="04/01/2026"/>
    <x v="15"/>
    <s v="MBS0530"/>
    <s v="Esposas de broche - CXO"/>
    <s v="JUGUETE PROPIO"/>
    <s v="CXO"/>
    <n v="1"/>
    <n v="172.41"/>
  </r>
  <r>
    <s v="Plaza Conchitas CEL"/>
    <s v="05/01/2026"/>
    <x v="15"/>
    <s v="7503043917081"/>
    <s v="Blade rosa anillo vibrador - CXO"/>
    <s v="JUGUETE PROPIO"/>
    <s v="CXO"/>
    <n v="1"/>
    <n v="81.900000000000006"/>
  </r>
  <r>
    <s v="Plaza Conchitas CEL"/>
    <s v="05/01/2026"/>
    <x v="15"/>
    <s v="7503020310205"/>
    <s v="Dildo Vibrador Termico Realista 3 en 1 con movimiento Hades-CXO"/>
    <s v="JUGUETE PROPIO"/>
    <s v="CXO"/>
    <n v="1"/>
    <n v="2500"/>
  </r>
  <r>
    <s v="Plaza Conchitas CEL"/>
    <s v="06/01/2026"/>
    <x v="15"/>
    <s v="7503013378102"/>
    <s v="Anastasia Gema de Colores M - CXO"/>
    <s v="JUGUETE PROPIO"/>
    <s v="CXO"/>
    <n v="1"/>
    <n v="456.9"/>
  </r>
  <r>
    <s v="Plaza Conchitas CEL"/>
    <s v="08/01/2026"/>
    <x v="3"/>
    <s v="7503030104030"/>
    <s v="Vibrador multiorgasmico para parejas Eva - CXO"/>
    <s v="JUGUETE PROPIO"/>
    <s v="CXO"/>
    <n v="1"/>
    <n v="2982.76"/>
  </r>
  <r>
    <s v="Plaza Conchitas CEL"/>
    <s v="09/01/2026"/>
    <x v="15"/>
    <s v="7503043917081"/>
    <s v="Blade rosa anillo vibrador - CXO"/>
    <s v="JUGUETE PROPIO"/>
    <s v="CXO"/>
    <n v="1"/>
    <n v="81.900000000000006"/>
  </r>
  <r>
    <s v="Plaza Conchitas CEL"/>
    <s v="09/01/2026"/>
    <x v="15"/>
    <s v="7503032300443"/>
    <s v="Zoe bala vibradora RETAIL - CXO"/>
    <s v="JUGUETE PROPIO"/>
    <s v="CXO"/>
    <n v="2"/>
    <n v="310.33999999999997"/>
  </r>
  <r>
    <s v="Plaza Conchitas CEL"/>
    <s v="11/01/2026"/>
    <x v="15"/>
    <s v="7503024256741"/>
    <s v="Cola de Zorro 45cm café S - CXO"/>
    <s v="JUGUETE PROPIO"/>
    <s v="CXO"/>
    <n v="1"/>
    <n v="258.62"/>
  </r>
  <r>
    <s v="Plaza Conchitas CEL"/>
    <s v="12/01/2026"/>
    <x v="15"/>
    <s v="LL-A2216"/>
    <s v="Huevito con 10 modos de Vibración  Gina - CXO"/>
    <s v="JUGUETE PROPIO"/>
    <s v="CXO"/>
    <n v="1"/>
    <n v="1500"/>
  </r>
  <r>
    <s v="Plaza Conchitas CEL"/>
    <s v="14/01/2026"/>
    <x v="15"/>
    <s v="DL-ZZ-YJPT-BJ-20250327"/>
    <s v="Funda de Silicon para Pene con 10 modos de Vibración  Raul- CXO"/>
    <s v="JUGUETE PROPIO"/>
    <s v="CXO"/>
    <n v="1"/>
    <n v="1810.34"/>
  </r>
  <r>
    <s v="Plaza Conchitas CEL"/>
    <s v="15/01/2026"/>
    <x v="3"/>
    <s v="7503043917081"/>
    <s v="Blade rosa anillo vibrador - CXO"/>
    <s v="JUGUETE PROPIO"/>
    <s v="CXO"/>
    <n v="2"/>
    <n v="163.80000000000001"/>
  </r>
  <r>
    <s v="Plaza Conchitas CEL"/>
    <s v="15/01/2026"/>
    <x v="3"/>
    <s v="7503020105084"/>
    <s v="Vibrador para parejas tipo C Trinity – CXO"/>
    <s v="JUGUETE PROPIO"/>
    <s v="CXO"/>
    <n v="1"/>
    <n v="2465.52"/>
  </r>
  <r>
    <s v="Plaza Conchitas CEL"/>
    <s v="15/01/2026"/>
    <x v="3"/>
    <s v="7503032300443"/>
    <s v="Zoe bala vibradora RETAIL - CXO"/>
    <s v="JUGUETE PROPIO"/>
    <s v="CXO"/>
    <n v="1"/>
    <n v="155.16999999999999"/>
  </r>
  <r>
    <s v="Plaza Conchitas CEL"/>
    <s v="16/01/2026"/>
    <x v="15"/>
    <s v="7503013378850"/>
    <s v="Amy fucsia - CXO"/>
    <s v="JUGUETE PROPIO"/>
    <s v="CXO"/>
    <n v="1"/>
    <n v="431.03"/>
  </r>
  <r>
    <s v="Plaza Conchitas CEL"/>
    <s v="16/01/2026"/>
    <x v="15"/>
    <s v="7503013378119"/>
    <s v="Anastasia gema de colores S - CXO"/>
    <s v="JUGUETE PROPIO"/>
    <s v="CXO"/>
    <n v="1"/>
    <n v="396.55"/>
  </r>
  <r>
    <s v="Plaza Conchitas CEL"/>
    <s v="16/01/2026"/>
    <x v="15"/>
    <s v="7503043917081"/>
    <s v="Blade rosa anillo vibrador - CXO"/>
    <s v="JUGUETE PROPIO"/>
    <s v="CXO"/>
    <n v="2"/>
    <n v="163.80000000000001"/>
  </r>
  <r>
    <s v="Plaza Conchitas CEL"/>
    <s v="16/01/2026"/>
    <x v="15"/>
    <s v="7503032300443"/>
    <s v="Zoe bala vibradora RETAIL - CXO"/>
    <s v="JUGUETE PROPIO"/>
    <s v="CXO"/>
    <n v="2"/>
    <n v="310.33999999999997"/>
  </r>
  <r>
    <s v="Plaza Conchitas CEL"/>
    <s v="17/01/2026"/>
    <x v="15"/>
    <s v="7503043917081"/>
    <s v="Blade rosa anillo vibrador - CXO"/>
    <s v="JUGUETE PROPIO"/>
    <s v="CXO"/>
    <n v="1"/>
    <n v="81.900000000000006"/>
  </r>
  <r>
    <s v="Plaza Conchitas CEL"/>
    <s v="17/01/2026"/>
    <x v="15"/>
    <s v="7503050524388"/>
    <s v="Cuerda shibari negra 10mts - CXO"/>
    <s v="JUGUETE PROPIO"/>
    <s v="CXO"/>
    <n v="1"/>
    <n v="379.31"/>
  </r>
  <r>
    <s v="Plaza Conchitas CEL"/>
    <s v="17/01/2026"/>
    <x v="15"/>
    <s v="7503030220044"/>
    <s v="Dados con posiciones 2 piezas - CXO"/>
    <s v="JUGUETE PROPIO"/>
    <s v="CXO"/>
    <n v="1"/>
    <n v="77.59"/>
  </r>
  <r>
    <s v="Plaza Conchitas CEL"/>
    <s v="18/01/2026"/>
    <x v="15"/>
    <s v="7503030220044"/>
    <s v="Dados con posiciones 2 piezas - CXO"/>
    <s v="JUGUETE PROPIO"/>
    <s v="CXO"/>
    <n v="1"/>
    <n v="77.59"/>
  </r>
  <r>
    <s v="Plaza Conchitas CEL"/>
    <s v="19/01/2026"/>
    <x v="15"/>
    <s v="7503043917081"/>
    <s v="Blade rosa anillo vibrador - CXO"/>
    <s v="JUGUETE PROPIO"/>
    <s v="CXO"/>
    <n v="2"/>
    <n v="163.80000000000001"/>
  </r>
  <r>
    <s v="Plaza Conchitas CEL"/>
    <s v="19/01/2026"/>
    <x v="15"/>
    <s v="7503032300252"/>
    <s v="Dildo Nebulosa - CXO"/>
    <s v="JUGUETE PROPIO"/>
    <s v="CXO"/>
    <n v="1"/>
    <n v="474.14"/>
  </r>
  <r>
    <s v="Plaza Conchitas CEL"/>
    <s v="19/01/2026"/>
    <x v="15"/>
    <s v="7503030102034"/>
    <s v="Dildo vibrador con control Anthony - CXO"/>
    <s v="JUGUETE PROPIO"/>
    <s v="CXO"/>
    <n v="1"/>
    <n v="2112.0700000000002"/>
  </r>
  <r>
    <s v="Plaza Conchitas CEL"/>
    <s v="19/01/2026"/>
    <x v="15"/>
    <s v="7503032300443"/>
    <s v="Zoe bala vibradora RETAIL - CXO"/>
    <s v="JUGUETE PROPIO"/>
    <s v="CXO"/>
    <n v="2"/>
    <n v="310.33999999999997"/>
  </r>
  <r>
    <s v="Plaza Conchitas CEL"/>
    <s v="21/01/2026"/>
    <x v="15"/>
    <s v="7503043917036"/>
    <s v="Arnes universal de argolla negro - CXO"/>
    <s v="JUGUETE PROPIO"/>
    <s v="CXO"/>
    <n v="1"/>
    <n v="474.14"/>
  </r>
  <r>
    <s v="Plaza Conchitas CEL"/>
    <s v="21/01/2026"/>
    <x v="15"/>
    <s v="S1222-KKW1020"/>
    <s v="Bomba de vacío con anillos intercambiables -   S1222 KKW1020"/>
    <s v="JUGUETE PROPIO"/>
    <s v="CXO"/>
    <n v="1"/>
    <n v="1189.6600000000001"/>
  </r>
  <r>
    <s v="Plaza Conchitas CEL"/>
    <s v="22/01/2026"/>
    <x v="3"/>
    <s v="7503030202167"/>
    <s v="Dildo hiper realista con ventosa Raul - CXO"/>
    <s v="JUGUETE PROPIO"/>
    <s v="CXO"/>
    <n v="1"/>
    <n v="1525.86"/>
  </r>
  <r>
    <s v="Plaza Conchitas CEL"/>
    <s v="22/01/2026"/>
    <x v="3"/>
    <s v="7503030102034"/>
    <s v="Dildo vibrador con control Anthony - CXO"/>
    <s v="JUGUETE PROPIO"/>
    <s v="CXO"/>
    <n v="1"/>
    <n v="2112.0700000000002"/>
  </r>
  <r>
    <s v="Plaza Conchitas CEL"/>
    <s v="22/01/2026"/>
    <x v="3"/>
    <s v="7503043917098"/>
    <s v="Succionador Mia  - CXO"/>
    <s v="JUGUETE PROPIO"/>
    <s v="CXO"/>
    <n v="1"/>
    <n v="818.97"/>
  </r>
  <r>
    <s v="Plaza Conchitas CEL"/>
    <s v="24/01/2026"/>
    <x v="15"/>
    <s v="7503043917081"/>
    <s v="Blade rosa anillo vibrador - CXO"/>
    <s v="JUGUETE PROPIO"/>
    <s v="CXO"/>
    <n v="1"/>
    <n v="81.900000000000006"/>
  </r>
  <r>
    <s v="Plaza Conchitas CEL"/>
    <s v="24/01/2026"/>
    <x v="15"/>
    <s v="7503043917326"/>
    <s v="Caro dual - CXO"/>
    <s v="JUGUETE PROPIO"/>
    <s v="CXO"/>
    <n v="1"/>
    <n v="1379.31"/>
  </r>
  <r>
    <s v="Plaza Conchitas CEL"/>
    <s v="27/01/2026"/>
    <x v="15"/>
    <s v="7503043917081"/>
    <s v="Blade rosa anillo vibrador - CXO"/>
    <s v="JUGUETE PROPIO"/>
    <s v="CXO"/>
    <n v="1"/>
    <n v="81.900000000000006"/>
  </r>
  <r>
    <s v="Plaza Conchitas CEL"/>
    <s v="28/01/2026"/>
    <x v="3"/>
    <s v="7503030102198"/>
    <s v="Dildo realista vibrador con ventosa Ulises - CXO"/>
    <s v="JUGUETE PROPIO"/>
    <s v="CXO"/>
    <n v="1"/>
    <n v="2000"/>
  </r>
  <r>
    <s v="Plaza Conchitas CEL"/>
    <s v="28/01/2026"/>
    <x v="3"/>
    <s v="7503032300634"/>
    <s v="Kevin violeta - CXO"/>
    <s v="JUGUETE PROPIO"/>
    <s v="CXO"/>
    <n v="1"/>
    <n v="775.86"/>
  </r>
  <r>
    <s v="Plaza Conchitas CEL"/>
    <s v="31/01/2026"/>
    <x v="15"/>
    <s v="7503043917036"/>
    <s v="Arnes universal de argolla negro - CXO"/>
    <s v="JUGUETE PROPIO"/>
    <s v="CXO"/>
    <n v="1"/>
    <n v="474.14"/>
  </r>
  <r>
    <s v="Plaza Conchitas CEL"/>
    <s v="31/01/2026"/>
    <x v="15"/>
    <s v="7503030102034"/>
    <s v="Dildo vibrador con control Anthony - CXO"/>
    <s v="JUGUETE PROPIO"/>
    <s v="CXO"/>
    <n v="2"/>
    <n v="4224.1400000000003"/>
  </r>
  <r>
    <s v="Plaza Conchitas CEL"/>
    <s v="31/01/2026"/>
    <x v="15"/>
    <s v="7503032300443"/>
    <s v="Zoe bala vibradora RETAIL - CXO"/>
    <s v="JUGUETE PROPIO"/>
    <s v="CXO"/>
    <n v="1"/>
    <n v="155.16999999999999"/>
  </r>
  <r>
    <s v="Plaza las Torres CELESTERRA"/>
    <s v="02/01/2026"/>
    <x v="1"/>
    <s v="7503030118033"/>
    <s v="Kit vibrador + estimulante para clitoris Lau - CXO"/>
    <s v="JUGUETE PROPIO"/>
    <s v="CXO"/>
    <n v="1"/>
    <n v="1706.9"/>
  </r>
  <r>
    <s v="Plaza las Torres CELESTERRA"/>
    <s v="03/01/2026"/>
    <x v="1"/>
    <s v="7503024256635"/>
    <s v="Olive  6.8&quot; rosa - CXO"/>
    <s v="JUGUETE PROPIO"/>
    <s v="CXO"/>
    <n v="1"/>
    <n v="603.45000000000005"/>
  </r>
  <r>
    <s v="Plaza las Torres CELESTERRA"/>
    <s v="03/01/2026"/>
    <x v="1"/>
    <s v="7503032300443"/>
    <s v="Zoe bala vibradora RETAIL - CXO"/>
    <s v="JUGUETE PROPIO"/>
    <s v="CXO"/>
    <n v="2"/>
    <n v="310.33999999999997"/>
  </r>
  <r>
    <s v="Plaza las Torres CELESTERRA"/>
    <s v="04/01/2026"/>
    <x v="1"/>
    <s v="7503032300443"/>
    <s v="Zoe bala vibradora RETAIL - CXO"/>
    <s v="JUGUETE PROPIO"/>
    <s v="CXO"/>
    <n v="1"/>
    <n v="155.16999999999999"/>
  </r>
  <r>
    <s v="Plaza las Torres CELESTERRA"/>
    <s v="05/01/2026"/>
    <x v="1"/>
    <s v="7503020105084"/>
    <s v="Vibrador para parejas tipo C Trinity – CXO"/>
    <s v="JUGUETE PROPIO"/>
    <s v="CXO"/>
    <n v="1"/>
    <n v="2465.52"/>
  </r>
  <r>
    <s v="Plaza las Torres CELESTERRA"/>
    <s v="05/01/2026"/>
    <x v="1"/>
    <s v="7503032300443"/>
    <s v="Zoe bala vibradora RETAIL - CXO"/>
    <s v="JUGUETE PROPIO"/>
    <s v="CXO"/>
    <n v="2"/>
    <n v="310.33999999999997"/>
  </r>
  <r>
    <s v="Plaza las Torres CELESTERRA"/>
    <s v="06/01/2026"/>
    <x v="1"/>
    <s v="7503043917081"/>
    <s v="Blade rosa anillo vibrador - CXO"/>
    <s v="JUGUETE PROPIO"/>
    <s v="CXO"/>
    <n v="3"/>
    <n v="245.70000000000002"/>
  </r>
  <r>
    <s v="Plaza las Torres CELESTERRA"/>
    <s v="06/01/2026"/>
    <x v="1"/>
    <s v="6970556030858"/>
    <s v="Multiorgasmico Reno - CXO"/>
    <s v="JUGUETE PROPIO"/>
    <s v="CXO"/>
    <n v="1"/>
    <n v="2327.59"/>
  </r>
  <r>
    <s v="Plaza las Torres CELESTERRA"/>
    <s v="06/01/2026"/>
    <x v="1"/>
    <s v="7503032300443"/>
    <s v="Zoe bala vibradora RETAIL - CXO"/>
    <s v="JUGUETE PROPIO"/>
    <s v="CXO"/>
    <n v="1"/>
    <n v="155.16999999999999"/>
  </r>
  <r>
    <s v="Plaza las Torres CELESTERRA"/>
    <s v="07/01/2026"/>
    <x v="1"/>
    <s v="7503013378102"/>
    <s v="Anastasia Gema de Colores M - CXO"/>
    <s v="JUGUETE PROPIO"/>
    <s v="CXO"/>
    <n v="1"/>
    <n v="456.9"/>
  </r>
  <r>
    <s v="Plaza las Torres CELESTERRA"/>
    <s v="07/01/2026"/>
    <x v="1"/>
    <s v="7500464543059"/>
    <s v="Dildo Realista con Ventosa 15.5cms Domi CXO"/>
    <s v="JUGUETE PROPIO"/>
    <s v="CXO"/>
    <n v="1"/>
    <n v="818.97"/>
  </r>
  <r>
    <s v="Plaza las Torres CELESTERRA"/>
    <s v="07/01/2026"/>
    <x v="1"/>
    <s v="7503050226162"/>
    <s v="Plug Anal con Vibración y Control Roberto - CXO"/>
    <s v="JUGUETE PROPIO"/>
    <s v="CXO"/>
    <n v="1"/>
    <n v="1293.0999999999999"/>
  </r>
  <r>
    <s v="Plaza las Torres CELESTERRA"/>
    <s v="07/01/2026"/>
    <x v="1"/>
    <s v="7503032300443"/>
    <s v="Zoe bala vibradora RETAIL - CXO"/>
    <s v="JUGUETE PROPIO"/>
    <s v="CXO"/>
    <n v="1"/>
    <n v="155.16999999999999"/>
  </r>
  <r>
    <s v="Plaza las Torres CELESTERRA"/>
    <s v="08/01/2026"/>
    <x v="6"/>
    <s v="7503032300634"/>
    <s v="Kevin violeta - CXO"/>
    <s v="JUGUETE PROPIO"/>
    <s v="CXO"/>
    <n v="1"/>
    <n v="775.86"/>
  </r>
  <r>
    <s v="Plaza las Torres CELESTERRA"/>
    <s v="09/01/2026"/>
    <x v="1"/>
    <s v="7503043917081"/>
    <s v="Blade rosa anillo vibrador - CXO"/>
    <s v="JUGUETE PROPIO"/>
    <s v="CXO"/>
    <n v="3"/>
    <n v="245.70000000000002"/>
  </r>
  <r>
    <s v="Plaza las Torres CELESTERRA"/>
    <s v="09/01/2026"/>
    <x v="1"/>
    <s v="SC249C01"/>
    <s v="Funda Vibradora para Dedo masajeadora de Punto G  Lola- CXO"/>
    <s v="JUGUETE PROPIO"/>
    <s v="CXO"/>
    <n v="1"/>
    <n v="1551.72"/>
  </r>
  <r>
    <s v="Plaza las Torres CELESTERRA"/>
    <s v="09/01/2026"/>
    <x v="1"/>
    <s v="7503032300443"/>
    <s v="Zoe bala vibradora RETAIL - CXO"/>
    <s v="JUGUETE PROPIO"/>
    <s v="CXO"/>
    <n v="1"/>
    <n v="155.16999999999999"/>
  </r>
  <r>
    <s v="Plaza las Torres CELESTERRA"/>
    <s v="10/01/2026"/>
    <x v="1"/>
    <s v="7503030111031"/>
    <s v="Anillo vibrador de aro doble con estimulador y dildo Javier - CXO"/>
    <s v="JUGUETE PROPIO"/>
    <s v="CXO"/>
    <n v="1"/>
    <n v="1681.03"/>
  </r>
  <r>
    <s v="Plaza las Torres CELESTERRA"/>
    <s v="10/01/2026"/>
    <x v="1"/>
    <s v="7503043917081"/>
    <s v="Blade rosa anillo vibrador - CXO"/>
    <s v="JUGUETE PROPIO"/>
    <s v="CXO"/>
    <n v="1"/>
    <n v="81.900000000000006"/>
  </r>
  <r>
    <s v="Plaza las Torres CELESTERRA"/>
    <s v="11/01/2026"/>
    <x v="1"/>
    <s v="7503013378102"/>
    <s v="Anastasia Gema de Colores M - CXO"/>
    <s v="JUGUETE PROPIO"/>
    <s v="CXO"/>
    <n v="1"/>
    <n v="456.9"/>
  </r>
  <r>
    <s v="Plaza las Torres CELESTERRA"/>
    <s v="13/01/2026"/>
    <x v="4"/>
    <s v="S146 AAT1002"/>
    <s v="Bomba para Pene Automatica - S146 AAT1002"/>
    <s v="JUGUETE PROPIO"/>
    <s v="CXO"/>
    <n v="1"/>
    <n v="1551.72"/>
  </r>
  <r>
    <s v="Plaza las Torres CELESTERRA"/>
    <s v="13/01/2026"/>
    <x v="4"/>
    <s v="7503032300443"/>
    <s v="Zoe bala vibradora RETAIL - CXO"/>
    <s v="JUGUETE PROPIO"/>
    <s v="CXO"/>
    <n v="1"/>
    <n v="155.16999999999999"/>
  </r>
  <r>
    <s v="Plaza las Torres CELESTERRA"/>
    <s v="14/01/2026"/>
    <x v="3"/>
    <s v="7503032300443"/>
    <s v="Zoe bala vibradora RETAIL - CXO"/>
    <s v="JUGUETE PROPIO"/>
    <s v="CXO"/>
    <n v="1"/>
    <n v="155.16999999999999"/>
  </r>
  <r>
    <s v="Plaza las Torres CELESTERRA"/>
    <s v="15/01/2026"/>
    <x v="4"/>
    <s v="7500464543059"/>
    <s v="Dildo Realista con Ventosa 15.5cms Domi CXO"/>
    <s v="JUGUETE PROPIO"/>
    <s v="CXO"/>
    <n v="1"/>
    <n v="818.97"/>
  </r>
  <r>
    <s v="Plaza las Torres CELESTERRA"/>
    <s v="15/01/2026"/>
    <x v="4"/>
    <s v="7503024256635"/>
    <s v="Olive  6.8&quot; rosa - CXO"/>
    <s v="JUGUETE PROPIO"/>
    <s v="CXO"/>
    <n v="1"/>
    <n v="603.45000000000005"/>
  </r>
  <r>
    <s v="Plaza las Torres CELESTERRA"/>
    <s v="16/01/2026"/>
    <x v="4"/>
    <s v="7503013378409"/>
    <s v="Anillo de Acero Grueso - CXO"/>
    <s v="JUGUETE PROPIO"/>
    <s v="CXO"/>
    <n v="1"/>
    <n v="474.14"/>
  </r>
  <r>
    <s v="Plaza las Torres CELESTERRA"/>
    <s v="16/01/2026"/>
    <x v="4"/>
    <s v="7503050226162"/>
    <s v="Plug Anal con Vibración y Control Roberto - CXO"/>
    <s v="JUGUETE PROPIO"/>
    <s v="CXO"/>
    <n v="1"/>
    <n v="1293.0999999999999"/>
  </r>
  <r>
    <s v="Plaza las Torres CELESTERRA"/>
    <s v="17/01/2026"/>
    <x v="3"/>
    <s v="7503043917081"/>
    <s v="Blade rosa anillo vibrador - CXO"/>
    <s v="JUGUETE PROPIO"/>
    <s v="CXO"/>
    <n v="1"/>
    <n v="81.900000000000006"/>
  </r>
  <r>
    <s v="Plaza las Torres CELESTERRA"/>
    <s v="17/01/2026"/>
    <x v="3"/>
    <s v="CZC-ZDB-004"/>
    <s v="Multiorgasmico con Lengua giratoria - CXO"/>
    <s v="JUGUETE PROPIO"/>
    <s v="CXO"/>
    <n v="1"/>
    <n v="2379.31"/>
  </r>
  <r>
    <s v="Plaza las Torres CELESTERRA"/>
    <s v="17/01/2026"/>
    <x v="3"/>
    <s v="6970556032074"/>
    <s v="Plug Anal con 10 modos de Vibracion de 11.5cm  Ramiro- CXO"/>
    <s v="JUGUETE PROPIO"/>
    <s v="CXO"/>
    <n v="1"/>
    <n v="1034.48"/>
  </r>
  <r>
    <s v="Plaza las Torres CELESTERRA"/>
    <s v="20/01/2026"/>
    <x v="4"/>
    <s v="7503043917081"/>
    <s v="Blade rosa anillo vibrador - CXO"/>
    <s v="JUGUETE PROPIO"/>
    <s v="CXO"/>
    <n v="1"/>
    <n v="81.900000000000006"/>
  </r>
  <r>
    <s v="Plaza las Torres CELESTERRA"/>
    <s v="20/01/2026"/>
    <x v="4"/>
    <s v="7503013378904"/>
    <s v="Dildo Mr. Hernandez - CXO"/>
    <s v="JUGUETE PROPIO"/>
    <s v="CXO"/>
    <n v="1"/>
    <n v="517.24"/>
  </r>
  <r>
    <s v="Plaza las Torres CELESTERRA"/>
    <s v="20/01/2026"/>
    <x v="4"/>
    <s v="7503030207201"/>
    <s v="Funda semi realista para pene Rodolfo - CXO"/>
    <s v="JUGUETE PROPIO"/>
    <s v="CXO"/>
    <n v="1"/>
    <n v="1137.93"/>
  </r>
  <r>
    <s v="Plaza las Torres CELESTERRA"/>
    <s v="22/01/2026"/>
    <x v="4"/>
    <s v="7503013378102"/>
    <s v="Anastasia Gema de Colores M - CXO"/>
    <s v="JUGUETE PROPIO"/>
    <s v="CXO"/>
    <n v="1"/>
    <n v="456.9"/>
  </r>
  <r>
    <s v="Plaza las Torres CELESTERRA"/>
    <s v="22/01/2026"/>
    <x v="4"/>
    <s v="7503030202167"/>
    <s v="Dildo hiper realista con ventosa Raul - CXO"/>
    <s v="JUGUETE PROPIO"/>
    <s v="CXO"/>
    <n v="1"/>
    <n v="1525.86"/>
  </r>
  <r>
    <s v="Plaza las Torres CELESTERRA"/>
    <s v="22/01/2026"/>
    <x v="4"/>
    <s v="7503020202214"/>
    <s v="Dildo realista con ventosa y testiculos Eddy - CXO"/>
    <s v="JUGUETE PROPIO"/>
    <s v="CXO"/>
    <n v="1"/>
    <n v="948.28"/>
  </r>
  <r>
    <s v="Plaza las Torres CELESTERRA"/>
    <s v="23/01/2026"/>
    <x v="4"/>
    <s v="7503013378904"/>
    <s v="Dildo Mr. Hernandez - CXO"/>
    <s v="JUGUETE PROPIO"/>
    <s v="CXO"/>
    <n v="1"/>
    <n v="517.24"/>
  </r>
  <r>
    <s v="Plaza las Torres CELESTERRA"/>
    <s v="23/01/2026"/>
    <x v="4"/>
    <s v="7503024256635"/>
    <s v="Olive  6.8&quot; rosa - CXO"/>
    <s v="JUGUETE PROPIO"/>
    <s v="CXO"/>
    <n v="1"/>
    <n v="603.45000000000005"/>
  </r>
  <r>
    <s v="Plaza las Torres CELESTERRA"/>
    <s v="24/01/2026"/>
    <x v="4"/>
    <s v="7503020104212"/>
    <s v="Vibrador multiorgasmico con aleta estimuladora Megan - CXO"/>
    <s v="JUGUETE PROPIO"/>
    <s v="CXO"/>
    <n v="1"/>
    <n v="2413.79"/>
  </r>
  <r>
    <s v="Plaza las Torres CELESTERRA"/>
    <s v="25/01/2026"/>
    <x v="4"/>
    <s v="7503043917081"/>
    <s v="Blade rosa anillo vibrador - CXO"/>
    <s v="JUGUETE PROPIO"/>
    <s v="CXO"/>
    <n v="1"/>
    <n v="81.900000000000006"/>
  </r>
  <r>
    <s v="Plaza las Torres CELESTERRA"/>
    <s v="25/01/2026"/>
    <x v="4"/>
    <s v="LL-2340-C"/>
    <s v="Pinzas Vibradoras para Pezon Mod. C (Succionador) - CXO"/>
    <s v="JUGUETE PROPIO"/>
    <s v="CXO"/>
    <n v="1"/>
    <n v="301.72000000000003"/>
  </r>
  <r>
    <s v="Plaza las Torres CELESTERRA"/>
    <s v="25/01/2026"/>
    <x v="4"/>
    <s v="7503030104190"/>
    <s v="Vibrador multiorgasmico con 10 modos de vibracion Norma - CXO"/>
    <s v="JUGUETE PROPIO"/>
    <s v="CXO"/>
    <n v="1"/>
    <n v="2396.5500000000002"/>
  </r>
  <r>
    <s v="Plaza las Torres CELESTERRA"/>
    <s v="28/01/2026"/>
    <x v="1"/>
    <s v="7503043917081"/>
    <s v="Blade rosa anillo vibrador - CXO"/>
    <s v="JUGUETE PROPIO"/>
    <s v="CXO"/>
    <n v="2"/>
    <n v="163.80000000000001"/>
  </r>
  <r>
    <s v="Plaza las Torres CELESTERRA"/>
    <s v="28/01/2026"/>
    <x v="1"/>
    <s v="7503030102198"/>
    <s v="Dildo realista vibrador con ventosa Ulises - CXO"/>
    <s v="JUGUETE PROPIO"/>
    <s v="CXO"/>
    <n v="1"/>
    <n v="2000"/>
  </r>
  <r>
    <s v="Plaza las Torres CELESTERRA"/>
    <s v="28/01/2026"/>
    <x v="1"/>
    <s v="7503032300443"/>
    <s v="Zoe bala vibradora RETAIL - CXO"/>
    <s v="JUGUETE PROPIO"/>
    <s v="CXO"/>
    <n v="2"/>
    <n v="310.33999999999997"/>
  </r>
  <r>
    <s v="Plaza las Torres CELESTERRA"/>
    <s v="29/01/2026"/>
    <x v="1"/>
    <s v="7503043917081"/>
    <s v="Blade rosa anillo vibrador - CXO"/>
    <s v="JUGUETE PROPIO"/>
    <s v="CXO"/>
    <n v="1"/>
    <n v="81.900000000000006"/>
  </r>
  <r>
    <s v="Plaza las Torres CELESTERRA"/>
    <s v="30/01/2026"/>
    <x v="1"/>
    <s v="7503013378744"/>
    <s v="Anastasia silicon rosa - CXO"/>
    <s v="JUGUETE PROPIO"/>
    <s v="CXO"/>
    <n v="1"/>
    <n v="284.48"/>
  </r>
  <r>
    <s v="Plaza las Torres CELESTERRA"/>
    <s v="30/01/2026"/>
    <x v="1"/>
    <s v="7503030202035"/>
    <s v="Dildo con testiculos y ventosa Mr. Garcia - CXO"/>
    <s v="JUGUETE PROPIO"/>
    <s v="CXO"/>
    <n v="1"/>
    <n v="646.54999999999995"/>
  </r>
  <r>
    <s v="Plaza las Torres CELESTERRA"/>
    <s v="31/01/2026"/>
    <x v="1"/>
    <s v="7503043917081"/>
    <s v="Blade rosa anillo vibrador - CXO"/>
    <s v="JUGUETE PROPIO"/>
    <s v="CXO"/>
    <n v="1"/>
    <n v="81.900000000000006"/>
  </r>
  <r>
    <s v="Plaza las Torres CELESTERRA"/>
    <s v="31/01/2026"/>
    <x v="1"/>
    <s v="7503050226162"/>
    <s v="Plug Anal con Vibración y Control Roberto - CXO"/>
    <s v="JUGUETE PROPIO"/>
    <s v="CXO"/>
    <n v="1"/>
    <n v="1293.0999999999999"/>
  </r>
  <r>
    <s v="Plaza las Torres CELESTERRA"/>
    <s v="31/01/2026"/>
    <x v="1"/>
    <s v="7503020210517"/>
    <s v="Vibrador tipo c con control remoto rosa Maia - CXO"/>
    <s v="JUGUETE PROPIO"/>
    <s v="CXO"/>
    <n v="1"/>
    <n v="2672.41"/>
  </r>
  <r>
    <s v="Plaza Madison -CEL"/>
    <s v="02/01/2026"/>
    <x v="16"/>
    <s v="7503043917036"/>
    <s v="Arnes universal de argolla negro - CXO"/>
    <s v="JUGUETE PROPIO"/>
    <s v="CXO"/>
    <n v="1"/>
    <n v="474.14"/>
  </r>
  <r>
    <s v="Plaza Madison -CEL"/>
    <s v="02/01/2026"/>
    <x v="16"/>
    <s v="7500464543059"/>
    <s v="Dildo Realista con Ventosa 15.5cms Domi CXO"/>
    <s v="JUGUETE PROPIO"/>
    <s v="CXO"/>
    <n v="1"/>
    <n v="818.97"/>
  </r>
  <r>
    <s v="Plaza Madison -CEL"/>
    <s v="02/01/2026"/>
    <x v="16"/>
    <s v="7503032300627"/>
    <s v="Kevin - CXO"/>
    <s v="JUGUETE PROPIO"/>
    <s v="CXO"/>
    <n v="1"/>
    <n v="775.86"/>
  </r>
  <r>
    <s v="Plaza Madison -CEL"/>
    <s v="02/01/2026"/>
    <x v="16"/>
    <s v="7503020105074"/>
    <s v="Vibrador para parejas con doble estimulación Hanna -  CXO"/>
    <s v="JUGUETE PROPIO"/>
    <s v="CXO"/>
    <n v="1"/>
    <n v="2163.79"/>
  </r>
  <r>
    <s v="Plaza Madison -CEL"/>
    <s v="03/01/2026"/>
    <x v="16"/>
    <s v="7503013378119"/>
    <s v="Anastasia gema de colores S - CXO"/>
    <s v="JUGUETE PROPIO"/>
    <s v="CXO"/>
    <n v="1"/>
    <n v="396.55"/>
  </r>
  <r>
    <s v="Plaza Madison -CEL"/>
    <s v="03/01/2026"/>
    <x v="16"/>
    <s v="7503043917081"/>
    <s v="Blade rosa anillo vibrador - CXO"/>
    <s v="JUGUETE PROPIO"/>
    <s v="CXO"/>
    <n v="2"/>
    <n v="163.80000000000001"/>
  </r>
  <r>
    <s v="Plaza Madison -CEL"/>
    <s v="03/01/2026"/>
    <x v="16"/>
    <s v="P07-00252"/>
    <s v="Huevito Vibrador con Lenguita Estimuladora de Clitoris Rosy - CXO"/>
    <s v="JUGUETE PROPIO"/>
    <s v="CXO"/>
    <n v="1"/>
    <n v="2672.41"/>
  </r>
  <r>
    <s v="Plaza Madison -CEL"/>
    <s v="03/01/2026"/>
    <x v="16"/>
    <s v="7503032300443"/>
    <s v="Zoe bala vibradora RETAIL - CXO"/>
    <s v="JUGUETE PROPIO"/>
    <s v="CXO"/>
    <n v="1"/>
    <n v="155.16999999999999"/>
  </r>
  <r>
    <s v="Plaza Madison -CEL"/>
    <s v="04/01/2026"/>
    <x v="6"/>
    <s v="6970556030858"/>
    <s v="Multiorgasmico Reno - CXO"/>
    <s v="JUGUETE PROPIO"/>
    <s v="CXO"/>
    <n v="1"/>
    <n v="2327.59"/>
  </r>
  <r>
    <s v="Plaza Madison -CEL"/>
    <s v="05/01/2026"/>
    <x v="16"/>
    <s v="ACG0976SV0WB"/>
    <s v="Dildo Vibrador con Impulsor Estimulador de Clítoris Conny - CXO"/>
    <s v="JUGUETE PROPIO"/>
    <s v="CXO"/>
    <n v="1"/>
    <n v="2198.2800000000002"/>
  </r>
  <r>
    <s v="Plaza Madison -CEL"/>
    <s v="05/01/2026"/>
    <x v="16"/>
    <s v="7503043917142"/>
    <s v="Hank negro anillo vibrador - CXO"/>
    <s v="JUGUETE PROPIO"/>
    <s v="CXO"/>
    <n v="1"/>
    <n v="818.97"/>
  </r>
  <r>
    <s v="Plaza Madison -CEL"/>
    <s v="06/01/2026"/>
    <x v="16"/>
    <s v="7503013378119"/>
    <s v="Anastasia gema de colores S - CXO"/>
    <s v="JUGUETE PROPIO"/>
    <s v="CXO"/>
    <n v="1"/>
    <n v="396.55"/>
  </r>
  <r>
    <s v="Plaza Madison -CEL"/>
    <s v="06/01/2026"/>
    <x v="16"/>
    <s v="7503013378256"/>
    <s v="Sammy - CXO"/>
    <s v="JUGUETE PROPIO"/>
    <s v="CXO"/>
    <n v="1"/>
    <n v="1551.72"/>
  </r>
  <r>
    <s v="Plaza Madison -CEL"/>
    <s v="08/01/2026"/>
    <x v="16"/>
    <s v="7503050524340"/>
    <s v="Ducha Felix S - CXO"/>
    <s v="JUGUETE PROPIO"/>
    <s v="CXO"/>
    <n v="1"/>
    <n v="612.07000000000005"/>
  </r>
  <r>
    <s v="Plaza Madison -CEL"/>
    <s v="08/01/2026"/>
    <x v="16"/>
    <s v="7503024256635"/>
    <s v="Olive  6.8&quot; rosa - CXO"/>
    <s v="JUGUETE PROPIO"/>
    <s v="CXO"/>
    <n v="1"/>
    <n v="603.45000000000005"/>
  </r>
  <r>
    <s v="Plaza Madison -CEL"/>
    <s v="08/01/2026"/>
    <x v="16"/>
    <s v="6970556032074"/>
    <s v="Plug Anal con 10 modos de Vibracion de 11.5cm  Ramiro- CXO"/>
    <s v="JUGUETE PROPIO"/>
    <s v="CXO"/>
    <n v="1"/>
    <n v="1034.48"/>
  </r>
  <r>
    <s v="Plaza Madison -CEL"/>
    <s v="09/01/2026"/>
    <x v="16"/>
    <s v="7503020112070"/>
    <s v="Bala vibradora recargable Ely – CXO"/>
    <s v="JUGUETE PROPIO"/>
    <s v="CXO"/>
    <n v="1"/>
    <n v="793.1"/>
  </r>
  <r>
    <s v="Plaza Madison -CEL"/>
    <s v="09/01/2026"/>
    <x v="16"/>
    <s v="7503050524401"/>
    <s v="Cuerda shibari rosa 10mts - CXO"/>
    <s v="JUGUETE PROPIO"/>
    <s v="CXO"/>
    <n v="1"/>
    <n v="379.31"/>
  </r>
  <r>
    <s v="Plaza Madison -CEL"/>
    <s v="09/01/2026"/>
    <x v="16"/>
    <s v="7503030102034"/>
    <s v="Dildo vibrador con control Anthony - CXO"/>
    <s v="JUGUETE PROPIO"/>
    <s v="CXO"/>
    <n v="1"/>
    <n v="2112.0700000000002"/>
  </r>
  <r>
    <s v="Plaza Madison -CEL"/>
    <s v="09/01/2026"/>
    <x v="16"/>
    <s v="7503032300443"/>
    <s v="Zoe bala vibradora RETAIL - CXO"/>
    <s v="JUGUETE PROPIO"/>
    <s v="CXO"/>
    <n v="1"/>
    <n v="155.16999999999999"/>
  </r>
  <r>
    <s v="Plaza Madison -CEL"/>
    <s v="10/01/2026"/>
    <x v="16"/>
    <s v="7503013378102"/>
    <s v="Anastasia Gema de Colores M - CXO"/>
    <s v="JUGUETE PROPIO"/>
    <s v="CXO"/>
    <n v="1"/>
    <n v="456.9"/>
  </r>
  <r>
    <s v="Plaza Madison -CEL"/>
    <s v="10/01/2026"/>
    <x v="16"/>
    <s v="7503024256635"/>
    <s v="Olive  6.8&quot; rosa - CXO"/>
    <s v="JUGUETE PROPIO"/>
    <s v="CXO"/>
    <n v="1"/>
    <n v="603.45000000000005"/>
  </r>
  <r>
    <s v="Plaza Madison -CEL"/>
    <s v="10/01/2026"/>
    <x v="16"/>
    <s v="LL-2340-C"/>
    <s v="Pinzas Vibradoras para Pezon Mod. C (Succionador) - CXO"/>
    <s v="JUGUETE PROPIO"/>
    <s v="CXO"/>
    <n v="1"/>
    <n v="301.72000000000003"/>
  </r>
  <r>
    <s v="Plaza Madison -CEL"/>
    <s v="10/01/2026"/>
    <x v="16"/>
    <s v="7503032300443"/>
    <s v="Zoe bala vibradora RETAIL - CXO"/>
    <s v="JUGUETE PROPIO"/>
    <s v="CXO"/>
    <n v="1"/>
    <n v="155.16999999999999"/>
  </r>
  <r>
    <s v="Plaza Madison -CEL"/>
    <s v="11/01/2026"/>
    <x v="16"/>
    <s v="7503013378119"/>
    <s v="Anastasia gema de colores S - CXO"/>
    <s v="JUGUETE PROPIO"/>
    <s v="CXO"/>
    <n v="1"/>
    <n v="396.55"/>
  </r>
  <r>
    <s v="Plaza Madison -CEL"/>
    <s v="12/01/2026"/>
    <x v="6"/>
    <s v="SE020"/>
    <s v="Masturbador 2 en 1 Vagina y Boca - CXO"/>
    <s v="JUGUETE PROPIO"/>
    <s v="CXO"/>
    <n v="1"/>
    <n v="1293.0999999999999"/>
  </r>
  <r>
    <s v="Plaza Madison -CEL"/>
    <s v="13/01/2026"/>
    <x v="16"/>
    <s v="7503013378102"/>
    <s v="Anastasia Gema de Colores M - CXO"/>
    <s v="JUGUETE PROPIO"/>
    <s v="CXO"/>
    <n v="1"/>
    <n v="456.9"/>
  </r>
  <r>
    <s v="Plaza Madison -CEL"/>
    <s v="13/01/2026"/>
    <x v="16"/>
    <s v="7503032300221"/>
    <s v="Cola de Zorro Arcoiris 38cm M - CXO"/>
    <s v="JUGUETE PROPIO"/>
    <s v="CXO"/>
    <n v="1"/>
    <n v="301.72000000000003"/>
  </r>
  <r>
    <s v="Plaza Madison -CEL"/>
    <s v="13/01/2026"/>
    <x v="16"/>
    <s v="7503030103028"/>
    <s v="Huevito vibrador con control a distancia Daniela - CXO"/>
    <s v="JUGUETE PROPIO"/>
    <s v="CXO"/>
    <n v="1"/>
    <n v="1500"/>
  </r>
  <r>
    <s v="Plaza Madison -CEL"/>
    <s v="13/01/2026"/>
    <x v="16"/>
    <s v="7503032300382"/>
    <s v="Mon - CXO"/>
    <s v="JUGUETE PROPIO"/>
    <s v="CXO"/>
    <n v="1"/>
    <n v="517.24"/>
  </r>
  <r>
    <s v="Plaza Madison -CEL"/>
    <s v="14/01/2026"/>
    <x v="16"/>
    <s v="7503013378102"/>
    <s v="Anastasia Gema de Colores M - CXO"/>
    <s v="JUGUETE PROPIO"/>
    <s v="CXO"/>
    <n v="1"/>
    <n v="456.9"/>
  </r>
  <r>
    <s v="Plaza Madison -CEL"/>
    <s v="14/01/2026"/>
    <x v="16"/>
    <s v="S146 AAT1002"/>
    <s v="Bomba para Pene Automatica - S146 AAT1002"/>
    <s v="JUGUETE PROPIO"/>
    <s v="CXO"/>
    <n v="1"/>
    <n v="1551.72"/>
  </r>
  <r>
    <s v="Plaza Madison -CEL"/>
    <s v="14/01/2026"/>
    <x v="16"/>
    <s v="7503030118033"/>
    <s v="Kit vibrador + estimulante para clitoris Lau - CXO"/>
    <s v="JUGUETE PROPIO"/>
    <s v="CXO"/>
    <n v="1"/>
    <n v="1706.9"/>
  </r>
  <r>
    <s v="Plaza Madison -CEL"/>
    <s v="14/01/2026"/>
    <x v="16"/>
    <s v="7503020105074"/>
    <s v="Vibrador para parejas con doble estimulación Hanna -  CXO"/>
    <s v="JUGUETE PROPIO"/>
    <s v="CXO"/>
    <n v="1"/>
    <n v="2163.79"/>
  </r>
  <r>
    <s v="Plaza Madison -CEL"/>
    <s v="15/01/2026"/>
    <x v="16"/>
    <s v="7503013378393"/>
    <s v="Anillo de Acero con bola - CXO"/>
    <s v="JUGUETE PROPIO"/>
    <s v="CXO"/>
    <n v="1"/>
    <n v="137.93"/>
  </r>
  <r>
    <s v="Plaza Madison -CEL"/>
    <s v="15/01/2026"/>
    <x v="16"/>
    <s v="7503050226162"/>
    <s v="Plug Anal con Vibración y Control Roberto - CXO"/>
    <s v="JUGUETE PROPIO"/>
    <s v="CXO"/>
    <n v="1"/>
    <n v="1293.0999999999999"/>
  </r>
  <r>
    <s v="Plaza Madison -CEL"/>
    <s v="15/01/2026"/>
    <x v="16"/>
    <s v="7503032300443"/>
    <s v="Zoe bala vibradora RETAIL - CXO"/>
    <s v="JUGUETE PROPIO"/>
    <s v="CXO"/>
    <n v="1"/>
    <n v="155.16999999999999"/>
  </r>
  <r>
    <s v="Plaza Madison -CEL"/>
    <s v="16/01/2026"/>
    <x v="6"/>
    <s v="7503013378102"/>
    <s v="Anastasia Gema de Colores M - CXO"/>
    <s v="JUGUETE PROPIO"/>
    <s v="CXO"/>
    <n v="1"/>
    <n v="456.9"/>
  </r>
  <r>
    <s v="Plaza Madison -CEL"/>
    <s v="16/01/2026"/>
    <x v="6"/>
    <s v="7503032300627"/>
    <s v="Kevin - CXO"/>
    <s v="JUGUETE PROPIO"/>
    <s v="CXO"/>
    <n v="1"/>
    <n v="775.86"/>
  </r>
  <r>
    <s v="Plaza Madison -CEL"/>
    <s v="17/01/2026"/>
    <x v="16"/>
    <s v="7503043917081"/>
    <s v="Blade rosa anillo vibrador - CXO"/>
    <s v="JUGUETE PROPIO"/>
    <s v="CXO"/>
    <n v="1"/>
    <n v="81.900000000000006"/>
  </r>
  <r>
    <s v="Plaza Madison -CEL"/>
    <s v="18/01/2026"/>
    <x v="16"/>
    <s v="7503030211021"/>
    <s v="Anillo desechable para pene Donut - CXO"/>
    <s v="JUGUETE PROPIO"/>
    <s v="CXO"/>
    <n v="2"/>
    <n v="68.97"/>
  </r>
  <r>
    <s v="Plaza Madison -CEL"/>
    <s v="18/01/2026"/>
    <x v="16"/>
    <s v="7503024256635"/>
    <s v="Olive  6.8&quot; rosa - CXO"/>
    <s v="JUGUETE PROPIO"/>
    <s v="CXO"/>
    <n v="1"/>
    <n v="603.45000000000005"/>
  </r>
  <r>
    <s v="Plaza Madison -CEL"/>
    <s v="18/01/2026"/>
    <x v="16"/>
    <s v="7503030104190"/>
    <s v="Vibrador multiorgasmico con 10 modos de vibracion Norma - CXO"/>
    <s v="JUGUETE PROPIO"/>
    <s v="CXO"/>
    <n v="1"/>
    <n v="2396.5500000000002"/>
  </r>
  <r>
    <s v="Plaza Madison -CEL"/>
    <s v="19/01/2026"/>
    <x v="16"/>
    <s v="7503024256932"/>
    <s v="Cinthia - CXO"/>
    <s v="JUGUETE PROPIO"/>
    <s v="CXO"/>
    <n v="2"/>
    <n v="2258.62"/>
  </r>
  <r>
    <s v="Plaza Madison -CEL"/>
    <s v="19/01/2026"/>
    <x v="16"/>
    <s v="7503032300382"/>
    <s v="Mon - CXO"/>
    <s v="JUGUETE PROPIO"/>
    <s v="CXO"/>
    <n v="1"/>
    <n v="517.24"/>
  </r>
  <r>
    <s v="Plaza Madison -CEL"/>
    <s v="21/01/2026"/>
    <x v="6"/>
    <s v="7503013378102"/>
    <s v="Anastasia Gema de Colores M - CXO"/>
    <s v="JUGUETE PROPIO"/>
    <s v="CXO"/>
    <n v="1"/>
    <n v="456.9"/>
  </r>
  <r>
    <s v="Plaza Madison -CEL"/>
    <s v="22/01/2026"/>
    <x v="16"/>
    <s v="7503043917081"/>
    <s v="Blade rosa anillo vibrador - CXO"/>
    <s v="JUGUETE PROPIO"/>
    <s v="CXO"/>
    <n v="1"/>
    <n v="81.900000000000006"/>
  </r>
  <r>
    <s v="Plaza Madison -CEL"/>
    <s v="24/01/2026"/>
    <x v="16"/>
    <s v="MBS0530"/>
    <s v="Esposas de broche - CXO"/>
    <s v="JUGUETE PROPIO"/>
    <s v="CXO"/>
    <n v="1"/>
    <n v="172.41"/>
  </r>
  <r>
    <s v="Plaza Madison -CEL"/>
    <s v="25/01/2026"/>
    <x v="16"/>
    <s v="7503024256741"/>
    <s v="Cola de Zorro 45cm café S - CXO"/>
    <s v="JUGUETE PROPIO"/>
    <s v="CXO"/>
    <n v="1"/>
    <n v="258.62"/>
  </r>
  <r>
    <s v="Plaza Madison -CEL"/>
    <s v="25/01/2026"/>
    <x v="16"/>
    <s v="7503030102198"/>
    <s v="Dildo realista vibrador con ventosa Ulises - CXO"/>
    <s v="JUGUETE PROPIO"/>
    <s v="CXO"/>
    <n v="1"/>
    <n v="2000"/>
  </r>
  <r>
    <s v="Plaza Madison -CEL"/>
    <s v="25/01/2026"/>
    <x v="16"/>
    <s v="7503030102034"/>
    <s v="Dildo vibrador con control Anthony - CXO"/>
    <s v="JUGUETE PROPIO"/>
    <s v="CXO"/>
    <n v="1"/>
    <n v="2112.0700000000002"/>
  </r>
  <r>
    <s v="Plaza Madison -CEL"/>
    <s v="25/01/2026"/>
    <x v="16"/>
    <s v="7503050226162"/>
    <s v="Plug Anal con Vibración y Control Roberto - CXO"/>
    <s v="JUGUETE PROPIO"/>
    <s v="CXO"/>
    <n v="1"/>
    <n v="1293.0999999999999"/>
  </r>
  <r>
    <s v="Plaza Madison -CEL"/>
    <s v="25/01/2026"/>
    <x v="16"/>
    <s v="7503032300443"/>
    <s v="Zoe bala vibradora RETAIL - CXO"/>
    <s v="JUGUETE PROPIO"/>
    <s v="CXO"/>
    <n v="1"/>
    <n v="155.16999999999999"/>
  </r>
  <r>
    <s v="Plaza Madison -CEL"/>
    <s v="26/01/2026"/>
    <x v="16"/>
    <s v="6974122611892"/>
    <s v="Succionador con 7 modos Esther - CXO"/>
    <s v="JUGUETE PROPIO"/>
    <s v="CXO"/>
    <n v="1"/>
    <n v="1853.45"/>
  </r>
  <r>
    <s v="Plaza Madison -CEL"/>
    <s v="26/01/2026"/>
    <x v="16"/>
    <s v="7503032300443"/>
    <s v="Zoe bala vibradora RETAIL - CXO"/>
    <s v="JUGUETE PROPIO"/>
    <s v="CXO"/>
    <n v="1"/>
    <n v="155.16999999999999"/>
  </r>
  <r>
    <s v="Plaza Madison -CEL"/>
    <s v="28/01/2026"/>
    <x v="16"/>
    <s v="7503013378386"/>
    <s v="Anillo de Acero Plano - CXO"/>
    <s v="JUGUETE PROPIO"/>
    <s v="CXO"/>
    <n v="1"/>
    <n v="168.1"/>
  </r>
  <r>
    <s v="Plaza Madison -CEL"/>
    <s v="29/01/2026"/>
    <x v="16"/>
    <s v="7503032300443"/>
    <s v="Zoe bala vibradora RETAIL - CXO"/>
    <s v="JUGUETE PROPIO"/>
    <s v="CXO"/>
    <n v="1"/>
    <n v="155.16999999999999"/>
  </r>
  <r>
    <s v="Plaza Madison -CEL"/>
    <s v="30/01/2026"/>
    <x v="16"/>
    <s v="7503020111071"/>
    <s v="Anillo vibrador Hank gris con 10 velocidades – CXO"/>
    <s v="JUGUETE PROPIO"/>
    <s v="CXO"/>
    <n v="1"/>
    <n v="1267.24"/>
  </r>
  <r>
    <s v="Plaza Madison -CEL"/>
    <s v="30/01/2026"/>
    <x v="16"/>
    <s v="7503030102034"/>
    <s v="Dildo vibrador con control Anthony - CXO"/>
    <s v="JUGUETE PROPIO"/>
    <s v="CXO"/>
    <n v="1"/>
    <n v="2112.0700000000002"/>
  </r>
  <r>
    <s v="Plaza Madison -CEL"/>
    <s v="30/01/2026"/>
    <x v="16"/>
    <s v="MBS0530"/>
    <s v="Esposas de broche - CXO"/>
    <s v="JUGUETE PROPIO"/>
    <s v="CXO"/>
    <n v="1"/>
    <n v="172.41"/>
  </r>
  <r>
    <s v="Plaza Madison -CEL"/>
    <s v="30/01/2026"/>
    <x v="16"/>
    <s v="7503032300443"/>
    <s v="Zoe bala vibradora RETAIL - CXO"/>
    <s v="JUGUETE PROPIO"/>
    <s v="CXO"/>
    <n v="1"/>
    <n v="155.16999999999999"/>
  </r>
  <r>
    <s v="Plaza Madison -CEL"/>
    <s v="31/01/2026"/>
    <x v="16"/>
    <s v="7503043917081"/>
    <s v="Blade rosa anillo vibrador - CXO"/>
    <s v="JUGUETE PROPIO"/>
    <s v="CXO"/>
    <n v="1"/>
    <n v="81.900000000000006"/>
  </r>
  <r>
    <s v="Plaza Madison -CEL"/>
    <s v="31/01/2026"/>
    <x v="16"/>
    <s v="7503032300443"/>
    <s v="Zoe bala vibradora RETAIL - CXO"/>
    <s v="JUGUETE PROPIO"/>
    <s v="CXO"/>
    <n v="4"/>
    <n v="620.67999999999995"/>
  </r>
  <r>
    <s v="Plaza Sauces CEL"/>
    <s v="02/01/2026"/>
    <x v="17"/>
    <s v="7503024256741"/>
    <s v="Cola de Zorro 45cm café S - CXO"/>
    <s v="JUGUETE PROPIO"/>
    <s v="CXO"/>
    <n v="1"/>
    <n v="258.62"/>
  </r>
  <r>
    <s v="Plaza Sauces CEL"/>
    <s v="02/01/2026"/>
    <x v="17"/>
    <s v="7503043917593"/>
    <s v="Nora dildo vibrador - CXO"/>
    <s v="JUGUETE PROPIO"/>
    <s v="CXO"/>
    <n v="1"/>
    <n v="474.14"/>
  </r>
  <r>
    <s v="Plaza Sauces CEL"/>
    <s v="04/01/2026"/>
    <x v="17"/>
    <s v="7503020111072"/>
    <s v="Anillo vibrador recargable con textura negra Hank - CXO"/>
    <s v="JUGUETE PROPIO"/>
    <s v="CXO"/>
    <n v="1"/>
    <n v="1267.24"/>
  </r>
  <r>
    <s v="Plaza Sauces CEL"/>
    <s v="04/01/2026"/>
    <x v="17"/>
    <s v="7503030102034"/>
    <s v="Dildo vibrador con control Anthony - CXO"/>
    <s v="JUGUETE PROPIO"/>
    <s v="CXO"/>
    <n v="1"/>
    <n v="2112.0700000000002"/>
  </r>
  <r>
    <s v="Plaza Sauces CEL"/>
    <s v="05/01/2026"/>
    <x v="17"/>
    <s v="7503020104080"/>
    <s v="Vibrador multiorgásmico con doble motor y estimulador de conejito Ara – CXO"/>
    <s v="JUGUETE PROPIO"/>
    <s v="CXO"/>
    <n v="1"/>
    <n v="2163.79"/>
  </r>
  <r>
    <s v="Plaza Sauces CEL"/>
    <s v="06/01/2026"/>
    <x v="17"/>
    <s v="LL-A2216"/>
    <s v="Huevito con 10 modos de Vibración  Gina - CXO"/>
    <s v="JUGUETE PROPIO"/>
    <s v="CXO"/>
    <n v="1"/>
    <n v="1500"/>
  </r>
  <r>
    <s v="Plaza Sauces CEL"/>
    <s v="06/01/2026"/>
    <x v="17"/>
    <s v="7503024256635"/>
    <s v="Olive  6.8&quot; rosa - CXO"/>
    <s v="JUGUETE PROPIO"/>
    <s v="CXO"/>
    <n v="1"/>
    <n v="603.45000000000005"/>
  </r>
  <r>
    <s v="Plaza Sauces CEL"/>
    <s v="06/01/2026"/>
    <x v="17"/>
    <s v="7503020104082"/>
    <s v="Vibrador multiorgásmico con succionador y perlas Andy – CXO"/>
    <s v="JUGUETE PROPIO"/>
    <s v="CXO"/>
    <n v="1"/>
    <n v="2258.62"/>
  </r>
  <r>
    <s v="Plaza Sauces CEL"/>
    <s v="08/01/2026"/>
    <x v="17"/>
    <s v="7503013378102"/>
    <s v="Anastasia Gema de Colores M - CXO"/>
    <s v="JUGUETE PROPIO"/>
    <s v="CXO"/>
    <n v="1"/>
    <n v="456.9"/>
  </r>
  <r>
    <s v="Plaza Sauces CEL"/>
    <s v="08/01/2026"/>
    <x v="17"/>
    <s v="7503043917081"/>
    <s v="Blade rosa anillo vibrador - CXO"/>
    <s v="JUGUETE PROPIO"/>
    <s v="CXO"/>
    <n v="1"/>
    <n v="81.900000000000006"/>
  </r>
  <r>
    <s v="Plaza Sauces CEL"/>
    <s v="08/01/2026"/>
    <x v="17"/>
    <s v="7503032300474"/>
    <s v="Cola de Zorro 45cm blanco S - CXO"/>
    <s v="JUGUETE PROPIO"/>
    <s v="CXO"/>
    <n v="1"/>
    <n v="258.62"/>
  </r>
  <r>
    <s v="Plaza Sauces CEL"/>
    <s v="08/01/2026"/>
    <x v="17"/>
    <s v="7503032300634"/>
    <s v="Kevin violeta - CXO"/>
    <s v="JUGUETE PROPIO"/>
    <s v="CXO"/>
    <n v="1"/>
    <n v="775.86"/>
  </r>
  <r>
    <s v="Plaza Sauces CEL"/>
    <s v="09/01/2026"/>
    <x v="3"/>
    <s v="7503020111072"/>
    <s v="Anillo vibrador recargable con textura negra Hank - CXO"/>
    <s v="JUGUETE PROPIO"/>
    <s v="CXO"/>
    <n v="1"/>
    <n v="1267.24"/>
  </r>
  <r>
    <s v="Plaza Sauces CEL"/>
    <s v="09/01/2026"/>
    <x v="3"/>
    <s v="7503032300634"/>
    <s v="Kevin violeta - CXO"/>
    <s v="JUGUETE PROPIO"/>
    <s v="CXO"/>
    <n v="1"/>
    <n v="775.86"/>
  </r>
  <r>
    <s v="Plaza Sauces CEL"/>
    <s v="09/01/2026"/>
    <x v="3"/>
    <s v="SE018"/>
    <s v="Masturbador Jarrón - CXO"/>
    <s v="JUGUETE PROPIO"/>
    <s v="CXO"/>
    <n v="1"/>
    <n v="1034.48"/>
  </r>
  <r>
    <s v="Plaza Sauces CEL"/>
    <s v="10/01/2026"/>
    <x v="17"/>
    <s v="7503043917081"/>
    <s v="Blade rosa anillo vibrador - CXO"/>
    <s v="JUGUETE PROPIO"/>
    <s v="CXO"/>
    <n v="1"/>
    <n v="81.900000000000006"/>
  </r>
  <r>
    <s v="Plaza Sauces CEL"/>
    <s v="11/01/2026"/>
    <x v="17"/>
    <s v="LL-A2216"/>
    <s v="Huevito con 10 modos de Vibración  Gina - CXO"/>
    <s v="JUGUETE PROPIO"/>
    <s v="CXO"/>
    <n v="1"/>
    <n v="1500"/>
  </r>
  <r>
    <s v="Plaza Sauces CEL"/>
    <s v="11/01/2026"/>
    <x v="17"/>
    <s v="7503050524289"/>
    <s v="Oxi bomba de vacio manual - CXO"/>
    <s v="JUGUETE PROPIO"/>
    <s v="CXO"/>
    <n v="1"/>
    <n v="853.45"/>
  </r>
  <r>
    <s v="Plaza Sauces CEL"/>
    <s v="14/01/2026"/>
    <x v="17"/>
    <s v="7503020112070"/>
    <s v="Bala vibradora recargable Ely – CXO"/>
    <s v="JUGUETE PROPIO"/>
    <s v="CXO"/>
    <n v="1"/>
    <n v="793.1"/>
  </r>
  <r>
    <s v="Plaza Sauces CEL"/>
    <s v="14/01/2026"/>
    <x v="17"/>
    <s v="LL-B2224"/>
    <s v="Vibrador Recargable con 10 modos Liry - CXO"/>
    <s v="JUGUETE PROPIO"/>
    <s v="CXO"/>
    <n v="1"/>
    <n v="1508.62"/>
  </r>
  <r>
    <s v="Plaza Sauces CEL"/>
    <s v="17/01/2026"/>
    <x v="1"/>
    <s v="7503030215199"/>
    <s v="Arnes para doble penetracion - CXO"/>
    <s v="JUGUETE PROPIO"/>
    <s v="CXO"/>
    <n v="1"/>
    <n v="1422.41"/>
  </r>
  <r>
    <s v="Plaza Sauces CEL"/>
    <s v="17/01/2026"/>
    <x v="1"/>
    <s v="7503043917081"/>
    <s v="Blade rosa anillo vibrador - CXO"/>
    <s v="JUGUETE PROPIO"/>
    <s v="CXO"/>
    <n v="1"/>
    <n v="81.900000000000006"/>
  </r>
  <r>
    <s v="Plaza Sauces CEL"/>
    <s v="19/01/2026"/>
    <x v="17"/>
    <s v="7503032300443"/>
    <s v="Zoe bala vibradora RETAIL - CXO"/>
    <s v="JUGUETE PROPIO"/>
    <s v="CXO"/>
    <n v="1"/>
    <n v="155.16999999999999"/>
  </r>
  <r>
    <s v="Plaza Sauces CEL"/>
    <s v="21/01/2026"/>
    <x v="17"/>
    <s v="MBS0530"/>
    <s v="Esposas de broche - CXO"/>
    <s v="JUGUETE PROPIO"/>
    <s v="CXO"/>
    <n v="3"/>
    <n v="517.24"/>
  </r>
  <r>
    <s v="Plaza Sauces CEL"/>
    <s v="21/01/2026"/>
    <x v="17"/>
    <s v="7503032300634"/>
    <s v="Kevin violeta - CXO"/>
    <s v="JUGUETE PROPIO"/>
    <s v="CXO"/>
    <n v="1"/>
    <n v="775.86"/>
  </r>
  <r>
    <s v="Plaza Sauces CEL"/>
    <s v="21/01/2026"/>
    <x v="17"/>
    <s v="7503043917524"/>
    <s v="Kit Lisboa 8 pzs - CXO"/>
    <s v="JUGUETE PROPIO"/>
    <s v="CXO"/>
    <n v="1"/>
    <n v="465.52"/>
  </r>
  <r>
    <s v="Plaza Sauces CEL"/>
    <s v="22/01/2026"/>
    <x v="17"/>
    <s v="7503013378102"/>
    <s v="Anastasia Gema de Colores M - CXO"/>
    <s v="JUGUETE PROPIO"/>
    <s v="CXO"/>
    <n v="1"/>
    <n v="456.9"/>
  </r>
  <r>
    <s v="Plaza Sauces CEL"/>
    <s v="22/01/2026"/>
    <x v="17"/>
    <s v="7503013378904"/>
    <s v="Dildo Mr. Hernandez - CXO"/>
    <s v="JUGUETE PROPIO"/>
    <s v="CXO"/>
    <n v="1"/>
    <n v="517.24"/>
  </r>
  <r>
    <s v="Plaza Sauces CEL"/>
    <s v="22/01/2026"/>
    <x v="17"/>
    <s v="7503024256222"/>
    <s v="Jones - CXO"/>
    <s v="JUGUETE PROPIO"/>
    <s v="CXO"/>
    <n v="1"/>
    <n v="1329.11"/>
  </r>
  <r>
    <s v="Plaza Sauces CEL"/>
    <s v="22/01/2026"/>
    <x v="17"/>
    <s v="7503032300634"/>
    <s v="Kevin violeta - CXO"/>
    <s v="JUGUETE PROPIO"/>
    <s v="CXO"/>
    <n v="1"/>
    <n v="775.86"/>
  </r>
  <r>
    <s v="Plaza Sauces CEL"/>
    <s v="23/01/2026"/>
    <x v="3"/>
    <s v="7503030202035"/>
    <s v="Dildo con testiculos y ventosa Mr. Garcia - CXO"/>
    <s v="JUGUETE PROPIO"/>
    <s v="CXO"/>
    <n v="1"/>
    <n v="646.54999999999995"/>
  </r>
  <r>
    <s v="Plaza Sauces CEL"/>
    <s v="23/01/2026"/>
    <x v="3"/>
    <s v="7503030102198"/>
    <s v="Dildo realista vibrador con ventosa Ulises - CXO"/>
    <s v="JUGUETE PROPIO"/>
    <s v="CXO"/>
    <n v="1"/>
    <n v="2000"/>
  </r>
  <r>
    <s v="Plaza Sauces CEL"/>
    <s v="24/01/2026"/>
    <x v="17"/>
    <s v="7503020111072"/>
    <s v="Anillo vibrador recargable con textura negra Hank - CXO"/>
    <s v="JUGUETE PROPIO"/>
    <s v="CXO"/>
    <n v="1"/>
    <n v="1267.24"/>
  </r>
  <r>
    <s v="Plaza Sauces CEL"/>
    <s v="24/01/2026"/>
    <x v="17"/>
    <s v="7503043917081"/>
    <s v="Blade rosa anillo vibrador - CXO"/>
    <s v="JUGUETE PROPIO"/>
    <s v="CXO"/>
    <n v="2"/>
    <n v="163.80000000000001"/>
  </r>
  <r>
    <s v="Plaza Sauces CEL"/>
    <s v="26/01/2026"/>
    <x v="17"/>
    <s v="7503024256734"/>
    <s v="Cola de Zorro 45cm blanco M - CXO"/>
    <s v="JUGUETE PROPIO"/>
    <s v="CXO"/>
    <n v="1"/>
    <n v="301.72000000000003"/>
  </r>
  <r>
    <s v="Plaza Sauces CEL"/>
    <s v="27/01/2026"/>
    <x v="17"/>
    <s v="7503043917081"/>
    <s v="Blade rosa anillo vibrador - CXO"/>
    <s v="JUGUETE PROPIO"/>
    <s v="CXO"/>
    <n v="1"/>
    <n v="81.900000000000006"/>
  </r>
  <r>
    <s v="Plaza Sauces CEL"/>
    <s v="27/01/2026"/>
    <x v="17"/>
    <s v="7503020104212"/>
    <s v="Vibrador multiorgasmico con aleta estimuladora Megan - CXO"/>
    <s v="JUGUETE PROPIO"/>
    <s v="CXO"/>
    <n v="1"/>
    <n v="2413.79"/>
  </r>
  <r>
    <s v="Plaza Sauces CEL"/>
    <s v="28/01/2026"/>
    <x v="17"/>
    <s v="7503032300511"/>
    <s v="Cola de Zorro 45cm rosa M - CXO"/>
    <s v="JUGUETE PROPIO"/>
    <s v="CXO"/>
    <n v="1"/>
    <n v="301.72000000000003"/>
  </r>
  <r>
    <s v="Plaza Sauces CEL"/>
    <s v="29/01/2026"/>
    <x v="17"/>
    <s v="7503013378409"/>
    <s v="Anillo de Acero Grueso - CXO"/>
    <s v="JUGUETE PROPIO"/>
    <s v="CXO"/>
    <n v="1"/>
    <n v="474.14"/>
  </r>
  <r>
    <s v="Plaza Sauces CEL"/>
    <s v="29/01/2026"/>
    <x v="17"/>
    <s v="7503043917036"/>
    <s v="Arnes universal de argolla negro - CXO"/>
    <s v="JUGUETE PROPIO"/>
    <s v="CXO"/>
    <n v="1"/>
    <n v="474.14"/>
  </r>
  <r>
    <s v="Plaza Sauces CEL"/>
    <s v="29/01/2026"/>
    <x v="17"/>
    <s v="7503020202214"/>
    <s v="Dildo realista con ventosa y testiculos Eddy - CXO"/>
    <s v="JUGUETE PROPIO"/>
    <s v="CXO"/>
    <n v="1"/>
    <n v="948.28"/>
  </r>
  <r>
    <s v="Plaza Sauces CEL"/>
    <s v="29/01/2026"/>
    <x v="17"/>
    <s v="7503030103028"/>
    <s v="Huevito vibrador con control a distancia Daniela - CXO"/>
    <s v="JUGUETE PROPIO"/>
    <s v="CXO"/>
    <n v="1"/>
    <n v="1500"/>
  </r>
  <r>
    <s v="Plaza Zenter CEL"/>
    <s v="02/01/2026"/>
    <x v="18"/>
    <s v="7503043917081"/>
    <s v="Blade rosa anillo vibrador - CXO"/>
    <s v="JUGUETE PROPIO"/>
    <s v="CXO"/>
    <n v="2"/>
    <n v="163.80000000000001"/>
  </r>
  <r>
    <s v="Plaza Zenter CEL"/>
    <s v="02/01/2026"/>
    <x v="18"/>
    <s v="713001200104"/>
    <s v="Multiorgasmico con estimulador de clitoris de aleteo Marisol - CXO"/>
    <s v="JUGUETE PROPIO"/>
    <s v="CXO"/>
    <n v="1"/>
    <n v="2500"/>
  </r>
  <r>
    <s v="Plaza Zenter CEL"/>
    <s v="02/01/2026"/>
    <x v="18"/>
    <s v="7503024256635"/>
    <s v="Olive  6.8&quot; rosa - CXO"/>
    <s v="JUGUETE PROPIO"/>
    <s v="CXO"/>
    <n v="1"/>
    <n v="603.45000000000005"/>
  </r>
  <r>
    <s v="Plaza Zenter CEL"/>
    <s v="02/01/2026"/>
    <x v="18"/>
    <s v="7503020105084"/>
    <s v="Vibrador para parejas tipo C Trinity – CXO"/>
    <s v="JUGUETE PROPIO"/>
    <s v="CXO"/>
    <n v="1"/>
    <n v="2465.52"/>
  </r>
  <r>
    <s v="Plaza Zenter CEL"/>
    <s v="03/01/2026"/>
    <x v="18"/>
    <s v="7503043917081"/>
    <s v="Blade rosa anillo vibrador - CXO"/>
    <s v="JUGUETE PROPIO"/>
    <s v="CXO"/>
    <n v="1"/>
    <n v="81.900000000000006"/>
  </r>
  <r>
    <s v="Plaza Zenter CEL"/>
    <s v="03/01/2026"/>
    <x v="18"/>
    <s v="7503020310205"/>
    <s v="Dildo Vibrador Termico Realista 3 en 1 con movimiento Hades-CXO"/>
    <s v="JUGUETE PROPIO"/>
    <s v="CXO"/>
    <n v="1"/>
    <n v="2500"/>
  </r>
  <r>
    <s v="Plaza Zenter CEL"/>
    <s v="03/01/2026"/>
    <x v="18"/>
    <s v="7503024256635"/>
    <s v="Olive  6.8&quot; rosa - CXO"/>
    <s v="JUGUETE PROPIO"/>
    <s v="CXO"/>
    <n v="1"/>
    <n v="603.45000000000005"/>
  </r>
  <r>
    <s v="Plaza Zenter CEL"/>
    <s v="03/01/2026"/>
    <x v="18"/>
    <s v="7503032300443"/>
    <s v="Zoe bala vibradora RETAIL - CXO"/>
    <s v="JUGUETE PROPIO"/>
    <s v="CXO"/>
    <n v="2"/>
    <n v="310.33999999999997"/>
  </r>
  <r>
    <s v="Plaza Zenter CEL"/>
    <s v="04/01/2026"/>
    <x v="3"/>
    <s v="6970556032074"/>
    <s v="Plug Anal con 10 modos de Vibracion de 11.5cm  Ramiro- CXO"/>
    <s v="JUGUETE PROPIO"/>
    <s v="CXO"/>
    <n v="1"/>
    <n v="1034.48"/>
  </r>
  <r>
    <s v="Plaza Zenter CEL"/>
    <s v="04/01/2026"/>
    <x v="3"/>
    <s v="7503020104086"/>
    <s v="Vibrador y pulsador multiorgásmico con estimulador para clítoris Carola – CXO"/>
    <s v="JUGUETE PROPIO"/>
    <s v="CXO"/>
    <n v="1"/>
    <n v="2577.59"/>
  </r>
  <r>
    <s v="Plaza Zenter CEL"/>
    <s v="04/01/2026"/>
    <x v="3"/>
    <s v="7503032300443"/>
    <s v="Zoe bala vibradora RETAIL - CXO"/>
    <s v="JUGUETE PROPIO"/>
    <s v="CXO"/>
    <n v="2"/>
    <n v="310.33999999999997"/>
  </r>
  <r>
    <s v="Plaza Zenter CEL"/>
    <s v="05/01/2026"/>
    <x v="18"/>
    <s v="7503013378102"/>
    <s v="Anastasia Gema de Colores M - CXO"/>
    <s v="JUGUETE PROPIO"/>
    <s v="CXO"/>
    <n v="1"/>
    <n v="456.9"/>
  </r>
  <r>
    <s v="Plaza Zenter CEL"/>
    <s v="05/01/2026"/>
    <x v="18"/>
    <s v="7503030211021"/>
    <s v="Anillo desechable para pene Donut - CXO"/>
    <s v="JUGUETE PROPIO"/>
    <s v="CXO"/>
    <n v="1"/>
    <n v="34.479999999999997"/>
  </r>
  <r>
    <s v="Plaza Zenter CEL"/>
    <s v="05/01/2026"/>
    <x v="18"/>
    <s v="7503020310205"/>
    <s v="Dildo Vibrador Termico Realista 3 en 1 con movimiento Hades-CXO"/>
    <s v="JUGUETE PROPIO"/>
    <s v="CXO"/>
    <n v="1"/>
    <n v="2500"/>
  </r>
  <r>
    <s v="Plaza Zenter CEL"/>
    <s v="05/01/2026"/>
    <x v="18"/>
    <s v="7503020104085"/>
    <s v="Vibrador e impulsor con ventosa Mafer – CXO"/>
    <s v="JUGUETE PROPIO"/>
    <s v="CXO"/>
    <n v="1"/>
    <n v="2413.79"/>
  </r>
  <r>
    <s v="Plaza Zenter CEL"/>
    <s v="06/01/2026"/>
    <x v="18"/>
    <s v="7503043917081"/>
    <s v="Blade rosa anillo vibrador - CXO"/>
    <s v="JUGUETE PROPIO"/>
    <s v="CXO"/>
    <n v="1"/>
    <n v="81.900000000000006"/>
  </r>
  <r>
    <s v="Plaza Zenter CEL"/>
    <s v="06/01/2026"/>
    <x v="18"/>
    <s v="7503032300498"/>
    <s v="Cola de Zorro 45cm cafe M - CXO"/>
    <s v="JUGUETE PROPIO"/>
    <s v="CXO"/>
    <n v="1"/>
    <n v="301.72000000000003"/>
  </r>
  <r>
    <s v="Plaza Zenter CEL"/>
    <s v="06/01/2026"/>
    <x v="18"/>
    <s v="7503032300443"/>
    <s v="Zoe bala vibradora RETAIL - CXO"/>
    <s v="JUGUETE PROPIO"/>
    <s v="CXO"/>
    <n v="1"/>
    <n v="155.16999999999999"/>
  </r>
  <r>
    <s v="Plaza Zenter CEL"/>
    <s v="07/01/2026"/>
    <x v="18"/>
    <s v="7503032300498"/>
    <s v="Cola de Zorro 45cm cafe M - CXO"/>
    <s v="JUGUETE PROPIO"/>
    <s v="CXO"/>
    <n v="1"/>
    <n v="301.72000000000003"/>
  </r>
  <r>
    <s v="Plaza Zenter CEL"/>
    <s v="07/01/2026"/>
    <x v="18"/>
    <s v="7503030102034"/>
    <s v="Dildo vibrador con control Anthony - CXO"/>
    <s v="JUGUETE PROPIO"/>
    <s v="CXO"/>
    <n v="1"/>
    <n v="2112.0700000000002"/>
  </r>
  <r>
    <s v="Plaza Zenter CEL"/>
    <s v="07/01/2026"/>
    <x v="18"/>
    <s v="7503020310409"/>
    <s v="Vibrador estimulador triple rosa Tania  - CXO"/>
    <s v="JUGUETE PROPIO"/>
    <s v="CXO"/>
    <n v="1"/>
    <n v="2801.72"/>
  </r>
  <r>
    <s v="Plaza Zenter CEL"/>
    <s v="08/01/2026"/>
    <x v="4"/>
    <s v="DL-ZZ-YJPT-BJ-20250327"/>
    <s v="Funda de Silicon para Pene con 10 modos de Vibración  Raul- CXO"/>
    <s v="JUGUETE PROPIO"/>
    <s v="CXO"/>
    <n v="1"/>
    <n v="1810.34"/>
  </r>
  <r>
    <s v="Plaza Zenter CEL"/>
    <s v="08/01/2026"/>
    <x v="4"/>
    <s v="7503050524289"/>
    <s v="Oxi bomba de vacio manual - CXO"/>
    <s v="JUGUETE PROPIO"/>
    <s v="CXO"/>
    <n v="1"/>
    <n v="853.45"/>
  </r>
  <r>
    <s v="Plaza Zenter CEL"/>
    <s v="08/01/2026"/>
    <x v="18"/>
    <s v="7500464543059"/>
    <s v="Dildo Realista con Ventosa 15.5cms Domi CXO"/>
    <s v="JUGUETE PROPIO"/>
    <s v="CXO"/>
    <n v="1"/>
    <n v="818.97"/>
  </r>
  <r>
    <s v="Plaza Zenter CEL"/>
    <s v="08/01/2026"/>
    <x v="18"/>
    <s v="7503020104073"/>
    <s v="Vibrador multiorgásmico con textura y estimulación doble Lidia - CXO"/>
    <s v="JUGUETE PROPIO"/>
    <s v="CXO"/>
    <n v="1"/>
    <n v="2008.62"/>
  </r>
  <r>
    <s v="Plaza Zenter CEL"/>
    <s v="09/01/2026"/>
    <x v="18"/>
    <s v="JICD91222"/>
    <s v="Plug Anal Vibrador con Textura y Control con 10 modos Ricardo- CXO"/>
    <s v="JUGUETE PROPIO"/>
    <s v="CXO"/>
    <n v="1"/>
    <n v="1508.62"/>
  </r>
  <r>
    <s v="Plaza Zenter CEL"/>
    <s v="10/01/2026"/>
    <x v="18"/>
    <s v="7503043917036"/>
    <s v="Arnes universal de argolla negro - CXO"/>
    <s v="JUGUETE PROPIO"/>
    <s v="CXO"/>
    <n v="1"/>
    <n v="474.14"/>
  </r>
  <r>
    <s v="Plaza Zenter CEL"/>
    <s v="10/01/2026"/>
    <x v="18"/>
    <s v="7503030102034"/>
    <s v="Dildo vibrador con control Anthony - CXO"/>
    <s v="JUGUETE PROPIO"/>
    <s v="CXO"/>
    <n v="1"/>
    <n v="2112.0700000000002"/>
  </r>
  <r>
    <s v="Plaza Zenter CEL"/>
    <s v="10/01/2026"/>
    <x v="18"/>
    <s v="7503024256635"/>
    <s v="Olive  6.8&quot; rosa - CXO"/>
    <s v="JUGUETE PROPIO"/>
    <s v="CXO"/>
    <n v="1"/>
    <n v="603.45000000000005"/>
  </r>
  <r>
    <s v="Plaza Zenter CEL"/>
    <s v="13/01/2026"/>
    <x v="18"/>
    <s v="7503030211021"/>
    <s v="Anillo desechable para pene Donut - CXO"/>
    <s v="JUGUETE PROPIO"/>
    <s v="CXO"/>
    <n v="1"/>
    <n v="34.479999999999997"/>
  </r>
  <r>
    <s v="Plaza Zenter CEL"/>
    <s v="13/01/2026"/>
    <x v="18"/>
    <s v="7503020420814"/>
    <s v="Bomba de vacio manual Noah - CXO"/>
    <s v="JUGUETE PROPIO"/>
    <s v="CXO"/>
    <n v="1"/>
    <n v="818.97"/>
  </r>
  <r>
    <s v="Plaza Zenter CEL"/>
    <s v="13/01/2026"/>
    <x v="18"/>
    <s v="SC258C01"/>
    <s v="Multiorgasmico dual con estimulador de clitoris 360 con 10 modos Dany - CXO"/>
    <s v="JUGUETE PROPIO"/>
    <s v="CXO"/>
    <n v="1"/>
    <n v="3017.24"/>
  </r>
  <r>
    <s v="Plaza Zenter CEL"/>
    <s v="13/01/2026"/>
    <x v="18"/>
    <s v="7503032300443"/>
    <s v="Zoe bala vibradora RETAIL - CXO"/>
    <s v="JUGUETE PROPIO"/>
    <s v="CXO"/>
    <n v="2"/>
    <n v="310.33999999999997"/>
  </r>
  <r>
    <s v="Plaza Zenter CEL"/>
    <s v="14/01/2026"/>
    <x v="18"/>
    <s v="7503043917142"/>
    <s v="Hank negro anillo vibrador - CXO"/>
    <s v="JUGUETE PROPIO"/>
    <s v="CXO"/>
    <n v="1"/>
    <n v="818.97"/>
  </r>
  <r>
    <s v="Plaza Zenter CEL"/>
    <s v="14/01/2026"/>
    <x v="18"/>
    <s v="7503020104086"/>
    <s v="Vibrador y pulsador multiorgásmico con estimulador para clítoris Carola – CXO"/>
    <s v="JUGUETE PROPIO"/>
    <s v="CXO"/>
    <n v="1"/>
    <n v="2577.59"/>
  </r>
  <r>
    <s v="Plaza Zenter CEL"/>
    <s v="15/01/2026"/>
    <x v="18"/>
    <s v="7503013378102"/>
    <s v="Anastasia Gema de Colores M - CXO"/>
    <s v="JUGUETE PROPIO"/>
    <s v="CXO"/>
    <n v="1"/>
    <n v="456.9"/>
  </r>
  <r>
    <s v="Plaza Zenter CEL"/>
    <s v="16/01/2026"/>
    <x v="3"/>
    <s v="7503013378102"/>
    <s v="Anastasia Gema de Colores M - CXO"/>
    <s v="JUGUETE PROPIO"/>
    <s v="CXO"/>
    <n v="1"/>
    <n v="456.9"/>
  </r>
  <r>
    <s v="Plaza Zenter CEL"/>
    <s v="16/01/2026"/>
    <x v="3"/>
    <s v="75030205968724"/>
    <s v="Funda texturizada transparente con bala vibradora  - CXO"/>
    <s v="JUGUETE PROPIO"/>
    <s v="CXO"/>
    <n v="1"/>
    <n v="474.14"/>
  </r>
  <r>
    <s v="Plaza Zenter CEL"/>
    <s v="17/01/2026"/>
    <x v="18"/>
    <s v="7503020111072"/>
    <s v="Anillo vibrador recargable con textura negra Hank - CXO"/>
    <s v="JUGUETE PROPIO"/>
    <s v="CXO"/>
    <n v="1"/>
    <n v="1267.24"/>
  </r>
  <r>
    <s v="Plaza Zenter CEL"/>
    <s v="17/01/2026"/>
    <x v="18"/>
    <s v="7503030207201"/>
    <s v="Funda semi realista para pene Rodolfo - CXO"/>
    <s v="JUGUETE PROPIO"/>
    <s v="CXO"/>
    <n v="1"/>
    <n v="1137.93"/>
  </r>
  <r>
    <s v="Plaza Zenter CEL"/>
    <s v="17/01/2026"/>
    <x v="18"/>
    <s v="7503030128202"/>
    <s v="Plug Anal con 10 modos de vibracion y rotacion 360 Beto - CXO"/>
    <s v="JUGUETE PROPIO"/>
    <s v="CXO"/>
    <n v="1"/>
    <n v="1577.59"/>
  </r>
  <r>
    <s v="Plaza Zenter CEL"/>
    <s v="19/01/2026"/>
    <x v="18"/>
    <s v="6970784913893"/>
    <s v="Multiorgasmico don doble estimulacion del punto G Lena - CXO"/>
    <s v="JUGUETE PROPIO"/>
    <s v="CXO"/>
    <n v="1"/>
    <n v="2672.41"/>
  </r>
  <r>
    <s v="Plaza Zenter CEL"/>
    <s v="19/01/2026"/>
    <x v="18"/>
    <s v="7503020310116"/>
    <s v="Panty vibrador con control remoto rosa Celi - CXO"/>
    <s v="JUGUETE PROPIO"/>
    <s v="CXO"/>
    <n v="1"/>
    <n v="1681.03"/>
  </r>
  <r>
    <s v="Plaza Zenter CEL"/>
    <s v="19/01/2026"/>
    <x v="18"/>
    <s v="7503032300443"/>
    <s v="Zoe bala vibradora RETAIL - CXO"/>
    <s v="JUGUETE PROPIO"/>
    <s v="CXO"/>
    <n v="1"/>
    <n v="155.16999999999999"/>
  </r>
  <r>
    <s v="Plaza Zenter CEL"/>
    <s v="20/01/2026"/>
    <x v="6"/>
    <s v="7503043917036"/>
    <s v="Arnes universal de argolla negro - CXO"/>
    <s v="JUGUETE PROPIO"/>
    <s v="CXO"/>
    <n v="1"/>
    <n v="474.14"/>
  </r>
  <r>
    <s v="Plaza Zenter CEL"/>
    <s v="20/01/2026"/>
    <x v="6"/>
    <s v="7503020202213"/>
    <s v="Dildo realista con ventosa Nick - CXO"/>
    <s v="JUGUETE PROPIO"/>
    <s v="CXO"/>
    <n v="1"/>
    <n v="818.97"/>
  </r>
  <r>
    <s v="Plaza Zenter CEL"/>
    <s v="21/01/2026"/>
    <x v="18"/>
    <s v="7503032300443"/>
    <s v="Zoe bala vibradora RETAIL - CXO"/>
    <s v="JUGUETE PROPIO"/>
    <s v="CXO"/>
    <n v="3"/>
    <n v="465.52"/>
  </r>
  <r>
    <s v="Plaza Zenter CEL"/>
    <s v="22/01/2026"/>
    <x v="18"/>
    <s v="7503043917142"/>
    <s v="Hank negro anillo vibrador - CXO"/>
    <s v="JUGUETE PROPIO"/>
    <s v="CXO"/>
    <n v="1"/>
    <n v="818.97"/>
  </r>
  <r>
    <s v="Plaza Zenter CEL"/>
    <s v="23/01/2026"/>
    <x v="18"/>
    <s v="7503030202035"/>
    <s v="Dildo con testiculos y ventosa Mr. Garcia - CXO"/>
    <s v="JUGUETE PROPIO"/>
    <s v="CXO"/>
    <n v="1"/>
    <n v="646.54999999999995"/>
  </r>
  <r>
    <s v="Plaza Zenter CEL"/>
    <s v="23/01/2026"/>
    <x v="18"/>
    <s v="7503020104212"/>
    <s v="Vibrador multiorgasmico con aleta estimuladora Megan - CXO"/>
    <s v="JUGUETE PROPIO"/>
    <s v="CXO"/>
    <n v="1"/>
    <n v="2413.79"/>
  </r>
  <r>
    <s v="Plaza Zenter CEL"/>
    <s v="24/01/2026"/>
    <x v="18"/>
    <s v="7503020111072"/>
    <s v="Anillo vibrador recargable con textura negra Hank - CXO"/>
    <s v="JUGUETE PROPIO"/>
    <s v="CXO"/>
    <n v="1"/>
    <n v="1267.24"/>
  </r>
  <r>
    <s v="Plaza Zenter CEL"/>
    <s v="24/01/2026"/>
    <x v="18"/>
    <s v="7503030215199"/>
    <s v="Arnes para doble penetracion - CXO"/>
    <s v="JUGUETE PROPIO"/>
    <s v="CXO"/>
    <n v="1"/>
    <n v="1422.41"/>
  </r>
  <r>
    <s v="Plaza Zenter CEL"/>
    <s v="24/01/2026"/>
    <x v="18"/>
    <s v="7503020104076"/>
    <s v="Vibrador multiorgásmico con succión y estimulación de punto G Lulu - CXO"/>
    <s v="JUGUETE PROPIO"/>
    <s v="CXO"/>
    <n v="1"/>
    <n v="2120.69"/>
  </r>
  <r>
    <s v="Plaza Zenter CEL"/>
    <s v="25/01/2026"/>
    <x v="3"/>
    <s v="7503020420814"/>
    <s v="Bomba de vacio manual Noah - CXO"/>
    <s v="JUGUETE PROPIO"/>
    <s v="CXO"/>
    <n v="1"/>
    <n v="818.97"/>
  </r>
  <r>
    <s v="Plaza Zenter CEL"/>
    <s v="25/01/2026"/>
    <x v="3"/>
    <s v="7503013378904"/>
    <s v="Dildo Mr. Hernandez - CXO"/>
    <s v="JUGUETE PROPIO"/>
    <s v="CXO"/>
    <n v="1"/>
    <n v="517.24"/>
  </r>
  <r>
    <s v="Plaza Zenter CEL"/>
    <s v="25/01/2026"/>
    <x v="3"/>
    <s v="7503020310116"/>
    <s v="Panty vibrador con control remoto rosa Celi - CXO"/>
    <s v="JUGUETE PROPIO"/>
    <s v="CXO"/>
    <n v="1"/>
    <n v="1681.03"/>
  </r>
  <r>
    <s v="Plaza Zenter CEL"/>
    <s v="25/01/2026"/>
    <x v="3"/>
    <s v="7503030128202"/>
    <s v="Plug Anal con 10 modos de vibracion y rotacion 360 Beto - CXO"/>
    <s v="JUGUETE PROPIO"/>
    <s v="CXO"/>
    <n v="1"/>
    <n v="1577.59"/>
  </r>
  <r>
    <s v="Plaza Zenter CEL"/>
    <s v="26/01/2026"/>
    <x v="18"/>
    <s v="7503043917081"/>
    <s v="Blade rosa anillo vibrador - CXO"/>
    <s v="JUGUETE PROPIO"/>
    <s v="CXO"/>
    <n v="2"/>
    <n v="163.80000000000001"/>
  </r>
  <r>
    <s v="Plaza Zenter CEL"/>
    <s v="26/01/2026"/>
    <x v="18"/>
    <s v="7503030202035"/>
    <s v="Dildo con testiculos y ventosa Mr. Garcia - CXO"/>
    <s v="JUGUETE PROPIO"/>
    <s v="CXO"/>
    <n v="1"/>
    <n v="646.54999999999995"/>
  </r>
  <r>
    <s v="Plaza Zenter CEL"/>
    <s v="30/01/2026"/>
    <x v="18"/>
    <s v="7503043917081"/>
    <s v="Blade rosa anillo vibrador - CXO"/>
    <s v="JUGUETE PROPIO"/>
    <s v="CXO"/>
    <n v="2"/>
    <n v="163.80000000000001"/>
  </r>
  <r>
    <s v="Plaza Zenter CEL"/>
    <s v="30/01/2026"/>
    <x v="18"/>
    <s v="7503032300443"/>
    <s v="Zoe bala vibradora RETAIL - CXO"/>
    <s v="JUGUETE PROPIO"/>
    <s v="CXO"/>
    <n v="2"/>
    <n v="310.33999999999997"/>
  </r>
  <r>
    <s v="Plaza Zenter CEL"/>
    <s v="31/01/2026"/>
    <x v="18"/>
    <s v="7503043917081"/>
    <s v="Blade rosa anillo vibrador - CXO"/>
    <s v="JUGUETE PROPIO"/>
    <s v="CXO"/>
    <n v="1"/>
    <n v="81.900000000000006"/>
  </r>
  <r>
    <s v="Plaza Zenter CEL"/>
    <s v="31/01/2026"/>
    <x v="18"/>
    <s v="7503020202213"/>
    <s v="Dildo realista con ventosa Nick - CXO"/>
    <s v="JUGUETE PROPIO"/>
    <s v="CXO"/>
    <n v="1"/>
    <n v="818.97"/>
  </r>
  <r>
    <s v="Plaza Zenter CEL"/>
    <s v="31/01/2026"/>
    <x v="18"/>
    <s v="7503032300443"/>
    <s v="Zoe bala vibradora RETAIL - CXO"/>
    <s v="JUGUETE PROPIO"/>
    <s v="CXO"/>
    <n v="1"/>
    <n v="155.16999999999999"/>
  </r>
  <r>
    <s v="Provenza-Cel"/>
    <s v="02/01/2026"/>
    <x v="19"/>
    <s v="7500464543059"/>
    <s v="Dildo Realista con Ventosa 15.5cms Domi CXO"/>
    <s v="JUGUETE PROPIO"/>
    <s v="CXO"/>
    <n v="1"/>
    <n v="818.97"/>
  </r>
  <r>
    <s v="Provenza-Cel"/>
    <s v="03/01/2026"/>
    <x v="4"/>
    <s v="7503030102034"/>
    <s v="Dildo vibrador con control Anthony - CXO"/>
    <s v="JUGUETE PROPIO"/>
    <s v="CXO"/>
    <n v="1"/>
    <n v="2112.0700000000002"/>
  </r>
  <r>
    <s v="Provenza-Cel"/>
    <s v="04/01/2026"/>
    <x v="19"/>
    <s v="7503032300887"/>
    <s v="Anahi L - CXO"/>
    <s v="JUGUETE PROPIO"/>
    <s v="CXO"/>
    <n v="1"/>
    <n v="521.54999999999995"/>
  </r>
  <r>
    <s v="Provenza-Cel"/>
    <s v="04/01/2026"/>
    <x v="19"/>
    <s v="7503043917081"/>
    <s v="Blade rosa anillo vibrador - CXO"/>
    <s v="JUGUETE PROPIO"/>
    <s v="CXO"/>
    <n v="1"/>
    <n v="81.900000000000006"/>
  </r>
  <r>
    <s v="Provenza-Cel"/>
    <s v="04/01/2026"/>
    <x v="19"/>
    <s v="ACG0976SV0WB"/>
    <s v="Dildo Vibrador con Impulsor Estimulador de Clítoris Conny - CXO"/>
    <s v="JUGUETE PROPIO"/>
    <s v="CXO"/>
    <n v="1"/>
    <n v="2198.2800000000002"/>
  </r>
  <r>
    <s v="Provenza-Cel"/>
    <s v="04/01/2026"/>
    <x v="19"/>
    <s v="7503050524340"/>
    <s v="Ducha Felix S - CXO"/>
    <s v="JUGUETE PROPIO"/>
    <s v="CXO"/>
    <n v="1"/>
    <n v="612.07000000000005"/>
  </r>
  <r>
    <s v="Provenza-Cel"/>
    <s v="04/01/2026"/>
    <x v="19"/>
    <s v="7503024256635"/>
    <s v="Olive  6.8&quot; rosa - CXO"/>
    <s v="JUGUETE PROPIO"/>
    <s v="CXO"/>
    <n v="1"/>
    <n v="603.45000000000005"/>
  </r>
  <r>
    <s v="Provenza-Cel"/>
    <s v="05/01/2026"/>
    <x v="19"/>
    <s v="7503030118033"/>
    <s v="Kit vibrador + estimulante para clitoris Lau - CXO"/>
    <s v="JUGUETE PROPIO"/>
    <s v="CXO"/>
    <n v="1"/>
    <n v="1706.9"/>
  </r>
  <r>
    <s v="Provenza-Cel"/>
    <s v="05/01/2026"/>
    <x v="19"/>
    <s v="7503024256635"/>
    <s v="Olive  6.8&quot; rosa - CXO"/>
    <s v="JUGUETE PROPIO"/>
    <s v="CXO"/>
    <n v="1"/>
    <n v="603.45000000000005"/>
  </r>
  <r>
    <s v="Provenza-Cel"/>
    <s v="05/01/2026"/>
    <x v="19"/>
    <s v="7503032300443"/>
    <s v="Zoe bala vibradora RETAIL - CXO"/>
    <s v="JUGUETE PROPIO"/>
    <s v="CXO"/>
    <n v="3"/>
    <n v="465.52"/>
  </r>
  <r>
    <s v="Provenza-Cel"/>
    <s v="06/01/2026"/>
    <x v="19"/>
    <s v="7503013378416"/>
    <s v="Angie - CXO"/>
    <s v="JUGUETE PROPIO"/>
    <s v="CXO"/>
    <n v="1"/>
    <n v="689.66"/>
  </r>
  <r>
    <s v="Provenza-Cel"/>
    <s v="06/01/2026"/>
    <x v="19"/>
    <s v="7503020104082"/>
    <s v="Vibrador multiorgásmico con succionador y perlas Andy – CXO"/>
    <s v="JUGUETE PROPIO"/>
    <s v="CXO"/>
    <n v="1"/>
    <n v="2258.62"/>
  </r>
  <r>
    <s v="Provenza-Cel"/>
    <s v="07/01/2026"/>
    <x v="19"/>
    <s v="SE016"/>
    <s v="Masturbador Vagina -  CXO"/>
    <s v="JUGUETE PROPIO"/>
    <s v="CXO"/>
    <n v="1"/>
    <n v="948.28"/>
  </r>
  <r>
    <s v="Provenza-Cel"/>
    <s v="08/01/2026"/>
    <x v="19"/>
    <s v="713001200104"/>
    <s v="Multiorgasmico con estimulador de clitoris de aleteo Marisol - CXO"/>
    <s v="JUGUETE PROPIO"/>
    <s v="CXO"/>
    <n v="1"/>
    <n v="2500"/>
  </r>
  <r>
    <s v="Provenza-Cel"/>
    <s v="09/01/2026"/>
    <x v="19"/>
    <s v="7503043917081"/>
    <s v="Blade rosa anillo vibrador - CXO"/>
    <s v="JUGUETE PROPIO"/>
    <s v="CXO"/>
    <n v="1"/>
    <n v="81.900000000000006"/>
  </r>
  <r>
    <s v="Provenza-Cel"/>
    <s v="09/01/2026"/>
    <x v="19"/>
    <s v="7503030118033"/>
    <s v="Kit vibrador + estimulante para clitoris Lau - CXO"/>
    <s v="JUGUETE PROPIO"/>
    <s v="CXO"/>
    <n v="1"/>
    <n v="1706.9"/>
  </r>
  <r>
    <s v="Provenza-Cel"/>
    <s v="09/01/2026"/>
    <x v="19"/>
    <s v="6970784913251"/>
    <s v="Multiorgasmico con Conejito con 10 modos Nika - CXO"/>
    <s v="JUGUETE PROPIO"/>
    <s v="CXO"/>
    <n v="1"/>
    <n v="2672.41"/>
  </r>
  <r>
    <s v="Provenza-Cel"/>
    <s v="10/01/2026"/>
    <x v="4"/>
    <s v="7503043917081"/>
    <s v="Blade rosa anillo vibrador - CXO"/>
    <s v="JUGUETE PROPIO"/>
    <s v="CXO"/>
    <n v="1"/>
    <n v="81.900000000000006"/>
  </r>
  <r>
    <s v="Provenza-Cel"/>
    <s v="11/01/2026"/>
    <x v="19"/>
    <s v="7503030211021"/>
    <s v="Anillo desechable para pene Donut - CXO"/>
    <s v="JUGUETE PROPIO"/>
    <s v="CXO"/>
    <n v="2"/>
    <n v="68.97"/>
  </r>
  <r>
    <s v="Provenza-Cel"/>
    <s v="11/01/2026"/>
    <x v="19"/>
    <s v="7503043917081"/>
    <s v="Blade rosa anillo vibrador - CXO"/>
    <s v="JUGUETE PROPIO"/>
    <s v="CXO"/>
    <n v="1"/>
    <n v="81.900000000000006"/>
  </r>
  <r>
    <s v="Provenza-Cel"/>
    <s v="12/01/2026"/>
    <x v="19"/>
    <s v="7503032300214"/>
    <s v="Cola de Zorro Arcoiris 38cm S - CXO"/>
    <s v="JUGUETE PROPIO"/>
    <s v="CXO"/>
    <n v="1"/>
    <n v="258.62"/>
  </r>
  <r>
    <s v="Provenza-Cel"/>
    <s v="12/01/2026"/>
    <x v="19"/>
    <s v="7503043917524"/>
    <s v="Kit Lisboa 8 pzs - CXO"/>
    <s v="JUGUETE PROPIO"/>
    <s v="CXO"/>
    <n v="1"/>
    <n v="465.52"/>
  </r>
  <r>
    <s v="Provenza-Cel"/>
    <s v="13/01/2026"/>
    <x v="19"/>
    <s v="7503032300382"/>
    <s v="Mon - CXO"/>
    <s v="JUGUETE PROPIO"/>
    <s v="CXO"/>
    <n v="1"/>
    <n v="517.24"/>
  </r>
  <r>
    <s v="Provenza-Cel"/>
    <s v="14/01/2026"/>
    <x v="19"/>
    <s v="7503043917081"/>
    <s v="Blade rosa anillo vibrador - CXO"/>
    <s v="JUGUETE PROPIO"/>
    <s v="CXO"/>
    <n v="1"/>
    <n v="81.900000000000006"/>
  </r>
  <r>
    <s v="Provenza-Cel"/>
    <s v="14/01/2026"/>
    <x v="19"/>
    <s v="7503032300443"/>
    <s v="Zoe bala vibradora RETAIL - CXO"/>
    <s v="JUGUETE PROPIO"/>
    <s v="CXO"/>
    <n v="1"/>
    <n v="155.16999999999999"/>
  </r>
  <r>
    <s v="Provenza-Cel"/>
    <s v="16/01/2026"/>
    <x v="19"/>
    <s v="SE020"/>
    <s v="Masturbador 2 en 1 Vagina y Boca - CXO"/>
    <s v="JUGUETE PROPIO"/>
    <s v="CXO"/>
    <n v="1"/>
    <n v="1293.0999999999999"/>
  </r>
  <r>
    <s v="Provenza-Cel"/>
    <s v="17/01/2026"/>
    <x v="4"/>
    <s v="7503013378416"/>
    <s v="Angie - CXO"/>
    <s v="JUGUETE PROPIO"/>
    <s v="CXO"/>
    <n v="1"/>
    <n v="689.66"/>
  </r>
  <r>
    <s v="Provenza-Cel"/>
    <s v="17/01/2026"/>
    <x v="4"/>
    <s v="7503030211021"/>
    <s v="Anillo desechable para pene Donut - CXO"/>
    <s v="JUGUETE PROPIO"/>
    <s v="CXO"/>
    <n v="1"/>
    <n v="34.479999999999997"/>
  </r>
  <r>
    <s v="Provenza-Cel"/>
    <s v="17/01/2026"/>
    <x v="4"/>
    <s v="7503043917081"/>
    <s v="Blade rosa anillo vibrador - CXO"/>
    <s v="JUGUETE PROPIO"/>
    <s v="CXO"/>
    <n v="1"/>
    <n v="81.900000000000006"/>
  </r>
  <r>
    <s v="Provenza-Cel"/>
    <s v="17/01/2026"/>
    <x v="4"/>
    <s v="7503032300535"/>
    <s v="Cola de Zorro 45cm blanco L - CXO"/>
    <s v="JUGUETE PROPIO"/>
    <s v="CXO"/>
    <n v="1"/>
    <n v="344.83"/>
  </r>
  <r>
    <s v="Provenza-Cel"/>
    <s v="17/01/2026"/>
    <x v="4"/>
    <s v="7503030102034"/>
    <s v="Dildo vibrador con control Anthony - CXO"/>
    <s v="JUGUETE PROPIO"/>
    <s v="CXO"/>
    <n v="1"/>
    <n v="2112.0700000000002"/>
  </r>
  <r>
    <s v="Provenza-Cel"/>
    <s v="18/01/2026"/>
    <x v="19"/>
    <s v="7503030211021"/>
    <s v="Anillo desechable para pene Donut - CXO"/>
    <s v="JUGUETE PROPIO"/>
    <s v="CXO"/>
    <n v="1"/>
    <n v="34.479999999999997"/>
  </r>
  <r>
    <s v="Provenza-Cel"/>
    <s v="18/01/2026"/>
    <x v="19"/>
    <s v="7503032300740"/>
    <s v="Colette azul - CXO"/>
    <s v="JUGUETE PROPIO"/>
    <s v="CXO"/>
    <n v="1"/>
    <n v="1293.0999999999999"/>
  </r>
  <r>
    <s v="Provenza-Cel"/>
    <s v="18/01/2026"/>
    <x v="19"/>
    <s v="7503050226162"/>
    <s v="Plug Anal con Vibración y Control Roberto - CXO"/>
    <s v="JUGUETE PROPIO"/>
    <s v="CXO"/>
    <n v="1"/>
    <n v="1293.0999999999999"/>
  </r>
  <r>
    <s v="Provenza-Cel"/>
    <s v="19/01/2026"/>
    <x v="19"/>
    <s v="7503050226162"/>
    <s v="Plug Anal con Vibración y Control Roberto - CXO"/>
    <s v="JUGUETE PROPIO"/>
    <s v="CXO"/>
    <n v="1"/>
    <n v="1293.0999999999999"/>
  </r>
  <r>
    <s v="Provenza-Cel"/>
    <s v="20/01/2026"/>
    <x v="19"/>
    <s v="7503030211021"/>
    <s v="Anillo desechable para pene Donut - CXO"/>
    <s v="JUGUETE PROPIO"/>
    <s v="CXO"/>
    <n v="1"/>
    <n v="34.479999999999997"/>
  </r>
  <r>
    <s v="Provenza-Cel"/>
    <s v="20/01/2026"/>
    <x v="19"/>
    <s v="7503020310116"/>
    <s v="Panty vibrador con control remoto rosa Celi - CXO"/>
    <s v="JUGUETE PROPIO"/>
    <s v="CXO"/>
    <n v="1"/>
    <n v="1681.03"/>
  </r>
  <r>
    <s v="Provenza-Cel"/>
    <s v="20/01/2026"/>
    <x v="19"/>
    <s v="LL-2340-C"/>
    <s v="Pinzas Vibradoras para Pezon Mod. C (Succionador) - CXO"/>
    <s v="JUGUETE PROPIO"/>
    <s v="CXO"/>
    <n v="1"/>
    <n v="301.72000000000003"/>
  </r>
  <r>
    <s v="Provenza-Cel"/>
    <s v="21/01/2026"/>
    <x v="19"/>
    <s v="7503043917081"/>
    <s v="Blade rosa anillo vibrador - CXO"/>
    <s v="JUGUETE PROPIO"/>
    <s v="CXO"/>
    <n v="1"/>
    <n v="81.900000000000006"/>
  </r>
  <r>
    <s v="Provenza-Cel"/>
    <s v="21/01/2026"/>
    <x v="19"/>
    <s v="7503032300443"/>
    <s v="Zoe bala vibradora RETAIL - CXO"/>
    <s v="JUGUETE PROPIO"/>
    <s v="CXO"/>
    <n v="1"/>
    <n v="155.16999999999999"/>
  </r>
  <r>
    <s v="Provenza-Cel"/>
    <s v="23/01/2026"/>
    <x v="19"/>
    <s v="7503032300443"/>
    <s v="Zoe bala vibradora RETAIL - CXO"/>
    <s v="JUGUETE PROPIO"/>
    <s v="CXO"/>
    <n v="1"/>
    <n v="155.16999999999999"/>
  </r>
  <r>
    <s v="Provenza-Cel"/>
    <s v="24/01/2026"/>
    <x v="3"/>
    <s v="7503043917081"/>
    <s v="Blade rosa anillo vibrador - CXO"/>
    <s v="JUGUETE PROPIO"/>
    <s v="CXO"/>
    <n v="1"/>
    <n v="81.900000000000006"/>
  </r>
  <r>
    <s v="Provenza-Cel"/>
    <s v="24/01/2026"/>
    <x v="3"/>
    <s v="7503030128202"/>
    <s v="Plug Anal con 10 modos de vibracion y rotacion 360 Beto - CXO"/>
    <s v="JUGUETE PROPIO"/>
    <s v="CXO"/>
    <n v="1"/>
    <n v="1577.59"/>
  </r>
  <r>
    <s v="Provenza-Cel"/>
    <s v="25/01/2026"/>
    <x v="19"/>
    <s v="7503043917081"/>
    <s v="Blade rosa anillo vibrador - CXO"/>
    <s v="JUGUETE PROPIO"/>
    <s v="CXO"/>
    <n v="1"/>
    <n v="81.900000000000006"/>
  </r>
  <r>
    <s v="Provenza-Cel"/>
    <s v="25/01/2026"/>
    <x v="19"/>
    <s v="7503032300443"/>
    <s v="Zoe bala vibradora RETAIL - CXO"/>
    <s v="JUGUETE PROPIO"/>
    <s v="CXO"/>
    <n v="2"/>
    <n v="310.33999999999997"/>
  </r>
  <r>
    <s v="Provenza-Cel"/>
    <s v="27/01/2026"/>
    <x v="19"/>
    <s v="SC258C01"/>
    <s v="Multiorgasmico dual con estimulador de clitoris 360 con 10 modos Dany - CXO"/>
    <s v="JUGUETE PROPIO"/>
    <s v="CXO"/>
    <n v="1"/>
    <n v="3017.24"/>
  </r>
  <r>
    <s v="Provenza-Cel"/>
    <s v="27/01/2026"/>
    <x v="19"/>
    <s v="7503024256635"/>
    <s v="Olive  6.8&quot; rosa - CXO"/>
    <s v="JUGUETE PROPIO"/>
    <s v="CXO"/>
    <n v="1"/>
    <n v="603.45000000000005"/>
  </r>
  <r>
    <s v="Provenza-Cel"/>
    <s v="27/01/2026"/>
    <x v="19"/>
    <s v="7503043917395"/>
    <s v="Vibrador multiorgásmico Krista Mod. 02  - CXO"/>
    <s v="JUGUETE PROPIO"/>
    <s v="CXO"/>
    <n v="1"/>
    <n v="2060.9299999999998"/>
  </r>
  <r>
    <s v="Provenza-Cel"/>
    <s v="28/01/2026"/>
    <x v="19"/>
    <s v="7503043917081"/>
    <s v="Blade rosa anillo vibrador - CXO"/>
    <s v="JUGUETE PROPIO"/>
    <s v="CXO"/>
    <n v="1"/>
    <n v="81.900000000000006"/>
  </r>
  <r>
    <s v="Provenza-Cel"/>
    <s v="29/01/2026"/>
    <x v="19"/>
    <s v="7503020111072"/>
    <s v="Anillo vibrador recargable con textura negra Hank - CXO"/>
    <s v="JUGUETE PROPIO"/>
    <s v="CXO"/>
    <n v="2"/>
    <n v="2534.48"/>
  </r>
  <r>
    <s v="Provenza-Cel"/>
    <s v="29/01/2026"/>
    <x v="19"/>
    <s v="7503030104190"/>
    <s v="Vibrador multiorgasmico con 10 modos de vibracion Norma - CXO"/>
    <s v="JUGUETE PROPIO"/>
    <s v="CXO"/>
    <n v="1"/>
    <n v="2396.5500000000002"/>
  </r>
  <r>
    <s v="Provenza-Cel"/>
    <s v="29/01/2026"/>
    <x v="19"/>
    <s v="7503032300443"/>
    <s v="Zoe bala vibradora RETAIL - CXO"/>
    <s v="JUGUETE PROPIO"/>
    <s v="CXO"/>
    <n v="1"/>
    <n v="155.16999999999999"/>
  </r>
  <r>
    <s v="Provenza-Cel"/>
    <s v="30/01/2026"/>
    <x v="19"/>
    <s v="6974122611892"/>
    <s v="Succionador con 7 modos Esther - CXO"/>
    <s v="JUGUETE PROPIO"/>
    <s v="CXO"/>
    <n v="1"/>
    <n v="1853.45"/>
  </r>
  <r>
    <s v="Provenza-Cel"/>
    <s v="30/01/2026"/>
    <x v="19"/>
    <s v="6920437903153"/>
    <s v="Vibrador con motor Dual con 8 modos Fany - CXO"/>
    <s v="JUGUETE PROPIO"/>
    <s v="CXO"/>
    <n v="1"/>
    <n v="2284.48"/>
  </r>
  <r>
    <s v="Provenza-Cel"/>
    <s v="31/01/2026"/>
    <x v="4"/>
    <s v="7503043917081"/>
    <s v="Blade rosa anillo vibrador - CXO"/>
    <s v="JUGUETE PROPIO"/>
    <s v="CXO"/>
    <n v="1"/>
    <n v="81.900000000000006"/>
  </r>
  <r>
    <s v="Provenza-Cel"/>
    <s v="31/01/2026"/>
    <x v="4"/>
    <s v="7503032300443"/>
    <s v="Zoe bala vibradora RETAIL - CXO"/>
    <s v="JUGUETE PROPIO"/>
    <s v="CXO"/>
    <n v="1"/>
    <n v="155.169999999999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s v="Arcos-C"/>
    <s v="07/01/2026"/>
    <x v="0"/>
    <s v="4061504007496"/>
    <s v="Succionado con App Curvy 1+ - Satisfayer"/>
    <s v="JUGUETE"/>
    <s v="SATISFAYER"/>
    <n v="1"/>
    <n v="1810.34"/>
  </r>
  <r>
    <s v="Arcos-C"/>
    <s v="09/01/2026"/>
    <x v="0"/>
    <s v="716770044532"/>
    <s v="Dildo inflable 9.5 - CALEX"/>
    <s v="JUGUETE"/>
    <s v="CALEXOTICS"/>
    <n v="1"/>
    <n v="1637.93"/>
  </r>
  <r>
    <s v="Arcos-C"/>
    <s v="09/01/2026"/>
    <x v="0"/>
    <s v="6959633118795"/>
    <s v="Edeny - SVAKOM"/>
    <s v="JUGUETE"/>
    <s v="SVAKOM"/>
    <n v="1"/>
    <n v="3275.86"/>
  </r>
  <r>
    <s v="Arcos-C"/>
    <s v="09/01/2026"/>
    <x v="0"/>
    <s v="716770096036"/>
    <s v="Sheology set intercambiable kegel - CALEX"/>
    <s v="JUGUETE"/>
    <s v="CALEXOTICS"/>
    <n v="1"/>
    <n v="1637.93"/>
  </r>
  <r>
    <s v="Arcos-C"/>
    <s v="10/01/2026"/>
    <x v="0"/>
    <s v="7350075026157"/>
    <s v="Sona cerise - LELO"/>
    <s v="JUGUETE"/>
    <s v="LELO"/>
    <n v="1"/>
    <n v="2068.9699999999998"/>
  </r>
  <r>
    <s v="Arcos-C"/>
    <s v="11/01/2026"/>
    <x v="1"/>
    <s v="4251460601283"/>
    <s v="Romp Jazz"/>
    <s v="JUGUETE"/>
    <s v="ROMP"/>
    <n v="1"/>
    <n v="2155.17"/>
  </r>
  <r>
    <s v="Arcos-C"/>
    <s v="14/01/2026"/>
    <x v="0"/>
    <s v="6959633103500"/>
    <s v="Chika multiorgasmico turqueza - SVAKOM"/>
    <s v="JUGUETE"/>
    <s v="SVAKOM"/>
    <n v="1"/>
    <n v="2155.17"/>
  </r>
  <r>
    <s v="Arcos-C"/>
    <s v="15/01/2026"/>
    <x v="0"/>
    <s v="6959633166963"/>
    <s v="Ella Neo rojo- SVAKOM"/>
    <s v="JUGUETE"/>
    <s v="SVAKOM"/>
    <n v="1"/>
    <n v="3017.24"/>
  </r>
  <r>
    <s v="Arcos-C"/>
    <s v="18/01/2026"/>
    <x v="1"/>
    <s v="6959633118795"/>
    <s v="Edeny - SVAKOM"/>
    <s v="JUGUETE"/>
    <s v="SVAKOM"/>
    <n v="1"/>
    <n v="3275.86"/>
  </r>
  <r>
    <s v="Arcos-C"/>
    <s v="21/01/2026"/>
    <x v="0"/>
    <s v="6959633134559"/>
    <s v="Phoenix Neo 2 rojo - SVAKOM"/>
    <s v="JUGUETE"/>
    <s v="SVAKOM"/>
    <n v="1"/>
    <n v="3534.48"/>
  </r>
  <r>
    <s v="Arcos-C"/>
    <s v="22/01/2026"/>
    <x v="0"/>
    <s v="6959633103500"/>
    <s v="Chika multiorgasmico turqueza - SVAKOM"/>
    <s v="JUGUETE"/>
    <s v="SVAKOM"/>
    <n v="1"/>
    <n v="2155.17"/>
  </r>
  <r>
    <s v="Arcos-C"/>
    <s v="23/01/2026"/>
    <x v="0"/>
    <s v="7350075028564"/>
    <s v="Sila Cruise pink - LELO"/>
    <s v="JUGUETE"/>
    <s v="LELO"/>
    <n v="1"/>
    <n v="4396.55"/>
  </r>
  <r>
    <s v="Arcos-C"/>
    <s v="24/01/2026"/>
    <x v="0"/>
    <s v="6959633103494"/>
    <s v="Mora Neo multiorgasmico rosa - SVAKOM"/>
    <s v="JUGUETE"/>
    <s v="SVAKOM"/>
    <n v="1"/>
    <n v="1637.93"/>
  </r>
  <r>
    <s v="Arcos-C"/>
    <s v="27/01/2026"/>
    <x v="0"/>
    <s v="6959633127964"/>
    <s v="Sam Neo - SVAKOM"/>
    <s v="JUGUETE"/>
    <s v="SVAKOM"/>
    <n v="1"/>
    <n v="3017.24"/>
  </r>
  <r>
    <s v="Arcos-C"/>
    <s v="28/01/2026"/>
    <x v="0"/>
    <s v="6959633166963"/>
    <s v="Ella Neo rojo- SVAKOM"/>
    <s v="JUGUETE"/>
    <s v="SVAKOM"/>
    <n v="1"/>
    <n v="3017.24"/>
  </r>
  <r>
    <s v="Camino Real -C"/>
    <s v="02/01/2026"/>
    <x v="2"/>
    <s v="7350075027840"/>
    <s v="Soraya Wave Magenta - LELO"/>
    <s v="JUGUETE"/>
    <s v="LELO"/>
    <n v="1"/>
    <n v="5862.07"/>
  </r>
  <r>
    <s v="Camino Real -C"/>
    <s v="03/01/2026"/>
    <x v="2"/>
    <s v="6959633103500"/>
    <s v="Chika multiorgasmico turqueza - SVAKOM"/>
    <s v="JUGUETE"/>
    <s v="SVAKOM"/>
    <n v="1"/>
    <n v="2155.17"/>
  </r>
  <r>
    <s v="Camino Real -C"/>
    <s v="04/01/2026"/>
    <x v="2"/>
    <s v="6959633103494"/>
    <s v="Mora Neo multiorgasmico rosa - SVAKOM"/>
    <s v="JUGUETE"/>
    <s v="SVAKOM"/>
    <n v="1"/>
    <n v="1637.93"/>
  </r>
  <r>
    <s v="Camino Real -C"/>
    <s v="07/01/2026"/>
    <x v="2"/>
    <s v="7350075029332"/>
    <s v="Enigma wave morado - LELO"/>
    <s v="JUGUETE"/>
    <s v="LELO"/>
    <n v="1"/>
    <n v="5862.07"/>
  </r>
  <r>
    <s v="Camino Real -C"/>
    <s v="08/01/2026"/>
    <x v="2"/>
    <s v="6959633118795"/>
    <s v="Edeny - SVAKOM"/>
    <s v="JUGUETE"/>
    <s v="SVAKOM"/>
    <n v="1"/>
    <n v="3275.86"/>
  </r>
  <r>
    <s v="Camino Real -C"/>
    <s v="14/01/2026"/>
    <x v="2"/>
    <s v="6959633103494"/>
    <s v="Mora Neo multiorgasmico rosa - SVAKOM"/>
    <s v="JUGUETE"/>
    <s v="SVAKOM"/>
    <n v="1"/>
    <n v="1637.93"/>
  </r>
  <r>
    <s v="Camino Real -C"/>
    <s v="16/01/2026"/>
    <x v="2"/>
    <s v="603912332612"/>
    <s v="VIBRADOR ANAL FANTASY VIBRATING ASS BLATER"/>
    <s v="JUGUETE"/>
    <s v="PIPEDREAM"/>
    <n v="1"/>
    <n v="2081.9"/>
  </r>
  <r>
    <s v="Camino Real -C"/>
    <s v="21/01/2026"/>
    <x v="2"/>
    <s v="6959633166963"/>
    <s v="Ella Neo rojo- SVAKOM"/>
    <s v="JUGUETE"/>
    <s v="SVAKOM"/>
    <n v="1"/>
    <n v="3017.24"/>
  </r>
  <r>
    <s v="Camino Real -C"/>
    <s v="23/01/2026"/>
    <x v="2"/>
    <s v="6959633156926"/>
    <s v="Kit Vibrador Phoenix Neo  +  BDSM Edición Limitada- Svakom"/>
    <s v="JUGUETE"/>
    <s v="SVAKOM"/>
    <n v="1"/>
    <n v="5603.45"/>
  </r>
  <r>
    <s v="Circunvalación CELESTERRA"/>
    <s v="02/01/2026"/>
    <x v="3"/>
    <s v="6959633105320"/>
    <s v="Vibrador de Prostata con Calefaccion Vick Neo 2 - SVAKOM"/>
    <s v="JUGUETE"/>
    <s v="SVAKOM"/>
    <n v="1"/>
    <n v="2155.17"/>
  </r>
  <r>
    <s v="Circunvalación CELESTERRA"/>
    <s v="03/01/2026"/>
    <x v="4"/>
    <s v="6959633127964"/>
    <s v="Sam Neo - SVAKOM"/>
    <s v="JUGUETE"/>
    <s v="SVAKOM"/>
    <n v="1"/>
    <n v="3017.24"/>
  </r>
  <r>
    <s v="Circunvalación CELESTERRA"/>
    <s v="13/01/2026"/>
    <x v="4"/>
    <s v="6959633103494"/>
    <s v="Mora Neo multiorgasmico rosa - SVAKOM"/>
    <s v="JUGUETE"/>
    <s v="SVAKOM"/>
    <n v="1"/>
    <n v="1637.93"/>
  </r>
  <r>
    <s v="Circunvalación CELESTERRA"/>
    <s v="13/01/2026"/>
    <x v="4"/>
    <s v="6959633134559"/>
    <s v="Phoenix Neo 2 rojo - SVAKOM"/>
    <s v="JUGUETE"/>
    <s v="SVAKOM"/>
    <n v="1"/>
    <n v="3534.48"/>
  </r>
  <r>
    <s v="Circunvalación CELESTERRA"/>
    <s v="14/01/2026"/>
    <x v="4"/>
    <s v="4061504007496"/>
    <s v="Succionado con App Curvy 1+ - Satisfayer"/>
    <s v="JUGUETE"/>
    <s v="SATISFAYER"/>
    <n v="1"/>
    <n v="1810.34"/>
  </r>
  <r>
    <s v="Circunvalación CELESTERRA"/>
    <s v="16/01/2026"/>
    <x v="4"/>
    <s v="4061504007533"/>
    <s v="Succionador con App Love Triangle - Satisfayer"/>
    <s v="JUGUETE"/>
    <s v="SATISFAYER"/>
    <n v="2"/>
    <n v="2931.04"/>
  </r>
  <r>
    <s v="Circunvalación CELESTERRA"/>
    <s v="22/01/2026"/>
    <x v="4"/>
    <s v="4061504051604"/>
    <s v="Succionador Cutie Heart - Satisfayer"/>
    <s v="JUGUETE"/>
    <s v="SATISFAYER"/>
    <n v="1"/>
    <n v="1896.55"/>
  </r>
  <r>
    <s v="Circunvalación CELESTERRA"/>
    <s v="26/01/2026"/>
    <x v="1"/>
    <s v="7350075026157"/>
    <s v="Sona cerise - LELO"/>
    <s v="JUGUETE"/>
    <s v="LELO"/>
    <n v="1"/>
    <n v="2068.9699999999998"/>
  </r>
  <r>
    <s v="Circunvalación CELESTERRA"/>
    <s v="31/01/2026"/>
    <x v="4"/>
    <s v="8433345113111"/>
    <s v="Vibrador dual con succionador - WOOMY"/>
    <s v="JUGUETE"/>
    <s v="ADRIEN LASTIC"/>
    <n v="1"/>
    <n v="1594.83"/>
  </r>
  <r>
    <s v="Conchitas CEL"/>
    <s v="03/01/2026"/>
    <x v="5"/>
    <s v="4061504007496"/>
    <s v="Succionado con App Curvy 1+ - Satisfayer"/>
    <s v="JUGUETE"/>
    <s v="SATISFAYER"/>
    <n v="1"/>
    <n v="1810.34"/>
  </r>
  <r>
    <s v="Conchitas CEL"/>
    <s v="03/01/2026"/>
    <x v="5"/>
    <s v="6959633104668"/>
    <s v="Vibrador Ava Neo Rosa Durazno - SVAKOM"/>
    <s v="JUGUETE"/>
    <s v="SVAKOM"/>
    <n v="1"/>
    <n v="1810.34"/>
  </r>
  <r>
    <s v="Conchitas CEL"/>
    <s v="03/01/2026"/>
    <x v="5"/>
    <s v="6959633105313"/>
    <s v="Vibrador de Prostata con Pulsaciones Iker Neo - SVAKOM"/>
    <s v="JUGUETE"/>
    <s v="SVAKOM"/>
    <n v="1"/>
    <n v="3879.31"/>
  </r>
  <r>
    <s v="Conchitas CEL"/>
    <s v="06/01/2026"/>
    <x v="5"/>
    <s v="4251460601283"/>
    <s v="Romp Jazz"/>
    <s v="JUGUETE"/>
    <s v="ROMP"/>
    <n v="1"/>
    <n v="2155.17"/>
  </r>
  <r>
    <s v="Conchitas CEL"/>
    <s v="08/01/2026"/>
    <x v="5"/>
    <s v="7350075029288"/>
    <s v="HUGO 2 Remote Green - LELO"/>
    <s v="JUGUETE"/>
    <s v="LELO"/>
    <n v="1"/>
    <n v="5172.41"/>
  </r>
  <r>
    <s v="Conchitas CEL"/>
    <s v="09/01/2026"/>
    <x v="5"/>
    <s v="6959633166963"/>
    <s v="Ella Neo rojo- SVAKOM"/>
    <s v="JUGUETE"/>
    <s v="SVAKOM"/>
    <n v="1"/>
    <n v="3017.24"/>
  </r>
  <r>
    <s v="Conchitas CEL"/>
    <s v="11/01/2026"/>
    <x v="5"/>
    <s v="7350075029325"/>
    <s v="Enigma Wave negro - LELO"/>
    <s v="JUGUETE"/>
    <s v="LELO"/>
    <n v="1"/>
    <n v="5862.07"/>
  </r>
  <r>
    <s v="Conchitas CEL"/>
    <s v="11/01/2026"/>
    <x v="5"/>
    <s v="4061504007496"/>
    <s v="Succionado con App Curvy 1+ - Satisfayer"/>
    <s v="JUGUETE"/>
    <s v="SATISFAYER"/>
    <n v="1"/>
    <n v="1810.34"/>
  </r>
  <r>
    <s v="Conchitas CEL"/>
    <s v="16/01/2026"/>
    <x v="5"/>
    <s v="4061504051604"/>
    <s v="Succionador Cutie Heart - Satisfayer"/>
    <s v="JUGUETE"/>
    <s v="SATISFAYER"/>
    <n v="1"/>
    <n v="1896.55"/>
  </r>
  <r>
    <s v="Conchitas CEL"/>
    <s v="16/01/2026"/>
    <x v="5"/>
    <s v="782421081294"/>
    <s v="Vibrador Expander anal - DOC JOHNSON"/>
    <s v="JUGUETE"/>
    <s v="DOC JOHNSON"/>
    <n v="1"/>
    <n v="2758.62"/>
  </r>
  <r>
    <s v="Conchitas CEL"/>
    <s v="17/01/2026"/>
    <x v="5"/>
    <s v="4061504007496"/>
    <s v="Succionado con App Curvy 1+ - Satisfayer"/>
    <s v="JUGUETE"/>
    <s v="SATISFAYER"/>
    <n v="1"/>
    <n v="1810.34"/>
  </r>
  <r>
    <s v="Conchitas CEL"/>
    <s v="22/01/2026"/>
    <x v="5"/>
    <s v="5060170970560"/>
    <s v="G KII MORE G-SPOT VIBRADOR LILAC"/>
    <s v="JUGUETE"/>
    <s v="JE JOUE"/>
    <n v="1"/>
    <n v="1547.41"/>
  </r>
  <r>
    <s v="Conchitas CEL"/>
    <s v="24/01/2026"/>
    <x v="5"/>
    <s v="4251460601320"/>
    <s v="Juke anillo vibrador azul - ROMP"/>
    <s v="JUGUETE"/>
    <s v="ROMP"/>
    <n v="1"/>
    <n v="1508.62"/>
  </r>
  <r>
    <s v="Conchitas CEL"/>
    <s v="25/01/2026"/>
    <x v="1"/>
    <s v="6959633105320"/>
    <s v="Vibrador de Prostata con Calefaccion Vick Neo 2 - SVAKOM"/>
    <s v="JUGUETE"/>
    <s v="SVAKOM"/>
    <n v="1"/>
    <n v="2155.17"/>
  </r>
  <r>
    <s v="Conchitas CEL"/>
    <s v="31/01/2026"/>
    <x v="5"/>
    <s v="4061504007496"/>
    <s v="Succionado con App Curvy 1+ - Satisfayer"/>
    <s v="JUGUETE"/>
    <s v="SATISFAYER"/>
    <n v="1"/>
    <n v="1810.34"/>
  </r>
  <r>
    <s v="Federalismo CEL"/>
    <s v="03/01/2026"/>
    <x v="6"/>
    <s v="716770109491"/>
    <s v="Couture Wand Kit vibradores -CALEX"/>
    <s v="JUGUETE"/>
    <s v="CALEXOTICS"/>
    <n v="1"/>
    <n v="2155.17"/>
  </r>
  <r>
    <s v="Federalismo CEL"/>
    <s v="15/01/2026"/>
    <x v="6"/>
    <s v="6959633105313"/>
    <s v="Vibrador de Prostata con Pulsaciones Iker Neo - SVAKOM"/>
    <s v="JUGUETE"/>
    <s v="SVAKOM"/>
    <n v="1"/>
    <n v="3879.31"/>
  </r>
  <r>
    <s v="Federalismo CEL"/>
    <s v="31/01/2026"/>
    <x v="6"/>
    <s v="6959633127964"/>
    <s v="Sam Neo - SVAKOM"/>
    <s v="JUGUETE"/>
    <s v="SVAKOM"/>
    <n v="1"/>
    <n v="3017.24"/>
  </r>
  <r>
    <s v="Hidalgo CEL"/>
    <s v="05/01/2026"/>
    <x v="1"/>
    <s v="782421083922"/>
    <s v="Sol pulsador beige - RITUAL"/>
    <s v="JUGUETE"/>
    <s v="RITUAL"/>
    <n v="1"/>
    <n v="1637.93"/>
  </r>
  <r>
    <s v="Hidalgo CEL"/>
    <s v="12/01/2026"/>
    <x v="7"/>
    <s v="603912300871"/>
    <s v="ARNES FETISH FANTASY ELITE 8 STRAPLESS STRAP ON ROSA"/>
    <s v="JUGUETE"/>
    <s v="PIPEDREAM"/>
    <n v="1"/>
    <n v="1517.24"/>
  </r>
  <r>
    <s v="Hidalgo CEL"/>
    <s v="14/01/2026"/>
    <x v="1"/>
    <s v="782421083922"/>
    <s v="Sol pulsador beige - RITUAL"/>
    <s v="JUGUETE"/>
    <s v="RITUAL"/>
    <n v="1"/>
    <n v="1637.93"/>
  </r>
  <r>
    <s v="Hidalgo CEL"/>
    <s v="21/01/2026"/>
    <x v="7"/>
    <s v="782421081294"/>
    <s v="Vibrador Expander anal - DOC JOHNSON"/>
    <s v="JUGUETE"/>
    <s v="DOC JOHNSON"/>
    <n v="1"/>
    <n v="2758.62"/>
  </r>
  <r>
    <s v="Hidalgo CEL"/>
    <s v="27/01/2026"/>
    <x v="1"/>
    <s v="6959633103494"/>
    <s v="Mora Neo multiorgasmico rosa - SVAKOM"/>
    <s v="JUGUETE"/>
    <s v="SVAKOM"/>
    <n v="1"/>
    <n v="1637.93"/>
  </r>
  <r>
    <s v="Hotel los Reyes CEL"/>
    <s v="26/01/2026"/>
    <x v="8"/>
    <s v="848518031129"/>
    <s v="AF838 MS THE CURVED DICKTATOR DILDO"/>
    <s v="JUGUETE"/>
    <s v="SENSUALITY TOYS"/>
    <n v="1"/>
    <n v="3672.41"/>
  </r>
  <r>
    <s v="León 1 CEL"/>
    <s v="08/01/2026"/>
    <x v="9"/>
    <s v="4061504007496"/>
    <s v="Succionado con App Curvy 1+ - Satisfayer"/>
    <s v="JUGUETE"/>
    <s v="SATISFAYER"/>
    <n v="1"/>
    <n v="1810.34"/>
  </r>
  <r>
    <s v="León 1 CEL"/>
    <s v="17/01/2026"/>
    <x v="9"/>
    <s v="6959633103494"/>
    <s v="Mora Neo multiorgasmico rosa - SVAKOM"/>
    <s v="JUGUETE"/>
    <s v="SVAKOM"/>
    <n v="1"/>
    <n v="1637.93"/>
  </r>
  <r>
    <s v="Naciones Unidas CEL"/>
    <s v="05/01/2026"/>
    <x v="10"/>
    <s v="6959633101278"/>
    <s v="Alex Neo 2 azul oscuro - SVAKOM"/>
    <s v="JUGUETE"/>
    <s v="SVAKOM"/>
    <n v="1"/>
    <n v="4482.76"/>
  </r>
  <r>
    <s v="Naciones Unidas CEL"/>
    <s v="05/01/2026"/>
    <x v="10"/>
    <s v="6959633118795"/>
    <s v="Edeny - SVAKOM"/>
    <s v="JUGUETE"/>
    <s v="SVAKOM"/>
    <n v="1"/>
    <n v="3275.86"/>
  </r>
  <r>
    <s v="Naciones Unidas CEL"/>
    <s v="05/01/2026"/>
    <x v="10"/>
    <s v="4061504007373"/>
    <s v="Succionador Number Two - Satisfayer"/>
    <s v="JUGUETE"/>
    <s v="SATISFAYER"/>
    <n v="1"/>
    <n v="1637.93"/>
  </r>
  <r>
    <s v="Naciones Unidas CEL"/>
    <s v="05/01/2026"/>
    <x v="10"/>
    <s v="716770092090"/>
    <s v="Thrusting Rotator prostático - CALEX"/>
    <s v="JUGUETE"/>
    <s v="CALEXOTICS"/>
    <n v="1"/>
    <n v="1810.34"/>
  </r>
  <r>
    <s v="Naciones Unidas CEL"/>
    <s v="05/01/2026"/>
    <x v="10"/>
    <s v="6959633105313"/>
    <s v="Vibrador de Prostata con Pulsaciones Iker Neo - SVAKOM"/>
    <s v="JUGUETE"/>
    <s v="SVAKOM"/>
    <n v="1"/>
    <n v="3879.31"/>
  </r>
  <r>
    <s v="Naciones Unidas CEL"/>
    <s v="08/01/2026"/>
    <x v="10"/>
    <s v="6959633166963"/>
    <s v="Ella Neo rojo- SVAKOM"/>
    <s v="JUGUETE"/>
    <s v="SVAKOM"/>
    <n v="1"/>
    <n v="3017.24"/>
  </r>
  <r>
    <s v="Naciones Unidas CEL"/>
    <s v="17/01/2026"/>
    <x v="10"/>
    <s v="6959633102800"/>
    <s v="Ava neo vibrador azul - SVAKOM"/>
    <s v="JUGUETE"/>
    <s v="SVAKOM"/>
    <n v="1"/>
    <n v="1810.34"/>
  </r>
  <r>
    <s v="Naciones Unidas CEL"/>
    <s v="22/01/2026"/>
    <x v="10"/>
    <s v="4061504007496"/>
    <s v="Succionado con App Curvy 1+ - Satisfayer"/>
    <s v="JUGUETE"/>
    <s v="SATISFAYER"/>
    <n v="1"/>
    <n v="1810.34"/>
  </r>
  <r>
    <s v="Naciones Unidas CEL"/>
    <s v="26/01/2026"/>
    <x v="10"/>
    <s v="6959633166963"/>
    <s v="Ella Neo rojo- SVAKOM"/>
    <s v="JUGUETE"/>
    <s v="SVAKOM"/>
    <n v="1"/>
    <n v="3017.24"/>
  </r>
  <r>
    <s v="Patria -CEL"/>
    <s v="03/01/2026"/>
    <x v="11"/>
    <s v="6959633103494"/>
    <s v="Mora Neo multiorgasmico rosa - SVAKOM"/>
    <s v="JUGUETE"/>
    <s v="SVAKOM"/>
    <n v="1"/>
    <n v="1637.93"/>
  </r>
  <r>
    <s v="Patria -CEL"/>
    <s v="03/01/2026"/>
    <x v="11"/>
    <s v="4061504007496"/>
    <s v="Succionado con App Curvy 1+ - Satisfayer"/>
    <s v="JUGUETE"/>
    <s v="SATISFAYER"/>
    <n v="1"/>
    <n v="1810.34"/>
  </r>
  <r>
    <s v="Patria -CEL"/>
    <s v="07/01/2026"/>
    <x v="11"/>
    <s v="6959633118795"/>
    <s v="Edeny - SVAKOM"/>
    <s v="JUGUETE"/>
    <s v="SVAKOM"/>
    <n v="1"/>
    <n v="3275.86"/>
  </r>
  <r>
    <s v="Patria -CEL"/>
    <s v="13/01/2026"/>
    <x v="11"/>
    <s v="6959633166963"/>
    <s v="Ella Neo rojo- SVAKOM"/>
    <s v="JUGUETE"/>
    <s v="SVAKOM"/>
    <n v="1"/>
    <n v="3017.24"/>
  </r>
  <r>
    <s v="Patria -CEL"/>
    <s v="16/01/2026"/>
    <x v="11"/>
    <s v="839289006805"/>
    <s v="Verge - WE VIBE"/>
    <s v="JUGUETE"/>
    <s v="WE VIBE"/>
    <n v="1"/>
    <n v="3879.31"/>
  </r>
  <r>
    <s v="Patria -CEL"/>
    <s v="22/01/2026"/>
    <x v="1"/>
    <s v="6959633134559"/>
    <s v="Phoenix Neo 2 rojo - SVAKOM"/>
    <s v="JUGUETE"/>
    <s v="SVAKOM"/>
    <n v="1"/>
    <n v="3534.48"/>
  </r>
  <r>
    <s v="Plaza Alamo CELESTERRA"/>
    <s v="02/01/2026"/>
    <x v="12"/>
    <s v="6959633166963"/>
    <s v="Ella Neo rojo- SVAKOM"/>
    <s v="JUGUETE"/>
    <s v="SVAKOM"/>
    <n v="1"/>
    <n v="3017.24"/>
  </r>
  <r>
    <s v="Plaza Alamo CELESTERRA"/>
    <s v="06/01/2026"/>
    <x v="12"/>
    <s v="6959633134559"/>
    <s v="Phoenix Neo 2 rojo - SVAKOM"/>
    <s v="JUGUETE"/>
    <s v="SVAKOM"/>
    <n v="1"/>
    <n v="3534.48"/>
  </r>
  <r>
    <s v="Plaza Alamo CELESTERRA"/>
    <s v="12/01/2026"/>
    <x v="12"/>
    <s v="4061504007496"/>
    <s v="Succionado con App Curvy 1+ - Satisfayer"/>
    <s v="JUGUETE"/>
    <s v="SATISFAYER"/>
    <n v="1"/>
    <n v="1810.34"/>
  </r>
  <r>
    <s v="Plaza Alamo CELESTERRA"/>
    <s v="14/01/2026"/>
    <x v="3"/>
    <s v="4061504007496"/>
    <s v="Succionado con App Curvy 1+ - Satisfayer"/>
    <s v="JUGUETE"/>
    <s v="SATISFAYER"/>
    <n v="1"/>
    <n v="1810.34"/>
  </r>
  <r>
    <s v="Plaza Alamo CELESTERRA"/>
    <s v="16/01/2026"/>
    <x v="12"/>
    <s v="6959633103494"/>
    <s v="Mora Neo multiorgasmico rosa - SVAKOM"/>
    <s v="JUGUETE"/>
    <s v="SVAKOM"/>
    <n v="1"/>
    <n v="1637.93"/>
  </r>
  <r>
    <s v="Plaza Alamo CELESTERRA"/>
    <s v="18/01/2026"/>
    <x v="12"/>
    <s v="6959633166963"/>
    <s v="Ella Neo rojo- SVAKOM"/>
    <s v="JUGUETE"/>
    <s v="SVAKOM"/>
    <n v="1"/>
    <n v="3017.24"/>
  </r>
  <r>
    <s v="Plaza Alamo CELESTERRA"/>
    <s v="19/01/2026"/>
    <x v="12"/>
    <s v="6959633103494"/>
    <s v="Mora Neo multiorgasmico rosa - SVAKOM"/>
    <s v="JUGUETE"/>
    <s v="SVAKOM"/>
    <n v="1"/>
    <n v="1637.93"/>
  </r>
  <r>
    <s v="Plaza Alamo CELESTERRA"/>
    <s v="31/01/2026"/>
    <x v="12"/>
    <s v="6959633103494"/>
    <s v="Mora Neo multiorgasmico rosa - SVAKOM"/>
    <s v="JUGUETE"/>
    <s v="SVAKOM"/>
    <n v="1"/>
    <n v="1637.93"/>
  </r>
  <r>
    <s v="Plaza Conchitas CEL"/>
    <s v="02/01/2026"/>
    <x v="13"/>
    <s v="855215007654"/>
    <s v="Dildo Realista 8&quot; Cocolate - Blush"/>
    <s v="JUGUETE"/>
    <s v="BLUSH"/>
    <n v="1"/>
    <n v="1896.55"/>
  </r>
  <r>
    <s v="Plaza Conchitas CEL"/>
    <s v="26/01/2026"/>
    <x v="13"/>
    <s v="4061504007496"/>
    <s v="Succionado con App Curvy 1+ - Satisfayer"/>
    <s v="JUGUETE"/>
    <s v="SATISFAYER"/>
    <n v="1"/>
    <n v="1810.34"/>
  </r>
  <r>
    <s v="Plaza Conchitas CEL"/>
    <s v="27/01/2026"/>
    <x v="13"/>
    <s v="7350075029325"/>
    <s v="Enigma Wave negro - LELO"/>
    <s v="JUGUETE"/>
    <s v="LELO"/>
    <n v="1"/>
    <n v="5862.07"/>
  </r>
  <r>
    <s v="Plaza Conchitas CEL"/>
    <s v="31/01/2026"/>
    <x v="13"/>
    <s v="7350075027840"/>
    <s v="Soraya Wave Magenta - LELO"/>
    <s v="JUGUETE"/>
    <s v="LELO"/>
    <n v="1"/>
    <n v="5862.07"/>
  </r>
  <r>
    <s v="Plaza las Torres CELESTERRA"/>
    <s v="02/01/2026"/>
    <x v="14"/>
    <s v="6959633144350"/>
    <s v="Pulse Union - SVAKOM"/>
    <s v="JUGUETE"/>
    <s v="SVAKOM"/>
    <n v="1"/>
    <n v="1810.34"/>
  </r>
  <r>
    <s v="Plaza las Torres CELESTERRA"/>
    <s v="06/01/2026"/>
    <x v="14"/>
    <s v="839289006904"/>
    <s v="Pivot - WE VIBE"/>
    <s v="JUGUETE"/>
    <s v="WE VIBE"/>
    <n v="1"/>
    <n v="3448.28"/>
  </r>
  <r>
    <s v="Plaza las Torres CELESTERRA"/>
    <s v="10/01/2026"/>
    <x v="14"/>
    <s v="4061504007496"/>
    <s v="Succionado con App Curvy 1+ - Satisfayer"/>
    <s v="JUGUETE"/>
    <s v="SATISFAYER"/>
    <n v="1"/>
    <n v="1810.34"/>
  </r>
  <r>
    <s v="Plaza las Torres CELESTERRA"/>
    <s v="15/01/2026"/>
    <x v="3"/>
    <s v="6959633104668"/>
    <s v="Vibrador Ava Neo Rosa Durazno - SVAKOM"/>
    <s v="JUGUETE"/>
    <s v="SVAKOM"/>
    <n v="1"/>
    <n v="1810.34"/>
  </r>
  <r>
    <s v="Plaza las Torres CELESTERRA"/>
    <s v="30/01/2026"/>
    <x v="14"/>
    <s v="ER10107394000"/>
    <s v="VIBRADOR G MOTION RABBIT WAND MUESTRA"/>
    <s v="JUGUETE"/>
    <s v="ADAM &amp; EVE"/>
    <n v="1"/>
    <n v="3017.24"/>
  </r>
  <r>
    <s v="Plaza Madison -CEL"/>
    <s v="03/01/2026"/>
    <x v="15"/>
    <s v="6959633166963"/>
    <s v="Ella Neo rojo- SVAKOM"/>
    <s v="JUGUETE"/>
    <s v="SVAKOM"/>
    <n v="1"/>
    <n v="3017.24"/>
  </r>
  <r>
    <s v="Plaza Madison -CEL"/>
    <s v="09/01/2026"/>
    <x v="15"/>
    <s v="4061504060040"/>
    <s v="Succionados Pingüino Edición Navideña - Satisfayer"/>
    <s v="JUGUETE"/>
    <s v="SATISFAYER"/>
    <n v="1"/>
    <n v="1637.93"/>
  </r>
  <r>
    <s v="Plaza Madison -CEL"/>
    <s v="10/01/2026"/>
    <x v="15"/>
    <s v="782421067113"/>
    <s v="P-Curve prostatico OptiMALE - DOC JOHNSON"/>
    <s v="JUGUETE"/>
    <s v="DOC JOHNSON"/>
    <n v="1"/>
    <n v="1991.38"/>
  </r>
  <r>
    <s v="Plaza Madison -CEL"/>
    <s v="12/01/2026"/>
    <x v="1"/>
    <s v="4251460601283"/>
    <s v="Romp Jazz"/>
    <s v="JUGUETE"/>
    <s v="ROMP"/>
    <n v="1"/>
    <n v="2155.17"/>
  </r>
  <r>
    <s v="Plaza Madison -CEL"/>
    <s v="12/01/2026"/>
    <x v="1"/>
    <s v="6959633127964"/>
    <s v="Sam Neo - SVAKOM"/>
    <s v="JUGUETE"/>
    <s v="SVAKOM"/>
    <n v="1"/>
    <n v="3017.24"/>
  </r>
  <r>
    <s v="Plaza Madison -CEL"/>
    <s v="13/01/2026"/>
    <x v="15"/>
    <s v="7350075026157"/>
    <s v="Sona cerise - LELO"/>
    <s v="JUGUETE"/>
    <s v="LELO"/>
    <n v="1"/>
    <n v="2068.9699999999998"/>
  </r>
  <r>
    <s v="Plaza Madison -CEL"/>
    <s v="15/01/2026"/>
    <x v="15"/>
    <s v="7350075026157"/>
    <s v="Sona cerise - LELO"/>
    <s v="JUGUETE"/>
    <s v="LELO"/>
    <n v="1"/>
    <n v="2068.9699999999998"/>
  </r>
  <r>
    <s v="Plaza Madison -CEL"/>
    <s v="21/01/2026"/>
    <x v="1"/>
    <s v="6959633103500"/>
    <s v="Chika multiorgasmico turqueza - SVAKOM"/>
    <s v="JUGUETE"/>
    <s v="SVAKOM"/>
    <n v="1"/>
    <n v="2155.17"/>
  </r>
  <r>
    <s v="Plaza Madison -CEL"/>
    <s v="24/01/2026"/>
    <x v="15"/>
    <s v="7503030115025"/>
    <s v="Arnes straple con doble estimulacion violeta Karen - CXO"/>
    <s v="JUGUETE"/>
    <s v="ADRIEN LASTIC"/>
    <n v="1"/>
    <n v="2586.21"/>
  </r>
  <r>
    <s v="Plaza Madison -CEL"/>
    <s v="24/01/2026"/>
    <x v="15"/>
    <s v="7350075026164"/>
    <s v="Sona rosa - LELO"/>
    <s v="JUGUETE"/>
    <s v="LELO"/>
    <n v="1"/>
    <n v="2068.9699999999998"/>
  </r>
  <r>
    <s v="Plaza Sauces CEL"/>
    <s v="02/01/2026"/>
    <x v="16"/>
    <s v="7350075029332"/>
    <s v="Enigma wave morado - LELO"/>
    <s v="JUGUETE"/>
    <s v="LELO"/>
    <n v="1"/>
    <n v="5862.07"/>
  </r>
  <r>
    <s v="Plaza Sauces CEL"/>
    <s v="02/01/2026"/>
    <x v="16"/>
    <s v="6959633103494"/>
    <s v="Mora Neo multiorgasmico rosa - SVAKOM"/>
    <s v="JUGUETE"/>
    <s v="SVAKOM"/>
    <n v="1"/>
    <n v="1637.93"/>
  </r>
  <r>
    <s v="Plaza Sauces CEL"/>
    <s v="04/01/2026"/>
    <x v="16"/>
    <s v="6959633103494"/>
    <s v="Mora Neo multiorgasmico rosa - SVAKOM"/>
    <s v="JUGUETE"/>
    <s v="SVAKOM"/>
    <n v="1"/>
    <n v="1637.93"/>
  </r>
  <r>
    <s v="Plaza Sauces CEL"/>
    <s v="04/01/2026"/>
    <x v="16"/>
    <s v="6959633127964"/>
    <s v="Sam Neo - SVAKOM"/>
    <s v="JUGUETE"/>
    <s v="SVAKOM"/>
    <n v="1"/>
    <n v="3017.24"/>
  </r>
  <r>
    <s v="Plaza Sauces CEL"/>
    <s v="06/01/2026"/>
    <x v="16"/>
    <s v="6959633102800"/>
    <s v="Ava neo vibrador azul - SVAKOM"/>
    <s v="JUGUETE"/>
    <s v="SVAKOM"/>
    <n v="1"/>
    <n v="1810.34"/>
  </r>
  <r>
    <s v="Plaza Sauces CEL"/>
    <s v="06/01/2026"/>
    <x v="16"/>
    <s v="6959633127964"/>
    <s v="Sam Neo - SVAKOM"/>
    <s v="JUGUETE"/>
    <s v="SVAKOM"/>
    <n v="1"/>
    <n v="3017.24"/>
  </r>
  <r>
    <s v="Plaza Sauces CEL"/>
    <s v="10/01/2026"/>
    <x v="16"/>
    <s v="4061504007373"/>
    <s v="Succionador Number Two - Satisfayer"/>
    <s v="JUGUETE"/>
    <s v="SATISFAYER"/>
    <n v="1"/>
    <n v="1637.93"/>
  </r>
  <r>
    <s v="Plaza Sauces CEL"/>
    <s v="13/01/2026"/>
    <x v="16"/>
    <s v="6959633103500"/>
    <s v="Chika multiorgasmico turqueza - SVAKOM"/>
    <s v="JUGUETE"/>
    <s v="SVAKOM"/>
    <n v="1"/>
    <n v="2155.17"/>
  </r>
  <r>
    <s v="Plaza Sauces CEL"/>
    <s v="15/01/2026"/>
    <x v="16"/>
    <s v="6959633103500"/>
    <s v="Chika multiorgasmico turqueza - SVAKOM"/>
    <s v="JUGUETE"/>
    <s v="SVAKOM"/>
    <n v="1"/>
    <n v="2155.17"/>
  </r>
  <r>
    <s v="Plaza Sauces CEL"/>
    <s v="19/01/2026"/>
    <x v="16"/>
    <s v="6959633103494"/>
    <s v="Mora Neo multiorgasmico rosa - SVAKOM"/>
    <s v="JUGUETE"/>
    <s v="SVAKOM"/>
    <n v="1"/>
    <n v="1637.93"/>
  </r>
  <r>
    <s v="Plaza Sauces CEL"/>
    <s v="19/01/2026"/>
    <x v="16"/>
    <s v="6959633127964"/>
    <s v="Sam Neo - SVAKOM"/>
    <s v="JUGUETE"/>
    <s v="SVAKOM"/>
    <n v="1"/>
    <n v="3017.24"/>
  </r>
  <r>
    <s v="Plaza Zenter CEL"/>
    <s v="03/01/2026"/>
    <x v="17"/>
    <s v="6959633101278"/>
    <s v="Alex Neo 2 azul oscuro - SVAKOM"/>
    <s v="JUGUETE"/>
    <s v="SVAKOM"/>
    <n v="1"/>
    <n v="4482.76"/>
  </r>
  <r>
    <s v="Plaza Zenter CEL"/>
    <s v="03/01/2026"/>
    <x v="17"/>
    <s v="844477014296"/>
    <s v="Eves Rechargeable Pulsating Dual Massager - ADAM AND EVE"/>
    <s v="JUGUETE"/>
    <s v="ADAM &amp; EVE"/>
    <n v="1"/>
    <n v="2482.7600000000002"/>
  </r>
  <r>
    <s v="Plaza Zenter CEL"/>
    <s v="03/01/2026"/>
    <x v="17"/>
    <s v="4061504007373"/>
    <s v="Succionador Number Two - Satisfayer"/>
    <s v="JUGUETE"/>
    <s v="SATISFAYER"/>
    <n v="1"/>
    <n v="1637.93"/>
  </r>
  <r>
    <s v="Plaza Zenter CEL"/>
    <s v="07/01/2026"/>
    <x v="17"/>
    <s v="6959633101278"/>
    <s v="Alex Neo 2 azul oscuro - SVAKOM"/>
    <s v="JUGUETE"/>
    <s v="SVAKOM"/>
    <n v="1"/>
    <n v="4482.76"/>
  </r>
  <r>
    <s v="Plaza Zenter CEL"/>
    <s v="08/01/2026"/>
    <x v="3"/>
    <s v="6959633105313"/>
    <s v="Vibrador de Prostata con Pulsaciones Iker Neo - SVAKOM"/>
    <s v="JUGUETE"/>
    <s v="SVAKOM"/>
    <n v="1"/>
    <n v="3879.31"/>
  </r>
  <r>
    <s v="Plaza Zenter CEL"/>
    <s v="08/01/2026"/>
    <x v="17"/>
    <s v="6959633118795"/>
    <s v="Edeny - SVAKOM"/>
    <s v="JUGUETE"/>
    <s v="SVAKOM"/>
    <n v="1"/>
    <n v="3275.86"/>
  </r>
  <r>
    <s v="Plaza Zenter CEL"/>
    <s v="10/01/2026"/>
    <x v="17"/>
    <s v="7350075029332"/>
    <s v="Enigma wave morado - LELO"/>
    <s v="JUGUETE"/>
    <s v="LELO"/>
    <n v="1"/>
    <n v="5862.07"/>
  </r>
  <r>
    <s v="Plaza Zenter CEL"/>
    <s v="11/01/2026"/>
    <x v="18"/>
    <s v="603912332117"/>
    <s v="VIBRADOR ANAL FANTASY VIBRATING THRUSTER"/>
    <s v="JUGUETE"/>
    <s v="PIPEDREAM"/>
    <n v="1"/>
    <n v="2038.79"/>
  </r>
  <r>
    <s v="Plaza Zenter CEL"/>
    <s v="12/01/2026"/>
    <x v="17"/>
    <s v="7350075029332"/>
    <s v="Enigma wave morado - LELO"/>
    <s v="JUGUETE"/>
    <s v="LELO"/>
    <n v="1"/>
    <n v="5862.07"/>
  </r>
  <r>
    <s v="Plaza Zenter CEL"/>
    <s v="13/01/2026"/>
    <x v="17"/>
    <s v="839289006904"/>
    <s v="Pivot - WE VIBE"/>
    <s v="JUGUETE"/>
    <s v="WE VIBE"/>
    <n v="1"/>
    <n v="3448.28"/>
  </r>
  <r>
    <s v="Plaza Zenter CEL"/>
    <s v="13/01/2026"/>
    <x v="17"/>
    <s v="4061504007496"/>
    <s v="Succionado con App Curvy 1+ - Satisfayer"/>
    <s v="JUGUETE"/>
    <s v="SATISFAYER"/>
    <n v="1"/>
    <n v="1810.34"/>
  </r>
  <r>
    <s v="Plaza Zenter CEL"/>
    <s v="13/01/2026"/>
    <x v="17"/>
    <s v="4251460622905"/>
    <s v="Sync O morado - WE VIBE"/>
    <s v="JUGUETE"/>
    <s v="WE VIBE"/>
    <n v="1"/>
    <n v="5172.41"/>
  </r>
  <r>
    <s v="Plaza Zenter CEL"/>
    <s v="14/01/2026"/>
    <x v="17"/>
    <s v="7350075028571"/>
    <s v="Sila Cruise aqua - LELO"/>
    <s v="JUGUETE"/>
    <s v="LELO"/>
    <n v="1"/>
    <n v="4396.55"/>
  </r>
  <r>
    <s v="Plaza Zenter CEL"/>
    <s v="14/01/2026"/>
    <x v="17"/>
    <s v="7350075028564"/>
    <s v="Sila Cruise pink - LELO"/>
    <s v="JUGUETE"/>
    <s v="LELO"/>
    <n v="1"/>
    <n v="4396.55"/>
  </r>
  <r>
    <s v="Plaza Zenter CEL"/>
    <s v="14/01/2026"/>
    <x v="17"/>
    <s v="6959633105313"/>
    <s v="Vibrador de Prostata con Pulsaciones Iker Neo - SVAKOM"/>
    <s v="JUGUETE"/>
    <s v="SVAKOM"/>
    <n v="1"/>
    <n v="3879.31"/>
  </r>
  <r>
    <s v="Plaza Zenter CEL"/>
    <s v="15/01/2026"/>
    <x v="17"/>
    <s v="6959633118795"/>
    <s v="Edeny - SVAKOM"/>
    <s v="JUGUETE"/>
    <s v="SVAKOM"/>
    <n v="1"/>
    <n v="3275.86"/>
  </r>
  <r>
    <s v="Plaza Zenter CEL"/>
    <s v="15/01/2026"/>
    <x v="17"/>
    <s v="7350075029288"/>
    <s v="HUGO 2 Remote Green - LELO"/>
    <s v="JUGUETE"/>
    <s v="LELO"/>
    <n v="1"/>
    <n v="5172.41"/>
  </r>
  <r>
    <s v="Plaza Zenter CEL"/>
    <s v="23/01/2026"/>
    <x v="17"/>
    <s v="6959633127964"/>
    <s v="Sam Neo - SVAKOM"/>
    <s v="JUGUETE"/>
    <s v="SVAKOM"/>
    <n v="1"/>
    <n v="3017.24"/>
  </r>
  <r>
    <s v="Plaza Zenter CEL"/>
    <s v="25/01/2026"/>
    <x v="18"/>
    <s v="813686021326"/>
    <s v="Com azul - DAME"/>
    <s v="JUGUETE"/>
    <s v="DAME"/>
    <n v="1"/>
    <n v="1810.34"/>
  </r>
  <r>
    <s v="Plaza Zenter CEL"/>
    <s v="25/01/2026"/>
    <x v="18"/>
    <s v="782421083922"/>
    <s v="Sol pulsador beige - RITUAL"/>
    <s v="JUGUETE"/>
    <s v="RITUAL"/>
    <n v="1"/>
    <n v="1637.93"/>
  </r>
  <r>
    <s v="Plaza Zenter CEL"/>
    <s v="29/01/2026"/>
    <x v="3"/>
    <s v="4251460615655"/>
    <s v="Bond Charcoal Black - WE VIBE"/>
    <s v="JUGUETE"/>
    <s v="WE VIBE"/>
    <n v="1"/>
    <n v="4137.93"/>
  </r>
  <r>
    <s v="Plaza Zenter CEL"/>
    <s v="29/01/2026"/>
    <x v="3"/>
    <s v="7350075028632"/>
    <s v="Tiani Harmony Black -LELO"/>
    <s v="JUGUETE"/>
    <s v="LELO"/>
    <n v="1"/>
    <n v="5172.41"/>
  </r>
  <r>
    <s v="Plaza Zenter CEL"/>
    <s v="31/01/2026"/>
    <x v="17"/>
    <s v="6959633166963"/>
    <s v="Ella Neo rojo- SVAKOM"/>
    <s v="JUGUETE"/>
    <s v="SVAKOM"/>
    <n v="1"/>
    <n v="3017.24"/>
  </r>
  <r>
    <s v="Plaza Zenter CEL"/>
    <s v="31/01/2026"/>
    <x v="17"/>
    <s v="7350075028571"/>
    <s v="Sila Cruise aqua - LELO"/>
    <s v="JUGUETE"/>
    <s v="LELO"/>
    <n v="1"/>
    <n v="4396.55"/>
  </r>
  <r>
    <s v="Plaza Zenter CEL"/>
    <s v="31/01/2026"/>
    <x v="17"/>
    <s v="7350075028588"/>
    <s v="Sila Cruise lilac - LELO"/>
    <s v="JUGUETE"/>
    <s v="LELO"/>
    <n v="1"/>
    <n v="5086.21"/>
  </r>
  <r>
    <s v="Provenza-Cel"/>
    <s v="03/01/2026"/>
    <x v="3"/>
    <s v="4061504007496"/>
    <s v="Succionado con App Curvy 1+ - Satisfayer"/>
    <s v="JUGUETE"/>
    <s v="SATISFAYER"/>
    <n v="1"/>
    <n v="1810.34"/>
  </r>
  <r>
    <s v="Provenza-Cel"/>
    <s v="06/01/2026"/>
    <x v="19"/>
    <s v="6959633103500"/>
    <s v="Chika multiorgasmico turqueza - SVAKOM"/>
    <s v="JUGUETE"/>
    <s v="SVAKOM"/>
    <n v="1"/>
    <n v="2155.17"/>
  </r>
  <r>
    <s v="Provenza-Cel"/>
    <s v="12/01/2026"/>
    <x v="19"/>
    <s v="6959633103494"/>
    <s v="Mora Neo multiorgasmico rosa - SVAKOM"/>
    <s v="JUGUETE"/>
    <s v="SVAKOM"/>
    <n v="1"/>
    <n v="1637.93"/>
  </r>
  <r>
    <s v="Provenza-Cel"/>
    <s v="15/01/2026"/>
    <x v="19"/>
    <s v="7350075026157"/>
    <s v="Sona cerise - LELO"/>
    <s v="JUGUETE"/>
    <s v="LELO"/>
    <n v="1"/>
    <n v="2068.9699999999998"/>
  </r>
  <r>
    <s v="Provenza-Cel"/>
    <s v="17/01/2026"/>
    <x v="3"/>
    <s v="6959633134559"/>
    <s v="Phoenix Neo 2 rojo - SVAKOM"/>
    <s v="JUGUETE"/>
    <s v="SVAKOM"/>
    <n v="1"/>
    <n v="3534.48"/>
  </r>
  <r>
    <s v="Provenza-Cel"/>
    <s v="18/01/2026"/>
    <x v="19"/>
    <s v="7350075026157"/>
    <s v="Sona cerise - LELO"/>
    <s v="JUGUETE"/>
    <s v="LELO"/>
    <n v="1"/>
    <n v="2068.9699999999998"/>
  </r>
  <r>
    <s v="Provenza-Cel"/>
    <s v="29/01/2026"/>
    <x v="19"/>
    <s v="7350075028632"/>
    <s v="Tiani Harmony Black -LELO"/>
    <s v="JUGUETE"/>
    <s v="LELO"/>
    <n v="1"/>
    <n v="5172.41"/>
  </r>
  <r>
    <s v="Provenza-Cel"/>
    <s v="30/01/2026"/>
    <x v="19"/>
    <s v="4061504007496"/>
    <s v="Succionado con App Curvy 1+ - Satisfayer"/>
    <s v="JUGUETE"/>
    <s v="SATISFAYER"/>
    <n v="1"/>
    <n v="1810.3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0">
  <r>
    <x v="0"/>
    <s v="02/01/2026"/>
    <x v="0"/>
    <s v="7503013378652"/>
    <s v="Liquid Love Backdoor 100ml - DUSA"/>
    <s v="CONSUMIBLE PROPIO"/>
    <s v="DUSA"/>
    <n v="1"/>
    <n v="1077.5899999999999"/>
  </r>
  <r>
    <x v="0"/>
    <s v="02/01/2026"/>
    <x v="0"/>
    <s v="7503013378690"/>
    <s v="Shumatsu 3 pzas - DUSA"/>
    <s v="CONSUMIBLE PROPIO"/>
    <s v="DUSA"/>
    <n v="1"/>
    <n v="577.59"/>
  </r>
  <r>
    <x v="0"/>
    <s v="03/01/2026"/>
    <x v="0"/>
    <s v="7503014914002"/>
    <s v="CAPSULAS MULTIORGASMICO AMO O-GEN"/>
    <s v="CONSUMIBLE"/>
    <s v="POWER MAN"/>
    <n v="1"/>
    <n v="431.04"/>
  </r>
  <r>
    <x v="0"/>
    <s v="03/01/2026"/>
    <x v="0"/>
    <s v="8699415912859"/>
    <s v="Miel Vigorizante para Hombre  Miracle Honey  VIP 15g-  SECRET MIRACLE HONEY"/>
    <s v="CONSUMIBLE"/>
    <s v="SECRET MIRACLE HONEY"/>
    <n v="1"/>
    <n v="215.52"/>
  </r>
  <r>
    <x v="0"/>
    <s v="03/01/2026"/>
    <x v="0"/>
    <s v="7503023462891"/>
    <s v="ORAL SEX Exotic Nut 30ml - DIAMANTE"/>
    <s v="CONSUMIBLE"/>
    <s v="DIAMANTE"/>
    <n v="1"/>
    <n v="310.35000000000002"/>
  </r>
  <r>
    <x v="0"/>
    <s v="03/01/2026"/>
    <x v="0"/>
    <s v="7503032300443"/>
    <s v="Zoe bala vibradora RETAIL - CXO"/>
    <s v="JUGUETE PROPIO"/>
    <s v="CXO"/>
    <n v="2"/>
    <n v="310.33999999999997"/>
  </r>
  <r>
    <x v="0"/>
    <s v="04/01/2026"/>
    <x v="1"/>
    <s v="7502214982477"/>
    <s v="Condon Fresa 3pzs - PRUDENCE"/>
    <s v="CONSUMIBLE"/>
    <s v="PRUDENCE"/>
    <n v="1"/>
    <n v="60.34"/>
  </r>
  <r>
    <x v="0"/>
    <s v="04/01/2026"/>
    <x v="1"/>
    <s v="7503032300993"/>
    <s v="Liquid Love Pleasure 30ml - DUSA"/>
    <s v="CONSUMIBLE PROPIO"/>
    <s v="DUSA"/>
    <n v="1"/>
    <n v="301.72000000000003"/>
  </r>
  <r>
    <x v="0"/>
    <s v="04/01/2026"/>
    <x v="1"/>
    <s v="7503050524241"/>
    <s v="Orgasmik 30ml - DUSA"/>
    <s v="CONSUMIBLE PROPIO"/>
    <s v="DUSA"/>
    <n v="1"/>
    <n v="431.03"/>
  </r>
  <r>
    <x v="0"/>
    <s v="05/01/2026"/>
    <x v="0"/>
    <s v="7503030211021"/>
    <s v="Anillo desechable para pene Donut - CXO"/>
    <s v="JUGUETE PROPIO"/>
    <s v="CXO"/>
    <n v="1"/>
    <n v="34.479999999999997"/>
  </r>
  <r>
    <x v="0"/>
    <s v="05/01/2026"/>
    <x v="0"/>
    <s v="7503043917081"/>
    <s v="Blade rosa anillo vibrador - CXO"/>
    <s v="JUGUETE PROPIO"/>
    <s v="CXO"/>
    <n v="1"/>
    <n v="81.900000000000006"/>
  </r>
  <r>
    <x v="0"/>
    <s v="05/01/2026"/>
    <x v="0"/>
    <s v="7503013378492"/>
    <s v="Clean Whisper 120ml - DUSA"/>
    <s v="CONSUMIBLE PROPIO"/>
    <s v="DUSA"/>
    <n v="1"/>
    <n v="301.72000000000003"/>
  </r>
  <r>
    <x v="0"/>
    <s v="05/01/2026"/>
    <x v="0"/>
    <s v="8699415912859"/>
    <s v="Miel Vigorizante para Hombre  Miracle Honey  VIP 15g-  SECRET MIRACLE HONEY"/>
    <s v="CONSUMIBLE"/>
    <s v="SECRET MIRACLE HONEY"/>
    <n v="2"/>
    <n v="431.04"/>
  </r>
  <r>
    <x v="0"/>
    <s v="05/01/2026"/>
    <x v="0"/>
    <s v="6959633156094"/>
    <s v="Robin - SVAKOM"/>
    <s v="JUGUETE"/>
    <s v="SVAKOM"/>
    <n v="1"/>
    <n v="1318.97"/>
  </r>
  <r>
    <x v="0"/>
    <s v="05/01/2026"/>
    <x v="0"/>
    <s v="7503032300443"/>
    <s v="Zoe bala vibradora RETAIL - CXO"/>
    <s v="JUGUETE PROPIO"/>
    <s v="CXO"/>
    <n v="2"/>
    <n v="310.33999999999997"/>
  </r>
  <r>
    <x v="0"/>
    <s v="06/01/2026"/>
    <x v="0"/>
    <s v="7503032300993"/>
    <s v="Liquid Love Pleasure 30ml - DUSA"/>
    <s v="CONSUMIBLE PROPIO"/>
    <s v="DUSA"/>
    <n v="1"/>
    <n v="301.72000000000003"/>
  </r>
  <r>
    <x v="0"/>
    <s v="06/01/2026"/>
    <x v="0"/>
    <s v="8699415912859"/>
    <s v="Miel Vigorizante para Hombre  Miracle Honey  VIP 15g-  SECRET MIRACLE HONEY"/>
    <s v="CONSUMIBLE"/>
    <s v="SECRET MIRACLE HONEY"/>
    <n v="1"/>
    <n v="215.52"/>
  </r>
  <r>
    <x v="0"/>
    <s v="06/01/2026"/>
    <x v="0"/>
    <s v="819835024781"/>
    <s v="Pom Adjustable Nipple Clamps - NOIR"/>
    <s v="LENCERIA"/>
    <s v="BLUSH"/>
    <n v="1"/>
    <n v="543.1"/>
  </r>
  <r>
    <x v="0"/>
    <s v="06/01/2026"/>
    <x v="0"/>
    <s v="7503013378010"/>
    <s v="Rigidex 2 pzas - DUSA"/>
    <s v="CONSUMIBLE PROPIO"/>
    <s v="DUSA"/>
    <n v="1"/>
    <n v="431.03"/>
  </r>
  <r>
    <x v="0"/>
    <s v="06/01/2026"/>
    <x v="0"/>
    <s v="7503026484050"/>
    <s v="SENSIBILIZADOR PARA PEZONES 15ML"/>
    <s v="CONSUMIBLE"/>
    <s v="FEEL LOVE"/>
    <n v="1"/>
    <n v="172.41"/>
  </r>
  <r>
    <x v="0"/>
    <s v="06/01/2026"/>
    <x v="0"/>
    <s v="7503020596957"/>
    <s v="Shot Shumatsu Fun Hombre - DUSA"/>
    <s v="CONSUMIBLE PROPIO"/>
    <s v="DUSA"/>
    <n v="1"/>
    <n v="172.41"/>
  </r>
  <r>
    <x v="0"/>
    <s v="06/01/2026"/>
    <x v="0"/>
    <s v="7503024256192"/>
    <s v="Shot Shumatsu Fun Mujer - DUSA"/>
    <s v="CONSUMIBLE PROPIO"/>
    <s v="DUSA"/>
    <n v="1"/>
    <n v="172.41"/>
  </r>
  <r>
    <x v="0"/>
    <s v="07/01/2026"/>
    <x v="0"/>
    <s v="7503030111031"/>
    <s v="Anillo vibrador de aro doble con estimulador y dildo Javier - CXO"/>
    <s v="JUGUETE PROPIO"/>
    <s v="CXO"/>
    <n v="1"/>
    <n v="1681.03"/>
  </r>
  <r>
    <x v="0"/>
    <s v="07/01/2026"/>
    <x v="0"/>
    <s v="7503043917081"/>
    <s v="Blade rosa anillo vibrador - CXO"/>
    <s v="JUGUETE PROPIO"/>
    <s v="CXO"/>
    <n v="3"/>
    <n v="245.70000000000002"/>
  </r>
  <r>
    <x v="0"/>
    <s v="07/01/2026"/>
    <x v="0"/>
    <s v="7503014914002"/>
    <s v="CAPSULAS MULTIORGASMICO AMO O-GEN"/>
    <s v="CONSUMIBLE"/>
    <s v="POWER MAN"/>
    <n v="1"/>
    <n v="431.04"/>
  </r>
  <r>
    <x v="0"/>
    <s v="07/01/2026"/>
    <x v="0"/>
    <s v="M-22056"/>
    <s v="Dildo L 21cm - CXO"/>
    <s v="JUGUETE PROPIO"/>
    <s v="CXO"/>
    <n v="1"/>
    <n v="689.66"/>
  </r>
  <r>
    <x v="0"/>
    <s v="07/01/2026"/>
    <x v="0"/>
    <s v="7503030102034"/>
    <s v="Dildo vibrador con control Anthony - CXO"/>
    <s v="JUGUETE PROPIO"/>
    <s v="CXO"/>
    <n v="1"/>
    <n v="2112.0700000000002"/>
  </r>
  <r>
    <x v="0"/>
    <s v="07/01/2026"/>
    <x v="0"/>
    <s v="7503013378645"/>
    <s v="Liquid Love Pleasure 100ml - DUSA"/>
    <s v="CONSUMIBLE PROPIO"/>
    <s v="DUSA"/>
    <n v="2"/>
    <n v="1551.72"/>
  </r>
  <r>
    <x v="0"/>
    <s v="07/01/2026"/>
    <x v="0"/>
    <s v="7503023462235"/>
    <s v="Lubricante Masaje Térmico Comestible Piña Colada FEEL LOVE 4 en 1 - 60ml"/>
    <s v="LUBRICANTE"/>
    <s v="FEEL LOVE"/>
    <n v="1"/>
    <n v="344.83"/>
  </r>
  <r>
    <x v="0"/>
    <s v="07/01/2026"/>
    <x v="0"/>
    <s v="8699415912859"/>
    <s v="Miel Vigorizante para Hombre  Miracle Honey  VIP 15g-  SECRET MIRACLE HONEY"/>
    <s v="CONSUMIBLE"/>
    <s v="SECRET MIRACLE HONEY"/>
    <n v="2"/>
    <n v="431.03"/>
  </r>
  <r>
    <x v="0"/>
    <s v="07/01/2026"/>
    <x v="0"/>
    <s v="7503026484845"/>
    <s v="Oral Sex Erotic Nut 5g - Feel Love"/>
    <s v="CONSUMIBLE"/>
    <s v="DIAMANTE"/>
    <n v="1"/>
    <n v="51.72"/>
  </r>
  <r>
    <x v="0"/>
    <s v="07/01/2026"/>
    <x v="0"/>
    <s v="7503050524241"/>
    <s v="Orgasmik 30ml - DUSA"/>
    <s v="CONSUMIBLE PROPIO"/>
    <s v="DUSA"/>
    <n v="1"/>
    <n v="431.03"/>
  </r>
  <r>
    <x v="0"/>
    <s v="07/01/2026"/>
    <x v="0"/>
    <s v="4061504007496"/>
    <s v="Succionado con App Curvy 1+ - Satisfayer"/>
    <s v="JUGUETE"/>
    <s v="SATISFAYER"/>
    <n v="1"/>
    <n v="1810.34"/>
  </r>
  <r>
    <x v="0"/>
    <s v="07/01/2026"/>
    <x v="0"/>
    <s v="7503032300443"/>
    <s v="Zoe bala vibradora RETAIL - CXO"/>
    <s v="JUGUETE PROPIO"/>
    <s v="CXO"/>
    <n v="3"/>
    <n v="465.51"/>
  </r>
  <r>
    <x v="0"/>
    <s v="08/01/2026"/>
    <x v="0"/>
    <s v="7503043917081"/>
    <s v="Blade rosa anillo vibrador - CXO"/>
    <s v="JUGUETE PROPIO"/>
    <s v="CXO"/>
    <n v="1"/>
    <n v="81.900000000000006"/>
  </r>
  <r>
    <x v="0"/>
    <s v="08/01/2026"/>
    <x v="0"/>
    <s v="7503030102034"/>
    <s v="Dildo vibrador con control Anthony - CXO"/>
    <s v="JUGUETE PROPIO"/>
    <s v="CXO"/>
    <n v="1"/>
    <n v="2112.0700000000002"/>
  </r>
  <r>
    <x v="0"/>
    <s v="08/01/2026"/>
    <x v="0"/>
    <s v="7503013378980"/>
    <s v="Lubricante Body Surf Termico Chicle DUSA 60ml"/>
    <s v="CONSUMIBLE PROPIO"/>
    <s v="DUSA"/>
    <n v="1"/>
    <n v="387.93"/>
  </r>
  <r>
    <x v="0"/>
    <s v="08/01/2026"/>
    <x v="0"/>
    <s v="75082048"/>
    <s v="Miel Estimulante Hombre 18ml - SXO"/>
    <s v="CONSUMIBLE"/>
    <s v="SXO"/>
    <n v="1"/>
    <n v="301.72000000000003"/>
  </r>
  <r>
    <x v="0"/>
    <s v="09/01/2026"/>
    <x v="0"/>
    <s v="7503043917081"/>
    <s v="Blade rosa anillo vibrador - CXO"/>
    <s v="JUGUETE PROPIO"/>
    <s v="CXO"/>
    <n v="1"/>
    <n v="81.900000000000006"/>
  </r>
  <r>
    <x v="0"/>
    <s v="09/01/2026"/>
    <x v="0"/>
    <s v="716770044532"/>
    <s v="Dildo inflable 9.5 - CALEX"/>
    <s v="JUGUETE"/>
    <s v="CALEXOTICS"/>
    <n v="1"/>
    <n v="1637.93"/>
  </r>
  <r>
    <x v="0"/>
    <s v="09/01/2026"/>
    <x v="0"/>
    <s v="782421002404"/>
    <s v="Dildo TitanMen Intimidator - DOC JOHNSON"/>
    <s v="JUGUETE"/>
    <s v="DOC JOHNSON"/>
    <n v="1"/>
    <n v="1448.28"/>
  </r>
  <r>
    <x v="0"/>
    <s v="09/01/2026"/>
    <x v="0"/>
    <s v="7503030102034"/>
    <s v="Dildo vibrador con control Anthony - CXO"/>
    <s v="JUGUETE PROPIO"/>
    <s v="CXO"/>
    <n v="1"/>
    <n v="2112.0700000000002"/>
  </r>
  <r>
    <x v="0"/>
    <s v="09/01/2026"/>
    <x v="0"/>
    <s v="7503030119041"/>
    <s v="Dildo vibrador con movimiento impulsor Arma - CXO"/>
    <s v="JUGUETE PROPIO"/>
    <s v="CXO"/>
    <n v="1"/>
    <n v="1706.9"/>
  </r>
  <r>
    <x v="0"/>
    <s v="09/01/2026"/>
    <x v="0"/>
    <s v="7503020310205"/>
    <s v="Dildo Vibrador Termico Realista 3 en 1 con movimiento Hades-CXO"/>
    <s v="JUGUETE PROPIO"/>
    <s v="CXO"/>
    <n v="1"/>
    <n v="2500"/>
  </r>
  <r>
    <x v="0"/>
    <s v="09/01/2026"/>
    <x v="0"/>
    <s v="6959633118795"/>
    <s v="Edeny - SVAKOM"/>
    <s v="JUGUETE"/>
    <s v="SVAKOM"/>
    <n v="1"/>
    <n v="3275.86"/>
  </r>
  <r>
    <x v="0"/>
    <s v="09/01/2026"/>
    <x v="0"/>
    <s v="7503013378645"/>
    <s v="Liquid Love Pleasure 100ml - DUSA"/>
    <s v="CONSUMIBLE PROPIO"/>
    <s v="DUSA"/>
    <n v="3"/>
    <n v="2327.58"/>
  </r>
  <r>
    <x v="0"/>
    <s v="09/01/2026"/>
    <x v="0"/>
    <s v="GWPS_BANANASHAKE_001"/>
    <s v="Lub de Regalo - Banana Shake"/>
    <s v="ACTIVACION"/>
    <s v="BANANA SHAKE"/>
    <n v="1"/>
    <n v="0.01"/>
  </r>
  <r>
    <x v="0"/>
    <s v="09/01/2026"/>
    <x v="0"/>
    <s v="7503013378980"/>
    <s v="Lubricante Body Surf Termico Chicle DUSA 60ml"/>
    <s v="CONSUMIBLE PROPIO"/>
    <s v="DUSA"/>
    <n v="1"/>
    <n v="387.93"/>
  </r>
  <r>
    <x v="0"/>
    <s v="09/01/2026"/>
    <x v="0"/>
    <s v="695963319882"/>
    <s v="Masturbador  Recargable Hannes NEO - SVAKOM"/>
    <s v=""/>
    <s v="SVAKOM"/>
    <n v="1"/>
    <n v="2586.21"/>
  </r>
  <r>
    <x v="0"/>
    <s v="09/01/2026"/>
    <x v="0"/>
    <s v="716770096036"/>
    <s v="Sheology set intercambiable kegel - CALEX"/>
    <s v="JUGUETE"/>
    <s v="CALEXOTICS"/>
    <n v="1"/>
    <n v="1637.93"/>
  </r>
  <r>
    <x v="0"/>
    <s v="09/01/2026"/>
    <x v="0"/>
    <s v="CBD"/>
    <s v="SUNNY SIDE UP CBD HIPOALERGENICO 10ml"/>
    <s v="CONSUMIBLE"/>
    <s v="SUNNY SIDE UP"/>
    <n v="1"/>
    <n v="301.72000000000003"/>
  </r>
  <r>
    <x v="0"/>
    <s v="09/01/2026"/>
    <x v="0"/>
    <s v="716770065742"/>
    <s v="The Accommodator dildo de latex - CALEX"/>
    <s v="JUGUETE"/>
    <s v="CALEXOTICS"/>
    <n v="1"/>
    <n v="775.86"/>
  </r>
  <r>
    <x v="0"/>
    <s v="09/01/2026"/>
    <x v="0"/>
    <s v="7503020104075"/>
    <s v="Vibrador multiorgásmico texturizado con succionador de clítoris Yeni - CXO"/>
    <s v="JUGUETE PROPIO"/>
    <s v="CXO"/>
    <n v="1"/>
    <n v="2465.52"/>
  </r>
  <r>
    <x v="0"/>
    <s v="10/01/2026"/>
    <x v="0"/>
    <s v="7503043917081"/>
    <s v="Blade rosa anillo vibrador - CXO"/>
    <s v="JUGUETE PROPIO"/>
    <s v="CXO"/>
    <n v="4"/>
    <n v="327.60000000000002"/>
  </r>
  <r>
    <x v="0"/>
    <s v="10/01/2026"/>
    <x v="0"/>
    <s v="7508304288412"/>
    <s v="FEROMONAS EN GEL 20ML HOMBRE HOMBRE"/>
    <s v="CONSUMIBLE"/>
    <s v="DIAMANTE"/>
    <n v="1"/>
    <n v="379.31"/>
  </r>
  <r>
    <x v="0"/>
    <s v="10/01/2026"/>
    <x v="0"/>
    <s v="7503043917012"/>
    <s v="Liquid Love Backdoor 30ml - DUSA"/>
    <s v="CONSUMIBLE PROPIO"/>
    <s v="DUSA"/>
    <n v="1"/>
    <n v="301.72000000000003"/>
  </r>
  <r>
    <x v="0"/>
    <s v="10/01/2026"/>
    <x v="0"/>
    <s v="7503013378645"/>
    <s v="Liquid Love Pleasure 100ml - DUSA"/>
    <s v="CONSUMIBLE PROPIO"/>
    <s v="DUSA"/>
    <n v="1"/>
    <n v="775.86"/>
  </r>
  <r>
    <x v="0"/>
    <s v="10/01/2026"/>
    <x v="0"/>
    <s v="7503024256154"/>
    <s v="Lubricante Body Surf Termico Cereza DUSA 60ml"/>
    <s v="CONSUMIBLE PROPIO"/>
    <s v="DUSA"/>
    <n v="1"/>
    <n v="387.93"/>
  </r>
  <r>
    <x v="0"/>
    <s v="10/01/2026"/>
    <x v="0"/>
    <s v="8699415912859"/>
    <s v="Miel Vigorizante para Hombre  Miracle Honey  VIP 15g-  SECRET MIRACLE HONEY"/>
    <s v="CONSUMIBLE"/>
    <s v="SECRET MIRACLE HONEY"/>
    <n v="2"/>
    <n v="431.03"/>
  </r>
  <r>
    <x v="0"/>
    <s v="10/01/2026"/>
    <x v="0"/>
    <s v="7503013378010"/>
    <s v="Rigidex 2 pzas - DUSA"/>
    <s v="CONSUMIBLE PROPIO"/>
    <s v="DUSA"/>
    <n v="3"/>
    <n v="1293.0999999999999"/>
  </r>
  <r>
    <x v="0"/>
    <s v="10/01/2026"/>
    <x v="0"/>
    <s v="7503020596049"/>
    <s v="Sensicool - DUSA"/>
    <s v="CONSUMIBLE PROPIO"/>
    <s v="DUSA"/>
    <n v="1"/>
    <n v="431.03"/>
  </r>
  <r>
    <x v="0"/>
    <s v="10/01/2026"/>
    <x v="0"/>
    <s v="7503020596957"/>
    <s v="Shot Shumatsu Fun Hombre - DUSA"/>
    <s v="CONSUMIBLE PROPIO"/>
    <s v="DUSA"/>
    <n v="1"/>
    <n v="172.41"/>
  </r>
  <r>
    <x v="0"/>
    <s v="10/01/2026"/>
    <x v="0"/>
    <s v="7350075026157"/>
    <s v="Sona cerise - LELO"/>
    <s v="JUGUETE"/>
    <s v="LELO"/>
    <n v="1"/>
    <n v="2068.9699999999998"/>
  </r>
  <r>
    <x v="0"/>
    <s v="10/01/2026"/>
    <x v="0"/>
    <s v="7503032300443"/>
    <s v="Zoe bala vibradora RETAIL - CXO"/>
    <s v="JUGUETE PROPIO"/>
    <s v="CXO"/>
    <n v="6"/>
    <n v="931.03"/>
  </r>
  <r>
    <x v="0"/>
    <s v="11/01/2026"/>
    <x v="2"/>
    <s v="4251460601283"/>
    <s v="Romp Jazz"/>
    <s v="JUGUETE"/>
    <s v="ROMP"/>
    <n v="1"/>
    <n v="2155.17"/>
  </r>
  <r>
    <x v="0"/>
    <s v="12/01/2026"/>
    <x v="0"/>
    <s v="6959633156094"/>
    <s v="Robin - SVAKOM"/>
    <s v="JUGUETE"/>
    <s v="SVAKOM"/>
    <n v="1"/>
    <n v="1318.97"/>
  </r>
  <r>
    <x v="0"/>
    <s v="12/01/2026"/>
    <x v="0"/>
    <s v="7503032300443"/>
    <s v="Zoe bala vibradora RETAIL - CXO"/>
    <s v="JUGUETE PROPIO"/>
    <s v="CXO"/>
    <n v="1"/>
    <n v="155.16999999999999"/>
  </r>
  <r>
    <x v="0"/>
    <s v="13/01/2026"/>
    <x v="0"/>
    <s v="7503043917081"/>
    <s v="Blade rosa anillo vibrador - CXO"/>
    <s v="JUGUETE PROPIO"/>
    <s v="CXO"/>
    <n v="3"/>
    <n v="245.70000000000002"/>
  </r>
  <r>
    <x v="0"/>
    <s v="13/01/2026"/>
    <x v="0"/>
    <s v="68892L"/>
    <s v="Conjunto Leonor con pedreria negro 2 piezas M"/>
    <s v="LENCERIA PROPIA"/>
    <s v="OLA MOU"/>
    <n v="1"/>
    <n v="260.33999999999997"/>
  </r>
  <r>
    <x v="0"/>
    <s v="13/01/2026"/>
    <x v="0"/>
    <s v="75080471"/>
    <s v="Dulces Garganta Profunda 2 piezas Sabor Uva - SXO"/>
    <s v="CONSUMIBLE"/>
    <s v="SXO"/>
    <n v="1"/>
    <n v="120.69"/>
  </r>
  <r>
    <x v="0"/>
    <s v="13/01/2026"/>
    <x v="0"/>
    <s v="7503013378645"/>
    <s v="Liquid Love Pleasure 100ml - DUSA"/>
    <s v="CONSUMIBLE PROPIO"/>
    <s v="DUSA"/>
    <n v="2"/>
    <n v="1551.72"/>
  </r>
  <r>
    <x v="0"/>
    <s v="13/01/2026"/>
    <x v="0"/>
    <s v="GWPS_BANANASHAKE_001"/>
    <s v="Lub de Regalo - Banana Shake"/>
    <s v="ACTIVACION"/>
    <s v="BANANA SHAKE"/>
    <n v="1"/>
    <n v="0.01"/>
  </r>
  <r>
    <x v="0"/>
    <s v="13/01/2026"/>
    <x v="0"/>
    <s v="7503013378010"/>
    <s v="Rigidex 2 pzas - DUSA"/>
    <s v="CONSUMIBLE PROPIO"/>
    <s v="DUSA"/>
    <n v="3"/>
    <n v="1293.0999999999999"/>
  </r>
  <r>
    <x v="0"/>
    <s v="13/01/2026"/>
    <x v="0"/>
    <s v="7503032300443"/>
    <s v="Zoe bala vibradora RETAIL - CXO"/>
    <s v="JUGUETE PROPIO"/>
    <s v="CXO"/>
    <n v="1"/>
    <n v="155.16999999999999"/>
  </r>
  <r>
    <x v="0"/>
    <s v="14/01/2026"/>
    <x v="0"/>
    <s v="6959633103500"/>
    <s v="Chika multiorgasmico turqueza - SVAKOM"/>
    <s v="JUGUETE"/>
    <s v="SVAKOM"/>
    <n v="1"/>
    <n v="2155.17"/>
  </r>
  <r>
    <x v="0"/>
    <s v="14/01/2026"/>
    <x v="0"/>
    <s v="7503013378645"/>
    <s v="Liquid Love Pleasure 100ml - DUSA"/>
    <s v="CONSUMIBLE PROPIO"/>
    <s v="DUSA"/>
    <n v="1"/>
    <n v="775.86"/>
  </r>
  <r>
    <x v="0"/>
    <s v="14/01/2026"/>
    <x v="0"/>
    <s v="7503013378010"/>
    <s v="Rigidex 2 pzas - DUSA"/>
    <s v="CONSUMIBLE PROPIO"/>
    <s v="DUSA"/>
    <n v="1"/>
    <n v="431.03"/>
  </r>
  <r>
    <x v="0"/>
    <s v="14/01/2026"/>
    <x v="0"/>
    <s v="7503020596957"/>
    <s v="Shot Shumatsu Fun Hombre - DUSA"/>
    <s v="CONSUMIBLE PROPIO"/>
    <s v="DUSA"/>
    <n v="3"/>
    <n v="517.23"/>
  </r>
  <r>
    <x v="0"/>
    <s v="14/01/2026"/>
    <x v="0"/>
    <s v="7503024256192"/>
    <s v="Shot Shumatsu Fun Mujer - DUSA"/>
    <s v="CONSUMIBLE PROPIO"/>
    <s v="DUSA"/>
    <n v="2"/>
    <n v="344.82"/>
  </r>
  <r>
    <x v="0"/>
    <s v="14/01/2026"/>
    <x v="0"/>
    <s v="7503032300443"/>
    <s v="Zoe bala vibradora RETAIL - CXO"/>
    <s v="JUGUETE PROPIO"/>
    <s v="CXO"/>
    <n v="1"/>
    <n v="155.16999999999999"/>
  </r>
  <r>
    <x v="0"/>
    <s v="15/01/2026"/>
    <x v="0"/>
    <s v="7503043917081"/>
    <s v="Blade rosa anillo vibrador - CXO"/>
    <s v="JUGUETE PROPIO"/>
    <s v="CXO"/>
    <n v="2"/>
    <n v="163.80000000000001"/>
  </r>
  <r>
    <x v="0"/>
    <s v="15/01/2026"/>
    <x v="0"/>
    <s v="7503013378492"/>
    <s v="Clean Whisper 120ml - DUSA"/>
    <s v="CONSUMIBLE PROPIO"/>
    <s v="DUSA"/>
    <n v="2"/>
    <n v="603.44000000000005"/>
  </r>
  <r>
    <x v="0"/>
    <s v="15/01/2026"/>
    <x v="0"/>
    <s v="68877F"/>
    <s v="Conjunto cafe tipo red Fernanda 2 piezas M"/>
    <s v="LENCERIA PROPIA"/>
    <s v="OLA MOU"/>
    <n v="1"/>
    <n v="312.07"/>
  </r>
  <r>
    <x v="0"/>
    <s v="15/01/2026"/>
    <x v="0"/>
    <s v="68862J"/>
    <s v="Conjunto leopardo Jennifer 3 piezas G"/>
    <s v="LENCERIA PROPIA"/>
    <s v="OLA MOU"/>
    <n v="1"/>
    <n v="646.54999999999995"/>
  </r>
  <r>
    <x v="0"/>
    <s v="15/01/2026"/>
    <x v="0"/>
    <s v="6959633166963"/>
    <s v="Ella Neo rojo- SVAKOM"/>
    <s v="JUGUETE"/>
    <s v="SVAKOM"/>
    <n v="1"/>
    <n v="3017.24"/>
  </r>
  <r>
    <x v="0"/>
    <s v="15/01/2026"/>
    <x v="0"/>
    <s v="7508304288429"/>
    <s v="Feromonas en gel 20ml unisex - DIAMANTE"/>
    <s v="CONSUMIBLE"/>
    <s v="DIAMANTE"/>
    <n v="1"/>
    <n v="379.31"/>
  </r>
  <r>
    <x v="0"/>
    <s v="15/01/2026"/>
    <x v="0"/>
    <s v="GWPS_BANANASHAKE_001"/>
    <s v="Lub de Regalo - Banana Shake"/>
    <s v="ACTIVACION"/>
    <s v="BANANA SHAKE"/>
    <n v="1"/>
    <n v="0.01"/>
  </r>
  <r>
    <x v="0"/>
    <s v="15/01/2026"/>
    <x v="0"/>
    <s v="7503013378799"/>
    <s v="Lubricante Body Surf Termico Citricos DUSA 60ml"/>
    <s v="CONSUMIBLE PROPIO"/>
    <s v="DUSA"/>
    <n v="1"/>
    <n v="387.93"/>
  </r>
  <r>
    <x v="0"/>
    <s v="15/01/2026"/>
    <x v="0"/>
    <s v="7503023462259"/>
    <s v="Lubricante Masaje Térmico Comestible Frutas Prohibidas FEEL LOVE 4 en 1 - 60ml"/>
    <s v="LUBRICANTE"/>
    <s v="FEEL LOVE"/>
    <n v="1"/>
    <n v="344.83"/>
  </r>
  <r>
    <x v="0"/>
    <s v="15/01/2026"/>
    <x v="0"/>
    <s v="695963319882"/>
    <s v="Masturbador  Recargable Hannes NEO - SVAKOM"/>
    <s v=""/>
    <s v="SVAKOM"/>
    <n v="1"/>
    <n v="2586.21"/>
  </r>
  <r>
    <x v="0"/>
    <s v="15/01/2026"/>
    <x v="0"/>
    <s v="75079413"/>
    <s v="Mini Kit Hombre 3 piezas - SXO"/>
    <s v="CONSUMIBLE"/>
    <s v="SXO"/>
    <n v="1"/>
    <n v="284.48"/>
  </r>
  <r>
    <x v="0"/>
    <s v="15/01/2026"/>
    <x v="0"/>
    <s v="75079390"/>
    <s v="Mini Kit Mujer 3 piezas- SXO"/>
    <s v="CONSUMIBLE"/>
    <s v="SXO"/>
    <n v="2"/>
    <n v="568.97"/>
  </r>
  <r>
    <x v="0"/>
    <s v="15/01/2026"/>
    <x v="0"/>
    <s v="USK-V11"/>
    <s v="Multiorgasmico con Lenguita Ceci - CXO"/>
    <s v="JUGUETE PROPIO"/>
    <s v="CXO"/>
    <n v="1"/>
    <n v="2474.14"/>
  </r>
  <r>
    <x v="0"/>
    <s v="15/01/2026"/>
    <x v="0"/>
    <s v="7503050524241"/>
    <s v="Orgasmik 30ml - DUSA"/>
    <s v="CONSUMIBLE PROPIO"/>
    <s v="DUSA"/>
    <n v="3"/>
    <n v="1293.0899999999999"/>
  </r>
  <r>
    <x v="0"/>
    <s v="15/01/2026"/>
    <x v="0"/>
    <s v="7503013378010"/>
    <s v="Rigidex 2 pzas - DUSA"/>
    <s v="CONSUMIBLE PROPIO"/>
    <s v="DUSA"/>
    <n v="1"/>
    <n v="431.03"/>
  </r>
  <r>
    <x v="0"/>
    <s v="15/01/2026"/>
    <x v="0"/>
    <s v="6959633156094"/>
    <s v="Robin - SVAKOM"/>
    <s v="JUGUETE"/>
    <s v="SVAKOM"/>
    <n v="1"/>
    <n v="1318.97"/>
  </r>
  <r>
    <x v="0"/>
    <s v="15/01/2026"/>
    <x v="0"/>
    <s v="7503020596049"/>
    <s v="Sensicool - DUSA"/>
    <s v="CONSUMIBLE PROPIO"/>
    <s v="DUSA"/>
    <n v="1"/>
    <n v="431.03"/>
  </r>
  <r>
    <x v="0"/>
    <s v="15/01/2026"/>
    <x v="0"/>
    <s v="7503050524258"/>
    <s v="Sensicool 30ml - DUSA"/>
    <s v="CONSUMIBLE PROPIO"/>
    <s v="DUSA"/>
    <n v="2"/>
    <n v="862.07"/>
  </r>
  <r>
    <x v="0"/>
    <s v="15/01/2026"/>
    <x v="0"/>
    <s v="7503032300443"/>
    <s v="Zoe bala vibradora RETAIL - CXO"/>
    <s v="JUGUETE PROPIO"/>
    <s v="CXO"/>
    <n v="1"/>
    <n v="155.16999999999999"/>
  </r>
  <r>
    <x v="0"/>
    <s v="16/01/2026"/>
    <x v="0"/>
    <s v="7503013378690"/>
    <s v="Shumatsu 3 pzas - DUSA"/>
    <s v="CONSUMIBLE PROPIO"/>
    <s v="DUSA"/>
    <n v="1"/>
    <n v="577.59"/>
  </r>
  <r>
    <x v="0"/>
    <s v="17/01/2026"/>
    <x v="0"/>
    <s v="7503030211021"/>
    <s v="Anillo desechable para pene Donut - CXO"/>
    <s v="JUGUETE PROPIO"/>
    <s v="CXO"/>
    <n v="1"/>
    <n v="34.479999999999997"/>
  </r>
  <r>
    <x v="0"/>
    <s v="17/01/2026"/>
    <x v="0"/>
    <s v="7503020111072"/>
    <s v="Anillo vibrador recargable con textura negra Hank - CXO"/>
    <s v="JUGUETE PROPIO"/>
    <s v="CXO"/>
    <n v="1"/>
    <n v="1267.24"/>
  </r>
  <r>
    <x v="0"/>
    <s v="17/01/2026"/>
    <x v="0"/>
    <s v="7503043917081"/>
    <s v="Blade rosa anillo vibrador - CXO"/>
    <s v="JUGUETE PROPIO"/>
    <s v="CXO"/>
    <n v="3"/>
    <n v="245.70000000000002"/>
  </r>
  <r>
    <x v="0"/>
    <s v="17/01/2026"/>
    <x v="0"/>
    <s v="7503014914002"/>
    <s v="CAPSULAS MULTIORGASMICO AMO O-GEN"/>
    <s v="CONSUMIBLE"/>
    <s v="POWER MAN"/>
    <n v="1"/>
    <n v="431.04"/>
  </r>
  <r>
    <x v="0"/>
    <s v="17/01/2026"/>
    <x v="0"/>
    <s v="7503032300474"/>
    <s v="Cola de Zorro 45cm blanco S - CXO"/>
    <s v="JUGUETE PROPIO"/>
    <s v="CXO"/>
    <n v="1"/>
    <n v="258.62"/>
  </r>
  <r>
    <x v="0"/>
    <s v="17/01/2026"/>
    <x v="0"/>
    <s v="7502214985805"/>
    <s v="CONDON PRUDENCE VETE A LA VERSH  C/3"/>
    <s v="CONSUMIBLE"/>
    <s v="PRUDENCE"/>
    <n v="1"/>
    <n v="77.59"/>
  </r>
  <r>
    <x v="0"/>
    <s v="17/01/2026"/>
    <x v="0"/>
    <s v="7502214980275"/>
    <s v="Condones sabor y aroma soda c/ 3 pzs - PRUDENCE"/>
    <s v="CONSUMIBLE"/>
    <s v="PRUDENCE"/>
    <n v="1"/>
    <n v="60.34"/>
  </r>
  <r>
    <x v="0"/>
    <s v="17/01/2026"/>
    <x v="0"/>
    <s v="7503050226150"/>
    <s v="Disfraz Kitten - OLA MOU"/>
    <s v="LENCERIA PROPIA"/>
    <s v="OLA MOU"/>
    <n v="1"/>
    <n v="344.83"/>
  </r>
  <r>
    <x v="0"/>
    <s v="17/01/2026"/>
    <x v="0"/>
    <s v="7503020220077"/>
    <s v="Juego de mesa sensual para parejas – CXO"/>
    <s v="JUGUETE PROPIO"/>
    <s v="CXO"/>
    <n v="1"/>
    <n v="637.92999999999995"/>
  </r>
  <r>
    <x v="0"/>
    <s v="17/01/2026"/>
    <x v="0"/>
    <s v="7503013378645"/>
    <s v="Liquid Love Pleasure 100ml - DUSA"/>
    <s v="CONSUMIBLE PROPIO"/>
    <s v="DUSA"/>
    <n v="1"/>
    <n v="775.86"/>
  </r>
  <r>
    <x v="0"/>
    <s v="17/01/2026"/>
    <x v="0"/>
    <s v="GWPS_BANANASHAKE_001"/>
    <s v="Lub de Regalo - Banana Shake"/>
    <s v="ACTIVACION"/>
    <s v="BANANA SHAKE"/>
    <n v="1"/>
    <n v="0.01"/>
  </r>
  <r>
    <x v="0"/>
    <s v="17/01/2026"/>
    <x v="0"/>
    <s v="7503023462204"/>
    <s v="Lubricante Masaje Térmico Comestible Manzana del Edén FEEL LOVE 4 en 1 - 60ml"/>
    <s v="LUBRICANTE"/>
    <s v="FEEL LOVE"/>
    <n v="1"/>
    <n v="344.83"/>
  </r>
  <r>
    <x v="0"/>
    <s v="17/01/2026"/>
    <x v="0"/>
    <s v="7503013378690"/>
    <s v="Shumatsu 3 pzas - DUSA"/>
    <s v="CONSUMIBLE PROPIO"/>
    <s v="DUSA"/>
    <n v="3"/>
    <n v="1732.77"/>
  </r>
  <r>
    <x v="0"/>
    <s v="17/01/2026"/>
    <x v="0"/>
    <s v="4061504007359"/>
    <s v="Succionador Pingüino - Satisfayer"/>
    <s v="JUGUETE"/>
    <s v="SATISFAYER"/>
    <n v="1"/>
    <n v="1379.31"/>
  </r>
  <r>
    <x v="0"/>
    <s v="17/01/2026"/>
    <x v="0"/>
    <s v="782421080785"/>
    <s v="Supositorios A-Playmanteca de cacao y CBD - DOC JHONSON"/>
    <s v="CONSUMIBLE"/>
    <s v="DOC JOHNSON"/>
    <n v="1"/>
    <n v="1034.48"/>
  </r>
  <r>
    <x v="0"/>
    <s v="17/01/2026"/>
    <x v="0"/>
    <s v="7503032300443"/>
    <s v="Zoe bala vibradora RETAIL - CXO"/>
    <s v="JUGUETE PROPIO"/>
    <s v="CXO"/>
    <n v="3"/>
    <n v="465.51"/>
  </r>
  <r>
    <x v="0"/>
    <s v="18/01/2026"/>
    <x v="2"/>
    <s v="7503013378492"/>
    <s v="Clean Whisper 120ml - DUSA"/>
    <s v="CONSUMIBLE PROPIO"/>
    <s v="DUSA"/>
    <n v="1"/>
    <n v="301.72000000000003"/>
  </r>
  <r>
    <x v="0"/>
    <s v="18/01/2026"/>
    <x v="2"/>
    <s v="6959633118795"/>
    <s v="Edeny - SVAKOM"/>
    <s v="JUGUETE"/>
    <s v="SVAKOM"/>
    <n v="1"/>
    <n v="3275.86"/>
  </r>
  <r>
    <x v="0"/>
    <s v="18/01/2026"/>
    <x v="2"/>
    <s v="7503013378645"/>
    <s v="Liquid Love Pleasure 100ml - DUSA"/>
    <s v="CONSUMIBLE PROPIO"/>
    <s v="DUSA"/>
    <n v="1"/>
    <n v="775.86"/>
  </r>
  <r>
    <x v="0"/>
    <s v="18/01/2026"/>
    <x v="2"/>
    <s v="8699415912859"/>
    <s v="Miel Vigorizante para Hombre  Miracle Honey  VIP 15g-  SECRET MIRACLE HONEY"/>
    <s v="CONSUMIBLE"/>
    <s v="SECRET MIRACLE HONEY"/>
    <n v="1"/>
    <n v="215.52"/>
  </r>
  <r>
    <x v="0"/>
    <s v="18/01/2026"/>
    <x v="2"/>
    <s v="7503026484845"/>
    <s v="Oral Sex Erotic Nut 5g - Feel Love"/>
    <s v="CONSUMIBLE"/>
    <s v="DIAMANTE"/>
    <n v="1"/>
    <n v="51.72"/>
  </r>
  <r>
    <x v="0"/>
    <s v="21/01/2026"/>
    <x v="0"/>
    <s v="7503030211021"/>
    <s v="Anillo desechable para pene Donut - CXO"/>
    <s v="JUGUETE PROPIO"/>
    <s v="CXO"/>
    <n v="1"/>
    <n v="34.479999999999997"/>
  </r>
  <r>
    <x v="0"/>
    <s v="21/01/2026"/>
    <x v="0"/>
    <s v="7503024256741"/>
    <s v="Cola de Zorro 45cm café S - CXO"/>
    <s v="JUGUETE PROPIO"/>
    <s v="CXO"/>
    <n v="1"/>
    <n v="258.62"/>
  </r>
  <r>
    <x v="0"/>
    <s v="21/01/2026"/>
    <x v="0"/>
    <s v="7503020202213"/>
    <s v="Dildo realista con ventosa Nick - CXO"/>
    <s v="JUGUETE PROPIO"/>
    <s v="CXO"/>
    <n v="1"/>
    <n v="818.97"/>
  </r>
  <r>
    <x v="0"/>
    <s v="21/01/2026"/>
    <x v="0"/>
    <s v="7503043917012"/>
    <s v="Liquid Love Backdoor 30ml - DUSA"/>
    <s v="CONSUMIBLE PROPIO"/>
    <s v="DUSA"/>
    <n v="1"/>
    <n v="301.72000000000003"/>
  </r>
  <r>
    <x v="0"/>
    <s v="21/01/2026"/>
    <x v="0"/>
    <s v="6959633134559"/>
    <s v="Phoenix Neo 2 rojo - SVAKOM"/>
    <s v="JUGUETE"/>
    <s v="SVAKOM"/>
    <n v="1"/>
    <n v="3534.48"/>
  </r>
  <r>
    <x v="0"/>
    <s v="21/01/2026"/>
    <x v="0"/>
    <s v="7503020596957"/>
    <s v="Shot Shumatsu Fun Hombre - DUSA"/>
    <s v="CONSUMIBLE PROPIO"/>
    <s v="DUSA"/>
    <n v="5"/>
    <n v="862.05"/>
  </r>
  <r>
    <x v="0"/>
    <s v="21/01/2026"/>
    <x v="0"/>
    <s v="7503024256192"/>
    <s v="Shot Shumatsu Fun Mujer - DUSA"/>
    <s v="CONSUMIBLE PROPIO"/>
    <s v="DUSA"/>
    <n v="5"/>
    <n v="862.05"/>
  </r>
  <r>
    <x v="0"/>
    <s v="21/01/2026"/>
    <x v="0"/>
    <s v="7503020596063"/>
    <s v="Stallion Regenerador - DUSA"/>
    <s v="CONSUMIBLE PROPIO"/>
    <s v="DUSA"/>
    <n v="1"/>
    <n v="1293.0999999999999"/>
  </r>
  <r>
    <x v="0"/>
    <s v="21/01/2026"/>
    <x v="0"/>
    <s v="7503020104076"/>
    <s v="Vibrador multiorgásmico con succión y estimulación de punto G Lulu - CXO"/>
    <s v="JUGUETE PROPIO"/>
    <s v="CXO"/>
    <n v="1"/>
    <n v="2120.69"/>
  </r>
  <r>
    <x v="0"/>
    <s v="21/01/2026"/>
    <x v="0"/>
    <s v="7503032300443"/>
    <s v="Zoe bala vibradora RETAIL - CXO"/>
    <s v="JUGUETE PROPIO"/>
    <s v="CXO"/>
    <n v="2"/>
    <n v="310.33999999999997"/>
  </r>
  <r>
    <x v="0"/>
    <s v="22/01/2026"/>
    <x v="0"/>
    <s v="4630017970018"/>
    <s v="Alargador de Pene Titan Gel 50 ml"/>
    <s v="CONSUMIBLE"/>
    <s v="TITAN"/>
    <n v="1"/>
    <n v="594.83000000000004"/>
  </r>
  <r>
    <x v="0"/>
    <s v="22/01/2026"/>
    <x v="0"/>
    <s v="7503043917081"/>
    <s v="Blade rosa anillo vibrador - CXO"/>
    <s v="JUGUETE PROPIO"/>
    <s v="CXO"/>
    <n v="1"/>
    <n v="81.900000000000006"/>
  </r>
  <r>
    <x v="0"/>
    <s v="22/01/2026"/>
    <x v="0"/>
    <s v="6959633103500"/>
    <s v="Chika multiorgasmico turqueza - SVAKOM"/>
    <s v="JUGUETE"/>
    <s v="SVAKOM"/>
    <n v="1"/>
    <n v="2155.17"/>
  </r>
  <r>
    <x v="0"/>
    <s v="22/01/2026"/>
    <x v="0"/>
    <s v="7503020202214"/>
    <s v="Dildo realista con ventosa y testiculos Eddy - CXO"/>
    <s v="JUGUETE PROPIO"/>
    <s v="CXO"/>
    <n v="1"/>
    <n v="948.28"/>
  </r>
  <r>
    <x v="0"/>
    <s v="22/01/2026"/>
    <x v="0"/>
    <s v="603912120042"/>
    <s v="Happy Top Tickler funda - PIPEDREAM"/>
    <s v="JUGUETE"/>
    <s v="PIPEDREAM"/>
    <n v="1"/>
    <n v="344.83"/>
  </r>
  <r>
    <x v="0"/>
    <s v="22/01/2026"/>
    <x v="0"/>
    <s v="7503013378645"/>
    <s v="Liquid Love Pleasure 100ml - DUSA"/>
    <s v="CONSUMIBLE PROPIO"/>
    <s v="DUSA"/>
    <n v="2"/>
    <n v="1551.72"/>
  </r>
  <r>
    <x v="0"/>
    <s v="22/01/2026"/>
    <x v="0"/>
    <s v="7503032300443"/>
    <s v="Zoe bala vibradora RETAIL - CXO"/>
    <s v="JUGUETE PROPIO"/>
    <s v="CXO"/>
    <n v="2"/>
    <n v="310.33999999999997"/>
  </r>
  <r>
    <x v="0"/>
    <s v="23/01/2026"/>
    <x v="0"/>
    <s v="716222287524"/>
    <s v="ACEITE AROMATHERAPY MASSAGE OIL 4 SENSUALITY"/>
    <s v="CONSUMIBLE"/>
    <s v="WET"/>
    <n v="1"/>
    <n v="926.72"/>
  </r>
  <r>
    <x v="0"/>
    <s v="23/01/2026"/>
    <x v="0"/>
    <s v="7503043917081"/>
    <s v="Blade rosa anillo vibrador - CXO"/>
    <s v="JUGUETE PROPIO"/>
    <s v="CXO"/>
    <n v="2"/>
    <n v="163.80000000000001"/>
  </r>
  <r>
    <x v="0"/>
    <s v="23/01/2026"/>
    <x v="0"/>
    <s v="7503032300511"/>
    <s v="Cola de Zorro 45cm rosa M - CXO"/>
    <s v="JUGUETE PROPIO"/>
    <s v="CXO"/>
    <n v="1"/>
    <n v="301.72000000000003"/>
  </r>
  <r>
    <x v="0"/>
    <s v="23/01/2026"/>
    <x v="0"/>
    <s v="7502214982811"/>
    <s v="Condones Mix Sabor y Aroma 5 pzs - PRUDENCE"/>
    <s v="CONSUMIBLE"/>
    <s v="PRUDENCE"/>
    <n v="1"/>
    <n v="77.59"/>
  </r>
  <r>
    <x v="0"/>
    <s v="23/01/2026"/>
    <x v="0"/>
    <s v="7503043917005"/>
    <s v="Liquid Love Clear 30ml - DUSA"/>
    <s v="CONSUMIBLE PROPIO"/>
    <s v="DUSA"/>
    <n v="1"/>
    <n v="301.72000000000003"/>
  </r>
  <r>
    <x v="0"/>
    <s v="23/01/2026"/>
    <x v="0"/>
    <s v="7503032300993"/>
    <s v="Liquid Love Pleasure 30ml - DUSA"/>
    <s v="CONSUMIBLE PROPIO"/>
    <s v="DUSA"/>
    <n v="2"/>
    <n v="603.44000000000005"/>
  </r>
  <r>
    <x v="0"/>
    <s v="23/01/2026"/>
    <x v="0"/>
    <s v="7503013378645"/>
    <s v="Liquid Love Pleasure 100ml - DUSA"/>
    <s v="CONSUMIBLE PROPIO"/>
    <s v="DUSA"/>
    <n v="1"/>
    <n v="775.86"/>
  </r>
  <r>
    <x v="0"/>
    <s v="23/01/2026"/>
    <x v="0"/>
    <s v="7503032300825"/>
    <s v="Lubricante Sachet natural 2 ml - BANANA SHAKE"/>
    <s v="CONSUMIBLE"/>
    <s v="BANANA SHAKE"/>
    <n v="1"/>
    <n v="17.239999999999998"/>
  </r>
  <r>
    <x v="0"/>
    <s v="23/01/2026"/>
    <x v="0"/>
    <s v="7503013378690"/>
    <s v="Shumatsu 3 pzas - DUSA"/>
    <s v="CONSUMIBLE PROPIO"/>
    <s v="DUSA"/>
    <n v="5"/>
    <n v="2887.9500000000003"/>
  </r>
  <r>
    <x v="0"/>
    <s v="23/01/2026"/>
    <x v="0"/>
    <s v="7350075028564"/>
    <s v="Sila Cruise pink - LELO"/>
    <s v="JUGUETE"/>
    <s v="LELO"/>
    <n v="1"/>
    <n v="4396.55"/>
  </r>
  <r>
    <x v="0"/>
    <s v="23/01/2026"/>
    <x v="0"/>
    <s v="7503032300443"/>
    <s v="Zoe bala vibradora RETAIL - CXO"/>
    <s v="JUGUETE PROPIO"/>
    <s v="CXO"/>
    <n v="4"/>
    <n v="620.67999999999995"/>
  </r>
  <r>
    <x v="0"/>
    <s v="24/01/2026"/>
    <x v="0"/>
    <s v="7503043917081"/>
    <s v="Blade rosa anillo vibrador - CXO"/>
    <s v="JUGUETE PROPIO"/>
    <s v="CXO"/>
    <n v="1"/>
    <n v="81.900000000000006"/>
  </r>
  <r>
    <x v="0"/>
    <s v="24/01/2026"/>
    <x v="0"/>
    <s v="7503050524265"/>
    <s v="He Plus 30ml - DUSA"/>
    <s v="CONSUMIBLE PROPIO"/>
    <s v="DUSA"/>
    <n v="1"/>
    <n v="431.03"/>
  </r>
  <r>
    <x v="0"/>
    <s v="24/01/2026"/>
    <x v="0"/>
    <s v="6959633103494"/>
    <s v="Mora Neo multiorgasmico rosa - SVAKOM"/>
    <s v="JUGUETE"/>
    <s v="SVAKOM"/>
    <n v="1"/>
    <n v="1637.93"/>
  </r>
  <r>
    <x v="0"/>
    <s v="24/01/2026"/>
    <x v="0"/>
    <s v="7503013378690"/>
    <s v="Shumatsu 3 pzas - DUSA"/>
    <s v="CONSUMIBLE PROPIO"/>
    <s v="DUSA"/>
    <n v="1"/>
    <n v="577.59"/>
  </r>
  <r>
    <x v="0"/>
    <s v="24/01/2026"/>
    <x v="0"/>
    <s v="7503032300443"/>
    <s v="Zoe bala vibradora RETAIL - CXO"/>
    <s v="JUGUETE PROPIO"/>
    <s v="CXO"/>
    <n v="3"/>
    <n v="465.52"/>
  </r>
  <r>
    <x v="0"/>
    <s v="25/01/2026"/>
    <x v="3"/>
    <s v="7503043917081"/>
    <s v="Blade rosa anillo vibrador - CXO"/>
    <s v="JUGUETE PROPIO"/>
    <s v="CXO"/>
    <n v="1"/>
    <n v="81.900000000000006"/>
  </r>
  <r>
    <x v="0"/>
    <s v="25/01/2026"/>
    <x v="3"/>
    <s v="7503043917005"/>
    <s v="Liquid Love Clear 30ml - DUSA"/>
    <s v="CONSUMIBLE PROPIO"/>
    <s v="DUSA"/>
    <n v="1"/>
    <n v="301.72000000000003"/>
  </r>
  <r>
    <x v="0"/>
    <s v="25/01/2026"/>
    <x v="3"/>
    <s v="7503032300993"/>
    <s v="Liquid Love Pleasure 30ml - DUSA"/>
    <s v="CONSUMIBLE PROPIO"/>
    <s v="DUSA"/>
    <n v="1"/>
    <n v="301.72000000000003"/>
  </r>
  <r>
    <x v="0"/>
    <s v="25/01/2026"/>
    <x v="3"/>
    <s v="7503013378010"/>
    <s v="Rigidex 2 pzas - DUSA"/>
    <s v="CONSUMIBLE PROPIO"/>
    <s v="DUSA"/>
    <n v="1"/>
    <n v="431.03"/>
  </r>
  <r>
    <x v="0"/>
    <s v="25/01/2026"/>
    <x v="3"/>
    <s v="7503020596957"/>
    <s v="Shot Shumatsu Fun Hombre - DUSA"/>
    <s v="CONSUMIBLE PROPIO"/>
    <s v="DUSA"/>
    <n v="2"/>
    <n v="344.82"/>
  </r>
  <r>
    <x v="0"/>
    <s v="25/01/2026"/>
    <x v="3"/>
    <s v="7503024256192"/>
    <s v="Shot Shumatsu Fun Mujer - DUSA"/>
    <s v="CONSUMIBLE PROPIO"/>
    <s v="DUSA"/>
    <n v="1"/>
    <n v="172.41"/>
  </r>
  <r>
    <x v="0"/>
    <s v="25/01/2026"/>
    <x v="3"/>
    <s v="7503032300443"/>
    <s v="Zoe bala vibradora RETAIL - CXO"/>
    <s v="JUGUETE PROPIO"/>
    <s v="CXO"/>
    <n v="1"/>
    <n v="155.16999999999999"/>
  </r>
  <r>
    <x v="0"/>
    <s v="26/01/2026"/>
    <x v="0"/>
    <s v="7503013378645"/>
    <s v="Liquid Love Pleasure 100ml - DUSA"/>
    <s v="CONSUMIBLE PROPIO"/>
    <s v="DUSA"/>
    <n v="1"/>
    <n v="775.86"/>
  </r>
  <r>
    <x v="0"/>
    <s v="27/01/2026"/>
    <x v="0"/>
    <s v="7503043917081"/>
    <s v="Blade rosa anillo vibrador - CXO"/>
    <s v="JUGUETE PROPIO"/>
    <s v="CXO"/>
    <n v="1"/>
    <n v="81.900000000000006"/>
  </r>
  <r>
    <x v="0"/>
    <s v="27/01/2026"/>
    <x v="0"/>
    <s v="68100P"/>
    <s v="Conjunto bordado Paty 2 piezas  M"/>
    <s v="LENCERIA PROPIA"/>
    <s v="OLA MOU"/>
    <n v="1"/>
    <n v="260.33999999999997"/>
  </r>
  <r>
    <x v="0"/>
    <s v="27/01/2026"/>
    <x v="0"/>
    <s v="7503043917005"/>
    <s v="Liquid Love Clear 30ml - DUSA"/>
    <s v="CONSUMIBLE PROPIO"/>
    <s v="DUSA"/>
    <n v="1"/>
    <n v="301.72000000000003"/>
  </r>
  <r>
    <x v="0"/>
    <s v="27/01/2026"/>
    <x v="0"/>
    <s v="7503013378799"/>
    <s v="Lubricante Body Surf Termico Citricos DUSA 60ml"/>
    <s v="CONSUMIBLE PROPIO"/>
    <s v="DUSA"/>
    <n v="1"/>
    <n v="387.93"/>
  </r>
  <r>
    <x v="0"/>
    <s v="27/01/2026"/>
    <x v="0"/>
    <s v="6959633127964"/>
    <s v="Sam Neo - SVAKOM"/>
    <s v="JUGUETE"/>
    <s v="SVAKOM"/>
    <n v="1"/>
    <n v="3017.24"/>
  </r>
  <r>
    <x v="0"/>
    <s v="28/01/2026"/>
    <x v="0"/>
    <s v="68213T"/>
    <s v="Conjunto rosa con estampado de flores Tania 2 piezas M"/>
    <s v="LENCERIA PROPIA"/>
    <s v="OLA MOU"/>
    <n v="1"/>
    <n v="260.33999999999997"/>
  </r>
  <r>
    <x v="0"/>
    <s v="28/01/2026"/>
    <x v="0"/>
    <s v="6959633166963"/>
    <s v="Ella Neo rojo- SVAKOM"/>
    <s v="JUGUETE"/>
    <s v="SVAKOM"/>
    <n v="1"/>
    <n v="3017.24"/>
  </r>
  <r>
    <x v="0"/>
    <s v="28/01/2026"/>
    <x v="0"/>
    <s v="7503043917012"/>
    <s v="Liquid Love Backdoor 30ml - DUSA"/>
    <s v="CONSUMIBLE PROPIO"/>
    <s v="DUSA"/>
    <n v="1"/>
    <n v="301.72000000000003"/>
  </r>
  <r>
    <x v="0"/>
    <s v="28/01/2026"/>
    <x v="0"/>
    <s v="GWPS_BANANASHAKE_001"/>
    <s v="Lub de Regalo - Banana Shake"/>
    <s v="ACTIVACION"/>
    <s v="BANANA SHAKE"/>
    <n v="1"/>
    <n v="0.01"/>
  </r>
  <r>
    <x v="0"/>
    <s v="28/01/2026"/>
    <x v="0"/>
    <s v="7503032300825"/>
    <s v="Lubricante Sachet natural 2 ml - BANANA SHAKE"/>
    <s v="CONSUMIBLE"/>
    <s v="BANANA SHAKE"/>
    <n v="1"/>
    <n v="17.239999999999998"/>
  </r>
  <r>
    <x v="0"/>
    <s v="28/01/2026"/>
    <x v="0"/>
    <s v="7503032300443"/>
    <s v="Zoe bala vibradora RETAIL - CXO"/>
    <s v="JUGUETE PROPIO"/>
    <s v="CXO"/>
    <n v="2"/>
    <n v="310.33999999999997"/>
  </r>
  <r>
    <x v="0"/>
    <s v="29/01/2026"/>
    <x v="0"/>
    <s v="7503020202214"/>
    <s v="Dildo realista con ventosa y testiculos Eddy - CXO"/>
    <s v="JUGUETE PROPIO"/>
    <s v="CXO"/>
    <n v="1"/>
    <n v="948.28"/>
  </r>
  <r>
    <x v="0"/>
    <s v="29/01/2026"/>
    <x v="0"/>
    <s v="7503013378652"/>
    <s v="Liquid Love Backdoor 100ml - DUSA"/>
    <s v="CONSUMIBLE PROPIO"/>
    <s v="DUSA"/>
    <n v="1"/>
    <n v="1077.5899999999999"/>
  </r>
  <r>
    <x v="0"/>
    <s v="29/01/2026"/>
    <x v="0"/>
    <s v="7503013378645"/>
    <s v="Liquid Love Pleasure 100ml - DUSA"/>
    <s v="CONSUMIBLE PROPIO"/>
    <s v="DUSA"/>
    <n v="1"/>
    <n v="775.86"/>
  </r>
  <r>
    <x v="0"/>
    <s v="29/01/2026"/>
    <x v="0"/>
    <s v="7503024256154"/>
    <s v="Lubricante Body Surf Termico Cereza DUSA 60ml"/>
    <s v="CONSUMIBLE PROPIO"/>
    <s v="DUSA"/>
    <n v="1"/>
    <n v="387.93"/>
  </r>
  <r>
    <x v="0"/>
    <s v="29/01/2026"/>
    <x v="0"/>
    <s v="7503020596957"/>
    <s v="Shot Shumatsu Fun Hombre - DUSA"/>
    <s v="CONSUMIBLE PROPIO"/>
    <s v="DUSA"/>
    <n v="2"/>
    <n v="344.82"/>
  </r>
  <r>
    <x v="0"/>
    <s v="29/01/2026"/>
    <x v="0"/>
    <s v="7503032300443"/>
    <s v="Zoe bala vibradora RETAIL - CXO"/>
    <s v="JUGUETE PROPIO"/>
    <s v="CXO"/>
    <n v="1"/>
    <n v="155.16999999999999"/>
  </r>
  <r>
    <x v="0"/>
    <s v="30/01/2026"/>
    <x v="0"/>
    <s v="7503013378119"/>
    <s v="Anastasia gema de colores S - CXO"/>
    <s v="JUGUETE PROPIO"/>
    <s v="CXO"/>
    <n v="1"/>
    <n v="396.55"/>
  </r>
  <r>
    <x v="0"/>
    <s v="30/01/2026"/>
    <x v="0"/>
    <s v="7503043917081"/>
    <s v="Blade rosa anillo vibrador - CXO"/>
    <s v="JUGUETE PROPIO"/>
    <s v="CXO"/>
    <n v="3"/>
    <n v="245.70000000000002"/>
  </r>
  <r>
    <x v="0"/>
    <s v="30/01/2026"/>
    <x v="0"/>
    <s v="66096A"/>
    <s v="Conjunto Andrea negro de encaje 3 piezas M"/>
    <s v="LENCERIA PROPIA"/>
    <s v="OLA MOU"/>
    <n v="1"/>
    <n v="371.55"/>
  </r>
  <r>
    <x v="0"/>
    <s v="30/01/2026"/>
    <x v="0"/>
    <s v="75037628"/>
    <s v="Dulces Garganta Profunda 2 piezas Sabor Fresa - SXO"/>
    <s v="CONSUMIBLE"/>
    <s v="SXO"/>
    <n v="1"/>
    <n v="120.69"/>
  </r>
  <r>
    <x v="0"/>
    <s v="30/01/2026"/>
    <x v="0"/>
    <s v="7503043917012"/>
    <s v="Liquid Love Backdoor 30ml - DUSA"/>
    <s v="CONSUMIBLE PROPIO"/>
    <s v="DUSA"/>
    <n v="1"/>
    <n v="301.72000000000003"/>
  </r>
  <r>
    <x v="0"/>
    <s v="30/01/2026"/>
    <x v="0"/>
    <s v="GWPS_BANANASHAKE_001"/>
    <s v="Lub de Regalo - Banana Shake"/>
    <s v="ACTIVACION"/>
    <s v="BANANA SHAKE"/>
    <n v="1"/>
    <n v="0.01"/>
  </r>
  <r>
    <x v="0"/>
    <s v="30/01/2026"/>
    <x v="0"/>
    <s v="7503023462204"/>
    <s v="Lubricante Masaje Térmico Comestible Manzana del Edén FEEL LOVE 4 en 1 - 60ml"/>
    <s v="LUBRICANTE"/>
    <s v="FEEL LOVE"/>
    <n v="1"/>
    <n v="344.83"/>
  </r>
  <r>
    <x v="0"/>
    <s v="30/01/2026"/>
    <x v="0"/>
    <s v="782421007607"/>
    <s v="Reverse Tightening gel 0.25oz - DOC JOHNSON"/>
    <s v="CONSUMIBLE"/>
    <s v="DOC JOHNSON"/>
    <n v="2"/>
    <n v="137.94"/>
  </r>
  <r>
    <x v="0"/>
    <s v="30/01/2026"/>
    <x v="0"/>
    <s v="7503013378690"/>
    <s v="Shumatsu 3 pzas - DUSA"/>
    <s v="CONSUMIBLE PROPIO"/>
    <s v="DUSA"/>
    <n v="1"/>
    <n v="577.59"/>
  </r>
  <r>
    <x v="0"/>
    <s v="30/01/2026"/>
    <x v="0"/>
    <s v="7503020104073"/>
    <s v="Vibrador multiorgásmico con textura y estimulación doble Lidia - CXO"/>
    <s v="JUGUETE PROPIO"/>
    <s v="CXO"/>
    <n v="1"/>
    <n v="2008.62"/>
  </r>
  <r>
    <x v="0"/>
    <s v="31/01/2026"/>
    <x v="0"/>
    <s v="7503020111072"/>
    <s v="Anillo vibrador recargable con textura negra Hank - CXO"/>
    <s v="JUGUETE PROPIO"/>
    <s v="CXO"/>
    <n v="1"/>
    <n v="1267.24"/>
  </r>
  <r>
    <x v="0"/>
    <s v="31/01/2026"/>
    <x v="0"/>
    <s v="7503043917081"/>
    <s v="Blade rosa anillo vibrador - CXO"/>
    <s v="JUGUETE PROPIO"/>
    <s v="CXO"/>
    <n v="4"/>
    <n v="327.60000000000002"/>
  </r>
  <r>
    <x v="0"/>
    <s v="31/01/2026"/>
    <x v="0"/>
    <s v="7503013378904"/>
    <s v="Dildo Mr. Hernandez - CXO"/>
    <s v="JUGUETE PROPIO"/>
    <s v="CXO"/>
    <n v="1"/>
    <n v="517.24"/>
  </r>
  <r>
    <x v="0"/>
    <s v="31/01/2026"/>
    <x v="0"/>
    <s v="LL-A2216"/>
    <s v="Huevito con 10 modos de Vibración  Gina - CXO"/>
    <s v="JUGUETE PROPIO"/>
    <s v="CXO"/>
    <n v="1"/>
    <n v="1500"/>
  </r>
  <r>
    <x v="0"/>
    <s v="31/01/2026"/>
    <x v="0"/>
    <s v="7503020596001"/>
    <s v="Liquid Love Clear 100ml - DUSA"/>
    <s v="CONSUMIBLE PROPIO"/>
    <s v="DUSA"/>
    <n v="2"/>
    <n v="1551.72"/>
  </r>
  <r>
    <x v="0"/>
    <s v="31/01/2026"/>
    <x v="0"/>
    <s v="7503032300382"/>
    <s v="Mon - CXO"/>
    <s v="JUGUETE PROPIO"/>
    <s v="CXO"/>
    <n v="4"/>
    <n v="2068.96"/>
  </r>
  <r>
    <x v="0"/>
    <s v="31/01/2026"/>
    <x v="0"/>
    <s v="7503030128202"/>
    <s v="Plug Anal con 10 modos de vibracion y rotacion 360 Beto - CXO"/>
    <s v="JUGUETE PROPIO"/>
    <s v="CXO"/>
    <n v="1"/>
    <n v="1577.59"/>
  </r>
  <r>
    <x v="0"/>
    <s v="31/01/2026"/>
    <x v="0"/>
    <s v="7350075028687"/>
    <s v="Sona Cruise DIESEL - LELO"/>
    <s v="ACTIVACION"/>
    <s v="LELO"/>
    <n v="1"/>
    <n v="2068.9699999999998"/>
  </r>
  <r>
    <x v="0"/>
    <s v="31/01/2026"/>
    <x v="0"/>
    <s v="7503032300443"/>
    <s v="Zoe bala vibradora RETAIL - CXO"/>
    <s v="JUGUETE PROPIO"/>
    <s v="CXO"/>
    <n v="3"/>
    <n v="465.51"/>
  </r>
  <r>
    <x v="1"/>
    <s v="02/01/2026"/>
    <x v="4"/>
    <s v="7503014914002"/>
    <s v="CAPSULAS MULTIORGASMICO AMO O-GEN"/>
    <s v="CONSUMIBLE"/>
    <s v="POWER MAN"/>
    <n v="1"/>
    <n v="431.04"/>
  </r>
  <r>
    <x v="1"/>
    <s v="02/01/2026"/>
    <x v="4"/>
    <s v="7502214980084"/>
    <s v="CONDON TRUST RETARDANTE CON 3 MAQ - PRUDENCE"/>
    <s v="CONSUMIBLE"/>
    <s v="PRUDENCE"/>
    <n v="1"/>
    <n v="77.59"/>
  </r>
  <r>
    <x v="1"/>
    <s v="02/01/2026"/>
    <x v="4"/>
    <s v="7503043917005"/>
    <s v="Liquid Love Clear 30ml - DUSA"/>
    <s v="CONSUMIBLE PROPIO"/>
    <s v="DUSA"/>
    <n v="1"/>
    <n v="301.72000000000003"/>
  </r>
  <r>
    <x v="1"/>
    <s v="02/01/2026"/>
    <x v="4"/>
    <s v="7503013378010"/>
    <s v="Rigidex 2 pzas - DUSA"/>
    <s v="CONSUMIBLE PROPIO"/>
    <s v="DUSA"/>
    <n v="1"/>
    <n v="431.03"/>
  </r>
  <r>
    <x v="1"/>
    <s v="02/01/2026"/>
    <x v="4"/>
    <s v="7503050524258"/>
    <s v="Sensicool 30ml - DUSA"/>
    <s v="CONSUMIBLE PROPIO"/>
    <s v="DUSA"/>
    <n v="1"/>
    <n v="431.03"/>
  </r>
  <r>
    <x v="1"/>
    <s v="02/01/2026"/>
    <x v="4"/>
    <s v="7503013378690"/>
    <s v="Shumatsu 3 pzas - DUSA"/>
    <s v="CONSUMIBLE PROPIO"/>
    <s v="DUSA"/>
    <n v="1"/>
    <n v="577.59"/>
  </r>
  <r>
    <x v="1"/>
    <s v="02/01/2026"/>
    <x v="4"/>
    <s v="7350075027840"/>
    <s v="Soraya Wave Magenta - LELO"/>
    <s v="JUGUETE"/>
    <s v="LELO"/>
    <n v="1"/>
    <n v="5862.07"/>
  </r>
  <r>
    <x v="1"/>
    <s v="03/01/2026"/>
    <x v="4"/>
    <s v="6959633103500"/>
    <s v="Chika multiorgasmico turqueza - SVAKOM"/>
    <s v="JUGUETE"/>
    <s v="SVAKOM"/>
    <n v="1"/>
    <n v="2155.17"/>
  </r>
  <r>
    <x v="1"/>
    <s v="03/01/2026"/>
    <x v="4"/>
    <s v="7503013378492"/>
    <s v="Clean Whisper 120ml - DUSA"/>
    <s v="CONSUMIBLE PROPIO"/>
    <s v="DUSA"/>
    <n v="1"/>
    <n v="301.72000000000003"/>
  </r>
  <r>
    <x v="1"/>
    <s v="03/01/2026"/>
    <x v="4"/>
    <s v="7503020596513"/>
    <s v="Liquid Love Natural 20ml - DUSA"/>
    <s v="CONSUMIBLE PROPIO"/>
    <s v="DUSA"/>
    <n v="1"/>
    <n v="258.62"/>
  </r>
  <r>
    <x v="1"/>
    <s v="03/01/2026"/>
    <x v="4"/>
    <s v="7503032300993"/>
    <s v="Liquid Love Pleasure 30ml - DUSA"/>
    <s v="CONSUMIBLE PROPIO"/>
    <s v="DUSA"/>
    <n v="3"/>
    <n v="905.16000000000008"/>
  </r>
  <r>
    <x v="1"/>
    <s v="03/01/2026"/>
    <x v="4"/>
    <s v="SE016"/>
    <s v="Masturbador Vagina -  CXO"/>
    <s v="JUGUETE PROPIO"/>
    <s v="CXO"/>
    <n v="1"/>
    <n v="948.28"/>
  </r>
  <r>
    <x v="1"/>
    <s v="03/01/2026"/>
    <x v="4"/>
    <s v="7503050226120"/>
    <s v="Medias con ligueros - OLA MOU"/>
    <s v="LENCERIA PROPIA"/>
    <s v="OLA MOU"/>
    <n v="1"/>
    <n v="344.83"/>
  </r>
  <r>
    <x v="1"/>
    <s v="03/01/2026"/>
    <x v="4"/>
    <s v="7503050226162"/>
    <s v="Plug Anal con Vibración y Control Roberto - CXO"/>
    <s v="JUGUETE PROPIO"/>
    <s v="CXO"/>
    <n v="1"/>
    <n v="1293.0999999999999"/>
  </r>
  <r>
    <x v="1"/>
    <s v="03/01/2026"/>
    <x v="4"/>
    <s v="7503013378256"/>
    <s v="Sammy - CXO"/>
    <s v="JUGUETE PROPIO"/>
    <s v="CXO"/>
    <n v="1"/>
    <n v="1551.72"/>
  </r>
  <r>
    <x v="1"/>
    <s v="03/01/2026"/>
    <x v="4"/>
    <s v="7503050524258"/>
    <s v="Sensicool 30ml - DUSA"/>
    <s v="CONSUMIBLE PROPIO"/>
    <s v="DUSA"/>
    <n v="2"/>
    <n v="862.06"/>
  </r>
  <r>
    <x v="1"/>
    <s v="03/01/2026"/>
    <x v="4"/>
    <s v="7503020596957"/>
    <s v="Shot Shumatsu Fun Hombre - DUSA"/>
    <s v="CONSUMIBLE PROPIO"/>
    <s v="DUSA"/>
    <n v="1"/>
    <n v="172.41"/>
  </r>
  <r>
    <x v="1"/>
    <s v="03/01/2026"/>
    <x v="4"/>
    <s v="7503024256192"/>
    <s v="Shot Shumatsu Fun Mujer - DUSA"/>
    <s v="CONSUMIBLE PROPIO"/>
    <s v="DUSA"/>
    <n v="1"/>
    <n v="172.41"/>
  </r>
  <r>
    <x v="1"/>
    <s v="03/01/2026"/>
    <x v="4"/>
    <s v="7503013378690"/>
    <s v="Shumatsu 3 pzas - DUSA"/>
    <s v="CONSUMIBLE PROPIO"/>
    <s v="DUSA"/>
    <n v="1"/>
    <n v="577.59"/>
  </r>
  <r>
    <x v="1"/>
    <s v="04/01/2026"/>
    <x v="4"/>
    <s v="7503043917081"/>
    <s v="Blade rosa anillo vibrador - CXO"/>
    <s v="JUGUETE PROPIO"/>
    <s v="CXO"/>
    <n v="1"/>
    <n v="81.900000000000006"/>
  </r>
  <r>
    <x v="1"/>
    <s v="04/01/2026"/>
    <x v="4"/>
    <s v="LL-A2216"/>
    <s v="Huevito con 10 modos de Vibración  Gina - CXO"/>
    <s v="JUGUETE PROPIO"/>
    <s v="CXO"/>
    <n v="1"/>
    <n v="1500"/>
  </r>
  <r>
    <x v="1"/>
    <s v="04/01/2026"/>
    <x v="4"/>
    <s v="7503013378799"/>
    <s v="Lubricante Body Surf Termico Citricos DUSA 60ml"/>
    <s v="CONSUMIBLE PROPIO"/>
    <s v="DUSA"/>
    <n v="1"/>
    <n v="387.93"/>
  </r>
  <r>
    <x v="1"/>
    <s v="04/01/2026"/>
    <x v="4"/>
    <s v="6959633103494"/>
    <s v="Mora Neo multiorgasmico rosa - SVAKOM"/>
    <s v="JUGUETE"/>
    <s v="SVAKOM"/>
    <n v="1"/>
    <n v="1637.93"/>
  </r>
  <r>
    <x v="1"/>
    <s v="05/01/2026"/>
    <x v="5"/>
    <s v="7503030220043"/>
    <s v="Dados para juegos 2 piezas - CXO"/>
    <s v="JUGUETE PROPIO"/>
    <s v="CXO"/>
    <n v="1"/>
    <n v="112.07"/>
  </r>
  <r>
    <x v="1"/>
    <s v="05/01/2026"/>
    <x v="5"/>
    <s v="75030205968724"/>
    <s v="Funda texturizada transparente con bala vibradora  - CXO"/>
    <s v="JUGUETE PROPIO"/>
    <s v="CXO"/>
    <n v="1"/>
    <n v="474.14"/>
  </r>
  <r>
    <x v="1"/>
    <s v="05/01/2026"/>
    <x v="5"/>
    <s v="7503024256154"/>
    <s v="Lubricante Body Surf Termico Cereza DUSA 60ml"/>
    <s v="CONSUMIBLE PROPIO"/>
    <s v="DUSA"/>
    <n v="1"/>
    <n v="387.93"/>
  </r>
  <r>
    <x v="1"/>
    <s v="05/01/2026"/>
    <x v="5"/>
    <s v="7503013378980"/>
    <s v="Lubricante Body Surf Termico Chicle DUSA 60ml"/>
    <s v="CONSUMIBLE PROPIO"/>
    <s v="DUSA"/>
    <n v="1"/>
    <n v="387.93"/>
  </r>
  <r>
    <x v="1"/>
    <s v="05/01/2026"/>
    <x v="5"/>
    <s v="SE016"/>
    <s v="Masturbador Vagina -  CXO"/>
    <s v="JUGUETE PROPIO"/>
    <s v="CXO"/>
    <n v="1"/>
    <n v="948.28"/>
  </r>
  <r>
    <x v="1"/>
    <s v="05/01/2026"/>
    <x v="5"/>
    <s v="7503013378690"/>
    <s v="Shumatsu 3 pzas - DUSA"/>
    <s v="CONSUMIBLE PROPIO"/>
    <s v="DUSA"/>
    <n v="1"/>
    <n v="577.59"/>
  </r>
  <r>
    <x v="1"/>
    <s v="05/01/2026"/>
    <x v="5"/>
    <s v="7503032300443"/>
    <s v="Zoe bala vibradora RETAIL - CXO"/>
    <s v="JUGUETE PROPIO"/>
    <s v="CXO"/>
    <n v="1"/>
    <n v="155.16999999999999"/>
  </r>
  <r>
    <x v="1"/>
    <s v="06/01/2026"/>
    <x v="4"/>
    <s v="7503020596834"/>
    <s v="Latigo de vinipiel de tiras mini - CXO"/>
    <s v="JUGUETE PROPIO"/>
    <s v="CXO"/>
    <n v="1"/>
    <n v="129.31"/>
  </r>
  <r>
    <x v="1"/>
    <s v="06/01/2026"/>
    <x v="4"/>
    <s v="7503043917012"/>
    <s v="Liquid Love Backdoor 30ml - DUSA"/>
    <s v="CONSUMIBLE PROPIO"/>
    <s v="DUSA"/>
    <n v="1"/>
    <n v="301.72000000000003"/>
  </r>
  <r>
    <x v="1"/>
    <s v="06/01/2026"/>
    <x v="4"/>
    <s v="SE018"/>
    <s v="Masturbador Jarrón - CXO"/>
    <s v="JUGUETE PROPIO"/>
    <s v="CXO"/>
    <n v="1"/>
    <n v="1034.48"/>
  </r>
  <r>
    <x v="1"/>
    <s v="06/01/2026"/>
    <x v="4"/>
    <s v="SE016"/>
    <s v="Masturbador Vagina -  CXO"/>
    <s v="JUGUETE PROPIO"/>
    <s v="CXO"/>
    <n v="1"/>
    <n v="948.28"/>
  </r>
  <r>
    <x v="1"/>
    <s v="06/01/2026"/>
    <x v="4"/>
    <s v="7503020596957"/>
    <s v="Shot Shumatsu Fun Hombre - DUSA"/>
    <s v="CONSUMIBLE PROPIO"/>
    <s v="DUSA"/>
    <n v="2"/>
    <n v="344.82"/>
  </r>
  <r>
    <x v="1"/>
    <s v="06/01/2026"/>
    <x v="4"/>
    <s v="7503013378690"/>
    <s v="Shumatsu 3 pzas - DUSA"/>
    <s v="CONSUMIBLE PROPIO"/>
    <s v="DUSA"/>
    <n v="2"/>
    <n v="1155.18"/>
  </r>
  <r>
    <x v="1"/>
    <s v="07/01/2026"/>
    <x v="4"/>
    <s v="7503014914002"/>
    <s v="CAPSULAS MULTIORGASMICO AMO O-GEN"/>
    <s v="CONSUMIBLE"/>
    <s v="POWER MAN"/>
    <n v="1"/>
    <n v="431.04"/>
  </r>
  <r>
    <x v="1"/>
    <s v="07/01/2026"/>
    <x v="4"/>
    <s v="7503013378492"/>
    <s v="Clean Whisper 120ml - DUSA"/>
    <s v="CONSUMIBLE PROPIO"/>
    <s v="DUSA"/>
    <n v="1"/>
    <n v="301.72000000000003"/>
  </r>
  <r>
    <x v="1"/>
    <s v="07/01/2026"/>
    <x v="4"/>
    <s v="7502214982491"/>
    <s v="CONDON PRUDENCE EXTRA TIME UVA"/>
    <s v="CONSUMIBLE"/>
    <s v="PRUDENCE"/>
    <n v="1"/>
    <n v="60.34"/>
  </r>
  <r>
    <x v="1"/>
    <s v="07/01/2026"/>
    <x v="4"/>
    <s v="CON01CH03400385C"/>
    <s v="Conjunto Brianne 85C"/>
    <s v="LENCERIA PROPIA"/>
    <s v="OLA MOU"/>
    <n v="1"/>
    <n v="468.1"/>
  </r>
  <r>
    <x v="1"/>
    <s v="07/01/2026"/>
    <x v="4"/>
    <s v="CON01CH008009XL"/>
    <s v="Conjunto Gaby XL negro"/>
    <s v="LENCERIA PROPIA"/>
    <s v="OLA MOU"/>
    <n v="1"/>
    <n v="327.58999999999997"/>
  </r>
  <r>
    <x v="1"/>
    <s v="07/01/2026"/>
    <x v="4"/>
    <s v="7350075029332"/>
    <s v="Enigma wave morado - LELO"/>
    <s v="JUGUETE"/>
    <s v="LELO"/>
    <n v="1"/>
    <n v="5862.07"/>
  </r>
  <r>
    <x v="1"/>
    <s v="07/01/2026"/>
    <x v="4"/>
    <s v="7946000265472"/>
    <s v="JUEGO DE MESA EL JUEGO DE LA OCA SENSUAL"/>
    <s v="JUGUETE"/>
    <s v="VARIAS"/>
    <n v="1"/>
    <n v="224.14"/>
  </r>
  <r>
    <x v="1"/>
    <s v="07/01/2026"/>
    <x v="4"/>
    <s v="7503032300993"/>
    <s v="Liquid Love Pleasure 30ml - DUSA"/>
    <s v="CONSUMIBLE PROPIO"/>
    <s v="DUSA"/>
    <n v="3"/>
    <n v="905.16000000000008"/>
  </r>
  <r>
    <x v="1"/>
    <s v="07/01/2026"/>
    <x v="4"/>
    <s v="8699415912859"/>
    <s v="Miel Vigorizante para Hombre  Miracle Honey  VIP 15g-  SECRET MIRACLE HONEY"/>
    <s v="CONSUMIBLE"/>
    <s v="SECRET MIRACLE HONEY"/>
    <n v="1"/>
    <n v="215.52"/>
  </r>
  <r>
    <x v="1"/>
    <s v="07/01/2026"/>
    <x v="4"/>
    <s v="7503024256192"/>
    <s v="Shot Shumatsu Fun Mujer - DUSA"/>
    <s v="CONSUMIBLE PROPIO"/>
    <s v="DUSA"/>
    <n v="1"/>
    <n v="172.41"/>
  </r>
  <r>
    <x v="1"/>
    <s v="08/01/2026"/>
    <x v="4"/>
    <s v="6959633118795"/>
    <s v="Edeny - SVAKOM"/>
    <s v="JUGUETE"/>
    <s v="SVAKOM"/>
    <n v="1"/>
    <n v="3275.86"/>
  </r>
  <r>
    <x v="1"/>
    <s v="09/01/2026"/>
    <x v="4"/>
    <s v="7503014914002"/>
    <s v="CAPSULAS MULTIORGASMICO AMO O-GEN"/>
    <s v="CONSUMIBLE"/>
    <s v="POWER MAN"/>
    <n v="2"/>
    <n v="862.08"/>
  </r>
  <r>
    <x v="1"/>
    <s v="09/01/2026"/>
    <x v="4"/>
    <s v="7503030102034"/>
    <s v="Dildo vibrador con control Anthony - CXO"/>
    <s v="JUGUETE PROPIO"/>
    <s v="CXO"/>
    <n v="1"/>
    <n v="2112.0700000000002"/>
  </r>
  <r>
    <x v="1"/>
    <s v="09/01/2026"/>
    <x v="4"/>
    <s v="7508304288436"/>
    <s v="FEROMONAS DIAMANTE EXCLUSIVE SPRAY 25 ML ELLA"/>
    <s v="CONSUMIBLE"/>
    <s v="DIAMANTE"/>
    <n v="1"/>
    <n v="387.93"/>
  </r>
  <r>
    <x v="1"/>
    <s v="09/01/2026"/>
    <x v="4"/>
    <s v="7503050524265"/>
    <s v="He Plus 30ml - DUSA"/>
    <s v="CONSUMIBLE PROPIO"/>
    <s v="DUSA"/>
    <n v="1"/>
    <n v="431.03"/>
  </r>
  <r>
    <x v="1"/>
    <s v="09/01/2026"/>
    <x v="4"/>
    <s v="7503043917005"/>
    <s v="Liquid Love Clear 30ml - DUSA"/>
    <s v="CONSUMIBLE PROPIO"/>
    <s v="DUSA"/>
    <n v="1"/>
    <n v="301.72000000000003"/>
  </r>
  <r>
    <x v="1"/>
    <s v="09/01/2026"/>
    <x v="4"/>
    <s v="7503013378645"/>
    <s v="Liquid Love Pleasure 100ml - DUSA"/>
    <s v="CONSUMIBLE PROPIO"/>
    <s v="DUSA"/>
    <n v="1"/>
    <n v="775.86"/>
  </r>
  <r>
    <x v="1"/>
    <s v="09/01/2026"/>
    <x v="4"/>
    <s v="8699415912859"/>
    <s v="Miel Vigorizante para Hombre  Miracle Honey  VIP 15g-  SECRET MIRACLE HONEY"/>
    <s v="CONSUMIBLE"/>
    <s v="SECRET MIRACLE HONEY"/>
    <n v="2"/>
    <n v="431.03"/>
  </r>
  <r>
    <x v="1"/>
    <s v="09/01/2026"/>
    <x v="4"/>
    <s v="7503050524241"/>
    <s v="Orgasmik 30ml - DUSA"/>
    <s v="CONSUMIBLE PROPIO"/>
    <s v="DUSA"/>
    <n v="1"/>
    <n v="431.03"/>
  </r>
  <r>
    <x v="1"/>
    <s v="09/01/2026"/>
    <x v="4"/>
    <s v="7503020596957"/>
    <s v="Shot Shumatsu Fun Hombre - DUSA"/>
    <s v="CONSUMIBLE PROPIO"/>
    <s v="DUSA"/>
    <n v="16"/>
    <n v="2758.56"/>
  </r>
  <r>
    <x v="1"/>
    <s v="09/01/2026"/>
    <x v="4"/>
    <s v="7503024256192"/>
    <s v="Shot Shumatsu Fun Mujer - DUSA"/>
    <s v="CONSUMIBLE PROPIO"/>
    <s v="DUSA"/>
    <n v="2"/>
    <n v="344.82"/>
  </r>
  <r>
    <x v="1"/>
    <s v="09/01/2026"/>
    <x v="4"/>
    <s v="7503020104085"/>
    <s v="Vibrador e impulsor con ventosa Mafer – CXO"/>
    <s v="JUGUETE PROPIO"/>
    <s v="CXO"/>
    <n v="1"/>
    <n v="2413.79"/>
  </r>
  <r>
    <x v="1"/>
    <s v="10/01/2026"/>
    <x v="4"/>
    <s v="7503043917036"/>
    <s v="Arnes universal de argolla negro - CXO"/>
    <s v="JUGUETE PROPIO"/>
    <s v="CXO"/>
    <n v="1"/>
    <n v="474.14"/>
  </r>
  <r>
    <x v="1"/>
    <s v="10/01/2026"/>
    <x v="4"/>
    <s v="7503043917081"/>
    <s v="Blade rosa anillo vibrador - CXO"/>
    <s v="JUGUETE PROPIO"/>
    <s v="CXO"/>
    <n v="2"/>
    <n v="163.80000000000001"/>
  </r>
  <r>
    <x v="1"/>
    <s v="10/01/2026"/>
    <x v="4"/>
    <s v="7503014914002"/>
    <s v="CAPSULAS MULTIORGASMICO AMO O-GEN"/>
    <s v="CONSUMIBLE"/>
    <s v="POWER MAN"/>
    <n v="1"/>
    <n v="431.04"/>
  </r>
  <r>
    <x v="1"/>
    <s v="10/01/2026"/>
    <x v="4"/>
    <s v="7503030102034"/>
    <s v="Dildo vibrador con control Anthony - CXO"/>
    <s v="JUGUETE PROPIO"/>
    <s v="CXO"/>
    <n v="1"/>
    <n v="2112.0700000000002"/>
  </r>
  <r>
    <x v="1"/>
    <s v="10/01/2026"/>
    <x v="4"/>
    <s v="7503043917005"/>
    <s v="Liquid Love Clear 30ml - DUSA"/>
    <s v="CONSUMIBLE PROPIO"/>
    <s v="DUSA"/>
    <n v="2"/>
    <n v="603.44000000000005"/>
  </r>
  <r>
    <x v="1"/>
    <s v="10/01/2026"/>
    <x v="4"/>
    <s v="7503032300993"/>
    <s v="Liquid Love Pleasure 30ml - DUSA"/>
    <s v="CONSUMIBLE PROPIO"/>
    <s v="DUSA"/>
    <n v="2"/>
    <n v="603.44000000000005"/>
  </r>
  <r>
    <x v="1"/>
    <s v="10/01/2026"/>
    <x v="4"/>
    <s v="7503013378645"/>
    <s v="Liquid Love Pleasure 100ml - DUSA"/>
    <s v="CONSUMIBLE PROPIO"/>
    <s v="DUSA"/>
    <n v="3"/>
    <n v="2327.58"/>
  </r>
  <r>
    <x v="1"/>
    <s v="10/01/2026"/>
    <x v="4"/>
    <s v="7503020596957"/>
    <s v="Shot Shumatsu Fun Hombre - DUSA"/>
    <s v="CONSUMIBLE PROPIO"/>
    <s v="DUSA"/>
    <n v="1"/>
    <n v="172.41"/>
  </r>
  <r>
    <x v="1"/>
    <s v="10/01/2026"/>
    <x v="4"/>
    <s v="7503032300443"/>
    <s v="Zoe bala vibradora RETAIL - CXO"/>
    <s v="JUGUETE PROPIO"/>
    <s v="CXO"/>
    <n v="2"/>
    <n v="310.33999999999997"/>
  </r>
  <r>
    <x v="1"/>
    <s v="11/01/2026"/>
    <x v="4"/>
    <s v="7503043917081"/>
    <s v="Blade rosa anillo vibrador - CXO"/>
    <s v="JUGUETE PROPIO"/>
    <s v="CXO"/>
    <n v="1"/>
    <n v="81.900000000000006"/>
  </r>
  <r>
    <x v="1"/>
    <s v="11/01/2026"/>
    <x v="4"/>
    <s v="7503032300993"/>
    <s v="Liquid Love Pleasure 30ml - DUSA"/>
    <s v="CONSUMIBLE PROPIO"/>
    <s v="DUSA"/>
    <n v="1"/>
    <n v="301.72000000000003"/>
  </r>
  <r>
    <x v="1"/>
    <s v="11/01/2026"/>
    <x v="4"/>
    <s v="7503013378980"/>
    <s v="Lubricante Body Surf Termico Chicle DUSA 60ml"/>
    <s v="CONSUMIBLE PROPIO"/>
    <s v="DUSA"/>
    <n v="1"/>
    <n v="387.93"/>
  </r>
  <r>
    <x v="1"/>
    <s v="12/01/2026"/>
    <x v="5"/>
    <s v="7503023462198"/>
    <s v="Lubricante Masaje Térmico Comestible Plátano Excitante FEEL LOVE 4 en 1 - 60ml"/>
    <s v="LUBRICANTE"/>
    <s v="FEEL LOVE"/>
    <n v="1"/>
    <n v="344.83"/>
  </r>
  <r>
    <x v="1"/>
    <s v="12/01/2026"/>
    <x v="4"/>
    <s v="7503032300214"/>
    <s v="Cola de Zorro Arcoiris 38cm S - CXO"/>
    <s v="JUGUETE PROPIO"/>
    <s v="CXO"/>
    <n v="1"/>
    <n v="258.62"/>
  </r>
  <r>
    <x v="1"/>
    <s v="12/01/2026"/>
    <x v="4"/>
    <s v="7503043917142"/>
    <s v="Hank negro anillo vibrador - CXO"/>
    <s v="JUGUETE PROPIO"/>
    <s v="CXO"/>
    <n v="1"/>
    <n v="818.97"/>
  </r>
  <r>
    <x v="1"/>
    <s v="12/01/2026"/>
    <x v="4"/>
    <s v="LL-A2216"/>
    <s v="Huevito con 10 modos de Vibración  Gina - CXO"/>
    <s v="JUGUETE PROPIO"/>
    <s v="CXO"/>
    <n v="1"/>
    <n v="1500"/>
  </r>
  <r>
    <x v="1"/>
    <s v="12/01/2026"/>
    <x v="4"/>
    <s v="7503043917593"/>
    <s v="Nora dildo vibrador - CXO"/>
    <s v="JUGUETE PROPIO"/>
    <s v="CXO"/>
    <n v="1"/>
    <n v="474.14"/>
  </r>
  <r>
    <x v="1"/>
    <s v="12/01/2026"/>
    <x v="4"/>
    <s v="7503024256635"/>
    <s v="Olive  6.8&quot; rosa - CXO"/>
    <s v="JUGUETE PROPIO"/>
    <s v="CXO"/>
    <n v="1"/>
    <n v="603.45000000000005"/>
  </r>
  <r>
    <x v="1"/>
    <s v="12/01/2026"/>
    <x v="4"/>
    <s v="7503050524241"/>
    <s v="Orgasmik 30ml - DUSA"/>
    <s v="CONSUMIBLE PROPIO"/>
    <s v="DUSA"/>
    <n v="1"/>
    <n v="431.03"/>
  </r>
  <r>
    <x v="1"/>
    <s v="12/01/2026"/>
    <x v="4"/>
    <s v="7503020596957"/>
    <s v="Shot Shumatsu Fun Hombre - DUSA"/>
    <s v="CONSUMIBLE PROPIO"/>
    <s v="DUSA"/>
    <n v="1"/>
    <n v="172.41"/>
  </r>
  <r>
    <x v="1"/>
    <s v="12/01/2026"/>
    <x v="4"/>
    <s v="7503024256192"/>
    <s v="Shot Shumatsu Fun Mujer - DUSA"/>
    <s v="CONSUMIBLE PROPIO"/>
    <s v="DUSA"/>
    <n v="1"/>
    <n v="172.41"/>
  </r>
  <r>
    <x v="1"/>
    <s v="13/01/2026"/>
    <x v="4"/>
    <s v="7503050226156"/>
    <s v="Body Alicia - OLA MOU"/>
    <s v="LENCERIA PROPIA"/>
    <s v="OLA MOU"/>
    <n v="1"/>
    <n v="775.86"/>
  </r>
  <r>
    <x v="1"/>
    <s v="13/01/2026"/>
    <x v="4"/>
    <s v="FM1002"/>
    <s v="FEROMONAS DIAMANTE CONCENTRADO HOMBRE"/>
    <s v="CONSUMIBLE"/>
    <s v="DIAMANTE"/>
    <n v="1"/>
    <n v="413.79"/>
  </r>
  <r>
    <x v="1"/>
    <s v="13/01/2026"/>
    <x v="4"/>
    <s v="7503032300993"/>
    <s v="Liquid Love Pleasure 30ml - DUSA"/>
    <s v="CONSUMIBLE PROPIO"/>
    <s v="DUSA"/>
    <n v="1"/>
    <n v="301.72000000000003"/>
  </r>
  <r>
    <x v="1"/>
    <s v="13/01/2026"/>
    <x v="4"/>
    <s v="7503013378645"/>
    <s v="Liquid Love Pleasure 100ml - DUSA"/>
    <s v="CONSUMIBLE PROPIO"/>
    <s v="DUSA"/>
    <n v="1"/>
    <n v="775.86"/>
  </r>
  <r>
    <x v="1"/>
    <s v="13/01/2026"/>
    <x v="4"/>
    <s v="7503050226162"/>
    <s v="Plug Anal con Vibración y Control Roberto - CXO"/>
    <s v="JUGUETE PROPIO"/>
    <s v="CXO"/>
    <n v="1"/>
    <n v="1293.0999999999999"/>
  </r>
  <r>
    <x v="1"/>
    <s v="13/01/2026"/>
    <x v="4"/>
    <s v="7503013378010"/>
    <s v="Rigidex 2 pzas - DUSA"/>
    <s v="CONSUMIBLE PROPIO"/>
    <s v="DUSA"/>
    <n v="1"/>
    <n v="431.03"/>
  </r>
  <r>
    <x v="1"/>
    <s v="14/01/2026"/>
    <x v="4"/>
    <s v="7503013378102"/>
    <s v="Anastasia Gema de Colores M - CXO"/>
    <s v="JUGUETE PROPIO"/>
    <s v="CXO"/>
    <n v="1"/>
    <n v="456.9"/>
  </r>
  <r>
    <x v="1"/>
    <s v="14/01/2026"/>
    <x v="4"/>
    <s v="7503043917081"/>
    <s v="Blade rosa anillo vibrador - CXO"/>
    <s v="JUGUETE PROPIO"/>
    <s v="CXO"/>
    <n v="1"/>
    <n v="81.900000000000006"/>
  </r>
  <r>
    <x v="1"/>
    <s v="14/01/2026"/>
    <x v="4"/>
    <s v="7503032300993"/>
    <s v="Liquid Love Pleasure 30ml - DUSA"/>
    <s v="CONSUMIBLE PROPIO"/>
    <s v="DUSA"/>
    <n v="1"/>
    <n v="301.72000000000003"/>
  </r>
  <r>
    <x v="1"/>
    <s v="14/01/2026"/>
    <x v="4"/>
    <s v="7503013378980"/>
    <s v="Lubricante Body Surf Termico Chicle DUSA 60ml"/>
    <s v="CONSUMIBLE PROPIO"/>
    <s v="DUSA"/>
    <n v="1"/>
    <n v="387.93"/>
  </r>
  <r>
    <x v="1"/>
    <s v="14/01/2026"/>
    <x v="4"/>
    <s v="6959633103494"/>
    <s v="Mora Neo multiorgasmico rosa - SVAKOM"/>
    <s v="JUGUETE"/>
    <s v="SVAKOM"/>
    <n v="1"/>
    <n v="1637.93"/>
  </r>
  <r>
    <x v="1"/>
    <s v="14/01/2026"/>
    <x v="4"/>
    <s v="7503024256604"/>
    <s v="Olivia 6.5&quot; rosa - CXO"/>
    <s v="JUGUETE PROPIO"/>
    <s v="CXO"/>
    <n v="1"/>
    <n v="603.45000000000005"/>
  </r>
  <r>
    <x v="1"/>
    <s v="14/01/2026"/>
    <x v="4"/>
    <s v="7503032300443"/>
    <s v="Zoe bala vibradora RETAIL - CXO"/>
    <s v="JUGUETE PROPIO"/>
    <s v="CXO"/>
    <n v="1"/>
    <n v="155.16999999999999"/>
  </r>
  <r>
    <x v="1"/>
    <s v="15/01/2026"/>
    <x v="4"/>
    <s v="7503050524265"/>
    <s v="He Plus 30ml - DUSA"/>
    <s v="CONSUMIBLE PROPIO"/>
    <s v="DUSA"/>
    <n v="1"/>
    <n v="431.03"/>
  </r>
  <r>
    <x v="1"/>
    <s v="15/01/2026"/>
    <x v="4"/>
    <s v="7503032300443"/>
    <s v="Zoe bala vibradora RETAIL - CXO"/>
    <s v="JUGUETE PROPIO"/>
    <s v="CXO"/>
    <n v="1"/>
    <n v="155.16999999999999"/>
  </r>
  <r>
    <x v="1"/>
    <s v="16/01/2026"/>
    <x v="4"/>
    <s v="7503013378492"/>
    <s v="Clean Whisper 120ml - DUSA"/>
    <s v="CONSUMIBLE PROPIO"/>
    <s v="DUSA"/>
    <n v="1"/>
    <n v="301.72000000000003"/>
  </r>
  <r>
    <x v="1"/>
    <s v="16/01/2026"/>
    <x v="4"/>
    <s v="603912332612"/>
    <s v="VIBRADOR ANAL FANTASY VIBRATING ASS BLATER"/>
    <s v="JUGUETE"/>
    <s v="PIPEDREAM"/>
    <n v="1"/>
    <n v="2081.9"/>
  </r>
  <r>
    <x v="1"/>
    <s v="16/01/2026"/>
    <x v="4"/>
    <s v="7503032300443"/>
    <s v="Zoe bala vibradora RETAIL - CXO"/>
    <s v="JUGUETE PROPIO"/>
    <s v="CXO"/>
    <n v="1"/>
    <n v="155.16999999999999"/>
  </r>
  <r>
    <x v="1"/>
    <s v="17/01/2026"/>
    <x v="4"/>
    <s v="7503013378102"/>
    <s v="Anastasia Gema de Colores M - CXO"/>
    <s v="JUGUETE PROPIO"/>
    <s v="CXO"/>
    <n v="1"/>
    <n v="456.9"/>
  </r>
  <r>
    <x v="1"/>
    <s v="17/01/2026"/>
    <x v="4"/>
    <s v="7503020111072"/>
    <s v="Anillo vibrador recargable con textura negra Hank - CXO"/>
    <s v="JUGUETE PROPIO"/>
    <s v="CXO"/>
    <n v="1"/>
    <n v="1267.24"/>
  </r>
  <r>
    <x v="1"/>
    <s v="17/01/2026"/>
    <x v="4"/>
    <s v="7503014914002"/>
    <s v="CAPSULAS MULTIORGASMICO AMO O-GEN"/>
    <s v="CONSUMIBLE"/>
    <s v="POWER MAN"/>
    <n v="1"/>
    <n v="431.04"/>
  </r>
  <r>
    <x v="1"/>
    <s v="17/01/2026"/>
    <x v="4"/>
    <s v="7503030102198"/>
    <s v="Dildo realista vibrador con ventosa Ulises - CXO"/>
    <s v="JUGUETE PROPIO"/>
    <s v="CXO"/>
    <n v="1"/>
    <n v="2000"/>
  </r>
  <r>
    <x v="1"/>
    <s v="17/01/2026"/>
    <x v="4"/>
    <s v="7503030128197"/>
    <s v="Ducha anal con vibracion Hector - CXO"/>
    <s v="JUGUETE PROPIO"/>
    <s v="CXO"/>
    <n v="1"/>
    <n v="1862.07"/>
  </r>
  <r>
    <x v="1"/>
    <s v="17/01/2026"/>
    <x v="4"/>
    <s v="7503043917012"/>
    <s v="Liquid Love Backdoor 30ml - DUSA"/>
    <s v="CONSUMIBLE PROPIO"/>
    <s v="DUSA"/>
    <n v="1"/>
    <n v="301.72000000000003"/>
  </r>
  <r>
    <x v="1"/>
    <s v="17/01/2026"/>
    <x v="4"/>
    <s v="7503032300993"/>
    <s v="Liquid Love Pleasure 30ml - DUSA"/>
    <s v="CONSUMIBLE PROPIO"/>
    <s v="DUSA"/>
    <n v="2"/>
    <n v="603.44000000000005"/>
  </r>
  <r>
    <x v="1"/>
    <s v="17/01/2026"/>
    <x v="4"/>
    <s v="7503013378645"/>
    <s v="Liquid Love Pleasure 100ml - DUSA"/>
    <s v="CONSUMIBLE PROPIO"/>
    <s v="DUSA"/>
    <n v="3"/>
    <n v="2327.58"/>
  </r>
  <r>
    <x v="1"/>
    <s v="17/01/2026"/>
    <x v="4"/>
    <s v="7503020596957"/>
    <s v="Shot Shumatsu Fun Hombre - DUSA"/>
    <s v="CONSUMIBLE PROPIO"/>
    <s v="DUSA"/>
    <n v="1"/>
    <n v="172.41"/>
  </r>
  <r>
    <x v="1"/>
    <s v="17/01/2026"/>
    <x v="4"/>
    <s v="7503013378690"/>
    <s v="Shumatsu 3 pzas - DUSA"/>
    <s v="CONSUMIBLE PROPIO"/>
    <s v="DUSA"/>
    <n v="5"/>
    <n v="2887.95"/>
  </r>
  <r>
    <x v="1"/>
    <s v="17/01/2026"/>
    <x v="4"/>
    <s v="7503032300443"/>
    <s v="Zoe bala vibradora RETAIL - CXO"/>
    <s v="JUGUETE PROPIO"/>
    <s v="CXO"/>
    <n v="2"/>
    <n v="310.33999999999997"/>
  </r>
  <r>
    <x v="1"/>
    <s v="18/01/2026"/>
    <x v="4"/>
    <s v="MBS0530"/>
    <s v="Esposas de broche - CXO"/>
    <s v="JUGUETE PROPIO"/>
    <s v="CXO"/>
    <n v="1"/>
    <n v="172.41"/>
  </r>
  <r>
    <x v="1"/>
    <s v="18/01/2026"/>
    <x v="4"/>
    <s v="7503043917012"/>
    <s v="Liquid Love Backdoor 30ml - DUSA"/>
    <s v="CONSUMIBLE PROPIO"/>
    <s v="DUSA"/>
    <n v="1"/>
    <n v="301.72000000000003"/>
  </r>
  <r>
    <x v="1"/>
    <s v="18/01/2026"/>
    <x v="4"/>
    <s v="7503013378645"/>
    <s v="Liquid Love Pleasure 100ml - DUSA"/>
    <s v="CONSUMIBLE PROPIO"/>
    <s v="DUSA"/>
    <n v="1"/>
    <n v="775.86"/>
  </r>
  <r>
    <x v="1"/>
    <s v="18/01/2026"/>
    <x v="4"/>
    <s v="7798309441916"/>
    <s v="Love Potion Hot Kisses - Sexitive"/>
    <s v="JUGUETE"/>
    <s v="SEXITIVE"/>
    <n v="1"/>
    <n v="146.55000000000001"/>
  </r>
  <r>
    <x v="1"/>
    <s v="18/01/2026"/>
    <x v="4"/>
    <s v="7503023462198"/>
    <s v="Lubricante Masaje Térmico Comestible Plátano Excitante FEEL LOVE 4 en 1 - 60ml"/>
    <s v="LUBRICANTE"/>
    <s v="FEEL LOVE"/>
    <n v="1"/>
    <n v="344.83"/>
  </r>
  <r>
    <x v="1"/>
    <s v="18/01/2026"/>
    <x v="4"/>
    <s v="7503020104212"/>
    <s v="Vibrador multiorgasmico con aleta estimuladora Megan - CXO"/>
    <s v="JUGUETE PROPIO"/>
    <s v="CXO"/>
    <n v="1"/>
    <n v="2413.79"/>
  </r>
  <r>
    <x v="1"/>
    <s v="18/01/2026"/>
    <x v="4"/>
    <s v="7503032300443"/>
    <s v="Zoe bala vibradora RETAIL - CXO"/>
    <s v="JUGUETE PROPIO"/>
    <s v="CXO"/>
    <n v="1"/>
    <n v="155.16999999999999"/>
  </r>
  <r>
    <x v="1"/>
    <s v="19/01/2026"/>
    <x v="3"/>
    <s v="7503043917005"/>
    <s v="Liquid Love Clear 30ml - DUSA"/>
    <s v="CONSUMIBLE PROPIO"/>
    <s v="DUSA"/>
    <n v="1"/>
    <n v="301.72000000000003"/>
  </r>
  <r>
    <x v="1"/>
    <s v="19/01/2026"/>
    <x v="3"/>
    <s v="7503013378126"/>
    <s v="Lubricante Body Surf Frio Natural DUSA 60ml"/>
    <s v="CONSUMIBLE PROPIO"/>
    <s v="DUSA"/>
    <n v="1"/>
    <n v="387.93"/>
  </r>
  <r>
    <x v="1"/>
    <s v="21/01/2026"/>
    <x v="4"/>
    <s v="6959633166963"/>
    <s v="Ella Neo rojo- SVAKOM"/>
    <s v="JUGUETE"/>
    <s v="SVAKOM"/>
    <n v="1"/>
    <n v="3017.24"/>
  </r>
  <r>
    <x v="1"/>
    <s v="21/01/2026"/>
    <x v="4"/>
    <s v="7503043917005"/>
    <s v="Liquid Love Clear 30ml - DUSA"/>
    <s v="CONSUMIBLE PROPIO"/>
    <s v="DUSA"/>
    <n v="2"/>
    <n v="603.44000000000005"/>
  </r>
  <r>
    <x v="1"/>
    <s v="21/01/2026"/>
    <x v="4"/>
    <s v="7503032300993"/>
    <s v="Liquid Love Pleasure 30ml - DUSA"/>
    <s v="CONSUMIBLE PROPIO"/>
    <s v="DUSA"/>
    <n v="1"/>
    <n v="301.72000000000003"/>
  </r>
  <r>
    <x v="1"/>
    <s v="21/01/2026"/>
    <x v="4"/>
    <s v="6959633156094"/>
    <s v="Robin - SVAKOM"/>
    <s v="JUGUETE"/>
    <s v="SVAKOM"/>
    <n v="1"/>
    <n v="1318.97"/>
  </r>
  <r>
    <x v="1"/>
    <s v="21/01/2026"/>
    <x v="4"/>
    <s v="7503013378690"/>
    <s v="Shumatsu 3 pzas - DUSA"/>
    <s v="CONSUMIBLE PROPIO"/>
    <s v="DUSA"/>
    <n v="4"/>
    <n v="2310.36"/>
  </r>
  <r>
    <x v="1"/>
    <s v="22/01/2026"/>
    <x v="4"/>
    <s v="7503043917005"/>
    <s v="Liquid Love Clear 30ml - DUSA"/>
    <s v="CONSUMIBLE PROPIO"/>
    <s v="DUSA"/>
    <n v="5"/>
    <n v="1508.6000000000001"/>
  </r>
  <r>
    <x v="1"/>
    <s v="22/01/2026"/>
    <x v="4"/>
    <s v="7503013378645"/>
    <s v="Liquid Love Pleasure 100ml - DUSA"/>
    <s v="CONSUMIBLE PROPIO"/>
    <s v="DUSA"/>
    <n v="1"/>
    <n v="775.86"/>
  </r>
  <r>
    <x v="1"/>
    <s v="22/01/2026"/>
    <x v="4"/>
    <s v="7503030128202"/>
    <s v="Plug Anal con 10 modos de vibracion y rotacion 360 Beto - CXO"/>
    <s v="JUGUETE PROPIO"/>
    <s v="CXO"/>
    <n v="1"/>
    <n v="1577.59"/>
  </r>
  <r>
    <x v="1"/>
    <s v="22/01/2026"/>
    <x v="4"/>
    <s v="7503013378690"/>
    <s v="Shumatsu 3 pzas - DUSA"/>
    <s v="CONSUMIBLE PROPIO"/>
    <s v="DUSA"/>
    <n v="1"/>
    <n v="577.59"/>
  </r>
  <r>
    <x v="1"/>
    <s v="23/01/2026"/>
    <x v="4"/>
    <s v="7503014914002"/>
    <s v="CAPSULAS MULTIORGASMICO AMO O-GEN"/>
    <s v="CONSUMIBLE"/>
    <s v="POWER MAN"/>
    <n v="1"/>
    <n v="431.04"/>
  </r>
  <r>
    <x v="1"/>
    <s v="23/01/2026"/>
    <x v="4"/>
    <s v="7502214980275"/>
    <s v="Condones sabor y aroma soda c/ 3 pzs - PRUDENCE"/>
    <s v="CONSUMIBLE"/>
    <s v="PRUDENCE"/>
    <n v="2"/>
    <n v="120.68"/>
  </r>
  <r>
    <x v="1"/>
    <s v="23/01/2026"/>
    <x v="4"/>
    <s v="7503030202167"/>
    <s v="Dildo hiper realista con ventosa Raul - CXO"/>
    <s v="JUGUETE PROPIO"/>
    <s v="CXO"/>
    <n v="1"/>
    <n v="1525.86"/>
  </r>
  <r>
    <x v="1"/>
    <s v="23/01/2026"/>
    <x v="4"/>
    <s v="7503020202214"/>
    <s v="Dildo realista con ventosa y testiculos Eddy - CXO"/>
    <s v="JUGUETE PROPIO"/>
    <s v="CXO"/>
    <n v="1"/>
    <n v="948.28"/>
  </r>
  <r>
    <x v="1"/>
    <s v="23/01/2026"/>
    <x v="4"/>
    <s v="6959633156926"/>
    <s v="Kit Vibrador Phoenix Neo  +  BDSM Edición Limitada- Svakom"/>
    <s v="JUGUETE"/>
    <s v="SVAKOM"/>
    <n v="1"/>
    <n v="5603.45"/>
  </r>
  <r>
    <x v="1"/>
    <s v="23/01/2026"/>
    <x v="4"/>
    <s v="7503043917012"/>
    <s v="Liquid Love Backdoor 30ml - DUSA"/>
    <s v="CONSUMIBLE PROPIO"/>
    <s v="DUSA"/>
    <n v="3"/>
    <n v="905.16000000000008"/>
  </r>
  <r>
    <x v="1"/>
    <s v="23/01/2026"/>
    <x v="4"/>
    <s v="7503013378645"/>
    <s v="Liquid Love Pleasure 100ml - DUSA"/>
    <s v="CONSUMIBLE PROPIO"/>
    <s v="DUSA"/>
    <n v="3"/>
    <n v="2327.58"/>
  </r>
  <r>
    <x v="1"/>
    <s v="23/01/2026"/>
    <x v="4"/>
    <s v="7503020310116"/>
    <s v="Panty vibrador con control remoto rosa Celi - CXO"/>
    <s v="JUGUETE PROPIO"/>
    <s v="CXO"/>
    <n v="1"/>
    <n v="1681.03"/>
  </r>
  <r>
    <x v="1"/>
    <s v="23/01/2026"/>
    <x v="4"/>
    <s v="7503013378690"/>
    <s v="Shumatsu 3 pzas - DUSA"/>
    <s v="CONSUMIBLE PROPIO"/>
    <s v="DUSA"/>
    <n v="1"/>
    <n v="577.59"/>
  </r>
  <r>
    <x v="1"/>
    <s v="23/01/2026"/>
    <x v="4"/>
    <s v="7503020596063"/>
    <s v="Stallion Regenerador - DUSA"/>
    <s v="CONSUMIBLE PROPIO"/>
    <s v="DUSA"/>
    <n v="1"/>
    <n v="1293.0999999999999"/>
  </r>
  <r>
    <x v="1"/>
    <s v="23/01/2026"/>
    <x v="4"/>
    <s v="7503020104080"/>
    <s v="Vibrador multiorgásmico con doble motor y estimulador de conejito Ara – CXO"/>
    <s v="JUGUETE PROPIO"/>
    <s v="CXO"/>
    <n v="1"/>
    <n v="2163.79"/>
  </r>
  <r>
    <x v="1"/>
    <s v="24/01/2026"/>
    <x v="4"/>
    <s v="7503014914002"/>
    <s v="CAPSULAS MULTIORGASMICO AMO O-GEN"/>
    <s v="CONSUMIBLE"/>
    <s v="POWER MAN"/>
    <n v="1"/>
    <n v="431.04"/>
  </r>
  <r>
    <x v="1"/>
    <s v="24/01/2026"/>
    <x v="4"/>
    <s v="7503013378645"/>
    <s v="Liquid Love Pleasure 100ml - DUSA"/>
    <s v="CONSUMIBLE PROPIO"/>
    <s v="DUSA"/>
    <n v="1"/>
    <n v="775.86"/>
  </r>
  <r>
    <x v="1"/>
    <s v="24/01/2026"/>
    <x v="4"/>
    <s v="7503024256192"/>
    <s v="Shot Shumatsu Fun Mujer - DUSA"/>
    <s v="CONSUMIBLE PROPIO"/>
    <s v="DUSA"/>
    <n v="2"/>
    <n v="344.82"/>
  </r>
  <r>
    <x v="1"/>
    <s v="24/01/2026"/>
    <x v="4"/>
    <s v="7503013378690"/>
    <s v="Shumatsu 3 pzas - DUSA"/>
    <s v="CONSUMIBLE PROPIO"/>
    <s v="DUSA"/>
    <n v="1"/>
    <n v="577.59"/>
  </r>
  <r>
    <x v="1"/>
    <s v="24/01/2026"/>
    <x v="4"/>
    <s v="7503043917173"/>
    <s v="Vibrador Abbie morado - CXO"/>
    <s v="JUGUETE PROPIO"/>
    <s v="CXO"/>
    <n v="1"/>
    <n v="2413.79"/>
  </r>
  <r>
    <x v="1"/>
    <s v="24/01/2026"/>
    <x v="4"/>
    <s v="7503020104212"/>
    <s v="Vibrador multiorgasmico con aleta estimuladora Megan - CXO"/>
    <s v="JUGUETE PROPIO"/>
    <s v="CXO"/>
    <n v="1"/>
    <n v="2413.79"/>
  </r>
  <r>
    <x v="1"/>
    <s v="25/01/2026"/>
    <x v="4"/>
    <s v="7503013378492"/>
    <s v="Clean Whisper 120ml - DUSA"/>
    <s v="CONSUMIBLE PROPIO"/>
    <s v="DUSA"/>
    <n v="1"/>
    <n v="301.72000000000003"/>
  </r>
  <r>
    <x v="1"/>
    <s v="25/01/2026"/>
    <x v="4"/>
    <s v="7503043917005"/>
    <s v="Liquid Love Clear 30ml - DUSA"/>
    <s v="CONSUMIBLE PROPIO"/>
    <s v="DUSA"/>
    <n v="1"/>
    <n v="301.72000000000003"/>
  </r>
  <r>
    <x v="1"/>
    <s v="25/01/2026"/>
    <x v="4"/>
    <s v="7503050524241"/>
    <s v="Orgasmik 30ml - DUSA"/>
    <s v="CONSUMIBLE PROPIO"/>
    <s v="DUSA"/>
    <n v="1"/>
    <n v="431.03"/>
  </r>
  <r>
    <x v="1"/>
    <s v="25/01/2026"/>
    <x v="4"/>
    <s v="7503020596957"/>
    <s v="Shot Shumatsu Fun Hombre - DUSA"/>
    <s v="CONSUMIBLE PROPIO"/>
    <s v="DUSA"/>
    <n v="1"/>
    <n v="172.41"/>
  </r>
  <r>
    <x v="1"/>
    <s v="25/01/2026"/>
    <x v="4"/>
    <s v="7503024256192"/>
    <s v="Shot Shumatsu Fun Mujer - DUSA"/>
    <s v="CONSUMIBLE PROPIO"/>
    <s v="DUSA"/>
    <n v="1"/>
    <n v="172.41"/>
  </r>
  <r>
    <x v="1"/>
    <s v="25/01/2026"/>
    <x v="4"/>
    <s v="7503013378690"/>
    <s v="Shumatsu 3 pzas - DUSA"/>
    <s v="CONSUMIBLE PROPIO"/>
    <s v="DUSA"/>
    <n v="1"/>
    <n v="577.59"/>
  </r>
  <r>
    <x v="1"/>
    <s v="25/01/2026"/>
    <x v="4"/>
    <s v="7503010217045"/>
    <s v="Vela para masaje red love - DUSA"/>
    <s v="CONSUMIBLE PROPIO"/>
    <s v="DUSA"/>
    <n v="1"/>
    <n v="241.38"/>
  </r>
  <r>
    <x v="1"/>
    <s v="26/01/2026"/>
    <x v="4"/>
    <s v="7503020420814"/>
    <s v="Bomba de vacio manual Noah - CXO"/>
    <s v="JUGUETE PROPIO"/>
    <s v="CXO"/>
    <n v="1"/>
    <n v="818.97"/>
  </r>
  <r>
    <x v="1"/>
    <s v="26/01/2026"/>
    <x v="4"/>
    <s v="7503020202214"/>
    <s v="Dildo realista con ventosa y testiculos Eddy - CXO"/>
    <s v="JUGUETE PROPIO"/>
    <s v="CXO"/>
    <n v="1"/>
    <n v="948.28"/>
  </r>
  <r>
    <x v="1"/>
    <s v="26/01/2026"/>
    <x v="4"/>
    <s v="7503043917012"/>
    <s v="Liquid Love Backdoor 30ml - DUSA"/>
    <s v="CONSUMIBLE PROPIO"/>
    <s v="DUSA"/>
    <n v="1"/>
    <n v="301.72000000000003"/>
  </r>
  <r>
    <x v="1"/>
    <s v="26/01/2026"/>
    <x v="4"/>
    <s v="7503013378010"/>
    <s v="Rigidex 2 pzas - DUSA"/>
    <s v="CONSUMIBLE PROPIO"/>
    <s v="DUSA"/>
    <n v="1"/>
    <n v="431.03"/>
  </r>
  <r>
    <x v="1"/>
    <s v="26/01/2026"/>
    <x v="4"/>
    <s v="7503013378690"/>
    <s v="Shumatsu 3 pzas - DUSA"/>
    <s v="CONSUMIBLE PROPIO"/>
    <s v="DUSA"/>
    <n v="1"/>
    <n v="577.59"/>
  </r>
  <r>
    <x v="1"/>
    <s v="27/01/2026"/>
    <x v="4"/>
    <s v="4630017970018"/>
    <s v="Alargador de Pene Titan Gel 50 ml"/>
    <s v="CONSUMIBLE"/>
    <s v="TITAN"/>
    <n v="1"/>
    <n v="594.83000000000004"/>
  </r>
  <r>
    <x v="1"/>
    <s v="27/01/2026"/>
    <x v="4"/>
    <s v="7503030215199"/>
    <s v="Arnes para doble penetracion - CXO"/>
    <s v="JUGUETE PROPIO"/>
    <s v="CXO"/>
    <n v="1"/>
    <n v="1422.41"/>
  </r>
  <r>
    <x v="1"/>
    <s v="27/01/2026"/>
    <x v="4"/>
    <s v="HRZH27262"/>
    <s v="Multiorgásmico Estimulador de Clítoris y Anal con 12 modos de Vibración  Carla- CXO"/>
    <s v="JUGUETE PROPIO"/>
    <s v="CXO"/>
    <n v="1"/>
    <n v="2543.1"/>
  </r>
  <r>
    <x v="1"/>
    <s v="27/01/2026"/>
    <x v="4"/>
    <s v="7503050524241"/>
    <s v="Orgasmik 30ml - DUSA"/>
    <s v="CONSUMIBLE PROPIO"/>
    <s v="DUSA"/>
    <n v="1"/>
    <n v="431.03"/>
  </r>
  <r>
    <x v="1"/>
    <s v="27/01/2026"/>
    <x v="4"/>
    <s v="7503013378010"/>
    <s v="Rigidex 2 pzas - DUSA"/>
    <s v="CONSUMIBLE PROPIO"/>
    <s v="DUSA"/>
    <n v="3"/>
    <n v="1293.0999999999999"/>
  </r>
  <r>
    <x v="1"/>
    <s v="27/01/2026"/>
    <x v="4"/>
    <s v="7503013378690"/>
    <s v="Shumatsu 3 pzas - DUSA"/>
    <s v="CONSUMIBLE PROPIO"/>
    <s v="DUSA"/>
    <n v="3"/>
    <n v="1732.77"/>
  </r>
  <r>
    <x v="1"/>
    <s v="27/01/2026"/>
    <x v="4"/>
    <s v="CBD"/>
    <s v="SUNNY SIDE UP CBD HIPOALERGENICO 10ml"/>
    <s v="CONSUMIBLE"/>
    <s v="SUNNY SIDE UP"/>
    <n v="1"/>
    <n v="301.72000000000003"/>
  </r>
  <r>
    <x v="1"/>
    <s v="28/01/2026"/>
    <x v="4"/>
    <s v="7503014914002"/>
    <s v="CAPSULAS MULTIORGASMICO AMO O-GEN"/>
    <s v="CONSUMIBLE"/>
    <s v="POWER MAN"/>
    <n v="1"/>
    <n v="431.04"/>
  </r>
  <r>
    <x v="1"/>
    <s v="28/01/2026"/>
    <x v="4"/>
    <s v="ACG0976SV0WB"/>
    <s v="Dildo Vibrador con Impulsor Estimulador de Clítoris Conny - CXO"/>
    <s v="JUGUETE PROPIO"/>
    <s v="CXO"/>
    <n v="1"/>
    <n v="2198.2800000000002"/>
  </r>
  <r>
    <x v="1"/>
    <s v="28/01/2026"/>
    <x v="4"/>
    <s v="7503030103028"/>
    <s v="Huevito vibrador con control a distancia Daniela - CXO"/>
    <s v="JUGUETE PROPIO"/>
    <s v="CXO"/>
    <n v="1"/>
    <n v="1500"/>
  </r>
  <r>
    <x v="1"/>
    <s v="28/01/2026"/>
    <x v="4"/>
    <s v="7503043917012"/>
    <s v="Liquid Love Backdoor 30ml - DUSA"/>
    <s v="CONSUMIBLE PROPIO"/>
    <s v="DUSA"/>
    <n v="1"/>
    <n v="301.72000000000003"/>
  </r>
  <r>
    <x v="1"/>
    <s v="28/01/2026"/>
    <x v="4"/>
    <s v="7503043917005"/>
    <s v="Liquid Love Clear 30ml - DUSA"/>
    <s v="CONSUMIBLE PROPIO"/>
    <s v="DUSA"/>
    <n v="1"/>
    <n v="301.72000000000003"/>
  </r>
  <r>
    <x v="1"/>
    <s v="28/01/2026"/>
    <x v="4"/>
    <s v="7503020596513"/>
    <s v="Liquid Love Natural 20ml - DUSA"/>
    <s v="CONSUMIBLE PROPIO"/>
    <s v="DUSA"/>
    <n v="1"/>
    <n v="258.62"/>
  </r>
  <r>
    <x v="1"/>
    <s v="28/01/2026"/>
    <x v="4"/>
    <s v="7503013378645"/>
    <s v="Liquid Love Pleasure 100ml - DUSA"/>
    <s v="CONSUMIBLE PROPIO"/>
    <s v="DUSA"/>
    <n v="1"/>
    <n v="775.86"/>
  </r>
  <r>
    <x v="1"/>
    <s v="28/01/2026"/>
    <x v="4"/>
    <s v="7798309440551"/>
    <s v="Lube More Play 130 ml - Sexitive"/>
    <s v="JUGUETE"/>
    <s v="SEXITIVE"/>
    <n v="1"/>
    <n v="137.93"/>
  </r>
  <r>
    <x v="1"/>
    <s v="29/01/2026"/>
    <x v="5"/>
    <s v="7503013378492"/>
    <s v="Clean Whisper 120ml - DUSA"/>
    <s v="CONSUMIBLE PROPIO"/>
    <s v="DUSA"/>
    <n v="1"/>
    <n v="301.72000000000003"/>
  </r>
  <r>
    <x v="1"/>
    <s v="29/01/2026"/>
    <x v="5"/>
    <s v="7503050524173"/>
    <s v="Dildo ultra realista 21cm Romeo - CXO"/>
    <s v="JUGUETE PROPIO"/>
    <s v="CXO"/>
    <n v="1"/>
    <n v="1810.34"/>
  </r>
  <r>
    <x v="1"/>
    <s v="29/01/2026"/>
    <x v="5"/>
    <s v="7503050524241"/>
    <s v="Orgasmik 30ml - DUSA"/>
    <s v="CONSUMIBLE PROPIO"/>
    <s v="DUSA"/>
    <n v="2"/>
    <n v="862.06"/>
  </r>
  <r>
    <x v="1"/>
    <s v="29/01/2026"/>
    <x v="5"/>
    <s v="7503020596957"/>
    <s v="Shot Shumatsu Fun Hombre - DUSA"/>
    <s v="CONSUMIBLE PROPIO"/>
    <s v="DUSA"/>
    <n v="1"/>
    <n v="172.41"/>
  </r>
  <r>
    <x v="1"/>
    <s v="29/01/2026"/>
    <x v="5"/>
    <s v="7503032300443"/>
    <s v="Zoe bala vibradora RETAIL - CXO"/>
    <s v="JUGUETE PROPIO"/>
    <s v="CXO"/>
    <n v="1"/>
    <n v="155.16999999999999"/>
  </r>
  <r>
    <x v="1"/>
    <s v="30/01/2026"/>
    <x v="4"/>
    <s v="4630017970018"/>
    <s v="Alargador de Pene Titan Gel 50 ml"/>
    <s v="CONSUMIBLE"/>
    <s v="TITAN"/>
    <n v="1"/>
    <n v="594.83000000000004"/>
  </r>
  <r>
    <x v="1"/>
    <s v="30/01/2026"/>
    <x v="4"/>
    <s v="BOD03CB149001UN"/>
    <s v="Body Bruna negro - OLA MOU"/>
    <s v="LENCERIA PROPIA"/>
    <s v="OLA MOU"/>
    <n v="1"/>
    <n v="323.27999999999997"/>
  </r>
  <r>
    <x v="1"/>
    <s v="30/01/2026"/>
    <x v="4"/>
    <s v="7503014914002"/>
    <s v="CAPSULAS MULTIORGASMICO AMO O-GEN"/>
    <s v="CONSUMIBLE"/>
    <s v="POWER MAN"/>
    <n v="1"/>
    <n v="431.04"/>
  </r>
  <r>
    <x v="1"/>
    <s v="30/01/2026"/>
    <x v="4"/>
    <s v="7503013378492"/>
    <s v="Clean Whisper 120ml - DUSA"/>
    <s v="CONSUMIBLE PROPIO"/>
    <s v="DUSA"/>
    <n v="1"/>
    <n v="301.72000000000003"/>
  </r>
  <r>
    <x v="1"/>
    <s v="30/01/2026"/>
    <x v="4"/>
    <s v="7503024256741"/>
    <s v="Cola de Zorro 45cm café S - CXO"/>
    <s v="JUGUETE PROPIO"/>
    <s v="CXO"/>
    <n v="1"/>
    <n v="258.62"/>
  </r>
  <r>
    <x v="1"/>
    <s v="30/01/2026"/>
    <x v="4"/>
    <s v="7502235095033"/>
    <s v="Desensibilizante Anal 4.5ml - Lions Power"/>
    <s v="CONSUMIBLE"/>
    <s v="SXO"/>
    <n v="1"/>
    <n v="86.21"/>
  </r>
  <r>
    <x v="1"/>
    <s v="30/01/2026"/>
    <x v="4"/>
    <s v="7503050524340"/>
    <s v="Ducha Felix S - CXO"/>
    <s v="JUGUETE PROPIO"/>
    <s v="CXO"/>
    <n v="1"/>
    <n v="612.07000000000005"/>
  </r>
  <r>
    <x v="1"/>
    <s v="30/01/2026"/>
    <x v="4"/>
    <s v="7503043917012"/>
    <s v="Liquid Love Backdoor 30ml - DUSA"/>
    <s v="CONSUMIBLE PROPIO"/>
    <s v="DUSA"/>
    <n v="1"/>
    <n v="301.72000000000003"/>
  </r>
  <r>
    <x v="1"/>
    <s v="30/01/2026"/>
    <x v="4"/>
    <s v="6970556032074"/>
    <s v="Plug Anal con 10 modos de Vibracion de 11.5cm  Ramiro- CXO"/>
    <s v="JUGUETE PROPIO"/>
    <s v="CXO"/>
    <n v="1"/>
    <n v="1034.48"/>
  </r>
  <r>
    <x v="1"/>
    <s v="30/01/2026"/>
    <x v="4"/>
    <s v="7503020596957"/>
    <s v="Shot Shumatsu Fun Hombre - DUSA"/>
    <s v="CONSUMIBLE PROPIO"/>
    <s v="DUSA"/>
    <n v="1"/>
    <n v="172.41"/>
  </r>
  <r>
    <x v="1"/>
    <s v="30/01/2026"/>
    <x v="4"/>
    <s v="7503024256192"/>
    <s v="Shot Shumatsu Fun Mujer - DUSA"/>
    <s v="CONSUMIBLE PROPIO"/>
    <s v="DUSA"/>
    <n v="1"/>
    <n v="172.41"/>
  </r>
  <r>
    <x v="1"/>
    <s v="30/01/2026"/>
    <x v="4"/>
    <s v="7503013378690"/>
    <s v="Shumatsu 3 pzas - DUSA"/>
    <s v="CONSUMIBLE PROPIO"/>
    <s v="DUSA"/>
    <n v="2"/>
    <n v="1155.18"/>
  </r>
  <r>
    <x v="1"/>
    <s v="30/01/2026"/>
    <x v="4"/>
    <s v="7503020105084"/>
    <s v="Vibrador para parejas tipo C Trinity – CXO"/>
    <s v="JUGUETE PROPIO"/>
    <s v="CXO"/>
    <n v="1"/>
    <n v="2465.52"/>
  </r>
  <r>
    <x v="1"/>
    <s v="31/01/2026"/>
    <x v="4"/>
    <s v="7503050226128"/>
    <s v="Conjunto Jimena con pezoneras y liguero - OLA MOU"/>
    <s v="LENCERIA PROPIA"/>
    <s v="OLA MOU"/>
    <n v="1"/>
    <n v="387.93"/>
  </r>
  <r>
    <x v="1"/>
    <s v="31/01/2026"/>
    <x v="4"/>
    <s v="7503013378645"/>
    <s v="Liquid Love Pleasure 100ml - DUSA"/>
    <s v="CONSUMIBLE PROPIO"/>
    <s v="DUSA"/>
    <n v="1"/>
    <n v="775.86"/>
  </r>
  <r>
    <x v="2"/>
    <s v="02/01/2026"/>
    <x v="1"/>
    <s v="7503043917081"/>
    <s v="Blade rosa anillo vibrador - CXO"/>
    <s v="JUGUETE PROPIO"/>
    <s v="CXO"/>
    <n v="1"/>
    <n v="81.900000000000006"/>
  </r>
  <r>
    <x v="2"/>
    <s v="02/01/2026"/>
    <x v="1"/>
    <s v="7503014914002"/>
    <s v="CAPSULAS MULTIORGASMICO AMO O-GEN"/>
    <s v="CONSUMIBLE"/>
    <s v="POWER MAN"/>
    <n v="2"/>
    <n v="862.08"/>
  </r>
  <r>
    <x v="2"/>
    <s v="02/01/2026"/>
    <x v="1"/>
    <s v="7503050226143"/>
    <s v="Conjunto Vega - OLA MOU"/>
    <s v="LENCERIA PROPIA"/>
    <s v="OLA MOU"/>
    <n v="1"/>
    <n v="431.03"/>
  </r>
  <r>
    <x v="2"/>
    <s v="02/01/2026"/>
    <x v="1"/>
    <s v="75037628"/>
    <s v="Dulces Garganta Profunda 2 piezas Sabor Fresa - SXO"/>
    <s v="CONSUMIBLE"/>
    <s v="SXO"/>
    <n v="1"/>
    <n v="120.69"/>
  </r>
  <r>
    <x v="2"/>
    <s v="02/01/2026"/>
    <x v="1"/>
    <s v="6970556033224"/>
    <s v="Huevito Vibrador con 10 modos  Danna- CXO"/>
    <s v="JUGUETE PROPIO"/>
    <s v="CXO"/>
    <n v="1"/>
    <n v="775.86"/>
  </r>
  <r>
    <x v="2"/>
    <s v="02/01/2026"/>
    <x v="1"/>
    <s v="7503032300993"/>
    <s v="Liquid Love Pleasure 30ml - DUSA"/>
    <s v="CONSUMIBLE PROPIO"/>
    <s v="DUSA"/>
    <n v="1"/>
    <n v="301.72000000000003"/>
  </r>
  <r>
    <x v="2"/>
    <s v="02/01/2026"/>
    <x v="1"/>
    <s v="7503024256154"/>
    <s v="Lubricante Body Surf Termico Cereza DUSA 60ml"/>
    <s v="CONSUMIBLE PROPIO"/>
    <s v="DUSA"/>
    <n v="1"/>
    <n v="387.93"/>
  </r>
  <r>
    <x v="2"/>
    <s v="02/01/2026"/>
    <x v="1"/>
    <s v="7503023462235"/>
    <s v="Lubricante Masaje Térmico Comestible Piña Colada FEEL LOVE 4 en 1 - 60ml"/>
    <s v="LUBRICANTE"/>
    <s v="FEEL LOVE"/>
    <n v="1"/>
    <n v="344.83"/>
  </r>
  <r>
    <x v="2"/>
    <s v="02/01/2026"/>
    <x v="1"/>
    <s v="4560220552780"/>
    <s v="MASTURBADOR TENGA EGGS HARD BOILED SURFER TENGA"/>
    <s v="JUGUETE"/>
    <s v="TENGA"/>
    <n v="1"/>
    <n v="301.72000000000003"/>
  </r>
  <r>
    <x v="2"/>
    <s v="02/01/2026"/>
    <x v="1"/>
    <s v="7503013378010"/>
    <s v="Rigidex 2 pzas - DUSA"/>
    <s v="CONSUMIBLE PROPIO"/>
    <s v="DUSA"/>
    <n v="1"/>
    <n v="431.03"/>
  </r>
  <r>
    <x v="2"/>
    <s v="02/01/2026"/>
    <x v="1"/>
    <s v="6959633156094"/>
    <s v="Robin - SVAKOM"/>
    <s v="JUGUETE"/>
    <s v="SVAKOM"/>
    <n v="1"/>
    <n v="1318.97"/>
  </r>
  <r>
    <x v="2"/>
    <s v="02/01/2026"/>
    <x v="1"/>
    <s v="7503013378690"/>
    <s v="Shumatsu 3 pzas - DUSA"/>
    <s v="CONSUMIBLE PROPIO"/>
    <s v="DUSA"/>
    <n v="3"/>
    <n v="1732.77"/>
  </r>
  <r>
    <x v="2"/>
    <s v="02/01/2026"/>
    <x v="1"/>
    <s v="6959633105320"/>
    <s v="Vibrador de Prostata con Calefaccion Vick Neo 2 - SVAKOM"/>
    <s v="JUGUETE"/>
    <s v="SVAKOM"/>
    <n v="1"/>
    <n v="2155.17"/>
  </r>
  <r>
    <x v="2"/>
    <s v="03/01/2026"/>
    <x v="6"/>
    <s v="7503043917081"/>
    <s v="Blade rosa anillo vibrador - CXO"/>
    <s v="JUGUETE PROPIO"/>
    <s v="CXO"/>
    <n v="1"/>
    <n v="81.900000000000006"/>
  </r>
  <r>
    <x v="2"/>
    <s v="03/01/2026"/>
    <x v="6"/>
    <s v="7503014914002"/>
    <s v="CAPSULAS MULTIORGASMICO AMO O-GEN"/>
    <s v="CONSUMIBLE"/>
    <s v="POWER MAN"/>
    <n v="1"/>
    <n v="431.04"/>
  </r>
  <r>
    <x v="2"/>
    <s v="03/01/2026"/>
    <x v="6"/>
    <s v="7503013378492"/>
    <s v="Clean Whisper 120ml - DUSA"/>
    <s v="CONSUMIBLE PROPIO"/>
    <s v="DUSA"/>
    <n v="1"/>
    <n v="301.72000000000003"/>
  </r>
  <r>
    <x v="2"/>
    <s v="03/01/2026"/>
    <x v="6"/>
    <s v="7503050524265"/>
    <s v="He Plus 30ml - DUSA"/>
    <s v="CONSUMIBLE PROPIO"/>
    <s v="DUSA"/>
    <n v="1"/>
    <n v="431.03"/>
  </r>
  <r>
    <x v="2"/>
    <s v="03/01/2026"/>
    <x v="6"/>
    <s v="7503013378652"/>
    <s v="Liquid Love Backdoor 100ml - DUSA"/>
    <s v="CONSUMIBLE PROPIO"/>
    <s v="DUSA"/>
    <n v="1"/>
    <n v="1077.5899999999999"/>
  </r>
  <r>
    <x v="2"/>
    <s v="03/01/2026"/>
    <x v="6"/>
    <s v="7503020596001"/>
    <s v="Liquid Love Clear 100ml - DUSA"/>
    <s v="CONSUMIBLE PROPIO"/>
    <s v="DUSA"/>
    <n v="1"/>
    <n v="775.86"/>
  </r>
  <r>
    <x v="2"/>
    <s v="03/01/2026"/>
    <x v="6"/>
    <s v="GWPS_BANANASHAKE_001"/>
    <s v="Lub de Regalo - Banana Shake"/>
    <s v="ACTIVACION"/>
    <s v="BANANA SHAKE"/>
    <n v="1"/>
    <n v="0.01"/>
  </r>
  <r>
    <x v="2"/>
    <s v="03/01/2026"/>
    <x v="6"/>
    <s v="7503023462204"/>
    <s v="Lubricante Masaje Térmico Comestible Manzana del Edén FEEL LOVE 4 en 1 - 60ml"/>
    <s v="LUBRICANTE"/>
    <s v="FEEL LOVE"/>
    <n v="1"/>
    <n v="344.83"/>
  </r>
  <r>
    <x v="2"/>
    <s v="03/01/2026"/>
    <x v="6"/>
    <s v="7503050524241"/>
    <s v="Orgasmik 30ml - DUSA"/>
    <s v="CONSUMIBLE PROPIO"/>
    <s v="DUSA"/>
    <n v="1"/>
    <n v="431.03"/>
  </r>
  <r>
    <x v="2"/>
    <s v="03/01/2026"/>
    <x v="6"/>
    <s v="6959633127964"/>
    <s v="Sam Neo - SVAKOM"/>
    <s v="JUGUETE"/>
    <s v="SVAKOM"/>
    <n v="1"/>
    <n v="3017.24"/>
  </r>
  <r>
    <x v="2"/>
    <s v="03/01/2026"/>
    <x v="6"/>
    <s v="7503013378256"/>
    <s v="Sammy - CXO"/>
    <s v="JUGUETE PROPIO"/>
    <s v="CXO"/>
    <n v="1"/>
    <n v="1551.72"/>
  </r>
  <r>
    <x v="2"/>
    <s v="03/01/2026"/>
    <x v="6"/>
    <s v="7503013378690"/>
    <s v="Shumatsu 3 pzas - DUSA"/>
    <s v="CONSUMIBLE PROPIO"/>
    <s v="DUSA"/>
    <n v="1"/>
    <n v="577.59"/>
  </r>
  <r>
    <x v="2"/>
    <s v="04/01/2026"/>
    <x v="6"/>
    <s v="7503043917081"/>
    <s v="Blade rosa anillo vibrador - CXO"/>
    <s v="JUGUETE PROPIO"/>
    <s v="CXO"/>
    <n v="1"/>
    <n v="81.900000000000006"/>
  </r>
  <r>
    <x v="2"/>
    <s v="04/01/2026"/>
    <x v="6"/>
    <s v="75080471"/>
    <s v="Dulces Garganta Profunda 2 piezas Sabor Uva - SXO"/>
    <s v="CONSUMIBLE"/>
    <s v="SXO"/>
    <n v="1"/>
    <n v="120.69"/>
  </r>
  <r>
    <x v="2"/>
    <s v="04/01/2026"/>
    <x v="6"/>
    <s v="MBS0530"/>
    <s v="Esposas de broche - CXO"/>
    <s v="JUGUETE PROPIO"/>
    <s v="CXO"/>
    <n v="1"/>
    <n v="172.41"/>
  </r>
  <r>
    <x v="2"/>
    <s v="04/01/2026"/>
    <x v="6"/>
    <s v="8699415912859"/>
    <s v="Miel Vigorizante para Hombre  Miracle Honey  VIP 15g-  SECRET MIRACLE HONEY"/>
    <s v="CONSUMIBLE"/>
    <s v="SECRET MIRACLE HONEY"/>
    <n v="2"/>
    <n v="431.04"/>
  </r>
  <r>
    <x v="2"/>
    <s v="04/01/2026"/>
    <x v="6"/>
    <s v="6970556032074"/>
    <s v="Plug Anal con 10 modos de Vibracion de 11.5cm  Ramiro- CXO"/>
    <s v="JUGUETE PROPIO"/>
    <s v="CXO"/>
    <n v="1"/>
    <n v="1034.48"/>
  </r>
  <r>
    <x v="2"/>
    <s v="04/01/2026"/>
    <x v="6"/>
    <s v="782421007607"/>
    <s v="Reverse Tightening gel 0.25oz - DOC JOHNSON"/>
    <s v="CONSUMIBLE"/>
    <s v="DOC JOHNSON"/>
    <n v="1"/>
    <n v="68.97"/>
  </r>
  <r>
    <x v="2"/>
    <s v="04/01/2026"/>
    <x v="6"/>
    <s v="7503013378010"/>
    <s v="Rigidex 2 pzas - DUSA"/>
    <s v="CONSUMIBLE PROPIO"/>
    <s v="DUSA"/>
    <n v="1"/>
    <n v="431.03"/>
  </r>
  <r>
    <x v="2"/>
    <s v="04/01/2026"/>
    <x v="6"/>
    <s v="6970556032746"/>
    <s v="Vibrador en forma de Osito Lilo- CXO"/>
    <s v="JUGUETE PROPIO"/>
    <s v="CXO"/>
    <n v="1"/>
    <n v="775.86"/>
  </r>
  <r>
    <x v="2"/>
    <s v="05/01/2026"/>
    <x v="6"/>
    <s v="FM1002"/>
    <s v="FEROMONAS DIAMANTE CONCENTRADO HOMBRE"/>
    <s v="CONSUMIBLE"/>
    <s v="DIAMANTE"/>
    <n v="1"/>
    <n v="413.79"/>
  </r>
  <r>
    <x v="2"/>
    <s v="05/01/2026"/>
    <x v="6"/>
    <s v="7503043917005"/>
    <s v="Liquid Love Clear 30ml - DUSA"/>
    <s v="CONSUMIBLE PROPIO"/>
    <s v="DUSA"/>
    <n v="1"/>
    <n v="301.72000000000003"/>
  </r>
  <r>
    <x v="2"/>
    <s v="05/01/2026"/>
    <x v="6"/>
    <s v="7503032300443"/>
    <s v="Zoe bala vibradora RETAIL - CXO"/>
    <s v="JUGUETE PROPIO"/>
    <s v="CXO"/>
    <n v="1"/>
    <n v="155.16999999999999"/>
  </r>
  <r>
    <x v="2"/>
    <s v="06/01/2026"/>
    <x v="6"/>
    <s v="7503014914002"/>
    <s v="CAPSULAS MULTIORGASMICO AMO O-GEN"/>
    <s v="CONSUMIBLE"/>
    <s v="POWER MAN"/>
    <n v="1"/>
    <n v="431.04"/>
  </r>
  <r>
    <x v="2"/>
    <s v="06/01/2026"/>
    <x v="6"/>
    <s v="CON01CH017005L"/>
    <s v="Conjunto Farah L rojo"/>
    <s v="LENCERIA PROPIA"/>
    <s v="OLA MOU"/>
    <n v="1"/>
    <n v="655.16999999999996"/>
  </r>
  <r>
    <x v="2"/>
    <s v="06/01/2026"/>
    <x v="6"/>
    <s v="7503013378799"/>
    <s v="Lubricante Body Surf Termico Citricos DUSA 60ml"/>
    <s v="CONSUMIBLE PROPIO"/>
    <s v="DUSA"/>
    <n v="1"/>
    <n v="387.93"/>
  </r>
  <r>
    <x v="2"/>
    <s v="06/01/2026"/>
    <x v="6"/>
    <s v="7503013378010"/>
    <s v="Rigidex 2 pzas - DUSA"/>
    <s v="CONSUMIBLE PROPIO"/>
    <s v="DUSA"/>
    <n v="1"/>
    <n v="431.03"/>
  </r>
  <r>
    <x v="2"/>
    <s v="07/01/2026"/>
    <x v="6"/>
    <s v="7502235091431"/>
    <s v="Aumentador de Semen - Lions Power"/>
    <s v="CONSUMIBLE"/>
    <s v="SXO"/>
    <n v="1"/>
    <n v="482.76"/>
  </r>
  <r>
    <x v="2"/>
    <s v="07/01/2026"/>
    <x v="6"/>
    <s v="7503024256154"/>
    <s v="Lubricante Body Surf Termico Cereza DUSA 60ml"/>
    <s v="CONSUMIBLE PROPIO"/>
    <s v="DUSA"/>
    <n v="1"/>
    <n v="387.93"/>
  </r>
  <r>
    <x v="2"/>
    <s v="07/01/2026"/>
    <x v="6"/>
    <s v="7503023462235"/>
    <s v="Lubricante Masaje Térmico Comestible Piña Colada FEEL LOVE 4 en 1 - 60ml"/>
    <s v="LUBRICANTE"/>
    <s v="FEEL LOVE"/>
    <n v="1"/>
    <n v="344.83"/>
  </r>
  <r>
    <x v="2"/>
    <s v="07/01/2026"/>
    <x v="6"/>
    <s v="7503013378010"/>
    <s v="Rigidex 2 pzas - DUSA"/>
    <s v="CONSUMIBLE PROPIO"/>
    <s v="DUSA"/>
    <n v="1"/>
    <n v="431.03"/>
  </r>
  <r>
    <x v="2"/>
    <s v="09/01/2026"/>
    <x v="1"/>
    <s v="7503043917081"/>
    <s v="Blade rosa anillo vibrador - CXO"/>
    <s v="JUGUETE PROPIO"/>
    <s v="CXO"/>
    <n v="2"/>
    <n v="163.80000000000001"/>
  </r>
  <r>
    <x v="2"/>
    <s v="09/01/2026"/>
    <x v="1"/>
    <s v="7503020596513"/>
    <s v="Liquid Love Natural 20ml - DUSA"/>
    <s v="CONSUMIBLE PROPIO"/>
    <s v="DUSA"/>
    <n v="1"/>
    <n v="258.62"/>
  </r>
  <r>
    <x v="2"/>
    <s v="09/01/2026"/>
    <x v="1"/>
    <s v="7503023462198"/>
    <s v="Lubricante Masaje Térmico Comestible Plátano Excitante FEEL LOVE 4 en 1 - 60ml"/>
    <s v="LUBRICANTE"/>
    <s v="FEEL LOVE"/>
    <n v="1"/>
    <n v="344.83"/>
  </r>
  <r>
    <x v="2"/>
    <s v="10/01/2026"/>
    <x v="6"/>
    <s v="7503024256635"/>
    <s v="Olive  6.8&quot; rosa - CXO"/>
    <s v="JUGUETE PROPIO"/>
    <s v="CXO"/>
    <n v="1"/>
    <n v="603.45000000000005"/>
  </r>
  <r>
    <x v="2"/>
    <s v="12/01/2026"/>
    <x v="1"/>
    <s v="7503032300337"/>
    <s v="Ducha Felix M - CXO"/>
    <s v="JUGUETE PROPIO"/>
    <s v="CXO"/>
    <n v="1"/>
    <n v="568.97"/>
  </r>
  <r>
    <x v="2"/>
    <s v="12/01/2026"/>
    <x v="1"/>
    <s v="7503050524340"/>
    <s v="Ducha Felix S - CXO"/>
    <s v="JUGUETE PROPIO"/>
    <s v="CXO"/>
    <n v="1"/>
    <n v="612.07000000000005"/>
  </r>
  <r>
    <x v="2"/>
    <s v="12/01/2026"/>
    <x v="1"/>
    <s v="7503032300993"/>
    <s v="Liquid Love Pleasure 30ml - DUSA"/>
    <s v="CONSUMIBLE PROPIO"/>
    <s v="DUSA"/>
    <n v="1"/>
    <n v="301.72000000000003"/>
  </r>
  <r>
    <x v="2"/>
    <s v="12/01/2026"/>
    <x v="1"/>
    <s v="7503013378010"/>
    <s v="Rigidex 2 pzas - DUSA"/>
    <s v="CONSUMIBLE PROPIO"/>
    <s v="DUSA"/>
    <n v="1"/>
    <n v="431.03"/>
  </r>
  <r>
    <x v="2"/>
    <s v="13/01/2026"/>
    <x v="6"/>
    <s v="7503014914002"/>
    <s v="CAPSULAS MULTIORGASMICO AMO O-GEN"/>
    <s v="CONSUMIBLE"/>
    <s v="POWER MAN"/>
    <n v="1"/>
    <n v="431.04"/>
  </r>
  <r>
    <x v="2"/>
    <s v="13/01/2026"/>
    <x v="6"/>
    <s v="7502214980015"/>
    <s v="Condon Clasico 3 pzs - PRUDENCE"/>
    <s v="CONSUMIBLE"/>
    <s v="PRUDENCE"/>
    <n v="1"/>
    <n v="60.34"/>
  </r>
  <r>
    <x v="2"/>
    <s v="13/01/2026"/>
    <x v="6"/>
    <s v="7502214980077"/>
    <s v="CONDON TRUST FRESA CON 3 MAQ - PRUDENCE"/>
    <s v="CONSUMIBLE"/>
    <s v="PRUDENCE"/>
    <n v="1"/>
    <n v="77.59"/>
  </r>
  <r>
    <x v="2"/>
    <s v="13/01/2026"/>
    <x v="6"/>
    <s v="7500464543059"/>
    <s v="Dildo Realista con Ventosa 15.5cms Domi CXO"/>
    <s v="JUGUETE PROPIO"/>
    <s v="CXO"/>
    <n v="1"/>
    <n v="818.97"/>
  </r>
  <r>
    <x v="2"/>
    <s v="13/01/2026"/>
    <x v="6"/>
    <s v="7503043917548"/>
    <s v="Huevo masturbador silky - EGG"/>
    <s v="JUGUETE"/>
    <s v="EGG"/>
    <n v="1"/>
    <n v="159.47999999999999"/>
  </r>
  <r>
    <x v="2"/>
    <s v="13/01/2026"/>
    <x v="6"/>
    <s v="7503032300030"/>
    <s v="Kit de Zorro Arcoiris - CXO"/>
    <s v="JUGUETE PROPIO"/>
    <s v="CXO"/>
    <n v="1"/>
    <n v="1025.8599999999999"/>
  </r>
  <r>
    <x v="2"/>
    <s v="13/01/2026"/>
    <x v="6"/>
    <s v="7503013378652"/>
    <s v="Liquid Love Backdoor 100ml - DUSA"/>
    <s v="CONSUMIBLE PROPIO"/>
    <s v="DUSA"/>
    <n v="1"/>
    <n v="1077.5899999999999"/>
  </r>
  <r>
    <x v="2"/>
    <s v="13/01/2026"/>
    <x v="6"/>
    <s v="7503043917005"/>
    <s v="Liquid Love Clear 30ml - DUSA"/>
    <s v="CONSUMIBLE PROPIO"/>
    <s v="DUSA"/>
    <n v="1"/>
    <n v="301.72000000000003"/>
  </r>
  <r>
    <x v="2"/>
    <s v="13/01/2026"/>
    <x v="6"/>
    <s v="7503032300993"/>
    <s v="Liquid Love Pleasure 30ml - DUSA"/>
    <s v="CONSUMIBLE PROPIO"/>
    <s v="DUSA"/>
    <n v="1"/>
    <n v="301.72000000000003"/>
  </r>
  <r>
    <x v="2"/>
    <s v="13/01/2026"/>
    <x v="6"/>
    <s v="GWPS_BANANASHAKE_001"/>
    <s v="Lub de Regalo - Banana Shake"/>
    <s v="ACTIVACION"/>
    <s v="BANANA SHAKE"/>
    <n v="1"/>
    <n v="0.01"/>
  </r>
  <r>
    <x v="2"/>
    <s v="13/01/2026"/>
    <x v="6"/>
    <s v="7503024256154"/>
    <s v="Lubricante Body Surf Termico Cereza DUSA 60ml"/>
    <s v="CONSUMIBLE PROPIO"/>
    <s v="DUSA"/>
    <n v="1"/>
    <n v="387.93"/>
  </r>
  <r>
    <x v="2"/>
    <s v="13/01/2026"/>
    <x v="6"/>
    <s v="7503013378980"/>
    <s v="Lubricante Body Surf Termico Chicle DUSA 60ml"/>
    <s v="CONSUMIBLE PROPIO"/>
    <s v="DUSA"/>
    <n v="1"/>
    <n v="387.93"/>
  </r>
  <r>
    <x v="2"/>
    <s v="13/01/2026"/>
    <x v="6"/>
    <s v="6959633103494"/>
    <s v="Mora Neo multiorgasmico rosa - SVAKOM"/>
    <s v="JUGUETE"/>
    <s v="SVAKOM"/>
    <n v="1"/>
    <n v="1637.93"/>
  </r>
  <r>
    <x v="2"/>
    <s v="13/01/2026"/>
    <x v="6"/>
    <s v="6959633134559"/>
    <s v="Phoenix Neo 2 rojo - SVAKOM"/>
    <s v="JUGUETE"/>
    <s v="SVAKOM"/>
    <n v="1"/>
    <n v="3534.48"/>
  </r>
  <r>
    <x v="2"/>
    <s v="13/01/2026"/>
    <x v="6"/>
    <s v="7503050226162"/>
    <s v="Plug Anal con Vibración y Control Roberto - CXO"/>
    <s v="JUGUETE PROPIO"/>
    <s v="CXO"/>
    <n v="1"/>
    <n v="1293.0999999999999"/>
  </r>
  <r>
    <x v="2"/>
    <s v="13/01/2026"/>
    <x v="6"/>
    <s v="7503013378010"/>
    <s v="Rigidex 2 pzas - DUSA"/>
    <s v="CONSUMIBLE PROPIO"/>
    <s v="DUSA"/>
    <n v="1"/>
    <n v="431.03"/>
  </r>
  <r>
    <x v="2"/>
    <s v="14/01/2026"/>
    <x v="6"/>
    <s v="7503030103028"/>
    <s v="Huevito vibrador con control a distancia Daniela - CXO"/>
    <s v="JUGUETE PROPIO"/>
    <s v="CXO"/>
    <n v="1"/>
    <n v="1500"/>
  </r>
  <r>
    <x v="2"/>
    <s v="14/01/2026"/>
    <x v="6"/>
    <s v="7503013378652"/>
    <s v="Liquid Love Backdoor 100ml - DUSA"/>
    <s v="CONSUMIBLE PROPIO"/>
    <s v="DUSA"/>
    <n v="1"/>
    <n v="1077.5899999999999"/>
  </r>
  <r>
    <x v="2"/>
    <s v="14/01/2026"/>
    <x v="6"/>
    <s v="7503013378980"/>
    <s v="Lubricante Body Surf Termico Chicle DUSA 60ml"/>
    <s v="CONSUMIBLE PROPIO"/>
    <s v="DUSA"/>
    <n v="1"/>
    <n v="387.93"/>
  </r>
  <r>
    <x v="2"/>
    <s v="14/01/2026"/>
    <x v="6"/>
    <s v="7503013378010"/>
    <s v="Rigidex 2 pzas - DUSA"/>
    <s v="CONSUMIBLE PROPIO"/>
    <s v="DUSA"/>
    <n v="1"/>
    <n v="431.03"/>
  </r>
  <r>
    <x v="2"/>
    <s v="14/01/2026"/>
    <x v="6"/>
    <s v="4061504007496"/>
    <s v="Succionado con App Curvy 1+ - Satisfayer"/>
    <s v="JUGUETE"/>
    <s v="SATISFAYER"/>
    <n v="1"/>
    <n v="1810.34"/>
  </r>
  <r>
    <x v="2"/>
    <s v="16/01/2026"/>
    <x v="6"/>
    <s v="7503013378492"/>
    <s v="Clean Whisper 120ml - DUSA"/>
    <s v="CONSUMIBLE PROPIO"/>
    <s v="DUSA"/>
    <n v="2"/>
    <n v="603.44000000000005"/>
  </r>
  <r>
    <x v="2"/>
    <s v="16/01/2026"/>
    <x v="6"/>
    <s v="7503020202213"/>
    <s v="Dildo realista con ventosa Nick - CXO"/>
    <s v="JUGUETE PROPIO"/>
    <s v="CXO"/>
    <n v="1"/>
    <n v="818.97"/>
  </r>
  <r>
    <x v="2"/>
    <s v="16/01/2026"/>
    <x v="6"/>
    <s v="7503020596001"/>
    <s v="Liquid Love Clear 100ml - DUSA"/>
    <s v="CONSUMIBLE PROPIO"/>
    <s v="DUSA"/>
    <n v="1"/>
    <n v="775.86"/>
  </r>
  <r>
    <x v="2"/>
    <s v="16/01/2026"/>
    <x v="6"/>
    <s v="7503013378645"/>
    <s v="Liquid Love Pleasure 100ml - DUSA"/>
    <s v="CONSUMIBLE PROPIO"/>
    <s v="DUSA"/>
    <n v="1"/>
    <n v="775.86"/>
  </r>
  <r>
    <x v="2"/>
    <s v="16/01/2026"/>
    <x v="6"/>
    <s v="7503013378980"/>
    <s v="Lubricante Body Surf Termico Chicle DUSA 60ml"/>
    <s v="CONSUMIBLE PROPIO"/>
    <s v="DUSA"/>
    <n v="1"/>
    <n v="387.93"/>
  </r>
  <r>
    <x v="2"/>
    <s v="16/01/2026"/>
    <x v="6"/>
    <s v="7503032300856"/>
    <s v="Sachet vibrador liquido 2 ml - BANANA SHAKE"/>
    <s v="CONSUMIBLE"/>
    <s v="BANANA SHAKE"/>
    <n v="4"/>
    <n v="68.959999999999994"/>
  </r>
  <r>
    <x v="2"/>
    <s v="16/01/2026"/>
    <x v="6"/>
    <s v="4061504007533"/>
    <s v="Succionador con App Love Triangle - Satisfayer"/>
    <s v="JUGUETE"/>
    <s v="SATISFAYER"/>
    <n v="2"/>
    <n v="2931.04"/>
  </r>
  <r>
    <x v="2"/>
    <s v="17/01/2026"/>
    <x v="6"/>
    <s v="7503013378492"/>
    <s v="Clean Whisper 120ml - DUSA"/>
    <s v="CONSUMIBLE PROPIO"/>
    <s v="DUSA"/>
    <n v="1"/>
    <n v="301.72000000000003"/>
  </r>
  <r>
    <x v="2"/>
    <s v="17/01/2026"/>
    <x v="6"/>
    <s v="CON01CH03400175B"/>
    <s v="Conjunto Brianne 75B"/>
    <s v="LENCERIA PROPIA"/>
    <s v="OLA MOU"/>
    <n v="1"/>
    <n v="468.1"/>
  </r>
  <r>
    <x v="2"/>
    <s v="17/01/2026"/>
    <x v="6"/>
    <s v="7503050226117"/>
    <s v="Conjunto Isabella - OLA MOU"/>
    <s v="LENCERIA PROPIA"/>
    <s v="OLA MOU"/>
    <n v="1"/>
    <n v="517.24"/>
  </r>
  <r>
    <x v="2"/>
    <s v="17/01/2026"/>
    <x v="6"/>
    <s v="7503030202035"/>
    <s v="Dildo con testiculos y ventosa Mr. Garcia - CXO"/>
    <s v="JUGUETE PROPIO"/>
    <s v="CXO"/>
    <n v="1"/>
    <n v="646.54999999999995"/>
  </r>
  <r>
    <x v="2"/>
    <s v="17/01/2026"/>
    <x v="6"/>
    <s v="7503020596513"/>
    <s v="Liquid Love Natural 20ml - DUSA"/>
    <s v="CONSUMIBLE PROPIO"/>
    <s v="DUSA"/>
    <n v="1"/>
    <n v="258.62"/>
  </r>
  <r>
    <x v="2"/>
    <s v="17/01/2026"/>
    <x v="6"/>
    <s v="7503013378645"/>
    <s v="Liquid Love Pleasure 100ml - DUSA"/>
    <s v="CONSUMIBLE PROPIO"/>
    <s v="DUSA"/>
    <n v="1"/>
    <n v="775.86"/>
  </r>
  <r>
    <x v="2"/>
    <s v="17/01/2026"/>
    <x v="6"/>
    <s v="GWPS_BANANASHAKE_001"/>
    <s v="Lub de Regalo - Banana Shake"/>
    <s v="ACTIVACION"/>
    <s v="BANANA SHAKE"/>
    <n v="1"/>
    <n v="0.01"/>
  </r>
  <r>
    <x v="2"/>
    <s v="17/01/2026"/>
    <x v="6"/>
    <s v="7503013378799"/>
    <s v="Lubricante Body Surf Termico Citricos DUSA 60ml"/>
    <s v="CONSUMIBLE PROPIO"/>
    <s v="DUSA"/>
    <n v="1"/>
    <n v="387.93"/>
  </r>
  <r>
    <x v="2"/>
    <s v="17/01/2026"/>
    <x v="6"/>
    <s v="7503023462235"/>
    <s v="Lubricante Masaje Térmico Comestible Piña Colada FEEL LOVE 4 en 1 - 60ml"/>
    <s v="LUBRICANTE"/>
    <s v="FEEL LOVE"/>
    <n v="1"/>
    <n v="344.83"/>
  </r>
  <r>
    <x v="2"/>
    <s v="17/01/2026"/>
    <x v="6"/>
    <s v="7503023462198"/>
    <s v="Lubricante Masaje Térmico Comestible Plátano Excitante FEEL LOVE 4 en 1 - 60ml"/>
    <s v="LUBRICANTE"/>
    <s v="FEEL LOVE"/>
    <n v="1"/>
    <n v="344.83"/>
  </r>
  <r>
    <x v="2"/>
    <s v="17/01/2026"/>
    <x v="6"/>
    <s v="SE016"/>
    <s v="Masturbador Vagina -  CXO"/>
    <s v="JUGUETE PROPIO"/>
    <s v="CXO"/>
    <n v="1"/>
    <n v="948.28"/>
  </r>
  <r>
    <x v="2"/>
    <s v="17/01/2026"/>
    <x v="6"/>
    <s v="7503020104212"/>
    <s v="Vibrador multiorgasmico con aleta estimuladora Megan - CXO"/>
    <s v="JUGUETE PROPIO"/>
    <s v="CXO"/>
    <n v="1"/>
    <n v="2413.79"/>
  </r>
  <r>
    <x v="2"/>
    <s v="17/01/2026"/>
    <x v="6"/>
    <s v="7503020104082"/>
    <s v="Vibrador multiorgásmico con succionador y perlas Andy – CXO"/>
    <s v="JUGUETE PROPIO"/>
    <s v="CXO"/>
    <n v="1"/>
    <n v="2258.62"/>
  </r>
  <r>
    <x v="2"/>
    <s v="18/01/2026"/>
    <x v="6"/>
    <s v="7503043917005"/>
    <s v="Liquid Love Clear 30ml - DUSA"/>
    <s v="CONSUMIBLE PROPIO"/>
    <s v="DUSA"/>
    <n v="1"/>
    <n v="301.72000000000003"/>
  </r>
  <r>
    <x v="2"/>
    <s v="18/01/2026"/>
    <x v="6"/>
    <s v="7503013378645"/>
    <s v="Liquid Love Pleasure 100ml - DUSA"/>
    <s v="CONSUMIBLE PROPIO"/>
    <s v="DUSA"/>
    <n v="2"/>
    <n v="1551.72"/>
  </r>
  <r>
    <x v="2"/>
    <s v="18/01/2026"/>
    <x v="6"/>
    <s v="7503023462198"/>
    <s v="Lubricante Masaje Térmico Comestible Plátano Excitante FEEL LOVE 4 en 1 - 60ml"/>
    <s v="LUBRICANTE"/>
    <s v="FEEL LOVE"/>
    <n v="1"/>
    <n v="344.83"/>
  </r>
  <r>
    <x v="2"/>
    <s v="18/01/2026"/>
    <x v="6"/>
    <s v="4560220552780"/>
    <s v="MASTURBADOR TENGA EGGS HARD BOILED SURFER TENGA"/>
    <s v="JUGUETE"/>
    <s v="TENGA"/>
    <n v="1"/>
    <n v="301.72000000000003"/>
  </r>
  <r>
    <x v="2"/>
    <s v="18/01/2026"/>
    <x v="6"/>
    <s v="7503024256635"/>
    <s v="Olive  6.8&quot; rosa - CXO"/>
    <s v="JUGUETE PROPIO"/>
    <s v="CXO"/>
    <n v="1"/>
    <n v="603.45000000000005"/>
  </r>
  <r>
    <x v="2"/>
    <s v="19/01/2026"/>
    <x v="6"/>
    <s v="7503020111072"/>
    <s v="Anillo vibrador recargable con textura negra Hank - CXO"/>
    <s v="JUGUETE PROPIO"/>
    <s v="CXO"/>
    <n v="1"/>
    <n v="1267.24"/>
  </r>
  <r>
    <x v="2"/>
    <s v="19/01/2026"/>
    <x v="6"/>
    <s v="7503013378492"/>
    <s v="Clean Whisper 120ml - DUSA"/>
    <s v="CONSUMIBLE PROPIO"/>
    <s v="DUSA"/>
    <n v="1"/>
    <n v="301.72000000000003"/>
  </r>
  <r>
    <x v="2"/>
    <s v="19/01/2026"/>
    <x v="6"/>
    <s v="7503043917012"/>
    <s v="Liquid Love Backdoor 30ml - DUSA"/>
    <s v="CONSUMIBLE PROPIO"/>
    <s v="DUSA"/>
    <n v="1"/>
    <n v="301.72000000000003"/>
  </r>
  <r>
    <x v="2"/>
    <s v="19/01/2026"/>
    <x v="6"/>
    <s v="7503020596001"/>
    <s v="Liquid Love Clear 100ml - DUSA"/>
    <s v="CONSUMIBLE PROPIO"/>
    <s v="DUSA"/>
    <n v="1"/>
    <n v="775.86"/>
  </r>
  <r>
    <x v="2"/>
    <s v="19/01/2026"/>
    <x v="6"/>
    <s v="7503013378645"/>
    <s v="Liquid Love Pleasure 100ml - DUSA"/>
    <s v="CONSUMIBLE PROPIO"/>
    <s v="DUSA"/>
    <n v="1"/>
    <n v="775.86"/>
  </r>
  <r>
    <x v="2"/>
    <s v="19/01/2026"/>
    <x v="6"/>
    <s v="USK-V11"/>
    <s v="Multiorgasmico con Lenguita Ceci - CXO"/>
    <s v="JUGUETE PROPIO"/>
    <s v="CXO"/>
    <n v="1"/>
    <n v="2474.14"/>
  </r>
  <r>
    <x v="2"/>
    <s v="19/01/2026"/>
    <x v="6"/>
    <s v="7503013378690"/>
    <s v="Shumatsu 3 pzas - DUSA"/>
    <s v="CONSUMIBLE PROPIO"/>
    <s v="DUSA"/>
    <n v="1"/>
    <n v="577.59"/>
  </r>
  <r>
    <x v="2"/>
    <s v="20/01/2026"/>
    <x v="6"/>
    <s v="7503050524340"/>
    <s v="Ducha Felix S - CXO"/>
    <s v="JUGUETE PROPIO"/>
    <s v="CXO"/>
    <n v="1"/>
    <n v="612.07000000000005"/>
  </r>
  <r>
    <x v="2"/>
    <s v="20/01/2026"/>
    <x v="6"/>
    <s v="7503043917012"/>
    <s v="Liquid Love Backdoor 30ml - DUSA"/>
    <s v="CONSUMIBLE PROPIO"/>
    <s v="DUSA"/>
    <n v="1"/>
    <n v="301.72000000000003"/>
  </r>
  <r>
    <x v="2"/>
    <s v="20/01/2026"/>
    <x v="6"/>
    <s v="7503023462235"/>
    <s v="Lubricante Masaje Térmico Comestible Piña Colada FEEL LOVE 4 en 1 - 60ml"/>
    <s v="LUBRICANTE"/>
    <s v="FEEL LOVE"/>
    <n v="2"/>
    <n v="689.66"/>
  </r>
  <r>
    <x v="2"/>
    <s v="20/01/2026"/>
    <x v="6"/>
    <s v="7503013378690"/>
    <s v="Shumatsu 3 pzas - DUSA"/>
    <s v="CONSUMIBLE PROPIO"/>
    <s v="DUSA"/>
    <n v="1"/>
    <n v="577.59"/>
  </r>
  <r>
    <x v="2"/>
    <s v="20/01/2026"/>
    <x v="6"/>
    <s v="4061504007359"/>
    <s v="Succionador Pingüino - Satisfayer"/>
    <s v="JUGUETE"/>
    <s v="SATISFAYER"/>
    <n v="1"/>
    <n v="1379.31"/>
  </r>
  <r>
    <x v="2"/>
    <s v="21/01/2026"/>
    <x v="6"/>
    <s v="7503020202214"/>
    <s v="Dildo realista con ventosa y testiculos Eddy - CXO"/>
    <s v="JUGUETE PROPIO"/>
    <s v="CXO"/>
    <n v="1"/>
    <n v="948.28"/>
  </r>
  <r>
    <x v="2"/>
    <s v="22/01/2026"/>
    <x v="6"/>
    <s v="7502214980053"/>
    <s v="CONDON TRUST NATURAL CON 3 MAQ - PRUDENCE"/>
    <s v="CONSUMIBLE"/>
    <s v="PRUDENCE"/>
    <n v="1"/>
    <n v="77.59"/>
  </r>
  <r>
    <x v="2"/>
    <s v="22/01/2026"/>
    <x v="6"/>
    <s v="CON01CH015008L"/>
    <s v="Conjunto Ale L lila"/>
    <s v="LENCERIA PROPIA"/>
    <s v="OLA MOU"/>
    <n v="1"/>
    <n v="599.14"/>
  </r>
  <r>
    <x v="2"/>
    <s v="22/01/2026"/>
    <x v="6"/>
    <s v="7503020202214"/>
    <s v="Dildo realista con ventosa y testiculos Eddy - CXO"/>
    <s v="JUGUETE PROPIO"/>
    <s v="CXO"/>
    <n v="1"/>
    <n v="948.28"/>
  </r>
  <r>
    <x v="2"/>
    <s v="22/01/2026"/>
    <x v="6"/>
    <s v="7503013378010"/>
    <s v="Rigidex 2 pzas - DUSA"/>
    <s v="CONSUMIBLE PROPIO"/>
    <s v="DUSA"/>
    <n v="1"/>
    <n v="431.03"/>
  </r>
  <r>
    <x v="2"/>
    <s v="22/01/2026"/>
    <x v="6"/>
    <s v="7503013378690"/>
    <s v="Shumatsu 3 pzas - DUSA"/>
    <s v="CONSUMIBLE PROPIO"/>
    <s v="DUSA"/>
    <n v="2"/>
    <n v="1155.18"/>
  </r>
  <r>
    <x v="2"/>
    <s v="22/01/2026"/>
    <x v="6"/>
    <s v="4061504051604"/>
    <s v="Succionador Cutie Heart - Satisfayer"/>
    <s v="JUGUETE"/>
    <s v="SATISFAYER"/>
    <n v="1"/>
    <n v="1896.55"/>
  </r>
  <r>
    <x v="2"/>
    <s v="23/01/2026"/>
    <x v="6"/>
    <s v="7502214980053"/>
    <s v="CONDON TRUST NATURAL CON 3 MAQ - PRUDENCE"/>
    <s v="CONSUMIBLE"/>
    <s v="PRUDENCE"/>
    <n v="1"/>
    <n v="77.59"/>
  </r>
  <r>
    <x v="2"/>
    <s v="23/01/2026"/>
    <x v="6"/>
    <s v="7503030207201"/>
    <s v="Funda semi realista para pene Rodolfo - CXO"/>
    <s v="JUGUETE PROPIO"/>
    <s v="CXO"/>
    <n v="1"/>
    <n v="1137.93"/>
  </r>
  <r>
    <x v="2"/>
    <s v="23/01/2026"/>
    <x v="6"/>
    <s v="7503024256154"/>
    <s v="Lubricante Body Surf Termico Cereza DUSA 60ml"/>
    <s v="CONSUMIBLE PROPIO"/>
    <s v="DUSA"/>
    <n v="1"/>
    <n v="387.93"/>
  </r>
  <r>
    <x v="2"/>
    <s v="23/01/2026"/>
    <x v="6"/>
    <s v="75078737"/>
    <s v="Mini Kit Dulces 2 piezas - SXO"/>
    <s v="CONSUMIBLE"/>
    <s v="SXO"/>
    <n v="1"/>
    <n v="120.69"/>
  </r>
  <r>
    <x v="2"/>
    <s v="23/01/2026"/>
    <x v="6"/>
    <s v="7503050226162"/>
    <s v="Plug Anal con Vibración y Control Roberto - CXO"/>
    <s v="JUGUETE PROPIO"/>
    <s v="CXO"/>
    <n v="1"/>
    <n v="1293.0999999999999"/>
  </r>
  <r>
    <x v="2"/>
    <s v="23/01/2026"/>
    <x v="6"/>
    <s v="7503032300856"/>
    <s v="Sachet vibrador liquido 2 ml - BANANA SHAKE"/>
    <s v="CONSUMIBLE"/>
    <s v="BANANA SHAKE"/>
    <n v="1"/>
    <n v="17.239999999999998"/>
  </r>
  <r>
    <x v="2"/>
    <s v="23/01/2026"/>
    <x v="6"/>
    <s v="7503020596957"/>
    <s v="Shot Shumatsu Fun Hombre - DUSA"/>
    <s v="CONSUMIBLE PROPIO"/>
    <s v="DUSA"/>
    <n v="1"/>
    <n v="172.41"/>
  </r>
  <r>
    <x v="2"/>
    <s v="23/01/2026"/>
    <x v="6"/>
    <s v="7503024256192"/>
    <s v="Shot Shumatsu Fun Mujer - DUSA"/>
    <s v="CONSUMIBLE PROPIO"/>
    <s v="DUSA"/>
    <n v="2"/>
    <n v="344.82"/>
  </r>
  <r>
    <x v="2"/>
    <s v="23/01/2026"/>
    <x v="6"/>
    <s v="7503013378690"/>
    <s v="Shumatsu 3 pzas - DUSA"/>
    <s v="CONSUMIBLE PROPIO"/>
    <s v="DUSA"/>
    <n v="2"/>
    <n v="1155.18"/>
  </r>
  <r>
    <x v="2"/>
    <s v="24/01/2026"/>
    <x v="3"/>
    <s v="7503043917005"/>
    <s v="Liquid Love Clear 30ml - DUSA"/>
    <s v="CONSUMIBLE PROPIO"/>
    <s v="DUSA"/>
    <n v="1"/>
    <n v="301.72000000000003"/>
  </r>
  <r>
    <x v="2"/>
    <s v="24/01/2026"/>
    <x v="3"/>
    <s v="7503023462198"/>
    <s v="Lubricante Masaje Térmico Comestible Plátano Excitante FEEL LOVE 4 en 1 - 60ml"/>
    <s v="LUBRICANTE"/>
    <s v="FEEL LOVE"/>
    <n v="1"/>
    <n v="344.83"/>
  </r>
  <r>
    <x v="2"/>
    <s v="24/01/2026"/>
    <x v="3"/>
    <s v="6959633185940"/>
    <s v="Masturbador Hedy X Reaction – SVAKOM"/>
    <s v="JUGUETE"/>
    <s v="SVAKOM"/>
    <n v="1"/>
    <n v="181.03"/>
  </r>
  <r>
    <x v="2"/>
    <s v="24/01/2026"/>
    <x v="3"/>
    <s v="6959633183120"/>
    <s v="Masturbador Hedy X Speed – SVAKOM"/>
    <s v="JUGUETE"/>
    <s v="SVAKOM"/>
    <n v="1"/>
    <n v="181.03"/>
  </r>
  <r>
    <x v="2"/>
    <s v="24/01/2026"/>
    <x v="3"/>
    <s v="75078737"/>
    <s v="Mini Kit Dulces 2 piezas - SXO"/>
    <s v="CONSUMIBLE"/>
    <s v="SXO"/>
    <n v="1"/>
    <n v="120.69"/>
  </r>
  <r>
    <x v="2"/>
    <s v="24/01/2026"/>
    <x v="3"/>
    <s v="7503013378010"/>
    <s v="Rigidex 2 pzas - DUSA"/>
    <s v="CONSUMIBLE PROPIO"/>
    <s v="DUSA"/>
    <n v="2"/>
    <n v="862.07"/>
  </r>
  <r>
    <x v="2"/>
    <s v="24/01/2026"/>
    <x v="3"/>
    <s v="7503020596957"/>
    <s v="Shot Shumatsu Fun Hombre - DUSA"/>
    <s v="CONSUMIBLE PROPIO"/>
    <s v="DUSA"/>
    <n v="1"/>
    <n v="172.41"/>
  </r>
  <r>
    <x v="2"/>
    <s v="24/01/2026"/>
    <x v="3"/>
    <s v="7503024256192"/>
    <s v="Shot Shumatsu Fun Mujer - DUSA"/>
    <s v="CONSUMIBLE PROPIO"/>
    <s v="DUSA"/>
    <n v="1"/>
    <n v="172.41"/>
  </r>
  <r>
    <x v="2"/>
    <s v="24/01/2026"/>
    <x v="3"/>
    <s v="7503013378690"/>
    <s v="Shumatsu 3 pzas - DUSA"/>
    <s v="CONSUMIBLE PROPIO"/>
    <s v="DUSA"/>
    <n v="2"/>
    <n v="1155.18"/>
  </r>
  <r>
    <x v="2"/>
    <s v="25/01/2026"/>
    <x v="6"/>
    <s v="7503013378799"/>
    <s v="Lubricante Body Surf Termico Citricos DUSA 60ml"/>
    <s v="CONSUMIBLE PROPIO"/>
    <s v="DUSA"/>
    <n v="1"/>
    <n v="387.93"/>
  </r>
  <r>
    <x v="2"/>
    <s v="26/01/2026"/>
    <x v="2"/>
    <s v="7503032300238"/>
    <s v="Cola de Zorro Arcoiris 38cm L - CXO"/>
    <s v="JUGUETE PROPIO"/>
    <s v="CXO"/>
    <n v="1"/>
    <n v="344.83"/>
  </r>
  <r>
    <x v="2"/>
    <s v="26/01/2026"/>
    <x v="2"/>
    <s v="7502214980077"/>
    <s v="CONDON TRUST FRESA CON 3 MAQ - PRUDENCE"/>
    <s v="CONSUMIBLE"/>
    <s v="PRUDENCE"/>
    <n v="1"/>
    <n v="77.59"/>
  </r>
  <r>
    <x v="2"/>
    <s v="26/01/2026"/>
    <x v="2"/>
    <s v="7503020220077"/>
    <s v="Juego de mesa sensual para parejas – CXO"/>
    <s v="JUGUETE PROPIO"/>
    <s v="CXO"/>
    <n v="1"/>
    <n v="637.92999999999995"/>
  </r>
  <r>
    <x v="2"/>
    <s v="26/01/2026"/>
    <x v="2"/>
    <s v="7503030128202"/>
    <s v="Plug Anal con 10 modos de vibracion y rotacion 360 Beto - CXO"/>
    <s v="JUGUETE PROPIO"/>
    <s v="CXO"/>
    <n v="1"/>
    <n v="1577.59"/>
  </r>
  <r>
    <x v="2"/>
    <s v="26/01/2026"/>
    <x v="2"/>
    <s v="7503050226162"/>
    <s v="Plug Anal con Vibración y Control Roberto - CXO"/>
    <s v="JUGUETE PROPIO"/>
    <s v="CXO"/>
    <n v="1"/>
    <n v="1293.0999999999999"/>
  </r>
  <r>
    <x v="2"/>
    <s v="26/01/2026"/>
    <x v="2"/>
    <s v="7503013378690"/>
    <s v="Shumatsu 3 pzas - DUSA"/>
    <s v="CONSUMIBLE PROPIO"/>
    <s v="DUSA"/>
    <n v="1"/>
    <n v="577.59"/>
  </r>
  <r>
    <x v="2"/>
    <s v="26/01/2026"/>
    <x v="2"/>
    <s v="7350075026157"/>
    <s v="Sona cerise - LELO"/>
    <s v="JUGUETE"/>
    <s v="LELO"/>
    <n v="1"/>
    <n v="2068.9699999999998"/>
  </r>
  <r>
    <x v="2"/>
    <s v="27/01/2026"/>
    <x v="6"/>
    <s v="LL-A2216"/>
    <s v="Huevito con 10 modos de Vibración  Gina - CXO"/>
    <s v="JUGUETE PROPIO"/>
    <s v="CXO"/>
    <n v="1"/>
    <n v="1500"/>
  </r>
  <r>
    <x v="2"/>
    <s v="27/01/2026"/>
    <x v="6"/>
    <s v="7503043917012"/>
    <s v="Liquid Love Backdoor 30ml - DUSA"/>
    <s v="CONSUMIBLE PROPIO"/>
    <s v="DUSA"/>
    <n v="1"/>
    <n v="301.72000000000003"/>
  </r>
  <r>
    <x v="2"/>
    <s v="27/01/2026"/>
    <x v="6"/>
    <s v="7503043917395"/>
    <s v="Vibrador multiorgásmico Krista Mod. 02  - CXO"/>
    <s v="JUGUETE PROPIO"/>
    <s v="CXO"/>
    <n v="1"/>
    <n v="2060.9299999999998"/>
  </r>
  <r>
    <x v="2"/>
    <s v="28/01/2026"/>
    <x v="6"/>
    <s v="7500635014548"/>
    <s v="BABY DOLL MEDIANO NEGRO CON ROSA 01454"/>
    <s v="LENCERIA"/>
    <s v="CHRISLIFERBRA"/>
    <n v="1"/>
    <n v="301.72000000000003"/>
  </r>
  <r>
    <x v="2"/>
    <s v="28/01/2026"/>
    <x v="6"/>
    <s v="7503030102198"/>
    <s v="Dildo realista vibrador con ventosa Ulises - CXO"/>
    <s v="JUGUETE PROPIO"/>
    <s v="CXO"/>
    <n v="1"/>
    <n v="2000"/>
  </r>
  <r>
    <x v="2"/>
    <s v="28/01/2026"/>
    <x v="6"/>
    <s v="ACG0976SV0WB"/>
    <s v="Dildo Vibrador con Impulsor Estimulador de Clítoris Conny - CXO"/>
    <s v="JUGUETE PROPIO"/>
    <s v="CXO"/>
    <n v="1"/>
    <n v="2198.2800000000002"/>
  </r>
  <r>
    <x v="2"/>
    <s v="28/01/2026"/>
    <x v="6"/>
    <s v="7503013378690"/>
    <s v="Shumatsu 3 pzas - DUSA"/>
    <s v="CONSUMIBLE PROPIO"/>
    <s v="DUSA"/>
    <n v="1"/>
    <n v="577.59"/>
  </r>
  <r>
    <x v="2"/>
    <s v="28/01/2026"/>
    <x v="6"/>
    <s v="CBD"/>
    <s v="SUNNY SIDE UP CBD HIPOALERGENICO 10ml"/>
    <s v="CONSUMIBLE"/>
    <s v="SUNNY SIDE UP"/>
    <n v="1"/>
    <n v="301.72000000000003"/>
  </r>
  <r>
    <x v="2"/>
    <s v="28/01/2026"/>
    <x v="6"/>
    <s v="4061504001197"/>
    <s v="Vibrador Secret Affair - Satisfayer"/>
    <s v="JUGUETE"/>
    <s v="SATISFAYER"/>
    <n v="1"/>
    <n v="1120.69"/>
  </r>
  <r>
    <x v="2"/>
    <s v="29/01/2026"/>
    <x v="6"/>
    <s v="7503013378904"/>
    <s v="Dildo Mr. Hernandez - CXO"/>
    <s v="JUGUETE PROPIO"/>
    <s v="CXO"/>
    <n v="1"/>
    <n v="517.24"/>
  </r>
  <r>
    <x v="2"/>
    <s v="29/01/2026"/>
    <x v="6"/>
    <s v="7503043917012"/>
    <s v="Liquid Love Backdoor 30ml - DUSA"/>
    <s v="CONSUMIBLE PROPIO"/>
    <s v="DUSA"/>
    <n v="1"/>
    <n v="301.72000000000003"/>
  </r>
  <r>
    <x v="2"/>
    <s v="29/01/2026"/>
    <x v="6"/>
    <s v="7503013378645"/>
    <s v="Liquid Love Pleasure 100ml - DUSA"/>
    <s v="CONSUMIBLE PROPIO"/>
    <s v="DUSA"/>
    <n v="1"/>
    <n v="775.86"/>
  </r>
  <r>
    <x v="2"/>
    <s v="29/01/2026"/>
    <x v="6"/>
    <s v="7503013378980"/>
    <s v="Lubricante Body Surf Termico Chicle DUSA 60ml"/>
    <s v="CONSUMIBLE PROPIO"/>
    <s v="DUSA"/>
    <n v="1"/>
    <n v="387.93"/>
  </r>
  <r>
    <x v="2"/>
    <s v="29/01/2026"/>
    <x v="6"/>
    <s v="7503013378799"/>
    <s v="Lubricante Body Surf Termico Citricos DUSA 60ml"/>
    <s v="CONSUMIBLE PROPIO"/>
    <s v="DUSA"/>
    <n v="1"/>
    <n v="387.93"/>
  </r>
  <r>
    <x v="2"/>
    <s v="29/01/2026"/>
    <x v="6"/>
    <s v="713001200104"/>
    <s v="Multiorgasmico con estimulador de clitoris de aleteo Marisol - CXO"/>
    <s v="JUGUETE PROPIO"/>
    <s v="CXO"/>
    <n v="1"/>
    <n v="2500"/>
  </r>
  <r>
    <x v="2"/>
    <s v="29/01/2026"/>
    <x v="6"/>
    <s v="7503023462891"/>
    <s v="ORAL SEX Exotic Nut 30ml - DIAMANTE"/>
    <s v="CONSUMIBLE"/>
    <s v="DIAMANTE"/>
    <n v="1"/>
    <n v="310.33999999999997"/>
  </r>
  <r>
    <x v="2"/>
    <s v="29/01/2026"/>
    <x v="6"/>
    <s v="7503050226162"/>
    <s v="Plug Anal con Vibración y Control Roberto - CXO"/>
    <s v="JUGUETE PROPIO"/>
    <s v="CXO"/>
    <n v="1"/>
    <n v="1293.0999999999999"/>
  </r>
  <r>
    <x v="2"/>
    <s v="29/01/2026"/>
    <x v="6"/>
    <s v="7503032300856"/>
    <s v="Sachet vibrador liquido 2 ml - BANANA SHAKE"/>
    <s v="CONSUMIBLE"/>
    <s v="BANANA SHAKE"/>
    <n v="2"/>
    <n v="34.479999999999997"/>
  </r>
  <r>
    <x v="2"/>
    <s v="29/01/2026"/>
    <x v="6"/>
    <s v="7503013378690"/>
    <s v="Shumatsu 3 pzas - DUSA"/>
    <s v="CONSUMIBLE PROPIO"/>
    <s v="DUSA"/>
    <n v="1"/>
    <n v="577.59"/>
  </r>
  <r>
    <x v="2"/>
    <s v="30/01/2026"/>
    <x v="6"/>
    <s v="ACG0976SV0WB"/>
    <s v="Dildo Vibrador con Impulsor Estimulador de Clítoris Conny - CXO"/>
    <s v="JUGUETE PROPIO"/>
    <s v="CXO"/>
    <n v="1"/>
    <n v="2198.2800000000002"/>
  </r>
  <r>
    <x v="2"/>
    <s v="30/01/2026"/>
    <x v="6"/>
    <s v="7503013378980"/>
    <s v="Lubricante Body Surf Termico Chicle DUSA 60ml"/>
    <s v="CONSUMIBLE PROPIO"/>
    <s v="DUSA"/>
    <n v="1"/>
    <n v="387.93"/>
  </r>
  <r>
    <x v="2"/>
    <s v="30/01/2026"/>
    <x v="6"/>
    <s v="7508304289037"/>
    <s v="LUBRICANTE C/FEROMONAS -LUJO- 40ML  RETARDADOR"/>
    <s v="CONSUMIBLE"/>
    <s v="DIAMANTE"/>
    <n v="1"/>
    <n v="508.62"/>
  </r>
  <r>
    <x v="2"/>
    <s v="30/01/2026"/>
    <x v="6"/>
    <s v="631758000563"/>
    <s v="Tabletas CERO STRESS 60 pzs - Schmidt Schuler"/>
    <s v="HEALTHY LIFESTYLE"/>
    <s v="SCHMIDT SCHULLER"/>
    <n v="1"/>
    <n v="64.66"/>
  </r>
  <r>
    <x v="2"/>
    <s v="30/01/2026"/>
    <x v="6"/>
    <s v="7503043917395"/>
    <s v="Vibrador multiorgásmico Krista Mod. 02  - CXO"/>
    <s v="JUGUETE PROPIO"/>
    <s v="CXO"/>
    <n v="1"/>
    <n v="2060.9299999999998"/>
  </r>
  <r>
    <x v="2"/>
    <s v="31/01/2026"/>
    <x v="6"/>
    <s v="ACG0976SV0WB"/>
    <s v="Dildo Vibrador con Impulsor Estimulador de Clítoris Conny - CXO"/>
    <s v="JUGUETE PROPIO"/>
    <s v="CXO"/>
    <n v="1"/>
    <n v="2198.2800000000002"/>
  </r>
  <r>
    <x v="2"/>
    <s v="31/01/2026"/>
    <x v="6"/>
    <s v="7503050524265"/>
    <s v="He Plus 30ml - DUSA"/>
    <s v="CONSUMIBLE PROPIO"/>
    <s v="DUSA"/>
    <n v="1"/>
    <n v="431.03"/>
  </r>
  <r>
    <x v="2"/>
    <s v="31/01/2026"/>
    <x v="6"/>
    <s v="7503043917012"/>
    <s v="Liquid Love Backdoor 30ml - DUSA"/>
    <s v="CONSUMIBLE PROPIO"/>
    <s v="DUSA"/>
    <n v="1"/>
    <n v="301.72000000000003"/>
  </r>
  <r>
    <x v="2"/>
    <s v="31/01/2026"/>
    <x v="6"/>
    <s v="7503020596513"/>
    <s v="Liquid Love Natural 20ml - DUSA"/>
    <s v="CONSUMIBLE PROPIO"/>
    <s v="DUSA"/>
    <n v="1"/>
    <n v="258.62"/>
  </r>
  <r>
    <x v="2"/>
    <s v="31/01/2026"/>
    <x v="6"/>
    <s v="7503013378645"/>
    <s v="Liquid Love Pleasure 100ml - DUSA"/>
    <s v="CONSUMIBLE PROPIO"/>
    <s v="DUSA"/>
    <n v="1"/>
    <n v="775.86"/>
  </r>
  <r>
    <x v="2"/>
    <s v="31/01/2026"/>
    <x v="6"/>
    <s v="7503032300856"/>
    <s v="Sachet vibrador liquido 2 ml - BANANA SHAKE"/>
    <s v="CONSUMIBLE"/>
    <s v="BANANA SHAKE"/>
    <n v="1"/>
    <n v="17.239999999999998"/>
  </r>
  <r>
    <x v="2"/>
    <s v="31/01/2026"/>
    <x v="6"/>
    <s v="7503013378690"/>
    <s v="Shumatsu 3 pzas - DUSA"/>
    <s v="CONSUMIBLE PROPIO"/>
    <s v="DUSA"/>
    <n v="3"/>
    <n v="1732.77"/>
  </r>
  <r>
    <x v="2"/>
    <s v="31/01/2026"/>
    <x v="6"/>
    <s v="8433345113111"/>
    <s v="Vibrador dual con succionador - WOOMY"/>
    <s v="JUGUETE"/>
    <s v="ADRIEN LASTIC"/>
    <n v="1"/>
    <n v="1594.83"/>
  </r>
  <r>
    <x v="3"/>
    <s v="02/01/2026"/>
    <x v="5"/>
    <s v="7503043917081"/>
    <s v="Blade rosa anillo vibrador - CXO"/>
    <s v="JUGUETE PROPIO"/>
    <s v="CXO"/>
    <n v="1"/>
    <n v="81.900000000000006"/>
  </r>
  <r>
    <x v="3"/>
    <s v="02/01/2026"/>
    <x v="5"/>
    <s v="7503014914002"/>
    <s v="CAPSULAS MULTIORGASMICO AMO O-GEN"/>
    <s v="CONSUMIBLE"/>
    <s v="POWER MAN"/>
    <n v="1"/>
    <n v="431.04"/>
  </r>
  <r>
    <x v="3"/>
    <s v="02/01/2026"/>
    <x v="5"/>
    <s v="7502214982477"/>
    <s v="Condon Fresa 3pzs - PRUDENCE"/>
    <s v="CONSUMIBLE"/>
    <s v="PRUDENCE"/>
    <n v="1"/>
    <n v="60.34"/>
  </r>
  <r>
    <x v="3"/>
    <s v="02/01/2026"/>
    <x v="5"/>
    <s v="7502214982811"/>
    <s v="Condones Mix Sabor y Aroma 5 pzs - PRUDENCE"/>
    <s v="CONSUMIBLE"/>
    <s v="PRUDENCE"/>
    <n v="1"/>
    <n v="77.59"/>
  </r>
  <r>
    <x v="3"/>
    <s v="02/01/2026"/>
    <x v="5"/>
    <s v="7503032300825"/>
    <s v="Lubricante Sachet natural 2 ml - BANANA SHAKE"/>
    <s v="CONSUMIBLE"/>
    <s v="BANANA SHAKE"/>
    <n v="10"/>
    <n v="172.4"/>
  </r>
  <r>
    <x v="3"/>
    <s v="02/01/2026"/>
    <x v="5"/>
    <s v="7503050524241"/>
    <s v="Orgasmik 30ml - DUSA"/>
    <s v="CONSUMIBLE PROPIO"/>
    <s v="DUSA"/>
    <n v="1"/>
    <n v="431.03"/>
  </r>
  <r>
    <x v="3"/>
    <s v="02/01/2026"/>
    <x v="5"/>
    <s v="7503013378010"/>
    <s v="Rigidex 2 pzas - DUSA"/>
    <s v="CONSUMIBLE PROPIO"/>
    <s v="DUSA"/>
    <n v="1"/>
    <n v="431.03"/>
  </r>
  <r>
    <x v="3"/>
    <s v="02/01/2026"/>
    <x v="5"/>
    <s v="7503013378690"/>
    <s v="Shumatsu 3 pzas - DUSA"/>
    <s v="CONSUMIBLE PROPIO"/>
    <s v="DUSA"/>
    <n v="4"/>
    <n v="2310.36"/>
  </r>
  <r>
    <x v="3"/>
    <s v="02/01/2026"/>
    <x v="5"/>
    <s v="716770036629"/>
    <s v="VIBRADOR SILICONE TRIPLE ORGASM ROSA"/>
    <s v="JUGUETE"/>
    <s v="CALEXOTICS"/>
    <n v="1"/>
    <n v="1293.0999999999999"/>
  </r>
  <r>
    <x v="3"/>
    <s v="02/01/2026"/>
    <x v="5"/>
    <s v="7503032300443"/>
    <s v="Zoe bala vibradora RETAIL - CXO"/>
    <s v="JUGUETE PROPIO"/>
    <s v="CXO"/>
    <n v="1"/>
    <n v="155.16999999999999"/>
  </r>
  <r>
    <x v="3"/>
    <s v="03/01/2026"/>
    <x v="7"/>
    <s v="7503043917081"/>
    <s v="Blade rosa anillo vibrador - CXO"/>
    <s v="JUGUETE PROPIO"/>
    <s v="CXO"/>
    <n v="1"/>
    <n v="81.900000000000006"/>
  </r>
  <r>
    <x v="3"/>
    <s v="03/01/2026"/>
    <x v="7"/>
    <s v="7503013378492"/>
    <s v="Clean Whisper 120ml - DUSA"/>
    <s v="CONSUMIBLE PROPIO"/>
    <s v="DUSA"/>
    <n v="3"/>
    <n v="905.16000000000008"/>
  </r>
  <r>
    <x v="3"/>
    <s v="03/01/2026"/>
    <x v="7"/>
    <s v="7503023462754"/>
    <s v="Fragancia con Feromonas Body Breeze Sexy DIAMANTE Cereza 125ml"/>
    <s v="CONSUMIBLE"/>
    <s v="DIAMANTE"/>
    <n v="1"/>
    <n v="413.79"/>
  </r>
  <r>
    <x v="3"/>
    <s v="03/01/2026"/>
    <x v="7"/>
    <s v="7503043917142"/>
    <s v="Hank negro anillo vibrador - CXO"/>
    <s v="JUGUETE PROPIO"/>
    <s v="CXO"/>
    <n v="1"/>
    <n v="818.97"/>
  </r>
  <r>
    <x v="3"/>
    <s v="03/01/2026"/>
    <x v="7"/>
    <s v="7503050524265"/>
    <s v="He Plus 30ml - DUSA"/>
    <s v="CONSUMIBLE PROPIO"/>
    <s v="DUSA"/>
    <n v="1"/>
    <n v="431.03"/>
  </r>
  <r>
    <x v="3"/>
    <s v="03/01/2026"/>
    <x v="7"/>
    <s v="7503032300993"/>
    <s v="Liquid Love Pleasure 30ml - DUSA"/>
    <s v="CONSUMIBLE PROPIO"/>
    <s v="DUSA"/>
    <n v="2"/>
    <n v="603.44000000000005"/>
  </r>
  <r>
    <x v="3"/>
    <s v="03/01/2026"/>
    <x v="7"/>
    <s v="7503013378645"/>
    <s v="Liquid Love Pleasure 100ml - DUSA"/>
    <s v="CONSUMIBLE PROPIO"/>
    <s v="DUSA"/>
    <n v="1"/>
    <n v="775.86"/>
  </r>
  <r>
    <x v="3"/>
    <s v="03/01/2026"/>
    <x v="7"/>
    <s v="7503013378799"/>
    <s v="Lubricante Body Surf Termico Citricos DUSA 60ml"/>
    <s v="CONSUMIBLE PROPIO"/>
    <s v="DUSA"/>
    <n v="2"/>
    <n v="775.86"/>
  </r>
  <r>
    <x v="3"/>
    <s v="03/01/2026"/>
    <x v="7"/>
    <s v="7503020596957"/>
    <s v="Shot Shumatsu Fun Hombre - DUSA"/>
    <s v="CONSUMIBLE PROPIO"/>
    <s v="DUSA"/>
    <n v="1"/>
    <n v="172.41"/>
  </r>
  <r>
    <x v="3"/>
    <s v="03/01/2026"/>
    <x v="7"/>
    <s v="7503024256192"/>
    <s v="Shot Shumatsu Fun Mujer - DUSA"/>
    <s v="CONSUMIBLE PROPIO"/>
    <s v="DUSA"/>
    <n v="1"/>
    <n v="172.41"/>
  </r>
  <r>
    <x v="3"/>
    <s v="03/01/2026"/>
    <x v="7"/>
    <s v="4061504007496"/>
    <s v="Succionado con App Curvy 1+ - Satisfayer"/>
    <s v="JUGUETE"/>
    <s v="SATISFAYER"/>
    <n v="1"/>
    <n v="1810.34"/>
  </r>
  <r>
    <x v="3"/>
    <s v="03/01/2026"/>
    <x v="7"/>
    <s v="6959633104668"/>
    <s v="Vibrador Ava Neo Rosa Durazno - SVAKOM"/>
    <s v="JUGUETE"/>
    <s v="SVAKOM"/>
    <n v="1"/>
    <n v="1810.34"/>
  </r>
  <r>
    <x v="3"/>
    <s v="03/01/2026"/>
    <x v="7"/>
    <s v="6959633105313"/>
    <s v="Vibrador de Prostata con Pulsaciones Iker Neo - SVAKOM"/>
    <s v="JUGUETE"/>
    <s v="SVAKOM"/>
    <n v="1"/>
    <n v="3879.31"/>
  </r>
  <r>
    <x v="3"/>
    <s v="03/01/2026"/>
    <x v="7"/>
    <s v="7503020104076"/>
    <s v="Vibrador multiorgásmico con succión y estimulación de punto G Lulu - CXO"/>
    <s v="JUGUETE PROPIO"/>
    <s v="CXO"/>
    <n v="1"/>
    <n v="2120.69"/>
  </r>
  <r>
    <x v="3"/>
    <s v="04/01/2026"/>
    <x v="7"/>
    <s v="7503043917081"/>
    <s v="Blade rosa anillo vibrador - CXO"/>
    <s v="JUGUETE PROPIO"/>
    <s v="CXO"/>
    <n v="1"/>
    <n v="81.900000000000006"/>
  </r>
  <r>
    <x v="3"/>
    <s v="04/01/2026"/>
    <x v="7"/>
    <s v="7502214985362"/>
    <s v="CONDON MUTUAL SENSATION C/3 - PRUDENCE"/>
    <s v="CONSUMIBLE"/>
    <s v="PRUDENCE"/>
    <n v="2"/>
    <n v="155.18"/>
  </r>
  <r>
    <x v="3"/>
    <s v="04/01/2026"/>
    <x v="7"/>
    <s v="7502214982811"/>
    <s v="Condones Mix Sabor y Aroma 5 pzs - PRUDENCE"/>
    <s v="CONSUMIBLE"/>
    <s v="PRUDENCE"/>
    <n v="1"/>
    <n v="77.59"/>
  </r>
  <r>
    <x v="3"/>
    <s v="04/01/2026"/>
    <x v="7"/>
    <s v="7500464543059"/>
    <s v="Dildo Realista con Ventosa 15.5cms Domi CXO"/>
    <s v="JUGUETE PROPIO"/>
    <s v="CXO"/>
    <n v="1"/>
    <n v="818.97"/>
  </r>
  <r>
    <x v="3"/>
    <s v="04/01/2026"/>
    <x v="7"/>
    <s v="7503013378645"/>
    <s v="Liquid Love Pleasure 100ml - DUSA"/>
    <s v="CONSUMIBLE PROPIO"/>
    <s v="DUSA"/>
    <n v="1"/>
    <n v="775.86"/>
  </r>
  <r>
    <x v="3"/>
    <s v="04/01/2026"/>
    <x v="7"/>
    <s v="7508304289037"/>
    <s v="LUBRICANTE C/FEROMONAS -LUJO- 40ML  RETARDADOR"/>
    <s v="CONSUMIBLE"/>
    <s v="DIAMANTE"/>
    <n v="1"/>
    <n v="508.62"/>
  </r>
  <r>
    <x v="3"/>
    <s v="04/01/2026"/>
    <x v="7"/>
    <s v="7500635214818"/>
    <s v="PANTY EN ENCAJE ABIERTA NEGRO 1481"/>
    <s v="LENCERIA"/>
    <s v="CHRISLIFERBRA"/>
    <n v="1"/>
    <n v="120.69"/>
  </r>
  <r>
    <x v="3"/>
    <s v="04/01/2026"/>
    <x v="7"/>
    <s v="7503020596957"/>
    <s v="Shot Shumatsu Fun Hombre - DUSA"/>
    <s v="CONSUMIBLE PROPIO"/>
    <s v="DUSA"/>
    <n v="2"/>
    <n v="344.82"/>
  </r>
  <r>
    <x v="3"/>
    <s v="04/01/2026"/>
    <x v="7"/>
    <s v="7503024256192"/>
    <s v="Shot Shumatsu Fun Mujer - DUSA"/>
    <s v="CONSUMIBLE PROPIO"/>
    <s v="DUSA"/>
    <n v="1"/>
    <n v="172.41"/>
  </r>
  <r>
    <x v="3"/>
    <s v="04/01/2026"/>
    <x v="7"/>
    <s v="7503013378690"/>
    <s v="Shumatsu 3 pzas - DUSA"/>
    <s v="CONSUMIBLE PROPIO"/>
    <s v="DUSA"/>
    <n v="4"/>
    <n v="2310.36"/>
  </r>
  <r>
    <x v="3"/>
    <s v="05/01/2026"/>
    <x v="7"/>
    <s v="7503024256154"/>
    <s v="Lubricante Body Surf Termico Cereza DUSA 60ml"/>
    <s v="CONSUMIBLE PROPIO"/>
    <s v="DUSA"/>
    <n v="1"/>
    <n v="387.93"/>
  </r>
  <r>
    <x v="3"/>
    <s v="05/01/2026"/>
    <x v="7"/>
    <s v="7503020596957"/>
    <s v="Shot Shumatsu Fun Hombre - DUSA"/>
    <s v="CONSUMIBLE PROPIO"/>
    <s v="DUSA"/>
    <n v="1"/>
    <n v="172.41"/>
  </r>
  <r>
    <x v="3"/>
    <s v="05/01/2026"/>
    <x v="7"/>
    <s v="7503013378690"/>
    <s v="Shumatsu 3 pzas - DUSA"/>
    <s v="CONSUMIBLE PROPIO"/>
    <s v="DUSA"/>
    <n v="2"/>
    <n v="1155.18"/>
  </r>
  <r>
    <x v="3"/>
    <s v="06/01/2026"/>
    <x v="7"/>
    <s v="7503020310205"/>
    <s v="Dildo Vibrador Termico Realista 3 en 1 con movimiento Hades-CXO"/>
    <s v="JUGUETE PROPIO"/>
    <s v="CXO"/>
    <n v="1"/>
    <n v="2500"/>
  </r>
  <r>
    <x v="3"/>
    <s v="06/01/2026"/>
    <x v="7"/>
    <s v="RYSC-159-C-ZT"/>
    <s v="Juego de Ataduras BDSM Sumision - CXO"/>
    <s v="JUGUETE PROPIO"/>
    <s v="CXO"/>
    <n v="1"/>
    <n v="775.86"/>
  </r>
  <r>
    <x v="3"/>
    <s v="06/01/2026"/>
    <x v="7"/>
    <s v="7503013378799"/>
    <s v="Lubricante Body Surf Termico Citricos DUSA 60ml"/>
    <s v="CONSUMIBLE PROPIO"/>
    <s v="DUSA"/>
    <n v="1"/>
    <n v="387.93"/>
  </r>
  <r>
    <x v="3"/>
    <s v="06/01/2026"/>
    <x v="7"/>
    <s v="4251460601283"/>
    <s v="Romp Jazz"/>
    <s v="JUGUETE"/>
    <s v="ROMP"/>
    <n v="1"/>
    <n v="2155.17"/>
  </r>
  <r>
    <x v="3"/>
    <s v="06/01/2026"/>
    <x v="7"/>
    <s v="7503013378690"/>
    <s v="Shumatsu 3 pzas - DUSA"/>
    <s v="CONSUMIBLE PROPIO"/>
    <s v="DUSA"/>
    <n v="1"/>
    <n v="577.59"/>
  </r>
  <r>
    <x v="3"/>
    <s v="06/01/2026"/>
    <x v="7"/>
    <s v="VDO03CB146001UN"/>
    <s v="Vestido Seducción nude - OLA MOU"/>
    <s v="LENCERIA PROPIA"/>
    <s v="OLA MOU : CHOCOLATES"/>
    <n v="1"/>
    <n v="413.79"/>
  </r>
  <r>
    <x v="3"/>
    <s v="07/01/2026"/>
    <x v="7"/>
    <s v="7503013378492"/>
    <s v="Clean Whisper 120ml - DUSA"/>
    <s v="CONSUMIBLE PROPIO"/>
    <s v="DUSA"/>
    <n v="1"/>
    <n v="301.72000000000003"/>
  </r>
  <r>
    <x v="3"/>
    <s v="07/01/2026"/>
    <x v="7"/>
    <s v="7503020310205"/>
    <s v="Dildo Vibrador Termico Realista 3 en 1 con movimiento Hades-CXO"/>
    <s v="JUGUETE PROPIO"/>
    <s v="CXO"/>
    <n v="1"/>
    <n v="2500"/>
  </r>
  <r>
    <x v="3"/>
    <s v="07/01/2026"/>
    <x v="7"/>
    <s v="7503043917012"/>
    <s v="Liquid Love Backdoor 30ml - DUSA"/>
    <s v="CONSUMIBLE PROPIO"/>
    <s v="DUSA"/>
    <n v="1"/>
    <n v="301.72000000000003"/>
  </r>
  <r>
    <x v="3"/>
    <s v="07/01/2026"/>
    <x v="7"/>
    <s v="7503043917005"/>
    <s v="Liquid Love Clear 30ml - DUSA"/>
    <s v="CONSUMIBLE PROPIO"/>
    <s v="DUSA"/>
    <n v="1"/>
    <n v="301.72000000000003"/>
  </r>
  <r>
    <x v="3"/>
    <s v="07/01/2026"/>
    <x v="7"/>
    <s v="7503032300993"/>
    <s v="Liquid Love Pleasure 30ml - DUSA"/>
    <s v="CONSUMIBLE PROPIO"/>
    <s v="DUSA"/>
    <n v="1"/>
    <n v="301.72000000000003"/>
  </r>
  <r>
    <x v="3"/>
    <s v="07/01/2026"/>
    <x v="7"/>
    <s v="7503020596049"/>
    <s v="Sensicool - DUSA"/>
    <s v="CONSUMIBLE PROPIO"/>
    <s v="DUSA"/>
    <n v="1"/>
    <n v="431.03"/>
  </r>
  <r>
    <x v="3"/>
    <s v="07/01/2026"/>
    <x v="7"/>
    <s v="7503020596957"/>
    <s v="Shot Shumatsu Fun Hombre - DUSA"/>
    <s v="CONSUMIBLE PROPIO"/>
    <s v="DUSA"/>
    <n v="1"/>
    <n v="172.41"/>
  </r>
  <r>
    <x v="3"/>
    <s v="07/01/2026"/>
    <x v="7"/>
    <s v="7503024256192"/>
    <s v="Shot Shumatsu Fun Mujer - DUSA"/>
    <s v="CONSUMIBLE PROPIO"/>
    <s v="DUSA"/>
    <n v="1"/>
    <n v="172.41"/>
  </r>
  <r>
    <x v="3"/>
    <s v="07/01/2026"/>
    <x v="7"/>
    <s v="4630017971008"/>
    <s v="Titan gel original - TITAN"/>
    <s v="CONSUMIBLE"/>
    <s v="TITAN"/>
    <n v="1"/>
    <n v="517.24"/>
  </r>
  <r>
    <x v="3"/>
    <s v="08/01/2026"/>
    <x v="7"/>
    <s v="7503013378492"/>
    <s v="Clean Whisper 120ml - DUSA"/>
    <s v="CONSUMIBLE PROPIO"/>
    <s v="DUSA"/>
    <n v="1"/>
    <n v="301.72000000000003"/>
  </r>
  <r>
    <x v="3"/>
    <s v="08/01/2026"/>
    <x v="7"/>
    <s v="7350075029288"/>
    <s v="HUGO 2 Remote Green - LELO"/>
    <s v="JUGUETE"/>
    <s v="LELO"/>
    <n v="1"/>
    <n v="5172.41"/>
  </r>
  <r>
    <x v="3"/>
    <s v="08/01/2026"/>
    <x v="7"/>
    <s v="7503043917005"/>
    <s v="Liquid Love Clear 30ml - DUSA"/>
    <s v="CONSUMIBLE PROPIO"/>
    <s v="DUSA"/>
    <n v="2"/>
    <n v="603.44000000000005"/>
  </r>
  <r>
    <x v="3"/>
    <s v="08/01/2026"/>
    <x v="7"/>
    <s v="7503032300382"/>
    <s v="Mon - CXO"/>
    <s v="JUGUETE PROPIO"/>
    <s v="CXO"/>
    <n v="1"/>
    <n v="517.24"/>
  </r>
  <r>
    <x v="3"/>
    <s v="08/01/2026"/>
    <x v="7"/>
    <s v="7503020596957"/>
    <s v="Shot Shumatsu Fun Hombre - DUSA"/>
    <s v="CONSUMIBLE PROPIO"/>
    <s v="DUSA"/>
    <n v="1"/>
    <n v="172.41"/>
  </r>
  <r>
    <x v="3"/>
    <s v="08/01/2026"/>
    <x v="7"/>
    <s v="7503024256192"/>
    <s v="Shot Shumatsu Fun Mujer - DUSA"/>
    <s v="CONSUMIBLE PROPIO"/>
    <s v="DUSA"/>
    <n v="1"/>
    <n v="172.41"/>
  </r>
  <r>
    <x v="3"/>
    <s v="09/01/2026"/>
    <x v="7"/>
    <s v="7503013378492"/>
    <s v="Clean Whisper 120ml - DUSA"/>
    <s v="CONSUMIBLE PROPIO"/>
    <s v="DUSA"/>
    <n v="1"/>
    <n v="301.72000000000003"/>
  </r>
  <r>
    <x v="3"/>
    <s v="09/01/2026"/>
    <x v="7"/>
    <s v="7502214982811"/>
    <s v="Condones Mix Sabor y Aroma 5 pzs - PRUDENCE"/>
    <s v="CONSUMIBLE"/>
    <s v="PRUDENCE"/>
    <n v="1"/>
    <n v="77.59"/>
  </r>
  <r>
    <x v="3"/>
    <s v="09/01/2026"/>
    <x v="7"/>
    <s v="6959633166963"/>
    <s v="Ella Neo rojo- SVAKOM"/>
    <s v="JUGUETE"/>
    <s v="SVAKOM"/>
    <n v="1"/>
    <n v="3017.24"/>
  </r>
  <r>
    <x v="3"/>
    <s v="09/01/2026"/>
    <x v="7"/>
    <s v="MBS0530"/>
    <s v="Esposas de broche - CXO"/>
    <s v="JUGUETE PROPIO"/>
    <s v="CXO"/>
    <n v="1"/>
    <n v="172.41"/>
  </r>
  <r>
    <x v="3"/>
    <s v="09/01/2026"/>
    <x v="7"/>
    <s v="7503013378652"/>
    <s v="Liquid Love Backdoor 100ml - DUSA"/>
    <s v="CONSUMIBLE PROPIO"/>
    <s v="DUSA"/>
    <n v="1"/>
    <n v="1077.5899999999999"/>
  </r>
  <r>
    <x v="3"/>
    <s v="09/01/2026"/>
    <x v="7"/>
    <s v="7503032300993"/>
    <s v="Liquid Love Pleasure 30ml - DUSA"/>
    <s v="CONSUMIBLE PROPIO"/>
    <s v="DUSA"/>
    <n v="1"/>
    <n v="301.72000000000003"/>
  </r>
  <r>
    <x v="3"/>
    <s v="09/01/2026"/>
    <x v="7"/>
    <s v="7503013378645"/>
    <s v="Liquid Love Pleasure 100ml - DUSA"/>
    <s v="CONSUMIBLE PROPIO"/>
    <s v="DUSA"/>
    <n v="1"/>
    <n v="775.86"/>
  </r>
  <r>
    <x v="3"/>
    <s v="09/01/2026"/>
    <x v="7"/>
    <s v="7503032300856"/>
    <s v="Sachet vibrador liquido 2 ml - BANANA SHAKE"/>
    <s v="CONSUMIBLE"/>
    <s v="BANANA SHAKE"/>
    <n v="4"/>
    <n v="68.959999999999994"/>
  </r>
  <r>
    <x v="3"/>
    <s v="09/01/2026"/>
    <x v="7"/>
    <s v="7503024256192"/>
    <s v="Shot Shumatsu Fun Mujer - DUSA"/>
    <s v="CONSUMIBLE PROPIO"/>
    <s v="DUSA"/>
    <n v="2"/>
    <n v="344.82"/>
  </r>
  <r>
    <x v="3"/>
    <s v="09/01/2026"/>
    <x v="7"/>
    <s v="7503013378690"/>
    <s v="Shumatsu 3 pzas - DUSA"/>
    <s v="CONSUMIBLE PROPIO"/>
    <s v="DUSA"/>
    <n v="1"/>
    <n v="577.59"/>
  </r>
  <r>
    <x v="3"/>
    <s v="09/01/2026"/>
    <x v="7"/>
    <s v="7503020104081"/>
    <s v="Vibrador multiorgásmico con succionador y textura suave Paty – CXO"/>
    <s v="JUGUETE PROPIO"/>
    <s v="CXO"/>
    <n v="1"/>
    <n v="2353.4499999999998"/>
  </r>
  <r>
    <x v="3"/>
    <s v="10/01/2026"/>
    <x v="5"/>
    <s v="7503032300054"/>
    <s v="Arnes Eskeletor - CXO"/>
    <s v="JUGUETE PROPIO"/>
    <s v="CXO"/>
    <n v="1"/>
    <n v="750"/>
  </r>
  <r>
    <x v="3"/>
    <s v="10/01/2026"/>
    <x v="5"/>
    <s v="7503014914002"/>
    <s v="CAPSULAS MULTIORGASMICO AMO O-GEN"/>
    <s v="CONSUMIBLE"/>
    <s v="POWER MAN"/>
    <n v="1"/>
    <n v="431.04"/>
  </r>
  <r>
    <x v="3"/>
    <s v="10/01/2026"/>
    <x v="5"/>
    <s v="7502214980053"/>
    <s v="CONDON TRUST NATURAL CON 3 MAQ - PRUDENCE"/>
    <s v="CONSUMIBLE"/>
    <s v="PRUDENCE"/>
    <n v="1"/>
    <n v="77.59"/>
  </r>
  <r>
    <x v="3"/>
    <s v="10/01/2026"/>
    <x v="5"/>
    <s v="COR03CB131001UN"/>
    <s v="Corset con ligero MOD. 1428 - OLA MOU"/>
    <s v="LENCERIA PROPIA"/>
    <s v="OLA MOU : CHOCOLATES"/>
    <n v="1"/>
    <n v="465.51"/>
  </r>
  <r>
    <x v="3"/>
    <s v="10/01/2026"/>
    <x v="5"/>
    <s v="7503030102034"/>
    <s v="Dildo vibrador con control Anthony - CXO"/>
    <s v="JUGUETE PROPIO"/>
    <s v="CXO"/>
    <n v="1"/>
    <n v="2112.0700000000002"/>
  </r>
  <r>
    <x v="3"/>
    <s v="10/01/2026"/>
    <x v="5"/>
    <s v="7508304288405"/>
    <s v="Feromonas en gel para mujer 20ml - DIAMANTE"/>
    <s v="CONSUMIBLE"/>
    <s v="DIAMANTE"/>
    <n v="1"/>
    <n v="379.31"/>
  </r>
  <r>
    <x v="3"/>
    <s v="10/01/2026"/>
    <x v="5"/>
    <s v="7503043917142"/>
    <s v="Hank negro anillo vibrador - CXO"/>
    <s v="JUGUETE PROPIO"/>
    <s v="CXO"/>
    <n v="1"/>
    <n v="818.97"/>
  </r>
  <r>
    <x v="3"/>
    <s v="10/01/2026"/>
    <x v="5"/>
    <s v="7503043917012"/>
    <s v="Liquid Love Backdoor 30ml - DUSA"/>
    <s v="CONSUMIBLE PROPIO"/>
    <s v="DUSA"/>
    <n v="1"/>
    <n v="301.72000000000003"/>
  </r>
  <r>
    <x v="3"/>
    <s v="10/01/2026"/>
    <x v="5"/>
    <s v="7503032300993"/>
    <s v="Liquid Love Pleasure 30ml - DUSA"/>
    <s v="CONSUMIBLE PROPIO"/>
    <s v="DUSA"/>
    <n v="3"/>
    <n v="905.16000000000008"/>
  </r>
  <r>
    <x v="3"/>
    <s v="10/01/2026"/>
    <x v="5"/>
    <s v="7503013378645"/>
    <s v="Liquid Love Pleasure 100ml - DUSA"/>
    <s v="CONSUMIBLE PROPIO"/>
    <s v="DUSA"/>
    <n v="1"/>
    <n v="775.86"/>
  </r>
  <r>
    <x v="3"/>
    <s v="10/01/2026"/>
    <x v="5"/>
    <s v="7503032300382"/>
    <s v="Mon - CXO"/>
    <s v="JUGUETE PROPIO"/>
    <s v="CXO"/>
    <n v="1"/>
    <n v="517.24"/>
  </r>
  <r>
    <x v="3"/>
    <s v="10/01/2026"/>
    <x v="5"/>
    <s v="7503013378010"/>
    <s v="Rigidex 2 pzas - DUSA"/>
    <s v="CONSUMIBLE PROPIO"/>
    <s v="DUSA"/>
    <n v="4"/>
    <n v="1724.12"/>
  </r>
  <r>
    <x v="3"/>
    <s v="10/01/2026"/>
    <x v="5"/>
    <s v="7503020104076"/>
    <s v="Vibrador multiorgásmico con succión y estimulación de punto G Lulu - CXO"/>
    <s v="JUGUETE PROPIO"/>
    <s v="CXO"/>
    <n v="1"/>
    <n v="2120.69"/>
  </r>
  <r>
    <x v="3"/>
    <s v="10/01/2026"/>
    <x v="5"/>
    <s v="7503020105074"/>
    <s v="Vibrador para parejas con doble estimulación Hanna -  CXO"/>
    <s v="JUGUETE PROPIO"/>
    <s v="CXO"/>
    <n v="1"/>
    <n v="2163.79"/>
  </r>
  <r>
    <x v="3"/>
    <s v="11/01/2026"/>
    <x v="7"/>
    <s v="7503024256727"/>
    <s v="Cola de Zorro 45cm negro S - CXO"/>
    <s v="JUGUETE PROPIO"/>
    <s v="CXO"/>
    <n v="1"/>
    <n v="258.62"/>
  </r>
  <r>
    <x v="3"/>
    <s v="11/01/2026"/>
    <x v="7"/>
    <s v="7350075029325"/>
    <s v="Enigma Wave negro - LELO"/>
    <s v="JUGUETE"/>
    <s v="LELO"/>
    <n v="1"/>
    <n v="5862.07"/>
  </r>
  <r>
    <x v="3"/>
    <s v="11/01/2026"/>
    <x v="7"/>
    <s v="7503032300993"/>
    <s v="Liquid Love Pleasure 30ml - DUSA"/>
    <s v="CONSUMIBLE PROPIO"/>
    <s v="DUSA"/>
    <n v="1"/>
    <n v="301.72000000000003"/>
  </r>
  <r>
    <x v="3"/>
    <s v="11/01/2026"/>
    <x v="7"/>
    <s v="7503013378645"/>
    <s v="Liquid Love Pleasure 100ml - DUSA"/>
    <s v="CONSUMIBLE PROPIO"/>
    <s v="DUSA"/>
    <n v="1"/>
    <n v="775.86"/>
  </r>
  <r>
    <x v="3"/>
    <s v="11/01/2026"/>
    <x v="7"/>
    <s v="7503032300382"/>
    <s v="Mon - CXO"/>
    <s v="JUGUETE PROPIO"/>
    <s v="CXO"/>
    <n v="1"/>
    <n v="517.24"/>
  </r>
  <r>
    <x v="3"/>
    <s v="11/01/2026"/>
    <x v="7"/>
    <s v="7503013378010"/>
    <s v="Rigidex 2 pzas - DUSA"/>
    <s v="CONSUMIBLE PROPIO"/>
    <s v="DUSA"/>
    <n v="1"/>
    <n v="431.03"/>
  </r>
  <r>
    <x v="3"/>
    <s v="11/01/2026"/>
    <x v="7"/>
    <s v="7503020596957"/>
    <s v="Shot Shumatsu Fun Hombre - DUSA"/>
    <s v="CONSUMIBLE PROPIO"/>
    <s v="DUSA"/>
    <n v="1"/>
    <n v="172.41"/>
  </r>
  <r>
    <x v="3"/>
    <s v="11/01/2026"/>
    <x v="7"/>
    <s v="7503024256192"/>
    <s v="Shot Shumatsu Fun Mujer - DUSA"/>
    <s v="CONSUMIBLE PROPIO"/>
    <s v="DUSA"/>
    <n v="1"/>
    <n v="172.41"/>
  </r>
  <r>
    <x v="3"/>
    <s v="11/01/2026"/>
    <x v="7"/>
    <s v="4061504007496"/>
    <s v="Succionado con App Curvy 1+ - Satisfayer"/>
    <s v="JUGUETE"/>
    <s v="SATISFAYER"/>
    <n v="1"/>
    <n v="1810.34"/>
  </r>
  <r>
    <x v="3"/>
    <s v="12/01/2026"/>
    <x v="7"/>
    <s v="7503030211021"/>
    <s v="Anillo desechable para pene Donut - CXO"/>
    <s v="JUGUETE PROPIO"/>
    <s v="CXO"/>
    <n v="2"/>
    <n v="68.97"/>
  </r>
  <r>
    <x v="3"/>
    <s v="12/01/2026"/>
    <x v="7"/>
    <s v="7503043917012"/>
    <s v="Liquid Love Backdoor 30ml - DUSA"/>
    <s v="CONSUMIBLE PROPIO"/>
    <s v="DUSA"/>
    <n v="1"/>
    <n v="301.72000000000003"/>
  </r>
  <r>
    <x v="3"/>
    <s v="12/01/2026"/>
    <x v="7"/>
    <s v="7503013378652"/>
    <s v="Liquid Love Backdoor 100ml - DUSA"/>
    <s v="CONSUMIBLE PROPIO"/>
    <s v="DUSA"/>
    <n v="1"/>
    <n v="1077.5899999999999"/>
  </r>
  <r>
    <x v="3"/>
    <s v="12/01/2026"/>
    <x v="7"/>
    <s v="7503043917005"/>
    <s v="Liquid Love Clear 30ml - DUSA"/>
    <s v="CONSUMIBLE PROPIO"/>
    <s v="DUSA"/>
    <n v="1"/>
    <n v="301.72000000000003"/>
  </r>
  <r>
    <x v="3"/>
    <s v="12/01/2026"/>
    <x v="7"/>
    <s v="7503013378645"/>
    <s v="Liquid Love Pleasure 100ml - DUSA"/>
    <s v="CONSUMIBLE PROPIO"/>
    <s v="DUSA"/>
    <n v="1"/>
    <n v="775.86"/>
  </r>
  <r>
    <x v="3"/>
    <s v="12/01/2026"/>
    <x v="7"/>
    <s v="7503032300382"/>
    <s v="Mon - CXO"/>
    <s v="JUGUETE PROPIO"/>
    <s v="CXO"/>
    <n v="1"/>
    <n v="517.24"/>
  </r>
  <r>
    <x v="3"/>
    <s v="12/01/2026"/>
    <x v="7"/>
    <s v="7503050226162"/>
    <s v="Plug Anal con Vibración y Control Roberto - CXO"/>
    <s v="JUGUETE PROPIO"/>
    <s v="CXO"/>
    <n v="1"/>
    <n v="1293.0999999999999"/>
  </r>
  <r>
    <x v="3"/>
    <s v="12/01/2026"/>
    <x v="7"/>
    <s v="7503013378010"/>
    <s v="Rigidex 2 pzas - DUSA"/>
    <s v="CONSUMIBLE PROPIO"/>
    <s v="DUSA"/>
    <n v="1"/>
    <n v="431.03"/>
  </r>
  <r>
    <x v="3"/>
    <s v="13/01/2026"/>
    <x v="5"/>
    <s v="75030205968724"/>
    <s v="Funda texturizada transparente con bala vibradora  - CXO"/>
    <s v="JUGUETE PROPIO"/>
    <s v="CXO"/>
    <n v="1"/>
    <n v="474.14"/>
  </r>
  <r>
    <x v="3"/>
    <s v="13/01/2026"/>
    <x v="5"/>
    <s v="7503043917142"/>
    <s v="Hank negro anillo vibrador - CXO"/>
    <s v="JUGUETE PROPIO"/>
    <s v="CXO"/>
    <n v="1"/>
    <n v="818.97"/>
  </r>
  <r>
    <x v="3"/>
    <s v="13/01/2026"/>
    <x v="5"/>
    <s v="7503024256154"/>
    <s v="Lubricante Body Surf Termico Cereza DUSA 60ml"/>
    <s v="CONSUMIBLE PROPIO"/>
    <s v="DUSA"/>
    <n v="1"/>
    <n v="387.93"/>
  </r>
  <r>
    <x v="3"/>
    <s v="14/01/2026"/>
    <x v="7"/>
    <s v="7503032300474"/>
    <s v="Cola de Zorro 45cm blanco S - CXO"/>
    <s v="JUGUETE PROPIO"/>
    <s v="CXO"/>
    <n v="1"/>
    <n v="258.62"/>
  </r>
  <r>
    <x v="3"/>
    <s v="14/01/2026"/>
    <x v="7"/>
    <s v="7503043917005"/>
    <s v="Liquid Love Clear 30ml - DUSA"/>
    <s v="CONSUMIBLE PROPIO"/>
    <s v="DUSA"/>
    <n v="1"/>
    <n v="301.72000000000003"/>
  </r>
  <r>
    <x v="3"/>
    <s v="14/01/2026"/>
    <x v="7"/>
    <s v="SE018"/>
    <s v="Masturbador Jarrón - CXO"/>
    <s v="JUGUETE PROPIO"/>
    <s v="CXO"/>
    <n v="1"/>
    <n v="1034.48"/>
  </r>
  <r>
    <x v="3"/>
    <s v="14/01/2026"/>
    <x v="7"/>
    <s v="6970556034061"/>
    <s v="Multiorgasmico con succion y extensor Anna - CXO"/>
    <s v="JUGUETE PROPIO"/>
    <s v="CXO"/>
    <n v="1"/>
    <n v="1982.76"/>
  </r>
  <r>
    <x v="3"/>
    <s v="14/01/2026"/>
    <x v="7"/>
    <s v="7503043917593"/>
    <s v="Nora dildo vibrador - CXO"/>
    <s v="JUGUETE PROPIO"/>
    <s v="CXO"/>
    <n v="1"/>
    <n v="474.14"/>
  </r>
  <r>
    <x v="3"/>
    <s v="14/01/2026"/>
    <x v="7"/>
    <s v="7503020596957"/>
    <s v="Shot Shumatsu Fun Hombre - DUSA"/>
    <s v="CONSUMIBLE PROPIO"/>
    <s v="DUSA"/>
    <n v="1"/>
    <n v="172.41"/>
  </r>
  <r>
    <x v="3"/>
    <s v="14/01/2026"/>
    <x v="7"/>
    <s v="7503024256192"/>
    <s v="Shot Shumatsu Fun Mujer - DUSA"/>
    <s v="CONSUMIBLE PROPIO"/>
    <s v="DUSA"/>
    <n v="1"/>
    <n v="172.41"/>
  </r>
  <r>
    <x v="3"/>
    <s v="15/01/2026"/>
    <x v="7"/>
    <s v="7503013378645"/>
    <s v="Liquid Love Pleasure 100ml - DUSA"/>
    <s v="CONSUMIBLE PROPIO"/>
    <s v="DUSA"/>
    <n v="1"/>
    <n v="775.86"/>
  </r>
  <r>
    <x v="3"/>
    <s v="16/01/2026"/>
    <x v="7"/>
    <s v="7503024256727"/>
    <s v="Cola de Zorro 45cm negro S - CXO"/>
    <s v="JUGUETE PROPIO"/>
    <s v="CXO"/>
    <n v="1"/>
    <n v="258.62"/>
  </r>
  <r>
    <x v="3"/>
    <s v="16/01/2026"/>
    <x v="7"/>
    <s v="7503032300214"/>
    <s v="Cola de Zorro Arcoiris 38cm S - CXO"/>
    <s v="JUGUETE PROPIO"/>
    <s v="CXO"/>
    <n v="1"/>
    <n v="258.62"/>
  </r>
  <r>
    <x v="3"/>
    <s v="16/01/2026"/>
    <x v="7"/>
    <s v="ACG0976SV0WB"/>
    <s v="Dildo Vibrador con Impulsor Estimulador de Clítoris Conny - CXO"/>
    <s v="JUGUETE PROPIO"/>
    <s v="CXO"/>
    <n v="1"/>
    <n v="2198.2800000000002"/>
  </r>
  <r>
    <x v="3"/>
    <s v="16/01/2026"/>
    <x v="7"/>
    <s v="7503043917012"/>
    <s v="Liquid Love Backdoor 30ml - DUSA"/>
    <s v="CONSUMIBLE PROPIO"/>
    <s v="DUSA"/>
    <n v="1"/>
    <n v="301.72000000000003"/>
  </r>
  <r>
    <x v="3"/>
    <s v="16/01/2026"/>
    <x v="7"/>
    <s v="7503032300993"/>
    <s v="Liquid Love Pleasure 30ml - DUSA"/>
    <s v="CONSUMIBLE PROPIO"/>
    <s v="DUSA"/>
    <n v="1"/>
    <n v="301.72000000000003"/>
  </r>
  <r>
    <x v="3"/>
    <s v="16/01/2026"/>
    <x v="7"/>
    <s v="7503013378645"/>
    <s v="Liquid Love Pleasure 100ml - DUSA"/>
    <s v="CONSUMIBLE PROPIO"/>
    <s v="DUSA"/>
    <n v="2"/>
    <n v="1551.72"/>
  </r>
  <r>
    <x v="3"/>
    <s v="16/01/2026"/>
    <x v="7"/>
    <s v="7503024256154"/>
    <s v="Lubricante Body Surf Termico Cereza DUSA 60ml"/>
    <s v="CONSUMIBLE PROPIO"/>
    <s v="DUSA"/>
    <n v="1"/>
    <n v="387.93"/>
  </r>
  <r>
    <x v="3"/>
    <s v="16/01/2026"/>
    <x v="7"/>
    <s v="7503013378799"/>
    <s v="Lubricante Body Surf Termico Citricos DUSA 60ml"/>
    <s v="CONSUMIBLE PROPIO"/>
    <s v="DUSA"/>
    <n v="1"/>
    <n v="387.93"/>
  </r>
  <r>
    <x v="3"/>
    <s v="16/01/2026"/>
    <x v="7"/>
    <s v="75078737"/>
    <s v="Mini Kit Dulces 2 piezas - SXO"/>
    <s v="CONSUMIBLE"/>
    <s v="SXO"/>
    <n v="1"/>
    <n v="120.69"/>
  </r>
  <r>
    <x v="3"/>
    <s v="16/01/2026"/>
    <x v="7"/>
    <s v="7503032300856"/>
    <s v="Sachet vibrador liquido 2 ml - BANANA SHAKE"/>
    <s v="CONSUMIBLE"/>
    <s v="BANANA SHAKE"/>
    <n v="10"/>
    <n v="172.4"/>
  </r>
  <r>
    <x v="3"/>
    <s v="16/01/2026"/>
    <x v="7"/>
    <s v="7503020596957"/>
    <s v="Shot Shumatsu Fun Hombre - DUSA"/>
    <s v="CONSUMIBLE PROPIO"/>
    <s v="DUSA"/>
    <n v="2"/>
    <n v="344.82"/>
  </r>
  <r>
    <x v="3"/>
    <s v="16/01/2026"/>
    <x v="7"/>
    <s v="7503024256192"/>
    <s v="Shot Shumatsu Fun Mujer - DUSA"/>
    <s v="CONSUMIBLE PROPIO"/>
    <s v="DUSA"/>
    <n v="2"/>
    <n v="344.82"/>
  </r>
  <r>
    <x v="3"/>
    <s v="16/01/2026"/>
    <x v="7"/>
    <s v="7503013378690"/>
    <s v="Shumatsu 3 pzas - DUSA"/>
    <s v="CONSUMIBLE PROPIO"/>
    <s v="DUSA"/>
    <n v="3"/>
    <n v="1732.77"/>
  </r>
  <r>
    <x v="3"/>
    <s v="16/01/2026"/>
    <x v="7"/>
    <s v="4061504051604"/>
    <s v="Succionador Cutie Heart - Satisfayer"/>
    <s v="JUGUETE"/>
    <s v="SATISFAYER"/>
    <n v="1"/>
    <n v="1896.55"/>
  </r>
  <r>
    <x v="3"/>
    <s v="16/01/2026"/>
    <x v="7"/>
    <s v="782421081294"/>
    <s v="Vibrador Expander anal - DOC JOHNSON"/>
    <s v="JUGUETE"/>
    <s v="DOC JOHNSON"/>
    <n v="1"/>
    <n v="2758.62"/>
  </r>
  <r>
    <x v="3"/>
    <s v="17/01/2026"/>
    <x v="7"/>
    <s v="7503020111072"/>
    <s v="Anillo vibrador recargable con textura negra Hank - CXO"/>
    <s v="JUGUETE PROPIO"/>
    <s v="CXO"/>
    <n v="1"/>
    <n v="1267.24"/>
  </r>
  <r>
    <x v="3"/>
    <s v="17/01/2026"/>
    <x v="7"/>
    <s v="7503043917081"/>
    <s v="Blade rosa anillo vibrador - CXO"/>
    <s v="JUGUETE PROPIO"/>
    <s v="CXO"/>
    <n v="1"/>
    <n v="81.900000000000006"/>
  </r>
  <r>
    <x v="3"/>
    <s v="17/01/2026"/>
    <x v="7"/>
    <s v="7503032300498"/>
    <s v="Cola de Zorro 45cm cafe M - CXO"/>
    <s v="JUGUETE PROPIO"/>
    <s v="CXO"/>
    <n v="1"/>
    <n v="301.72000000000003"/>
  </r>
  <r>
    <x v="3"/>
    <s v="17/01/2026"/>
    <x v="7"/>
    <s v="75080471"/>
    <s v="Dulces Garganta Profunda 2 piezas Sabor Uva - SXO"/>
    <s v="CONSUMIBLE"/>
    <s v="SXO"/>
    <n v="1"/>
    <n v="120.69"/>
  </r>
  <r>
    <x v="3"/>
    <s v="17/01/2026"/>
    <x v="7"/>
    <s v="7503013378645"/>
    <s v="Liquid Love Pleasure 100ml - DUSA"/>
    <s v="CONSUMIBLE PROPIO"/>
    <s v="DUSA"/>
    <n v="1"/>
    <n v="775.86"/>
  </r>
  <r>
    <x v="3"/>
    <s v="17/01/2026"/>
    <x v="7"/>
    <s v="7503023462198"/>
    <s v="Lubricante Masaje Térmico Comestible Plátano Excitante FEEL LOVE 4 en 1 - 60ml"/>
    <s v="LUBRICANTE"/>
    <s v="FEEL LOVE"/>
    <n v="1"/>
    <n v="344.83"/>
  </r>
  <r>
    <x v="3"/>
    <s v="17/01/2026"/>
    <x v="7"/>
    <s v="7503032300856"/>
    <s v="Sachet vibrador liquido 2 ml - BANANA SHAKE"/>
    <s v="CONSUMIBLE"/>
    <s v="BANANA SHAKE"/>
    <n v="10"/>
    <n v="172.4"/>
  </r>
  <r>
    <x v="3"/>
    <s v="17/01/2026"/>
    <x v="7"/>
    <s v="7503020596957"/>
    <s v="Shot Shumatsu Fun Hombre - DUSA"/>
    <s v="CONSUMIBLE PROPIO"/>
    <s v="DUSA"/>
    <n v="2"/>
    <n v="344.82"/>
  </r>
  <r>
    <x v="3"/>
    <s v="17/01/2026"/>
    <x v="7"/>
    <s v="7503024256192"/>
    <s v="Shot Shumatsu Fun Mujer - DUSA"/>
    <s v="CONSUMIBLE PROPIO"/>
    <s v="DUSA"/>
    <n v="1"/>
    <n v="172.41"/>
  </r>
  <r>
    <x v="3"/>
    <s v="17/01/2026"/>
    <x v="7"/>
    <s v="7503013378690"/>
    <s v="Shumatsu 3 pzas - DUSA"/>
    <s v="CONSUMIBLE PROPIO"/>
    <s v="DUSA"/>
    <n v="1"/>
    <n v="577.59"/>
  </r>
  <r>
    <x v="3"/>
    <s v="17/01/2026"/>
    <x v="7"/>
    <s v="4061504007496"/>
    <s v="Succionado con App Curvy 1+ - Satisfayer"/>
    <s v="JUGUETE"/>
    <s v="SATISFAYER"/>
    <n v="1"/>
    <n v="1810.34"/>
  </r>
  <r>
    <x v="3"/>
    <s v="17/01/2026"/>
    <x v="7"/>
    <s v="7503032300443"/>
    <s v="Zoe bala vibradora RETAIL - CXO"/>
    <s v="JUGUETE PROPIO"/>
    <s v="CXO"/>
    <n v="1"/>
    <n v="155.16999999999999"/>
  </r>
  <r>
    <x v="3"/>
    <s v="18/01/2026"/>
    <x v="7"/>
    <s v="7503024256154"/>
    <s v="Lubricante Body Surf Termico Cereza DUSA 60ml"/>
    <s v="CONSUMIBLE PROPIO"/>
    <s v="DUSA"/>
    <n v="1"/>
    <n v="387.93"/>
  </r>
  <r>
    <x v="3"/>
    <s v="18/01/2026"/>
    <x v="7"/>
    <s v="7503013378010"/>
    <s v="Rigidex 2 pzas - DUSA"/>
    <s v="CONSUMIBLE PROPIO"/>
    <s v="DUSA"/>
    <n v="1"/>
    <n v="431.03"/>
  </r>
  <r>
    <x v="3"/>
    <s v="19/01/2026"/>
    <x v="7"/>
    <s v="7503013378492"/>
    <s v="Clean Whisper 120ml - DUSA"/>
    <s v="CONSUMIBLE PROPIO"/>
    <s v="DUSA"/>
    <n v="1"/>
    <n v="301.72000000000003"/>
  </r>
  <r>
    <x v="3"/>
    <s v="19/01/2026"/>
    <x v="7"/>
    <s v="7503030202167"/>
    <s v="Dildo hiper realista con ventosa Raul - CXO"/>
    <s v="JUGUETE PROPIO"/>
    <s v="CXO"/>
    <n v="1"/>
    <n v="1525.86"/>
  </r>
  <r>
    <x v="3"/>
    <s v="19/01/2026"/>
    <x v="7"/>
    <s v="7503043917012"/>
    <s v="Liquid Love Backdoor 30ml - DUSA"/>
    <s v="CONSUMIBLE PROPIO"/>
    <s v="DUSA"/>
    <n v="1"/>
    <n v="301.72000000000003"/>
  </r>
  <r>
    <x v="3"/>
    <s v="19/01/2026"/>
    <x v="7"/>
    <s v="7503043917005"/>
    <s v="Liquid Love Clear 30ml - DUSA"/>
    <s v="CONSUMIBLE PROPIO"/>
    <s v="DUSA"/>
    <n v="1"/>
    <n v="301.72000000000003"/>
  </r>
  <r>
    <x v="3"/>
    <s v="19/01/2026"/>
    <x v="7"/>
    <s v="7503032300993"/>
    <s v="Liquid Love Pleasure 30ml - DUSA"/>
    <s v="CONSUMIBLE PROPIO"/>
    <s v="DUSA"/>
    <n v="1"/>
    <n v="301.72000000000003"/>
  </r>
  <r>
    <x v="3"/>
    <s v="19/01/2026"/>
    <x v="7"/>
    <s v="7503024256154"/>
    <s v="Lubricante Body Surf Termico Cereza DUSA 60ml"/>
    <s v="CONSUMIBLE PROPIO"/>
    <s v="DUSA"/>
    <n v="1"/>
    <n v="387.93"/>
  </r>
  <r>
    <x v="3"/>
    <s v="19/01/2026"/>
    <x v="7"/>
    <s v="7503013378256"/>
    <s v="Sammy - CXO"/>
    <s v="JUGUETE PROPIO"/>
    <s v="CXO"/>
    <n v="1"/>
    <n v="1551.72"/>
  </r>
  <r>
    <x v="3"/>
    <s v="19/01/2026"/>
    <x v="7"/>
    <s v="7503020596957"/>
    <s v="Shot Shumatsu Fun Hombre - DUSA"/>
    <s v="CONSUMIBLE PROPIO"/>
    <s v="DUSA"/>
    <n v="1"/>
    <n v="172.41"/>
  </r>
  <r>
    <x v="3"/>
    <s v="19/01/2026"/>
    <x v="7"/>
    <s v="7503024256192"/>
    <s v="Shot Shumatsu Fun Mujer - DUSA"/>
    <s v="CONSUMIBLE PROPIO"/>
    <s v="DUSA"/>
    <n v="2"/>
    <n v="344.82"/>
  </r>
  <r>
    <x v="3"/>
    <s v="19/01/2026"/>
    <x v="7"/>
    <s v="7503013378690"/>
    <s v="Shumatsu 3 pzas - DUSA"/>
    <s v="CONSUMIBLE PROPIO"/>
    <s v="DUSA"/>
    <n v="1"/>
    <n v="577.59"/>
  </r>
  <r>
    <x v="3"/>
    <s v="19/01/2026"/>
    <x v="7"/>
    <s v="7503020596063"/>
    <s v="Stallion Regenerador - DUSA"/>
    <s v="CONSUMIBLE PROPIO"/>
    <s v="DUSA"/>
    <n v="1"/>
    <n v="1293.0999999999999"/>
  </r>
  <r>
    <x v="3"/>
    <s v="19/01/2026"/>
    <x v="7"/>
    <s v="7503020104212"/>
    <s v="Vibrador multiorgasmico con aleta estimuladora Megan - CXO"/>
    <s v="JUGUETE PROPIO"/>
    <s v="CXO"/>
    <n v="1"/>
    <n v="2413.79"/>
  </r>
  <r>
    <x v="3"/>
    <s v="20/01/2026"/>
    <x v="7"/>
    <s v="7503030207201"/>
    <s v="Funda semi realista para pene Rodolfo - CXO"/>
    <s v="JUGUETE PROPIO"/>
    <s v="CXO"/>
    <n v="1"/>
    <n v="1137.93"/>
  </r>
  <r>
    <x v="3"/>
    <s v="20/01/2026"/>
    <x v="7"/>
    <s v="7503032300993"/>
    <s v="Liquid Love Pleasure 30ml - DUSA"/>
    <s v="CONSUMIBLE PROPIO"/>
    <s v="DUSA"/>
    <n v="2"/>
    <n v="603.44000000000005"/>
  </r>
  <r>
    <x v="3"/>
    <s v="20/01/2026"/>
    <x v="7"/>
    <s v="7503013378799"/>
    <s v="Lubricante Body Surf Termico Citricos DUSA 60ml"/>
    <s v="CONSUMIBLE PROPIO"/>
    <s v="DUSA"/>
    <n v="1"/>
    <n v="387.93"/>
  </r>
  <r>
    <x v="3"/>
    <s v="20/01/2026"/>
    <x v="7"/>
    <s v="7503032300856"/>
    <s v="Sachet vibrador liquido 2 ml - BANANA SHAKE"/>
    <s v="CONSUMIBLE"/>
    <s v="BANANA SHAKE"/>
    <n v="5"/>
    <n v="86.2"/>
  </r>
  <r>
    <x v="3"/>
    <s v="20/01/2026"/>
    <x v="7"/>
    <s v="7503020104212"/>
    <s v="Vibrador multiorgasmico con aleta estimuladora Megan - CXO"/>
    <s v="JUGUETE PROPIO"/>
    <s v="CXO"/>
    <n v="1"/>
    <n v="2413.79"/>
  </r>
  <r>
    <x v="3"/>
    <s v="21/01/2026"/>
    <x v="7"/>
    <s v="CON01CH007003XL"/>
    <s v="Conjunto Gina XL negro"/>
    <s v="LENCERIA PROPIA"/>
    <s v="OLA MOU"/>
    <n v="1"/>
    <n v="655.16999999999996"/>
  </r>
  <r>
    <x v="3"/>
    <s v="21/01/2026"/>
    <x v="7"/>
    <s v="7503050524265"/>
    <s v="He Plus 30ml - DUSA"/>
    <s v="CONSUMIBLE PROPIO"/>
    <s v="DUSA"/>
    <n v="1"/>
    <n v="431.03"/>
  </r>
  <r>
    <x v="3"/>
    <s v="21/01/2026"/>
    <x v="7"/>
    <s v="P07-00252"/>
    <s v="Huevito Vibrador con Lenguita Estimuladora de Clitoris Rosy - CXO"/>
    <s v="JUGUETE PROPIO"/>
    <s v="CXO"/>
    <n v="1"/>
    <n v="2672.41"/>
  </r>
  <r>
    <x v="3"/>
    <s v="21/01/2026"/>
    <x v="7"/>
    <s v="7503013378645"/>
    <s v="Liquid Love Pleasure 100ml - DUSA"/>
    <s v="CONSUMIBLE PROPIO"/>
    <s v="DUSA"/>
    <n v="1"/>
    <n v="775.86"/>
  </r>
  <r>
    <x v="3"/>
    <s v="21/01/2026"/>
    <x v="7"/>
    <s v="SC258C01"/>
    <s v="Multiorgasmico dual con estimulador de clitoris 360 con 10 modos Dany - CXO"/>
    <s v="JUGUETE PROPIO"/>
    <s v="CXO"/>
    <n v="1"/>
    <n v="3017.24"/>
  </r>
  <r>
    <x v="3"/>
    <s v="22/01/2026"/>
    <x v="7"/>
    <s v="7503013378492"/>
    <s v="Clean Whisper 120ml - DUSA"/>
    <s v="CONSUMIBLE PROPIO"/>
    <s v="DUSA"/>
    <n v="1"/>
    <n v="301.72000000000003"/>
  </r>
  <r>
    <x v="3"/>
    <s v="22/01/2026"/>
    <x v="7"/>
    <s v="7503030102198"/>
    <s v="Dildo realista vibrador con ventosa Ulises - CXO"/>
    <s v="JUGUETE PROPIO"/>
    <s v="CXO"/>
    <n v="1"/>
    <n v="2000"/>
  </r>
  <r>
    <x v="3"/>
    <s v="22/01/2026"/>
    <x v="7"/>
    <s v="5060170970560"/>
    <s v="G KII MORE G-SPOT VIBRADOR LILAC"/>
    <s v="JUGUETE"/>
    <s v="JE JOUE"/>
    <n v="1"/>
    <n v="1547.41"/>
  </r>
  <r>
    <x v="3"/>
    <s v="22/01/2026"/>
    <x v="7"/>
    <s v="7503032300627"/>
    <s v="Kevin - CXO"/>
    <s v="JUGUETE PROPIO"/>
    <s v="CXO"/>
    <n v="1"/>
    <n v="775.86"/>
  </r>
  <r>
    <x v="3"/>
    <s v="22/01/2026"/>
    <x v="7"/>
    <s v="7503032300993"/>
    <s v="Liquid Love Pleasure 30ml - DUSA"/>
    <s v="CONSUMIBLE PROPIO"/>
    <s v="DUSA"/>
    <n v="1"/>
    <n v="301.72000000000003"/>
  </r>
  <r>
    <x v="3"/>
    <s v="22/01/2026"/>
    <x v="7"/>
    <s v="7503024256154"/>
    <s v="Lubricante Body Surf Termico Cereza DUSA 60ml"/>
    <s v="CONSUMIBLE PROPIO"/>
    <s v="DUSA"/>
    <n v="1"/>
    <n v="387.93"/>
  </r>
  <r>
    <x v="3"/>
    <s v="22/01/2026"/>
    <x v="7"/>
    <s v="827160100773"/>
    <s v="Lubricante original super concentrated 100 ml - PJUR"/>
    <s v="CONSUMIBLE"/>
    <s v="PJUR"/>
    <n v="1"/>
    <n v="775.86"/>
  </r>
  <r>
    <x v="3"/>
    <s v="22/01/2026"/>
    <x v="7"/>
    <s v="7503013378690"/>
    <s v="Shumatsu 3 pzas - DUSA"/>
    <s v="CONSUMIBLE PROPIO"/>
    <s v="DUSA"/>
    <n v="2"/>
    <n v="1155.18"/>
  </r>
  <r>
    <x v="3"/>
    <s v="23/01/2026"/>
    <x v="7"/>
    <s v="AC1858SC0WB"/>
    <s v="Multiorgasmico Triple Vibracion extension telescopica y  Movimiento de Lengua - CXO"/>
    <s v="JUGUETE PROPIO"/>
    <s v="CXO"/>
    <n v="1"/>
    <n v="2224.14"/>
  </r>
  <r>
    <x v="3"/>
    <s v="23/01/2026"/>
    <x v="7"/>
    <s v="7503020596957"/>
    <s v="Shot Shumatsu Fun Hombre - DUSA"/>
    <s v="CONSUMIBLE PROPIO"/>
    <s v="DUSA"/>
    <n v="1"/>
    <n v="172.41"/>
  </r>
  <r>
    <x v="3"/>
    <s v="23/01/2026"/>
    <x v="7"/>
    <s v="7503013378690"/>
    <s v="Shumatsu 3 pzas - DUSA"/>
    <s v="CONSUMIBLE PROPIO"/>
    <s v="DUSA"/>
    <n v="1"/>
    <n v="577.59"/>
  </r>
  <r>
    <x v="3"/>
    <s v="24/01/2026"/>
    <x v="7"/>
    <s v="7503013378492"/>
    <s v="Clean Whisper 120ml - DUSA"/>
    <s v="CONSUMIBLE PROPIO"/>
    <s v="DUSA"/>
    <n v="1"/>
    <n v="301.72000000000003"/>
  </r>
  <r>
    <x v="3"/>
    <s v="24/01/2026"/>
    <x v="7"/>
    <s v="7503032300733"/>
    <s v="Colette lila - CXO"/>
    <s v="JUGUETE PROPIO"/>
    <s v="CXO"/>
    <n v="1"/>
    <n v="1293.0999999999999"/>
  </r>
  <r>
    <x v="3"/>
    <s v="24/01/2026"/>
    <x v="7"/>
    <s v="7503013378287"/>
    <s v="Colette rosa - CXO"/>
    <s v="JUGUETE PROPIO"/>
    <s v="CXO"/>
    <n v="1"/>
    <n v="1293.0999999999999"/>
  </r>
  <r>
    <x v="3"/>
    <s v="24/01/2026"/>
    <x v="7"/>
    <s v="7502214985805"/>
    <s v="CONDON PRUDENCE VETE A LA VERSH  C/3"/>
    <s v="CONSUMIBLE"/>
    <s v="PRUDENCE"/>
    <n v="1"/>
    <n v="77.59"/>
  </r>
  <r>
    <x v="3"/>
    <s v="24/01/2026"/>
    <x v="7"/>
    <s v="7503013378904"/>
    <s v="Dildo Mr. Hernandez - CXO"/>
    <s v="JUGUETE PROPIO"/>
    <s v="CXO"/>
    <n v="1"/>
    <n v="517.24"/>
  </r>
  <r>
    <x v="3"/>
    <s v="24/01/2026"/>
    <x v="7"/>
    <s v="7503030102198"/>
    <s v="Dildo realista vibrador con ventosa Ulises - CXO"/>
    <s v="JUGUETE PROPIO"/>
    <s v="CXO"/>
    <n v="1"/>
    <n v="2000"/>
  </r>
  <r>
    <x v="3"/>
    <s v="24/01/2026"/>
    <x v="7"/>
    <s v="7503030102034"/>
    <s v="Dildo vibrador con control Anthony - CXO"/>
    <s v="JUGUETE PROPIO"/>
    <s v="CXO"/>
    <n v="1"/>
    <n v="2112.0700000000002"/>
  </r>
  <r>
    <x v="3"/>
    <s v="24/01/2026"/>
    <x v="7"/>
    <s v="7503020220077"/>
    <s v="Juego de mesa sensual para parejas – CXO"/>
    <s v="JUGUETE PROPIO"/>
    <s v="CXO"/>
    <n v="1"/>
    <n v="637.92999999999995"/>
  </r>
  <r>
    <x v="3"/>
    <s v="24/01/2026"/>
    <x v="7"/>
    <s v="4251460601320"/>
    <s v="Juke anillo vibrador azul - ROMP"/>
    <s v="JUGUETE"/>
    <s v="ROMP"/>
    <n v="1"/>
    <n v="1508.62"/>
  </r>
  <r>
    <x v="3"/>
    <s v="24/01/2026"/>
    <x v="7"/>
    <s v="7503032300627"/>
    <s v="Kevin - CXO"/>
    <s v="JUGUETE PROPIO"/>
    <s v="CXO"/>
    <n v="1"/>
    <n v="775.86"/>
  </r>
  <r>
    <x v="3"/>
    <s v="24/01/2026"/>
    <x v="7"/>
    <s v="760299031092"/>
    <s v="LIGUERO GARTERBELT AND THONG NEGRO 90060"/>
    <s v="LENCERIA"/>
    <s v="HOT"/>
    <n v="1"/>
    <n v="271.55"/>
  </r>
  <r>
    <x v="3"/>
    <s v="24/01/2026"/>
    <x v="7"/>
    <s v="7503043917005"/>
    <s v="Liquid Love Clear 30ml - DUSA"/>
    <s v="CONSUMIBLE PROPIO"/>
    <s v="DUSA"/>
    <n v="1"/>
    <n v="301.72000000000003"/>
  </r>
  <r>
    <x v="3"/>
    <s v="24/01/2026"/>
    <x v="7"/>
    <s v="7503013378645"/>
    <s v="Liquid Love Pleasure 100ml - DUSA"/>
    <s v="CONSUMIBLE PROPIO"/>
    <s v="DUSA"/>
    <n v="1"/>
    <n v="775.86"/>
  </r>
  <r>
    <x v="3"/>
    <s v="24/01/2026"/>
    <x v="7"/>
    <s v="75078737"/>
    <s v="Mini Kit Dulces 2 piezas - SXO"/>
    <s v="CONSUMIBLE"/>
    <s v="SXO"/>
    <n v="1"/>
    <n v="120.69"/>
  </r>
  <r>
    <x v="3"/>
    <s v="24/01/2026"/>
    <x v="7"/>
    <s v="7500635214818"/>
    <s v="PANTY EN ENCAJE ABIERTA NEGRO 1481"/>
    <s v="LENCERIA"/>
    <s v="CHRISLIFERBRA"/>
    <n v="1"/>
    <n v="120.69"/>
  </r>
  <r>
    <x v="3"/>
    <s v="24/01/2026"/>
    <x v="7"/>
    <s v="7503020310116"/>
    <s v="Panty vibrador con control remoto rosa Celi - CXO"/>
    <s v="JUGUETE PROPIO"/>
    <s v="CXO"/>
    <n v="1"/>
    <n v="1681.03"/>
  </r>
  <r>
    <x v="3"/>
    <s v="24/01/2026"/>
    <x v="7"/>
    <s v="7503013378010"/>
    <s v="Rigidex 2 pzas - DUSA"/>
    <s v="CONSUMIBLE PROPIO"/>
    <s v="DUSA"/>
    <n v="1"/>
    <n v="431.03"/>
  </r>
  <r>
    <x v="3"/>
    <s v="24/01/2026"/>
    <x v="7"/>
    <s v="7503032300795"/>
    <s v="Sachet lubricante desensibilizador 2 ml - BANANA SHAKE"/>
    <s v="CONSUMIBLE"/>
    <s v="BANANA SHAKE"/>
    <n v="1"/>
    <n v="21.55"/>
  </r>
  <r>
    <x v="3"/>
    <s v="24/01/2026"/>
    <x v="7"/>
    <s v="7503020596957"/>
    <s v="Shot Shumatsu Fun Hombre - DUSA"/>
    <s v="CONSUMIBLE PROPIO"/>
    <s v="DUSA"/>
    <n v="3"/>
    <n v="517.23"/>
  </r>
  <r>
    <x v="3"/>
    <s v="24/01/2026"/>
    <x v="7"/>
    <s v="7503024256192"/>
    <s v="Shot Shumatsu Fun Mujer - DUSA"/>
    <s v="CONSUMIBLE PROPIO"/>
    <s v="DUSA"/>
    <n v="1"/>
    <n v="172.41"/>
  </r>
  <r>
    <x v="3"/>
    <s v="24/01/2026"/>
    <x v="7"/>
    <s v="7503013378690"/>
    <s v="Shumatsu 3 pzas - DUSA"/>
    <s v="CONSUMIBLE PROPIO"/>
    <s v="DUSA"/>
    <n v="2"/>
    <n v="1155.18"/>
  </r>
  <r>
    <x v="3"/>
    <s v="25/01/2026"/>
    <x v="2"/>
    <s v="7503043917081"/>
    <s v="Blade rosa anillo vibrador - CXO"/>
    <s v="JUGUETE PROPIO"/>
    <s v="CXO"/>
    <n v="2"/>
    <n v="163.80000000000001"/>
  </r>
  <r>
    <x v="3"/>
    <s v="25/01/2026"/>
    <x v="2"/>
    <s v="7503020420814"/>
    <s v="Bomba de vacio manual Noah - CXO"/>
    <s v="JUGUETE PROPIO"/>
    <s v="CXO"/>
    <n v="1"/>
    <n v="818.97"/>
  </r>
  <r>
    <x v="3"/>
    <s v="25/01/2026"/>
    <x v="2"/>
    <s v="7502214982514"/>
    <s v="Condon Chocolate 3 pzs - PRUDENCE"/>
    <s v="CONSUMIBLE"/>
    <s v="PRUDENCE"/>
    <n v="1"/>
    <n v="60.34"/>
  </r>
  <r>
    <x v="3"/>
    <s v="25/01/2026"/>
    <x v="2"/>
    <s v="7502214980077"/>
    <s v="CONDON TRUST FRESA CON 3 MAQ - PRUDENCE"/>
    <s v="CONSUMIBLE"/>
    <s v="PRUDENCE"/>
    <n v="1"/>
    <n v="77.59"/>
  </r>
  <r>
    <x v="3"/>
    <s v="25/01/2026"/>
    <x v="2"/>
    <s v="603912120042"/>
    <s v="Happy Top Tickler funda - PIPEDREAM"/>
    <s v="JUGUETE"/>
    <s v="PIPEDREAM"/>
    <n v="1"/>
    <n v="344.83"/>
  </r>
  <r>
    <x v="3"/>
    <s v="25/01/2026"/>
    <x v="2"/>
    <s v="7503043917562"/>
    <s v="Huevo masturbador stepper - EGG"/>
    <s v="JUGUETE"/>
    <s v="EGG"/>
    <n v="1"/>
    <n v="159.47999999999999"/>
  </r>
  <r>
    <x v="3"/>
    <s v="25/01/2026"/>
    <x v="2"/>
    <s v="7503020220077"/>
    <s v="Juego de mesa sensual para parejas – CXO"/>
    <s v="JUGUETE PROPIO"/>
    <s v="CXO"/>
    <n v="1"/>
    <n v="637.92999999999995"/>
  </r>
  <r>
    <x v="3"/>
    <s v="25/01/2026"/>
    <x v="2"/>
    <s v="7503043917012"/>
    <s v="Liquid Love Backdoor 30ml - DUSA"/>
    <s v="CONSUMIBLE PROPIO"/>
    <s v="DUSA"/>
    <n v="1"/>
    <n v="301.72000000000003"/>
  </r>
  <r>
    <x v="3"/>
    <s v="25/01/2026"/>
    <x v="2"/>
    <s v="7503032300993"/>
    <s v="Liquid Love Pleasure 30ml - DUSA"/>
    <s v="CONSUMIBLE PROPIO"/>
    <s v="DUSA"/>
    <n v="2"/>
    <n v="603.44000000000005"/>
  </r>
  <r>
    <x v="3"/>
    <s v="25/01/2026"/>
    <x v="2"/>
    <s v="7503013378010"/>
    <s v="Rigidex 2 pzas - DUSA"/>
    <s v="CONSUMIBLE PROPIO"/>
    <s v="DUSA"/>
    <n v="3"/>
    <n v="1293.0999999999999"/>
  </r>
  <r>
    <x v="3"/>
    <s v="25/01/2026"/>
    <x v="2"/>
    <s v="7503032300856"/>
    <s v="Sachet vibrador liquido 2 ml - BANANA SHAKE"/>
    <s v="CONSUMIBLE"/>
    <s v="BANANA SHAKE"/>
    <n v="30"/>
    <n v="517.20000000000005"/>
  </r>
  <r>
    <x v="3"/>
    <s v="25/01/2026"/>
    <x v="2"/>
    <s v="7503020596049"/>
    <s v="Sensicool - DUSA"/>
    <s v="CONSUMIBLE PROPIO"/>
    <s v="DUSA"/>
    <n v="1"/>
    <n v="431.03"/>
  </r>
  <r>
    <x v="3"/>
    <s v="25/01/2026"/>
    <x v="2"/>
    <s v="7503020596957"/>
    <s v="Shot Shumatsu Fun Hombre - DUSA"/>
    <s v="CONSUMIBLE PROPIO"/>
    <s v="DUSA"/>
    <n v="2"/>
    <n v="344.82"/>
  </r>
  <r>
    <x v="3"/>
    <s v="25/01/2026"/>
    <x v="2"/>
    <s v="7503024256192"/>
    <s v="Shot Shumatsu Fun Mujer - DUSA"/>
    <s v="CONSUMIBLE PROPIO"/>
    <s v="DUSA"/>
    <n v="2"/>
    <n v="344.82"/>
  </r>
  <r>
    <x v="3"/>
    <s v="25/01/2026"/>
    <x v="2"/>
    <s v="7503013378690"/>
    <s v="Shumatsu 3 pzas - DUSA"/>
    <s v="CONSUMIBLE PROPIO"/>
    <s v="DUSA"/>
    <n v="2"/>
    <n v="1155.18"/>
  </r>
  <r>
    <x v="3"/>
    <s v="25/01/2026"/>
    <x v="2"/>
    <s v="6959633105320"/>
    <s v="Vibrador de Prostata con Calefaccion Vick Neo 2 - SVAKOM"/>
    <s v="JUGUETE"/>
    <s v="SVAKOM"/>
    <n v="1"/>
    <n v="2155.17"/>
  </r>
  <r>
    <x v="3"/>
    <s v="25/01/2026"/>
    <x v="2"/>
    <s v="7503032300443"/>
    <s v="Zoe bala vibradora RETAIL - CXO"/>
    <s v="JUGUETE PROPIO"/>
    <s v="CXO"/>
    <n v="3"/>
    <n v="465.51"/>
  </r>
  <r>
    <x v="3"/>
    <s v="26/01/2026"/>
    <x v="7"/>
    <s v="7503043917081"/>
    <s v="Blade rosa anillo vibrador - CXO"/>
    <s v="JUGUETE PROPIO"/>
    <s v="CXO"/>
    <n v="5"/>
    <n v="409.5"/>
  </r>
  <r>
    <x v="3"/>
    <s v="26/01/2026"/>
    <x v="7"/>
    <s v="7503050524265"/>
    <s v="He Plus 30ml - DUSA"/>
    <s v="CONSUMIBLE PROPIO"/>
    <s v="DUSA"/>
    <n v="1"/>
    <n v="431.03"/>
  </r>
  <r>
    <x v="3"/>
    <s v="26/01/2026"/>
    <x v="7"/>
    <s v="7503032300856"/>
    <s v="Sachet vibrador liquido 2 ml - BANANA SHAKE"/>
    <s v="CONSUMIBLE"/>
    <s v="BANANA SHAKE"/>
    <n v="10"/>
    <n v="172.4"/>
  </r>
  <r>
    <x v="3"/>
    <s v="26/01/2026"/>
    <x v="7"/>
    <s v="7503020596957"/>
    <s v="Shot Shumatsu Fun Hombre - DUSA"/>
    <s v="CONSUMIBLE PROPIO"/>
    <s v="DUSA"/>
    <n v="1"/>
    <n v="172.41"/>
  </r>
  <r>
    <x v="3"/>
    <s v="26/01/2026"/>
    <x v="7"/>
    <s v="7503013378690"/>
    <s v="Shumatsu 3 pzas - DUSA"/>
    <s v="CONSUMIBLE PROPIO"/>
    <s v="DUSA"/>
    <n v="1"/>
    <n v="577.59"/>
  </r>
  <r>
    <x v="3"/>
    <s v="27/01/2026"/>
    <x v="7"/>
    <s v="ACG0976SV0WB"/>
    <s v="Dildo Vibrador con Impulsor Estimulador de Clítoris Conny - CXO"/>
    <s v="JUGUETE PROPIO"/>
    <s v="CXO"/>
    <n v="1"/>
    <n v="2198.2800000000002"/>
  </r>
  <r>
    <x v="3"/>
    <s v="27/01/2026"/>
    <x v="7"/>
    <s v="7503013378980"/>
    <s v="Lubricante Body Surf Termico Chicle DUSA 60ml"/>
    <s v="CONSUMIBLE PROPIO"/>
    <s v="DUSA"/>
    <n v="1"/>
    <n v="387.93"/>
  </r>
  <r>
    <x v="3"/>
    <s v="27/01/2026"/>
    <x v="7"/>
    <s v="7503020596957"/>
    <s v="Shot Shumatsu Fun Hombre - DUSA"/>
    <s v="CONSUMIBLE PROPIO"/>
    <s v="DUSA"/>
    <n v="1"/>
    <n v="172.41"/>
  </r>
  <r>
    <x v="3"/>
    <s v="27/01/2026"/>
    <x v="7"/>
    <s v="7503024256192"/>
    <s v="Shot Shumatsu Fun Mujer - DUSA"/>
    <s v="CONSUMIBLE PROPIO"/>
    <s v="DUSA"/>
    <n v="4"/>
    <n v="689.64"/>
  </r>
  <r>
    <x v="3"/>
    <s v="27/01/2026"/>
    <x v="7"/>
    <s v="7503013378690"/>
    <s v="Shumatsu 3 pzas - DUSA"/>
    <s v="CONSUMIBLE PROPIO"/>
    <s v="DUSA"/>
    <n v="3"/>
    <n v="1732.77"/>
  </r>
  <r>
    <x v="3"/>
    <s v="28/01/2026"/>
    <x v="2"/>
    <s v="7503030102034"/>
    <s v="Dildo vibrador con control Anthony - CXO"/>
    <s v="JUGUETE PROPIO"/>
    <s v="CXO"/>
    <n v="1"/>
    <n v="2112.0700000000002"/>
  </r>
  <r>
    <x v="3"/>
    <s v="28/01/2026"/>
    <x v="2"/>
    <s v="7503032300993"/>
    <s v="Liquid Love Pleasure 30ml - DUSA"/>
    <s v="CONSUMIBLE PROPIO"/>
    <s v="DUSA"/>
    <n v="1"/>
    <n v="301.72000000000003"/>
  </r>
  <r>
    <x v="3"/>
    <s v="28/01/2026"/>
    <x v="2"/>
    <s v="7503013378645"/>
    <s v="Liquid Love Pleasure 100ml - DUSA"/>
    <s v="CONSUMIBLE PROPIO"/>
    <s v="DUSA"/>
    <n v="1"/>
    <n v="775.86"/>
  </r>
  <r>
    <x v="3"/>
    <s v="28/01/2026"/>
    <x v="2"/>
    <s v="7503024256154"/>
    <s v="Lubricante Body Surf Termico Cereza DUSA 60ml"/>
    <s v="CONSUMIBLE PROPIO"/>
    <s v="DUSA"/>
    <n v="1"/>
    <n v="387.93"/>
  </r>
  <r>
    <x v="3"/>
    <s v="28/01/2026"/>
    <x v="2"/>
    <s v="7503013378690"/>
    <s v="Shumatsu 3 pzas - DUSA"/>
    <s v="CONSUMIBLE PROPIO"/>
    <s v="DUSA"/>
    <n v="2"/>
    <n v="1155.18"/>
  </r>
  <r>
    <x v="3"/>
    <s v="29/01/2026"/>
    <x v="7"/>
    <s v="7503050524265"/>
    <s v="He Plus 30ml - DUSA"/>
    <s v="CONSUMIBLE PROPIO"/>
    <s v="DUSA"/>
    <n v="1"/>
    <n v="431.03"/>
  </r>
  <r>
    <x v="3"/>
    <s v="29/01/2026"/>
    <x v="7"/>
    <s v="7503043917012"/>
    <s v="Liquid Love Backdoor 30ml - DUSA"/>
    <s v="CONSUMIBLE PROPIO"/>
    <s v="DUSA"/>
    <n v="1"/>
    <n v="301.72000000000003"/>
  </r>
  <r>
    <x v="3"/>
    <s v="29/01/2026"/>
    <x v="7"/>
    <s v="7503043917593"/>
    <s v="Nora dildo vibrador - CXO"/>
    <s v="JUGUETE PROPIO"/>
    <s v="CXO"/>
    <n v="1"/>
    <n v="474.14"/>
  </r>
  <r>
    <x v="3"/>
    <s v="29/01/2026"/>
    <x v="7"/>
    <s v="7503013378010"/>
    <s v="Rigidex 2 pzas - DUSA"/>
    <s v="CONSUMIBLE PROPIO"/>
    <s v="DUSA"/>
    <n v="1"/>
    <n v="431.03"/>
  </r>
  <r>
    <x v="3"/>
    <s v="29/01/2026"/>
    <x v="7"/>
    <s v="7503024256192"/>
    <s v="Shot Shumatsu Fun Mujer - DUSA"/>
    <s v="CONSUMIBLE PROPIO"/>
    <s v="DUSA"/>
    <n v="1"/>
    <n v="172.41"/>
  </r>
  <r>
    <x v="3"/>
    <s v="30/01/2026"/>
    <x v="7"/>
    <s v="7503013378287"/>
    <s v="Colette rosa - CXO"/>
    <s v="JUGUETE PROPIO"/>
    <s v="CXO"/>
    <n v="1"/>
    <n v="1293.0999999999999"/>
  </r>
  <r>
    <x v="3"/>
    <s v="30/01/2026"/>
    <x v="7"/>
    <s v="7503020202213"/>
    <s v="Dildo realista con ventosa Nick - CXO"/>
    <s v="JUGUETE PROPIO"/>
    <s v="CXO"/>
    <n v="1"/>
    <n v="818.97"/>
  </r>
  <r>
    <x v="3"/>
    <s v="30/01/2026"/>
    <x v="7"/>
    <s v="7503013378010"/>
    <s v="Rigidex 2 pzas - DUSA"/>
    <s v="CONSUMIBLE PROPIO"/>
    <s v="DUSA"/>
    <n v="1"/>
    <n v="431.03"/>
  </r>
  <r>
    <x v="3"/>
    <s v="30/01/2026"/>
    <x v="7"/>
    <s v="7503010217048"/>
    <s v="Vela para masaje rose - DUSA"/>
    <s v="CONSUMIBLE PROPIO"/>
    <s v="DUSA"/>
    <n v="1"/>
    <n v="241.38"/>
  </r>
  <r>
    <x v="3"/>
    <s v="30/01/2026"/>
    <x v="7"/>
    <s v="7503043917395"/>
    <s v="Vibrador multiorgásmico Krista Mod. 02  - CXO"/>
    <s v="JUGUETE PROPIO"/>
    <s v="CXO"/>
    <n v="1"/>
    <n v="2060.9299999999998"/>
  </r>
  <r>
    <x v="3"/>
    <s v="31/01/2026"/>
    <x v="7"/>
    <s v="7502214980060"/>
    <s v="CONDON TRUST SENSITIVO CON 3 MAQ - PRUDENCE"/>
    <s v="CONSUMIBLE"/>
    <s v="PRUDENCE"/>
    <n v="1"/>
    <n v="77.59"/>
  </r>
  <r>
    <x v="3"/>
    <s v="31/01/2026"/>
    <x v="7"/>
    <s v="7503020202214"/>
    <s v="Dildo realista con ventosa y testiculos Eddy - CXO"/>
    <s v="JUGUETE PROPIO"/>
    <s v="CXO"/>
    <n v="1"/>
    <n v="948.28"/>
  </r>
  <r>
    <x v="3"/>
    <s v="31/01/2026"/>
    <x v="7"/>
    <s v="7503050524265"/>
    <s v="He Plus 30ml - DUSA"/>
    <s v="CONSUMIBLE PROPIO"/>
    <s v="DUSA"/>
    <n v="1"/>
    <n v="431.03"/>
  </r>
  <r>
    <x v="3"/>
    <s v="31/01/2026"/>
    <x v="7"/>
    <s v="7503013378652"/>
    <s v="Liquid Love Backdoor 100ml - DUSA"/>
    <s v="CONSUMIBLE PROPIO"/>
    <s v="DUSA"/>
    <n v="1"/>
    <n v="1077.5899999999999"/>
  </r>
  <r>
    <x v="3"/>
    <s v="31/01/2026"/>
    <x v="7"/>
    <s v="7503032300993"/>
    <s v="Liquid Love Pleasure 30ml - DUSA"/>
    <s v="CONSUMIBLE PROPIO"/>
    <s v="DUSA"/>
    <n v="1"/>
    <n v="301.72000000000003"/>
  </r>
  <r>
    <x v="3"/>
    <s v="31/01/2026"/>
    <x v="7"/>
    <s v="7503013378645"/>
    <s v="Liquid Love Pleasure 100ml - DUSA"/>
    <s v="CONSUMIBLE PROPIO"/>
    <s v="DUSA"/>
    <n v="2"/>
    <n v="1551.72"/>
  </r>
  <r>
    <x v="3"/>
    <s v="31/01/2026"/>
    <x v="7"/>
    <s v="7503024256154"/>
    <s v="Lubricante Body Surf Termico Cereza DUSA 60ml"/>
    <s v="CONSUMIBLE PROPIO"/>
    <s v="DUSA"/>
    <n v="1"/>
    <n v="387.93"/>
  </r>
  <r>
    <x v="3"/>
    <s v="31/01/2026"/>
    <x v="7"/>
    <s v="SE018"/>
    <s v="Masturbador Jarrón - CXO"/>
    <s v="JUGUETE PROPIO"/>
    <s v="CXO"/>
    <n v="1"/>
    <n v="1034.48"/>
  </r>
  <r>
    <x v="3"/>
    <s v="31/01/2026"/>
    <x v="7"/>
    <s v="7503013378010"/>
    <s v="Rigidex 2 pzas - DUSA"/>
    <s v="CONSUMIBLE PROPIO"/>
    <s v="DUSA"/>
    <n v="2"/>
    <n v="862.06"/>
  </r>
  <r>
    <x v="3"/>
    <s v="31/01/2026"/>
    <x v="7"/>
    <s v="7503032300856"/>
    <s v="Sachet vibrador liquido 2 ml - BANANA SHAKE"/>
    <s v="CONSUMIBLE"/>
    <s v="BANANA SHAKE"/>
    <n v="3"/>
    <n v="51.72"/>
  </r>
  <r>
    <x v="3"/>
    <s v="31/01/2026"/>
    <x v="7"/>
    <s v="4061504007496"/>
    <s v="Succionado con App Curvy 1+ - Satisfayer"/>
    <s v="JUGUETE"/>
    <s v="SATISFAYER"/>
    <n v="1"/>
    <n v="1810.34"/>
  </r>
  <r>
    <x v="3"/>
    <s v="31/01/2026"/>
    <x v="7"/>
    <s v="7503032300443"/>
    <s v="Zoe bala vibradora RETAIL - CXO"/>
    <s v="JUGUETE PROPIO"/>
    <s v="CXO"/>
    <n v="1"/>
    <n v="155.16999999999999"/>
  </r>
  <r>
    <x v="4"/>
    <s v="02/01/2026"/>
    <x v="8"/>
    <s v="7503013378102"/>
    <s v="Anastasia Gema de Colores M - CXO"/>
    <s v="JUGUETE PROPIO"/>
    <s v="CXO"/>
    <n v="1"/>
    <n v="456.9"/>
  </r>
  <r>
    <x v="4"/>
    <s v="02/01/2026"/>
    <x v="8"/>
    <s v="7503013378119"/>
    <s v="Anastasia gema de colores S - CXO"/>
    <s v="JUGUETE PROPIO"/>
    <s v="CXO"/>
    <n v="1"/>
    <n v="396.55"/>
  </r>
  <r>
    <x v="4"/>
    <s v="02/01/2026"/>
    <x v="8"/>
    <s v="7503043917081"/>
    <s v="Blade rosa anillo vibrador - CXO"/>
    <s v="JUGUETE PROPIO"/>
    <s v="CXO"/>
    <n v="1"/>
    <n v="81.900000000000006"/>
  </r>
  <r>
    <x v="4"/>
    <s v="02/01/2026"/>
    <x v="8"/>
    <s v="7502214985348"/>
    <s v="Full Sensitive Condon 3pzs - PRUDENCE"/>
    <s v="CONSUMIBLE"/>
    <s v="PRUDENCE"/>
    <n v="1"/>
    <n v="77.59"/>
  </r>
  <r>
    <x v="4"/>
    <s v="02/01/2026"/>
    <x v="8"/>
    <s v="7503043917012"/>
    <s v="Liquid Love Backdoor 30ml - DUSA"/>
    <s v="CONSUMIBLE PROPIO"/>
    <s v="DUSA"/>
    <n v="1"/>
    <n v="301.72000000000003"/>
  </r>
  <r>
    <x v="4"/>
    <s v="02/01/2026"/>
    <x v="8"/>
    <s v="7503032300993"/>
    <s v="Liquid Love Pleasure 30ml - DUSA"/>
    <s v="CONSUMIBLE PROPIO"/>
    <s v="DUSA"/>
    <n v="2"/>
    <n v="603.44000000000005"/>
  </r>
  <r>
    <x v="4"/>
    <s v="02/01/2026"/>
    <x v="8"/>
    <s v="8699415912859"/>
    <s v="Miel Vigorizante para Hombre  Miracle Honey  VIP 15g-  SECRET MIRACLE HONEY"/>
    <s v="CONSUMIBLE"/>
    <s v="SECRET MIRACLE HONEY"/>
    <n v="1"/>
    <n v="215.52"/>
  </r>
  <r>
    <x v="4"/>
    <s v="02/01/2026"/>
    <x v="8"/>
    <s v="7503032300795"/>
    <s v="Sachet lubricante desensibilizador 2 ml - BANANA SHAKE"/>
    <s v="CONSUMIBLE"/>
    <s v="BANANA SHAKE"/>
    <n v="1"/>
    <n v="21.55"/>
  </r>
  <r>
    <x v="4"/>
    <s v="02/01/2026"/>
    <x v="8"/>
    <s v="7503032300856"/>
    <s v="Sachet vibrador liquido 2 ml - BANANA SHAKE"/>
    <s v="CONSUMIBLE"/>
    <s v="BANANA SHAKE"/>
    <n v="2"/>
    <n v="34.479999999999997"/>
  </r>
  <r>
    <x v="4"/>
    <s v="02/01/2026"/>
    <x v="8"/>
    <s v="7503032300443"/>
    <s v="Zoe bala vibradora RETAIL - CXO"/>
    <s v="JUGUETE PROPIO"/>
    <s v="CXO"/>
    <n v="1"/>
    <n v="155.16999999999999"/>
  </r>
  <r>
    <x v="4"/>
    <s v="03/01/2026"/>
    <x v="8"/>
    <s v="7503026484678"/>
    <s v="Aceite térmico fresa 60ml - FEEL LOVE"/>
    <s v="CONSUMIBLE"/>
    <s v="FEEL LOVE"/>
    <n v="1"/>
    <n v="327.58999999999997"/>
  </r>
  <r>
    <x v="4"/>
    <s v="03/01/2026"/>
    <x v="8"/>
    <s v="7503026484685"/>
    <s v="Aceite térmico vainilla 60ml - FEEL LOVE"/>
    <s v="CONSUMIBLE"/>
    <s v="FEEL LOVE"/>
    <n v="1"/>
    <n v="327.58999999999997"/>
  </r>
  <r>
    <x v="4"/>
    <s v="03/01/2026"/>
    <x v="8"/>
    <s v="7500635014548"/>
    <s v="BABY DOLL MEDIANO NEGRO CON ROSA 01454"/>
    <s v="LENCERIA"/>
    <s v="CHRISLIFERBRA"/>
    <n v="1"/>
    <n v="301.72000000000003"/>
  </r>
  <r>
    <x v="4"/>
    <s v="03/01/2026"/>
    <x v="8"/>
    <s v="7503043917081"/>
    <s v="Blade rosa anillo vibrador - CXO"/>
    <s v="JUGUETE PROPIO"/>
    <s v="CXO"/>
    <n v="2"/>
    <n v="163.80000000000001"/>
  </r>
  <r>
    <x v="4"/>
    <s v="03/01/2026"/>
    <x v="8"/>
    <s v="7503014914002"/>
    <s v="CAPSULAS MULTIORGASMICO AMO O-GEN"/>
    <s v="CONSUMIBLE"/>
    <s v="POWER MAN"/>
    <n v="1"/>
    <n v="431.04"/>
  </r>
  <r>
    <x v="4"/>
    <s v="03/01/2026"/>
    <x v="8"/>
    <s v="7500635012629"/>
    <s v="CONJUNTO EN ENCAJE BLANCO 0262"/>
    <s v="LENCERIA"/>
    <s v="CHRISLIFERBRA"/>
    <n v="1"/>
    <n v="172.41"/>
  </r>
  <r>
    <x v="4"/>
    <s v="03/01/2026"/>
    <x v="8"/>
    <s v="7503050226128"/>
    <s v="Conjunto Jimena con pezoneras y liguero - OLA MOU"/>
    <s v="LENCERIA PROPIA"/>
    <s v="OLA MOU"/>
    <n v="1"/>
    <n v="387.93"/>
  </r>
  <r>
    <x v="4"/>
    <s v="03/01/2026"/>
    <x v="8"/>
    <s v="716770109491"/>
    <s v="Couture Wand Kit vibradores -CALEX"/>
    <s v="JUGUETE"/>
    <s v="CALEXOTICS"/>
    <n v="1"/>
    <n v="2155.17"/>
  </r>
  <r>
    <x v="4"/>
    <s v="03/01/2026"/>
    <x v="8"/>
    <s v="FM1002"/>
    <s v="FEROMONAS DIAMANTE CONCENTRADO HOMBRE"/>
    <s v="CONSUMIBLE"/>
    <s v="DIAMANTE"/>
    <n v="1"/>
    <n v="413.79"/>
  </r>
  <r>
    <x v="4"/>
    <s v="03/01/2026"/>
    <x v="8"/>
    <s v="7503026484227"/>
    <s v="Fragancia con Feromonas Body Breeze Sensual DIAMANTE 125ml"/>
    <s v="CONSUMIBLE"/>
    <s v="DIAMANTE"/>
    <n v="1"/>
    <n v="413.79"/>
  </r>
  <r>
    <x v="4"/>
    <s v="03/01/2026"/>
    <x v="8"/>
    <s v="7503050524265"/>
    <s v="He Plus 30ml - DUSA"/>
    <s v="CONSUMIBLE PROPIO"/>
    <s v="DUSA"/>
    <n v="1"/>
    <n v="431.03"/>
  </r>
  <r>
    <x v="4"/>
    <s v="03/01/2026"/>
    <x v="8"/>
    <s v="7500464377302"/>
    <s v="Juego de Cartas Salto del Tigre"/>
    <s v="OTRO"/>
    <s v="SALTO DEL TIGRE"/>
    <n v="1"/>
    <n v="297.41000000000003"/>
  </r>
  <r>
    <x v="4"/>
    <s v="03/01/2026"/>
    <x v="8"/>
    <s v="5908305912118"/>
    <s v="LENCERIA EUROPEA KINGA THONG CHICO/MEDIANO"/>
    <s v="LENCERIA"/>
    <s v="PASSION"/>
    <n v="1"/>
    <n v="271.55"/>
  </r>
  <r>
    <x v="4"/>
    <s v="03/01/2026"/>
    <x v="8"/>
    <s v="7503043917012"/>
    <s v="Liquid Love Backdoor 30ml - DUSA"/>
    <s v="CONSUMIBLE PROPIO"/>
    <s v="DUSA"/>
    <n v="1"/>
    <n v="301.72000000000003"/>
  </r>
  <r>
    <x v="4"/>
    <s v="03/01/2026"/>
    <x v="8"/>
    <s v="7503043917005"/>
    <s v="Liquid Love Clear 30ml - DUSA"/>
    <s v="CONSUMIBLE PROPIO"/>
    <s v="DUSA"/>
    <n v="2"/>
    <n v="603.44000000000005"/>
  </r>
  <r>
    <x v="4"/>
    <s v="03/01/2026"/>
    <x v="8"/>
    <s v="7503013378126"/>
    <s v="Lubricante Body Surf Frio Natural DUSA 60ml"/>
    <s v="CONSUMIBLE PROPIO"/>
    <s v="DUSA"/>
    <n v="1"/>
    <n v="387.93"/>
  </r>
  <r>
    <x v="4"/>
    <s v="03/01/2026"/>
    <x v="8"/>
    <s v="7503050524241"/>
    <s v="Orgasmik 30ml - DUSA"/>
    <s v="CONSUMIBLE PROPIO"/>
    <s v="DUSA"/>
    <n v="1"/>
    <n v="431.03"/>
  </r>
  <r>
    <x v="4"/>
    <s v="03/01/2026"/>
    <x v="8"/>
    <s v="7500635018249"/>
    <s v="PANTY EN ENCAJE NEGRO 01824"/>
    <s v="LENCERIA"/>
    <s v="CHRISLIFERBRA"/>
    <n v="1"/>
    <n v="150.86000000000001"/>
  </r>
  <r>
    <x v="4"/>
    <s v="03/01/2026"/>
    <x v="8"/>
    <s v="7503032300795"/>
    <s v="Sachet lubricante desensibilizador 2 ml - BANANA SHAKE"/>
    <s v="CONSUMIBLE"/>
    <s v="BANANA SHAKE"/>
    <n v="2"/>
    <n v="43.1"/>
  </r>
  <r>
    <x v="4"/>
    <s v="03/01/2026"/>
    <x v="8"/>
    <s v="7503020596063"/>
    <s v="Stallion Regenerador - DUSA"/>
    <s v="CONSUMIBLE PROPIO"/>
    <s v="DUSA"/>
    <n v="1"/>
    <n v="1293.0999999999999"/>
  </r>
  <r>
    <x v="4"/>
    <s v="03/01/2026"/>
    <x v="8"/>
    <s v="7503020104082"/>
    <s v="Vibrador multiorgásmico con succionador y perlas Andy – CXO"/>
    <s v="JUGUETE PROPIO"/>
    <s v="CXO"/>
    <n v="1"/>
    <n v="2258.62"/>
  </r>
  <r>
    <x v="4"/>
    <s v="03/01/2026"/>
    <x v="8"/>
    <s v="7503032300443"/>
    <s v="Zoe bala vibradora RETAIL - CXO"/>
    <s v="JUGUETE PROPIO"/>
    <s v="CXO"/>
    <n v="3"/>
    <n v="465.51"/>
  </r>
  <r>
    <x v="4"/>
    <s v="04/01/2026"/>
    <x v="8"/>
    <s v="7503013378799"/>
    <s v="Lubricante Body Surf Termico Citricos DUSA 60ml"/>
    <s v="CONSUMIBLE PROPIO"/>
    <s v="DUSA"/>
    <n v="1"/>
    <n v="387.93"/>
  </r>
  <r>
    <x v="4"/>
    <s v="05/01/2026"/>
    <x v="8"/>
    <s v="7503020596001"/>
    <s v="Liquid Love Clear 100ml - DUSA"/>
    <s v="CONSUMIBLE PROPIO"/>
    <s v="DUSA"/>
    <n v="1"/>
    <n v="775.86"/>
  </r>
  <r>
    <x v="4"/>
    <s v="05/01/2026"/>
    <x v="8"/>
    <s v="7503013378010"/>
    <s v="Rigidex 2 pzas - DUSA"/>
    <s v="CONSUMIBLE PROPIO"/>
    <s v="DUSA"/>
    <n v="2"/>
    <n v="862.07"/>
  </r>
  <r>
    <x v="4"/>
    <s v="06/01/2026"/>
    <x v="1"/>
    <s v="7503043917326"/>
    <s v="Caro dual - CXO"/>
    <s v="JUGUETE PROPIO"/>
    <s v="CXO"/>
    <n v="1"/>
    <n v="1379.31"/>
  </r>
  <r>
    <x v="4"/>
    <s v="06/01/2026"/>
    <x v="1"/>
    <s v="7503013378690"/>
    <s v="Shumatsu 3 pzas - DUSA"/>
    <s v="CONSUMIBLE PROPIO"/>
    <s v="DUSA"/>
    <n v="1"/>
    <n v="577.59"/>
  </r>
  <r>
    <x v="4"/>
    <s v="07/01/2026"/>
    <x v="1"/>
    <s v="7503013378102"/>
    <s v="Anastasia Gema de Colores M - CXO"/>
    <s v="JUGUETE PROPIO"/>
    <s v="CXO"/>
    <n v="1"/>
    <n v="456.9"/>
  </r>
  <r>
    <x v="4"/>
    <s v="08/01/2026"/>
    <x v="8"/>
    <s v="7503043917081"/>
    <s v="Blade rosa anillo vibrador - CXO"/>
    <s v="JUGUETE PROPIO"/>
    <s v="CXO"/>
    <n v="2"/>
    <n v="163.80000000000001"/>
  </r>
  <r>
    <x v="4"/>
    <s v="08/01/2026"/>
    <x v="8"/>
    <s v="7503013378492"/>
    <s v="Clean Whisper 120ml - DUSA"/>
    <s v="CONSUMIBLE PROPIO"/>
    <s v="DUSA"/>
    <n v="1"/>
    <n v="301.72000000000003"/>
  </r>
  <r>
    <x v="4"/>
    <s v="08/01/2026"/>
    <x v="8"/>
    <s v="7502214982477"/>
    <s v="Condon Fresa 3pzs - PRUDENCE"/>
    <s v="CONSUMIBLE"/>
    <s v="PRUDENCE"/>
    <n v="1"/>
    <n v="60.34"/>
  </r>
  <r>
    <x v="4"/>
    <s v="08/01/2026"/>
    <x v="8"/>
    <s v="WZHM24299"/>
    <s v="Funda de Silicon para Pene Realista - CXO"/>
    <s v="JUGUETE PROPIO"/>
    <s v="CXO"/>
    <n v="1"/>
    <n v="1034.48"/>
  </r>
  <r>
    <x v="4"/>
    <s v="08/01/2026"/>
    <x v="8"/>
    <s v="7503050524265"/>
    <s v="He Plus 30ml - DUSA"/>
    <s v="CONSUMIBLE PROPIO"/>
    <s v="DUSA"/>
    <n v="1"/>
    <n v="431.03"/>
  </r>
  <r>
    <x v="4"/>
    <s v="08/01/2026"/>
    <x v="8"/>
    <s v="7503043917579"/>
    <s v="Huevo masturbador twister - EGG"/>
    <s v="JUGUETE"/>
    <s v="EGG"/>
    <n v="1"/>
    <n v="159.47999999999999"/>
  </r>
  <r>
    <x v="4"/>
    <s v="08/01/2026"/>
    <x v="8"/>
    <s v="7503030118033"/>
    <s v="Kit vibrador + estimulante para clitoris Lau - CXO"/>
    <s v="JUGUETE PROPIO"/>
    <s v="CXO"/>
    <n v="1"/>
    <n v="1706.9"/>
  </r>
  <r>
    <x v="4"/>
    <s v="08/01/2026"/>
    <x v="8"/>
    <s v="7503043917012"/>
    <s v="Liquid Love Backdoor 30ml - DUSA"/>
    <s v="CONSUMIBLE PROPIO"/>
    <s v="DUSA"/>
    <n v="1"/>
    <n v="301.72000000000003"/>
  </r>
  <r>
    <x v="4"/>
    <s v="08/01/2026"/>
    <x v="8"/>
    <s v="7503024256154"/>
    <s v="Lubricante Body Surf Termico Cereza DUSA 60ml"/>
    <s v="CONSUMIBLE PROPIO"/>
    <s v="DUSA"/>
    <n v="1"/>
    <n v="387.93"/>
  </r>
  <r>
    <x v="4"/>
    <s v="08/01/2026"/>
    <x v="8"/>
    <s v="7503032300856"/>
    <s v="Sachet vibrador liquido 2 ml - BANANA SHAKE"/>
    <s v="CONSUMIBLE"/>
    <s v="BANANA SHAKE"/>
    <n v="2"/>
    <n v="34.479999999999997"/>
  </r>
  <r>
    <x v="4"/>
    <s v="08/01/2026"/>
    <x v="8"/>
    <s v="7503013378690"/>
    <s v="Shumatsu 3 pzas - DUSA"/>
    <s v="CONSUMIBLE PROPIO"/>
    <s v="DUSA"/>
    <n v="1"/>
    <n v="577.59"/>
  </r>
  <r>
    <x v="4"/>
    <s v="08/01/2026"/>
    <x v="8"/>
    <s v="716770054609"/>
    <s v="STARTER PLAYFUL LOVERS KIT"/>
    <s v="JUGUETE"/>
    <s v="CALEXOTICS"/>
    <n v="1"/>
    <n v="452.59"/>
  </r>
  <r>
    <x v="4"/>
    <s v="09/01/2026"/>
    <x v="8"/>
    <s v="ER10522000000"/>
    <s v="BOXER LENCERIA MASCULINA LUNARES MEDIANO 2"/>
    <s v="LENCERIA"/>
    <s v="ADRENALINE"/>
    <n v="1"/>
    <n v="396.55"/>
  </r>
  <r>
    <x v="4"/>
    <s v="09/01/2026"/>
    <x v="8"/>
    <s v="7502214982439"/>
    <s v="Condon Extra Time Retardante 3 pzs - PRUDENCE"/>
    <s v="CONSUMIBLE"/>
    <s v="PRUDENCE"/>
    <n v="1"/>
    <n v="77.59"/>
  </r>
  <r>
    <x v="4"/>
    <s v="09/01/2026"/>
    <x v="8"/>
    <s v="7500464543059"/>
    <s v="Dildo Realista con Ventosa 15.5cms Domi CXO"/>
    <s v="JUGUETE PROPIO"/>
    <s v="CXO"/>
    <n v="1"/>
    <n v="818.97"/>
  </r>
  <r>
    <x v="4"/>
    <s v="09/01/2026"/>
    <x v="8"/>
    <s v="7503032300993"/>
    <s v="Liquid Love Pleasure 30ml - DUSA"/>
    <s v="CONSUMIBLE PROPIO"/>
    <s v="DUSA"/>
    <n v="1"/>
    <n v="301.72000000000003"/>
  </r>
  <r>
    <x v="4"/>
    <s v="09/01/2026"/>
    <x v="8"/>
    <s v="7503013378645"/>
    <s v="Liquid Love Pleasure 100ml - DUSA"/>
    <s v="CONSUMIBLE PROPIO"/>
    <s v="DUSA"/>
    <n v="1"/>
    <n v="775.86"/>
  </r>
  <r>
    <x v="4"/>
    <s v="09/01/2026"/>
    <x v="8"/>
    <s v="7503043917593"/>
    <s v="Nora dildo vibrador - CXO"/>
    <s v="JUGUETE PROPIO"/>
    <s v="CXO"/>
    <n v="1"/>
    <n v="474.14"/>
  </r>
  <r>
    <x v="4"/>
    <s v="09/01/2026"/>
    <x v="8"/>
    <s v="7503024256628"/>
    <s v="Olly 5&quot; morado - CXO"/>
    <s v="JUGUETE PROPIO"/>
    <s v="CXO"/>
    <n v="1"/>
    <n v="517.24"/>
  </r>
  <r>
    <x v="4"/>
    <s v="09/01/2026"/>
    <x v="8"/>
    <s v="7503013378690"/>
    <s v="Shumatsu 3 pzas - DUSA"/>
    <s v="CONSUMIBLE PROPIO"/>
    <s v="DUSA"/>
    <n v="1"/>
    <n v="577.59"/>
  </r>
  <r>
    <x v="4"/>
    <s v="10/01/2026"/>
    <x v="8"/>
    <s v="7503043917081"/>
    <s v="Blade rosa anillo vibrador - CXO"/>
    <s v="JUGUETE PROPIO"/>
    <s v="CXO"/>
    <n v="1"/>
    <n v="81.900000000000006"/>
  </r>
  <r>
    <x v="4"/>
    <s v="10/01/2026"/>
    <x v="8"/>
    <s v="7502214982811"/>
    <s v="Condones Mix Sabor y Aroma 5 pzs - PRUDENCE"/>
    <s v="CONSUMIBLE"/>
    <s v="PRUDENCE"/>
    <n v="1"/>
    <n v="77.59"/>
  </r>
  <r>
    <x v="4"/>
    <s v="10/01/2026"/>
    <x v="8"/>
    <s v="7503020596513"/>
    <s v="Liquid Love Natural 20ml - DUSA"/>
    <s v="CONSUMIBLE PROPIO"/>
    <s v="DUSA"/>
    <n v="1"/>
    <n v="258.62"/>
  </r>
  <r>
    <x v="4"/>
    <s v="10/01/2026"/>
    <x v="8"/>
    <s v="7503013378010"/>
    <s v="Rigidex 2 pzas - DUSA"/>
    <s v="CONSUMIBLE PROPIO"/>
    <s v="DUSA"/>
    <n v="1"/>
    <n v="431.03"/>
  </r>
  <r>
    <x v="4"/>
    <s v="11/01/2026"/>
    <x v="8"/>
    <s v="7503043917005"/>
    <s v="Liquid Love Clear 30ml - DUSA"/>
    <s v="CONSUMIBLE PROPIO"/>
    <s v="DUSA"/>
    <n v="1"/>
    <n v="301.72000000000003"/>
  </r>
  <r>
    <x v="4"/>
    <s v="11/01/2026"/>
    <x v="8"/>
    <s v="8699415912859"/>
    <s v="Miel Vigorizante para Hombre  Miracle Honey  VIP 15g-  SECRET MIRACLE HONEY"/>
    <s v="CONSUMIBLE"/>
    <s v="SECRET MIRACLE HONEY"/>
    <n v="2"/>
    <n v="431.03"/>
  </r>
  <r>
    <x v="4"/>
    <s v="11/01/2026"/>
    <x v="8"/>
    <s v="7503050226162"/>
    <s v="Plug Anal con Vibración y Control Roberto - CXO"/>
    <s v="JUGUETE PROPIO"/>
    <s v="CXO"/>
    <n v="1"/>
    <n v="1293.0999999999999"/>
  </r>
  <r>
    <x v="4"/>
    <s v="11/01/2026"/>
    <x v="8"/>
    <s v="7503032300856"/>
    <s v="Sachet vibrador liquido 2 ml - BANANA SHAKE"/>
    <s v="CONSUMIBLE"/>
    <s v="BANANA SHAKE"/>
    <n v="5"/>
    <n v="86.2"/>
  </r>
  <r>
    <x v="4"/>
    <s v="11/01/2026"/>
    <x v="8"/>
    <s v="4032498331355"/>
    <s v="Smartballs Uno rojo/blanco - FUN FACTORY"/>
    <s v="JUGUETE"/>
    <s v="FUN FACTORY"/>
    <n v="1"/>
    <n v="573.28"/>
  </r>
  <r>
    <x v="4"/>
    <s v="12/01/2026"/>
    <x v="8"/>
    <s v="7503013378492"/>
    <s v="Clean Whisper 120ml - DUSA"/>
    <s v="CONSUMIBLE PROPIO"/>
    <s v="DUSA"/>
    <n v="1"/>
    <n v="301.72000000000003"/>
  </r>
  <r>
    <x v="4"/>
    <s v="12/01/2026"/>
    <x v="8"/>
    <s v="7503032300634"/>
    <s v="Kevin violeta - CXO"/>
    <s v="JUGUETE PROPIO"/>
    <s v="CXO"/>
    <n v="1"/>
    <n v="775.86"/>
  </r>
  <r>
    <x v="4"/>
    <s v="12/01/2026"/>
    <x v="8"/>
    <s v="7503032300795"/>
    <s v="Sachet lubricante desensibilizador 2 ml - BANANA SHAKE"/>
    <s v="CONSUMIBLE"/>
    <s v="BANANA SHAKE"/>
    <n v="4"/>
    <n v="86.2"/>
  </r>
  <r>
    <x v="4"/>
    <s v="12/01/2026"/>
    <x v="8"/>
    <s v="7503013378690"/>
    <s v="Shumatsu 3 pzas - DUSA"/>
    <s v="CONSUMIBLE PROPIO"/>
    <s v="DUSA"/>
    <n v="1"/>
    <n v="577.59"/>
  </r>
  <r>
    <x v="4"/>
    <s v="13/01/2026"/>
    <x v="8"/>
    <s v="7503043917081"/>
    <s v="Blade rosa anillo vibrador - CXO"/>
    <s v="JUGUETE PROPIO"/>
    <s v="CXO"/>
    <n v="1"/>
    <n v="81.900000000000006"/>
  </r>
  <r>
    <x v="4"/>
    <s v="13/01/2026"/>
    <x v="8"/>
    <s v="7503043917005"/>
    <s v="Liquid Love Clear 30ml - DUSA"/>
    <s v="CONSUMIBLE PROPIO"/>
    <s v="DUSA"/>
    <n v="1"/>
    <n v="301.72000000000003"/>
  </r>
  <r>
    <x v="4"/>
    <s v="13/01/2026"/>
    <x v="8"/>
    <s v="SE016"/>
    <s v="Masturbador Vagina -  CXO"/>
    <s v="JUGUETE PROPIO"/>
    <s v="CXO"/>
    <n v="1"/>
    <n v="948.28"/>
  </r>
  <r>
    <x v="4"/>
    <s v="13/01/2026"/>
    <x v="8"/>
    <s v="7503013378690"/>
    <s v="Shumatsu 3 pzas - DUSA"/>
    <s v="CONSUMIBLE PROPIO"/>
    <s v="DUSA"/>
    <n v="1"/>
    <n v="577.59"/>
  </r>
  <r>
    <x v="4"/>
    <s v="14/01/2026"/>
    <x v="8"/>
    <s v="7503032300993"/>
    <s v="Liquid Love Pleasure 30ml - DUSA"/>
    <s v="CONSUMIBLE PROPIO"/>
    <s v="DUSA"/>
    <n v="1"/>
    <n v="301.72000000000003"/>
  </r>
  <r>
    <x v="4"/>
    <s v="15/01/2026"/>
    <x v="8"/>
    <s v="7503020111072"/>
    <s v="Anillo vibrador recargable con textura negra Hank - CXO"/>
    <s v="JUGUETE PROPIO"/>
    <s v="CXO"/>
    <n v="1"/>
    <n v="1267.24"/>
  </r>
  <r>
    <x v="4"/>
    <s v="15/01/2026"/>
    <x v="8"/>
    <s v="FM1002"/>
    <s v="FEROMONAS DIAMANTE CONCENTRADO HOMBRE"/>
    <s v="CONSUMIBLE"/>
    <s v="DIAMANTE"/>
    <n v="3"/>
    <n v="1241.3800000000001"/>
  </r>
  <r>
    <x v="4"/>
    <s v="15/01/2026"/>
    <x v="8"/>
    <s v="7508304288412"/>
    <s v="FEROMONAS EN GEL 20ML HOMBRE HOMBRE"/>
    <s v="CONSUMIBLE"/>
    <s v="DIAMANTE"/>
    <n v="1"/>
    <n v="379.31"/>
  </r>
  <r>
    <x v="4"/>
    <s v="15/01/2026"/>
    <x v="8"/>
    <s v="7508304288429"/>
    <s v="Feromonas en gel 20ml unisex - DIAMANTE"/>
    <s v="CONSUMIBLE"/>
    <s v="DIAMANTE"/>
    <n v="1"/>
    <n v="379.31"/>
  </r>
  <r>
    <x v="4"/>
    <s v="15/01/2026"/>
    <x v="8"/>
    <s v="75079413"/>
    <s v="Mini Kit Hombre 3 piezas - SXO"/>
    <s v="CONSUMIBLE"/>
    <s v="SXO"/>
    <n v="4"/>
    <n v="1137.93"/>
  </r>
  <r>
    <x v="4"/>
    <s v="15/01/2026"/>
    <x v="8"/>
    <s v="7503013378690"/>
    <s v="Shumatsu 3 pzas - DUSA"/>
    <s v="CONSUMIBLE PROPIO"/>
    <s v="DUSA"/>
    <n v="5"/>
    <n v="2887.9500000000003"/>
  </r>
  <r>
    <x v="4"/>
    <s v="15/01/2026"/>
    <x v="8"/>
    <s v="6959633105313"/>
    <s v="Vibrador de Prostata con Pulsaciones Iker Neo - SVAKOM"/>
    <s v="JUGUETE"/>
    <s v="SVAKOM"/>
    <n v="1"/>
    <n v="3879.31"/>
  </r>
  <r>
    <x v="4"/>
    <s v="16/01/2026"/>
    <x v="8"/>
    <s v="7503043917012"/>
    <s v="Liquid Love Backdoor 30ml - DUSA"/>
    <s v="CONSUMIBLE PROPIO"/>
    <s v="DUSA"/>
    <n v="1"/>
    <n v="301.72000000000003"/>
  </r>
  <r>
    <x v="4"/>
    <s v="16/01/2026"/>
    <x v="8"/>
    <s v="7503026484845"/>
    <s v="Oral Sex Erotic Nut 5g - Feel Love"/>
    <s v="CONSUMIBLE"/>
    <s v="DIAMANTE"/>
    <n v="1"/>
    <n v="51.72"/>
  </r>
  <r>
    <x v="4"/>
    <s v="17/01/2026"/>
    <x v="8"/>
    <s v="7503020202214"/>
    <s v="Dildo realista con ventosa y testiculos Eddy - CXO"/>
    <s v="JUGUETE PROPIO"/>
    <s v="CXO"/>
    <n v="1"/>
    <n v="948.28"/>
  </r>
  <r>
    <x v="4"/>
    <s v="17/01/2026"/>
    <x v="8"/>
    <s v="7503013378010"/>
    <s v="Rigidex 2 pzas - DUSA"/>
    <s v="CONSUMIBLE PROPIO"/>
    <s v="DUSA"/>
    <n v="4"/>
    <n v="1724.14"/>
  </r>
  <r>
    <x v="4"/>
    <s v="17/01/2026"/>
    <x v="8"/>
    <s v="6959633156094"/>
    <s v="Robin - SVAKOM"/>
    <s v="JUGUETE"/>
    <s v="SVAKOM"/>
    <n v="1"/>
    <n v="1318.97"/>
  </r>
  <r>
    <x v="4"/>
    <s v="18/01/2026"/>
    <x v="8"/>
    <s v="7503030202035"/>
    <s v="Dildo con testiculos y ventosa Mr. Garcia - CXO"/>
    <s v="JUGUETE PROPIO"/>
    <s v="CXO"/>
    <n v="1"/>
    <n v="646.54999999999995"/>
  </r>
  <r>
    <x v="4"/>
    <s v="18/01/2026"/>
    <x v="8"/>
    <s v="7503020596957"/>
    <s v="Shot Shumatsu Fun Hombre - DUSA"/>
    <s v="CONSUMIBLE PROPIO"/>
    <s v="DUSA"/>
    <n v="1"/>
    <n v="172.41"/>
  </r>
  <r>
    <x v="4"/>
    <s v="18/01/2026"/>
    <x v="8"/>
    <s v="7503013378690"/>
    <s v="Shumatsu 3 pzas - DUSA"/>
    <s v="CONSUMIBLE PROPIO"/>
    <s v="DUSA"/>
    <n v="1"/>
    <n v="577.59"/>
  </r>
  <r>
    <x v="4"/>
    <s v="19/01/2026"/>
    <x v="8"/>
    <s v="7503032300825"/>
    <s v="Lubricante Sachet natural 2 ml - BANANA SHAKE"/>
    <s v="CONSUMIBLE"/>
    <s v="BANANA SHAKE"/>
    <n v="1"/>
    <n v="17.239999999999998"/>
  </r>
  <r>
    <x v="4"/>
    <s v="19/01/2026"/>
    <x v="8"/>
    <s v="7503032300856"/>
    <s v="Sachet vibrador liquido 2 ml - BANANA SHAKE"/>
    <s v="CONSUMIBLE"/>
    <s v="BANANA SHAKE"/>
    <n v="1"/>
    <n v="17.239999999999998"/>
  </r>
  <r>
    <x v="4"/>
    <s v="22/01/2026"/>
    <x v="8"/>
    <s v="7503013378409"/>
    <s v="Anillo de Acero Grueso - CXO"/>
    <s v="JUGUETE PROPIO"/>
    <s v="CXO"/>
    <n v="1"/>
    <n v="474.14"/>
  </r>
  <r>
    <x v="4"/>
    <s v="22/01/2026"/>
    <x v="8"/>
    <s v="4032498950020"/>
    <s v="Fun Cup B: uva / Ultramarino - FUN FACTORY"/>
    <s v="JUGUETE"/>
    <s v="FUN FACTORY"/>
    <n v="1"/>
    <n v="913.79"/>
  </r>
  <r>
    <x v="4"/>
    <s v="23/01/2026"/>
    <x v="8"/>
    <s v="7502214982477"/>
    <s v="Condon Fresa 3pzs - PRUDENCE"/>
    <s v="CONSUMIBLE"/>
    <s v="PRUDENCE"/>
    <n v="1"/>
    <n v="60.34"/>
  </r>
  <r>
    <x v="4"/>
    <s v="23/01/2026"/>
    <x v="8"/>
    <s v="7503050524265"/>
    <s v="He Plus 30ml - DUSA"/>
    <s v="CONSUMIBLE PROPIO"/>
    <s v="DUSA"/>
    <n v="1"/>
    <n v="431.03"/>
  </r>
  <r>
    <x v="4"/>
    <s v="23/01/2026"/>
    <x v="8"/>
    <s v="7503032300795"/>
    <s v="Sachet lubricante desensibilizador 2 ml - BANANA SHAKE"/>
    <s v="CONSUMIBLE"/>
    <s v="BANANA SHAKE"/>
    <n v="6"/>
    <n v="129.30000000000001"/>
  </r>
  <r>
    <x v="4"/>
    <s v="23/01/2026"/>
    <x v="8"/>
    <s v="7503032300856"/>
    <s v="Sachet vibrador liquido 2 ml - BANANA SHAKE"/>
    <s v="CONSUMIBLE"/>
    <s v="BANANA SHAKE"/>
    <n v="2"/>
    <n v="34.479999999999997"/>
  </r>
  <r>
    <x v="4"/>
    <s v="23/01/2026"/>
    <x v="8"/>
    <s v="7503020596049"/>
    <s v="Sensicool - DUSA"/>
    <s v="CONSUMIBLE PROPIO"/>
    <s v="DUSA"/>
    <n v="1"/>
    <n v="431.03"/>
  </r>
  <r>
    <x v="4"/>
    <s v="24/01/2026"/>
    <x v="8"/>
    <s v="7503043917081"/>
    <s v="Blade rosa anillo vibrador - CXO"/>
    <s v="JUGUETE PROPIO"/>
    <s v="CXO"/>
    <n v="1"/>
    <n v="81.900000000000006"/>
  </r>
  <r>
    <x v="4"/>
    <s v="24/01/2026"/>
    <x v="8"/>
    <s v="7503030220044"/>
    <s v="Dados con posiciones 2 piezas - CXO"/>
    <s v="JUGUETE PROPIO"/>
    <s v="CXO"/>
    <n v="1"/>
    <n v="77.59"/>
  </r>
  <r>
    <x v="4"/>
    <s v="24/01/2026"/>
    <x v="8"/>
    <s v="7503023462754"/>
    <s v="Fragancia con Feromonas Body Breeze Sexy DIAMANTE Cereza 125ml"/>
    <s v="CONSUMIBLE"/>
    <s v="DIAMANTE"/>
    <n v="1"/>
    <n v="413.79"/>
  </r>
  <r>
    <x v="4"/>
    <s v="24/01/2026"/>
    <x v="8"/>
    <s v="7500464377302"/>
    <s v="Juego de Cartas Salto del Tigre"/>
    <s v="OTRO"/>
    <s v="SALTO DEL TIGRE"/>
    <n v="1"/>
    <n v="297.41000000000003"/>
  </r>
  <r>
    <x v="4"/>
    <s v="24/01/2026"/>
    <x v="8"/>
    <s v="7503013378010"/>
    <s v="Rigidex 2 pzas - DUSA"/>
    <s v="CONSUMIBLE PROPIO"/>
    <s v="DUSA"/>
    <n v="2"/>
    <n v="862.06"/>
  </r>
  <r>
    <x v="4"/>
    <s v="24/01/2026"/>
    <x v="8"/>
    <s v="7503032300795"/>
    <s v="Sachet lubricante desensibilizador 2 ml - BANANA SHAKE"/>
    <s v="CONSUMIBLE"/>
    <s v="BANANA SHAKE"/>
    <n v="1"/>
    <n v="21.55"/>
  </r>
  <r>
    <x v="4"/>
    <s v="24/01/2026"/>
    <x v="8"/>
    <s v="7503032300856"/>
    <s v="Sachet vibrador liquido 2 ml - BANANA SHAKE"/>
    <s v="CONSUMIBLE"/>
    <s v="BANANA SHAKE"/>
    <n v="6"/>
    <n v="103.44"/>
  </r>
  <r>
    <x v="4"/>
    <s v="26/01/2026"/>
    <x v="8"/>
    <s v="7503023462204"/>
    <s v="Lubricante Masaje Térmico Comestible Manzana del Edén FEEL LOVE 4 en 1 - 60ml"/>
    <s v="LUBRICANTE"/>
    <s v="FEEL LOVE"/>
    <n v="1"/>
    <n v="344.83"/>
  </r>
  <r>
    <x v="4"/>
    <s v="26/01/2026"/>
    <x v="8"/>
    <s v="7503050524241"/>
    <s v="Orgasmik 30ml - DUSA"/>
    <s v="CONSUMIBLE PROPIO"/>
    <s v="DUSA"/>
    <n v="1"/>
    <n v="431.03"/>
  </r>
  <r>
    <x v="4"/>
    <s v="27/01/2026"/>
    <x v="8"/>
    <s v="7502214982491"/>
    <s v="CONDON PRUDENCE EXTRA TIME UVA"/>
    <s v="CONSUMIBLE"/>
    <s v="PRUDENCE"/>
    <n v="1"/>
    <n v="60.34"/>
  </r>
  <r>
    <x v="4"/>
    <s v="27/01/2026"/>
    <x v="8"/>
    <s v="7503032300825"/>
    <s v="Lubricante Sachet natural 2 ml - BANANA SHAKE"/>
    <s v="CONSUMIBLE"/>
    <s v="BANANA SHAKE"/>
    <n v="2"/>
    <n v="34.479999999999997"/>
  </r>
  <r>
    <x v="4"/>
    <s v="27/01/2026"/>
    <x v="8"/>
    <s v="7503050524241"/>
    <s v="Orgasmik 30ml - DUSA"/>
    <s v="CONSUMIBLE PROPIO"/>
    <s v="DUSA"/>
    <n v="1"/>
    <n v="431.03"/>
  </r>
  <r>
    <x v="4"/>
    <s v="27/01/2026"/>
    <x v="8"/>
    <s v="7503032300795"/>
    <s v="Sachet lubricante desensibilizador 2 ml - BANANA SHAKE"/>
    <s v="CONSUMIBLE"/>
    <s v="BANANA SHAKE"/>
    <n v="2"/>
    <n v="43.1"/>
  </r>
  <r>
    <x v="4"/>
    <s v="27/01/2026"/>
    <x v="8"/>
    <s v="7503020596957"/>
    <s v="Shot Shumatsu Fun Hombre - DUSA"/>
    <s v="CONSUMIBLE PROPIO"/>
    <s v="DUSA"/>
    <n v="1"/>
    <n v="172.41"/>
  </r>
  <r>
    <x v="4"/>
    <s v="28/01/2026"/>
    <x v="8"/>
    <s v="7503032300993"/>
    <s v="Liquid Love Pleasure 30ml - DUSA"/>
    <s v="CONSUMIBLE PROPIO"/>
    <s v="DUSA"/>
    <n v="1"/>
    <n v="301.72000000000003"/>
  </r>
  <r>
    <x v="4"/>
    <s v="28/01/2026"/>
    <x v="8"/>
    <s v="75082048"/>
    <s v="Miel Estimulante Hombre 18ml - SXO"/>
    <s v="CONSUMIBLE"/>
    <s v="SXO"/>
    <n v="1"/>
    <n v="301.72000000000003"/>
  </r>
  <r>
    <x v="4"/>
    <s v="29/01/2026"/>
    <x v="8"/>
    <s v="7503013378492"/>
    <s v="Clean Whisper 120ml - DUSA"/>
    <s v="CONSUMIBLE PROPIO"/>
    <s v="DUSA"/>
    <n v="1"/>
    <n v="301.72000000000003"/>
  </r>
  <r>
    <x v="4"/>
    <s v="29/01/2026"/>
    <x v="8"/>
    <s v="7503030118033"/>
    <s v="Kit vibrador + estimulante para clitoris Lau - CXO"/>
    <s v="JUGUETE PROPIO"/>
    <s v="CXO"/>
    <n v="1"/>
    <n v="1706.9"/>
  </r>
  <r>
    <x v="4"/>
    <s v="29/01/2026"/>
    <x v="8"/>
    <s v="7503032300993"/>
    <s v="Liquid Love Pleasure 30ml - DUSA"/>
    <s v="CONSUMIBLE PROPIO"/>
    <s v="DUSA"/>
    <n v="1"/>
    <n v="301.72000000000003"/>
  </r>
  <r>
    <x v="4"/>
    <s v="29/01/2026"/>
    <x v="8"/>
    <s v="7503032300856"/>
    <s v="Sachet vibrador liquido 2 ml - BANANA SHAKE"/>
    <s v="CONSUMIBLE"/>
    <s v="BANANA SHAKE"/>
    <n v="5"/>
    <n v="86.2"/>
  </r>
  <r>
    <x v="4"/>
    <s v="29/01/2026"/>
    <x v="8"/>
    <s v="7503013378690"/>
    <s v="Shumatsu 3 pzas - DUSA"/>
    <s v="CONSUMIBLE PROPIO"/>
    <s v="DUSA"/>
    <n v="2"/>
    <n v="1155.18"/>
  </r>
  <r>
    <x v="4"/>
    <s v="30/01/2026"/>
    <x v="2"/>
    <s v="7500635313863"/>
    <s v="PANTY EN ENCAJE ROJO 1386"/>
    <s v="LENCERIA"/>
    <s v="CHRISLIFERBRA"/>
    <n v="1"/>
    <n v="150.86000000000001"/>
  </r>
  <r>
    <x v="4"/>
    <s v="31/01/2026"/>
    <x v="8"/>
    <s v="7503043917081"/>
    <s v="Blade rosa anillo vibrador - CXO"/>
    <s v="JUGUETE PROPIO"/>
    <s v="CXO"/>
    <n v="1"/>
    <n v="81.900000000000006"/>
  </r>
  <r>
    <x v="4"/>
    <s v="31/01/2026"/>
    <x v="8"/>
    <s v="7503020202214"/>
    <s v="Dildo realista con ventosa y testiculos Eddy - CXO"/>
    <s v="JUGUETE PROPIO"/>
    <s v="CXO"/>
    <n v="1"/>
    <n v="948.28"/>
  </r>
  <r>
    <x v="4"/>
    <s v="31/01/2026"/>
    <x v="8"/>
    <s v="7503032300993"/>
    <s v="Liquid Love Pleasure 30ml - DUSA"/>
    <s v="CONSUMIBLE PROPIO"/>
    <s v="DUSA"/>
    <n v="1"/>
    <n v="301.72000000000003"/>
  </r>
  <r>
    <x v="4"/>
    <s v="31/01/2026"/>
    <x v="8"/>
    <s v="6959633127964"/>
    <s v="Sam Neo - SVAKOM"/>
    <s v="JUGUETE"/>
    <s v="SVAKOM"/>
    <n v="1"/>
    <n v="3017.24"/>
  </r>
  <r>
    <x v="4"/>
    <s v="31/01/2026"/>
    <x v="8"/>
    <s v="7503024256192"/>
    <s v="Shot Shumatsu Fun Mujer - DUSA"/>
    <s v="CONSUMIBLE PROPIO"/>
    <s v="DUSA"/>
    <n v="1"/>
    <n v="172.41"/>
  </r>
  <r>
    <x v="4"/>
    <s v="31/01/2026"/>
    <x v="8"/>
    <s v="7503013378690"/>
    <s v="Shumatsu 3 pzas - DUSA"/>
    <s v="CONSUMIBLE PROPIO"/>
    <s v="DUSA"/>
    <n v="2"/>
    <n v="1155.18"/>
  </r>
  <r>
    <x v="5"/>
    <s v="02/01/2026"/>
    <x v="9"/>
    <s v="7502214980053"/>
    <s v="CONDON TRUST NATURAL CON 3 MAQ - PRUDENCE"/>
    <s v="CONSUMIBLE"/>
    <s v="PRUDENCE"/>
    <n v="1"/>
    <n v="77.59"/>
  </r>
  <r>
    <x v="5"/>
    <s v="02/01/2026"/>
    <x v="9"/>
    <s v="7503030102034"/>
    <s v="Dildo vibrador con control Anthony - CXO"/>
    <s v="JUGUETE PROPIO"/>
    <s v="CXO"/>
    <n v="1"/>
    <n v="2112.0700000000002"/>
  </r>
  <r>
    <x v="5"/>
    <s v="02/01/2026"/>
    <x v="9"/>
    <s v="8699415912859"/>
    <s v="Miel Vigorizante para Hombre  Miracle Honey  VIP 15g-  SECRET MIRACLE HONEY"/>
    <s v="CONSUMIBLE"/>
    <s v="SECRET MIRACLE HONEY"/>
    <n v="1"/>
    <n v="215.52"/>
  </r>
  <r>
    <x v="5"/>
    <s v="02/01/2026"/>
    <x v="9"/>
    <s v="7503024256192"/>
    <s v="Shot Shumatsu Fun Mujer - DUSA"/>
    <s v="CONSUMIBLE PROPIO"/>
    <s v="DUSA"/>
    <n v="1"/>
    <n v="172.41"/>
  </r>
  <r>
    <x v="5"/>
    <s v="02/01/2026"/>
    <x v="9"/>
    <s v="7503010217046"/>
    <s v="Vela para masaje bear - DUSA"/>
    <s v="CONSUMIBLE PROPIO"/>
    <s v="DUSA"/>
    <n v="1"/>
    <n v="310.33999999999997"/>
  </r>
  <r>
    <x v="5"/>
    <s v="03/01/2026"/>
    <x v="9"/>
    <s v="7503043917036"/>
    <s v="Arnes universal de argolla negro - CXO"/>
    <s v="JUGUETE PROPIO"/>
    <s v="CXO"/>
    <n v="1"/>
    <n v="474.14"/>
  </r>
  <r>
    <x v="5"/>
    <s v="03/01/2026"/>
    <x v="9"/>
    <s v="8699415912859"/>
    <s v="Miel Vigorizante para Hombre  Miracle Honey  VIP 15g-  SECRET MIRACLE HONEY"/>
    <s v="CONSUMIBLE"/>
    <s v="SECRET MIRACLE HONEY"/>
    <n v="2"/>
    <n v="431.04"/>
  </r>
  <r>
    <x v="5"/>
    <s v="03/01/2026"/>
    <x v="9"/>
    <s v="7503013378010"/>
    <s v="Rigidex 2 pzas - DUSA"/>
    <s v="CONSUMIBLE PROPIO"/>
    <s v="DUSA"/>
    <n v="1"/>
    <n v="431.03"/>
  </r>
  <r>
    <x v="5"/>
    <s v="03/01/2026"/>
    <x v="9"/>
    <s v="7503032300443"/>
    <s v="Zoe bala vibradora RETAIL - CXO"/>
    <s v="JUGUETE PROPIO"/>
    <s v="CXO"/>
    <n v="2"/>
    <n v="310.33999999999997"/>
  </r>
  <r>
    <x v="5"/>
    <s v="04/01/2026"/>
    <x v="9"/>
    <s v="7503043917081"/>
    <s v="Blade rosa anillo vibrador - CXO"/>
    <s v="JUGUETE PROPIO"/>
    <s v="CXO"/>
    <n v="1"/>
    <n v="81.900000000000006"/>
  </r>
  <r>
    <x v="5"/>
    <s v="04/01/2026"/>
    <x v="9"/>
    <s v="7500464543059"/>
    <s v="Dildo Realista con Ventosa 15.5cms Domi CXO"/>
    <s v="JUGUETE PROPIO"/>
    <s v="CXO"/>
    <n v="1"/>
    <n v="818.97"/>
  </r>
  <r>
    <x v="5"/>
    <s v="04/01/2026"/>
    <x v="9"/>
    <s v="7503032300993"/>
    <s v="Liquid Love Pleasure 30ml - DUSA"/>
    <s v="CONSUMIBLE PROPIO"/>
    <s v="DUSA"/>
    <n v="1"/>
    <n v="301.72000000000003"/>
  </r>
  <r>
    <x v="5"/>
    <s v="05/01/2026"/>
    <x v="2"/>
    <s v="7503020111072"/>
    <s v="Anillo vibrador recargable con textura negra Hank - CXO"/>
    <s v="JUGUETE PROPIO"/>
    <s v="CXO"/>
    <n v="1"/>
    <n v="1267.24"/>
  </r>
  <r>
    <x v="5"/>
    <s v="05/01/2026"/>
    <x v="2"/>
    <s v="7503043917548"/>
    <s v="Huevo masturbador silky - EGG"/>
    <s v="JUGUETE"/>
    <s v="EGG"/>
    <n v="1"/>
    <n v="159.47999999999999"/>
  </r>
  <r>
    <x v="5"/>
    <s v="05/01/2026"/>
    <x v="2"/>
    <s v="7503032300993"/>
    <s v="Liquid Love Pleasure 30ml - DUSA"/>
    <s v="CONSUMIBLE PROPIO"/>
    <s v="DUSA"/>
    <n v="1"/>
    <n v="301.72000000000003"/>
  </r>
  <r>
    <x v="5"/>
    <s v="05/01/2026"/>
    <x v="2"/>
    <s v="8699415912859"/>
    <s v="Miel Vigorizante para Hombre  Miracle Honey  VIP 15g-  SECRET MIRACLE HONEY"/>
    <s v="CONSUMIBLE"/>
    <s v="SECRET MIRACLE HONEY"/>
    <n v="1"/>
    <n v="215.52"/>
  </r>
  <r>
    <x v="5"/>
    <s v="05/01/2026"/>
    <x v="2"/>
    <s v="782421083922"/>
    <s v="Sol pulsador beige - RITUAL"/>
    <s v="JUGUETE"/>
    <s v="RITUAL"/>
    <n v="1"/>
    <n v="1637.93"/>
  </r>
  <r>
    <x v="5"/>
    <s v="06/01/2026"/>
    <x v="9"/>
    <s v="7508304288412"/>
    <s v="FEROMONAS EN GEL 20ML HOMBRE HOMBRE"/>
    <s v="CONSUMIBLE"/>
    <s v="DIAMANTE"/>
    <n v="1"/>
    <n v="379.31"/>
  </r>
  <r>
    <x v="5"/>
    <s v="06/01/2026"/>
    <x v="9"/>
    <s v="7508304288405"/>
    <s v="Feromonas en gel para mujer 20ml - DIAMANTE"/>
    <s v="CONSUMIBLE"/>
    <s v="DIAMANTE"/>
    <n v="1"/>
    <n v="379.31"/>
  </r>
  <r>
    <x v="5"/>
    <s v="06/01/2026"/>
    <x v="9"/>
    <s v="7503032300993"/>
    <s v="Liquid Love Pleasure 30ml - DUSA"/>
    <s v="CONSUMIBLE PROPIO"/>
    <s v="DUSA"/>
    <n v="1"/>
    <n v="301.72000000000003"/>
  </r>
  <r>
    <x v="5"/>
    <s v="06/01/2026"/>
    <x v="9"/>
    <s v="8699415912859"/>
    <s v="Miel Vigorizante para Hombre  Miracle Honey  VIP 15g-  SECRET MIRACLE HONEY"/>
    <s v="CONSUMIBLE"/>
    <s v="SECRET MIRACLE HONEY"/>
    <n v="1"/>
    <n v="215.52"/>
  </r>
  <r>
    <x v="5"/>
    <s v="06/01/2026"/>
    <x v="9"/>
    <s v="7503013378256"/>
    <s v="Sammy - CXO"/>
    <s v="JUGUETE PROPIO"/>
    <s v="CXO"/>
    <n v="1"/>
    <n v="1551.72"/>
  </r>
  <r>
    <x v="5"/>
    <s v="06/01/2026"/>
    <x v="9"/>
    <s v="7503013378690"/>
    <s v="Shumatsu 3 pzas - DUSA"/>
    <s v="CONSUMIBLE PROPIO"/>
    <s v="DUSA"/>
    <n v="1"/>
    <n v="577.59"/>
  </r>
  <r>
    <x v="5"/>
    <s v="06/01/2026"/>
    <x v="9"/>
    <s v="7503032300443"/>
    <s v="Zoe bala vibradora RETAIL - CXO"/>
    <s v="JUGUETE PROPIO"/>
    <s v="CXO"/>
    <n v="1"/>
    <n v="155.16999999999999"/>
  </r>
  <r>
    <x v="5"/>
    <s v="07/01/2026"/>
    <x v="2"/>
    <s v="7503043917081"/>
    <s v="Blade rosa anillo vibrador - CXO"/>
    <s v="JUGUETE PROPIO"/>
    <s v="CXO"/>
    <n v="1"/>
    <n v="81.900000000000006"/>
  </r>
  <r>
    <x v="5"/>
    <s v="07/01/2026"/>
    <x v="2"/>
    <s v="7502214982576"/>
    <s v="CONDON PRUDENCE SABOR Y AROMA EXTRA FUERTE"/>
    <s v="CONSUMIBLE"/>
    <s v="PRUDENCE"/>
    <n v="1"/>
    <n v="77.59"/>
  </r>
  <r>
    <x v="5"/>
    <s v="07/01/2026"/>
    <x v="2"/>
    <s v="7502214980077"/>
    <s v="CONDON TRUST FRESA CON 3 MAQ - PRUDENCE"/>
    <s v="CONSUMIBLE"/>
    <s v="PRUDENCE"/>
    <n v="1"/>
    <n v="77.59"/>
  </r>
  <r>
    <x v="5"/>
    <s v="07/01/2026"/>
    <x v="2"/>
    <s v="7503032300993"/>
    <s v="Liquid Love Pleasure 30ml - DUSA"/>
    <s v="CONSUMIBLE PROPIO"/>
    <s v="DUSA"/>
    <n v="1"/>
    <n v="301.72000000000003"/>
  </r>
  <r>
    <x v="5"/>
    <s v="07/01/2026"/>
    <x v="2"/>
    <s v="7503013378010"/>
    <s v="Rigidex 2 pzas - DUSA"/>
    <s v="CONSUMIBLE PROPIO"/>
    <s v="DUSA"/>
    <n v="1"/>
    <n v="431.03"/>
  </r>
  <r>
    <x v="5"/>
    <s v="08/01/2026"/>
    <x v="9"/>
    <s v="7503043917081"/>
    <s v="Blade rosa anillo vibrador - CXO"/>
    <s v="JUGUETE PROPIO"/>
    <s v="CXO"/>
    <n v="3"/>
    <n v="245.7"/>
  </r>
  <r>
    <x v="5"/>
    <s v="08/01/2026"/>
    <x v="9"/>
    <s v="7503050226139"/>
    <s v="Body Alma - OLA MOU"/>
    <s v="LENCERIA PROPIA"/>
    <s v="OLA MOU"/>
    <n v="1"/>
    <n v="387.93"/>
  </r>
  <r>
    <x v="5"/>
    <s v="08/01/2026"/>
    <x v="9"/>
    <s v="7503050226151"/>
    <s v="Liguero Gala - OLA MOU"/>
    <s v="LENCERIA PROPIA"/>
    <s v="OLA MOU"/>
    <n v="1"/>
    <n v="301.72000000000003"/>
  </r>
  <r>
    <x v="5"/>
    <s v="08/01/2026"/>
    <x v="9"/>
    <s v="7503043917012"/>
    <s v="Liquid Love Backdoor 30ml - DUSA"/>
    <s v="CONSUMIBLE PROPIO"/>
    <s v="DUSA"/>
    <n v="2"/>
    <n v="603.44000000000005"/>
  </r>
  <r>
    <x v="5"/>
    <s v="08/01/2026"/>
    <x v="9"/>
    <s v="7503032300795"/>
    <s v="Sachet lubricante desensibilizador 2 ml - BANANA SHAKE"/>
    <s v="CONSUMIBLE"/>
    <s v="BANANA SHAKE"/>
    <n v="4"/>
    <n v="86.2"/>
  </r>
  <r>
    <x v="5"/>
    <s v="08/01/2026"/>
    <x v="9"/>
    <s v="7503032300856"/>
    <s v="Sachet vibrador liquido 2 ml - BANANA SHAKE"/>
    <s v="CONSUMIBLE"/>
    <s v="BANANA SHAKE"/>
    <n v="5"/>
    <n v="86.2"/>
  </r>
  <r>
    <x v="5"/>
    <s v="09/01/2026"/>
    <x v="9"/>
    <s v="7503043917081"/>
    <s v="Blade rosa anillo vibrador - CXO"/>
    <s v="JUGUETE PROPIO"/>
    <s v="CXO"/>
    <n v="1"/>
    <n v="81.900000000000006"/>
  </r>
  <r>
    <x v="5"/>
    <s v="09/01/2026"/>
    <x v="9"/>
    <s v="7500464377302"/>
    <s v="Juego de Cartas Salto del Tigre"/>
    <s v="OTRO"/>
    <s v="SALTO DEL TIGRE"/>
    <n v="1"/>
    <n v="297.41000000000003"/>
  </r>
  <r>
    <x v="5"/>
    <s v="09/01/2026"/>
    <x v="9"/>
    <s v="7503020596513"/>
    <s v="Liquid Love Natural 20ml - DUSA"/>
    <s v="CONSUMIBLE PROPIO"/>
    <s v="DUSA"/>
    <n v="1"/>
    <n v="258.62"/>
  </r>
  <r>
    <x v="5"/>
    <s v="09/01/2026"/>
    <x v="9"/>
    <s v="7503024256154"/>
    <s v="Lubricante Body Surf Termico Cereza DUSA 60ml"/>
    <s v="CONSUMIBLE PROPIO"/>
    <s v="DUSA"/>
    <n v="1"/>
    <n v="387.93"/>
  </r>
  <r>
    <x v="5"/>
    <s v="10/01/2026"/>
    <x v="9"/>
    <s v="7503043917012"/>
    <s v="Liquid Love Backdoor 30ml - DUSA"/>
    <s v="CONSUMIBLE PROPIO"/>
    <s v="DUSA"/>
    <n v="2"/>
    <n v="603.44000000000005"/>
  </r>
  <r>
    <x v="5"/>
    <s v="10/01/2026"/>
    <x v="9"/>
    <s v="7503024256154"/>
    <s v="Lubricante Body Surf Termico Cereza DUSA 60ml"/>
    <s v="CONSUMIBLE PROPIO"/>
    <s v="DUSA"/>
    <n v="1"/>
    <n v="387.93"/>
  </r>
  <r>
    <x v="5"/>
    <s v="10/01/2026"/>
    <x v="9"/>
    <s v="7503013378980"/>
    <s v="Lubricante Body Surf Termico Chicle DUSA 60ml"/>
    <s v="CONSUMIBLE PROPIO"/>
    <s v="DUSA"/>
    <n v="1"/>
    <n v="387.93"/>
  </r>
  <r>
    <x v="5"/>
    <s v="10/01/2026"/>
    <x v="9"/>
    <s v="6959633189726"/>
    <s v="Masturbador Hedy X Control – SVAKOM"/>
    <s v="JUGUETE"/>
    <s v="SVAKOM"/>
    <n v="1"/>
    <n v="181.03"/>
  </r>
  <r>
    <x v="5"/>
    <s v="10/01/2026"/>
    <x v="9"/>
    <s v="7503024256192"/>
    <s v="Shot Shumatsu Fun Mujer - DUSA"/>
    <s v="CONSUMIBLE PROPIO"/>
    <s v="DUSA"/>
    <n v="1"/>
    <n v="172.41"/>
  </r>
  <r>
    <x v="5"/>
    <s v="10/01/2026"/>
    <x v="9"/>
    <s v="7503013378690"/>
    <s v="Shumatsu 3 pzas - DUSA"/>
    <s v="CONSUMIBLE PROPIO"/>
    <s v="DUSA"/>
    <n v="1"/>
    <n v="577.59"/>
  </r>
  <r>
    <x v="5"/>
    <s v="10/01/2026"/>
    <x v="9"/>
    <s v="CBD"/>
    <s v="SUNNY SIDE UP CBD HIPOALERGENICO 10ml"/>
    <s v="CONSUMIBLE"/>
    <s v="SUNNY SIDE UP"/>
    <n v="1"/>
    <n v="301.72000000000003"/>
  </r>
  <r>
    <x v="5"/>
    <s v="11/01/2026"/>
    <x v="9"/>
    <s v="7503043917081"/>
    <s v="Blade rosa anillo vibrador - CXO"/>
    <s v="JUGUETE PROPIO"/>
    <s v="CXO"/>
    <n v="1"/>
    <n v="81.900000000000006"/>
  </r>
  <r>
    <x v="5"/>
    <s v="11/01/2026"/>
    <x v="9"/>
    <s v="7503032300825"/>
    <s v="Lubricante Sachet natural 2 ml - BANANA SHAKE"/>
    <s v="CONSUMIBLE"/>
    <s v="BANANA SHAKE"/>
    <n v="1"/>
    <n v="17.239999999999998"/>
  </r>
  <r>
    <x v="5"/>
    <s v="11/01/2026"/>
    <x v="9"/>
    <s v="7503032300795"/>
    <s v="Sachet lubricante desensibilizador 2 ml - BANANA SHAKE"/>
    <s v="CONSUMIBLE"/>
    <s v="BANANA SHAKE"/>
    <n v="2"/>
    <n v="43.1"/>
  </r>
  <r>
    <x v="5"/>
    <s v="11/01/2026"/>
    <x v="9"/>
    <s v="7503032300856"/>
    <s v="Sachet vibrador liquido 2 ml - BANANA SHAKE"/>
    <s v="CONSUMIBLE"/>
    <s v="BANANA SHAKE"/>
    <n v="3"/>
    <n v="51.72"/>
  </r>
  <r>
    <x v="5"/>
    <s v="12/01/2026"/>
    <x v="9"/>
    <s v="603912300871"/>
    <s v="ARNES FETISH FANTASY ELITE 8 STRAPLESS STRAP ON ROSA"/>
    <s v="JUGUETE"/>
    <s v="PIPEDREAM"/>
    <n v="1"/>
    <n v="1517.24"/>
  </r>
  <r>
    <x v="5"/>
    <s v="12/01/2026"/>
    <x v="9"/>
    <s v="7503013378492"/>
    <s v="Clean Whisper 120ml - DUSA"/>
    <s v="CONSUMIBLE PROPIO"/>
    <s v="DUSA"/>
    <n v="1"/>
    <n v="301.72000000000003"/>
  </r>
  <r>
    <x v="5"/>
    <s v="12/01/2026"/>
    <x v="9"/>
    <s v="MBS0530"/>
    <s v="Esposas de broche - CXO"/>
    <s v="JUGUETE PROPIO"/>
    <s v="CXO"/>
    <n v="1"/>
    <n v="172.41"/>
  </r>
  <r>
    <x v="5"/>
    <s v="12/01/2026"/>
    <x v="9"/>
    <s v="7503013378980"/>
    <s v="Lubricante Body Surf Termico Chicle DUSA 60ml"/>
    <s v="CONSUMIBLE PROPIO"/>
    <s v="DUSA"/>
    <n v="2"/>
    <n v="775.86"/>
  </r>
  <r>
    <x v="5"/>
    <s v="12/01/2026"/>
    <x v="9"/>
    <s v="8699415912859"/>
    <s v="Miel Vigorizante para Hombre  Miracle Honey  VIP 15g-  SECRET MIRACLE HONEY"/>
    <s v="CONSUMIBLE"/>
    <s v="SECRET MIRACLE HONEY"/>
    <n v="1"/>
    <n v="215.52"/>
  </r>
  <r>
    <x v="5"/>
    <s v="12/01/2026"/>
    <x v="9"/>
    <s v="7503026484845"/>
    <s v="Oral Sex Erotic Nut 5g - Feel Love"/>
    <s v="CONSUMIBLE"/>
    <s v="DIAMANTE"/>
    <n v="1"/>
    <n v="51.72"/>
  </r>
  <r>
    <x v="5"/>
    <s v="12/01/2026"/>
    <x v="9"/>
    <s v="7503032300856"/>
    <s v="Sachet vibrador liquido 2 ml - BANANA SHAKE"/>
    <s v="CONSUMIBLE"/>
    <s v="BANANA SHAKE"/>
    <n v="5"/>
    <n v="86.2"/>
  </r>
  <r>
    <x v="5"/>
    <s v="12/01/2026"/>
    <x v="9"/>
    <s v="7503020596063"/>
    <s v="Stallion Regenerador - DUSA"/>
    <s v="CONSUMIBLE PROPIO"/>
    <s v="DUSA"/>
    <n v="1"/>
    <n v="1293.0999999999999"/>
  </r>
  <r>
    <x v="5"/>
    <s v="13/01/2026"/>
    <x v="9"/>
    <s v="7503030220044"/>
    <s v="Dados con posiciones 2 piezas - CXO"/>
    <s v="JUGUETE PROPIO"/>
    <s v="CXO"/>
    <n v="1"/>
    <n v="77.59"/>
  </r>
  <r>
    <x v="5"/>
    <s v="13/01/2026"/>
    <x v="9"/>
    <s v="7503032300993"/>
    <s v="Liquid Love Pleasure 30ml - DUSA"/>
    <s v="CONSUMIBLE PROPIO"/>
    <s v="DUSA"/>
    <n v="1"/>
    <n v="301.72000000000003"/>
  </r>
  <r>
    <x v="5"/>
    <s v="13/01/2026"/>
    <x v="9"/>
    <s v="7503026484845"/>
    <s v="Oral Sex Erotic Nut 5g - Feel Love"/>
    <s v="CONSUMIBLE"/>
    <s v="DIAMANTE"/>
    <n v="2"/>
    <n v="103.45"/>
  </r>
  <r>
    <x v="5"/>
    <s v="13/01/2026"/>
    <x v="9"/>
    <s v="7503013378010"/>
    <s v="Rigidex 2 pzas - DUSA"/>
    <s v="CONSUMIBLE PROPIO"/>
    <s v="DUSA"/>
    <n v="1"/>
    <n v="431.03"/>
  </r>
  <r>
    <x v="5"/>
    <s v="14/01/2026"/>
    <x v="2"/>
    <s v="7503043917005"/>
    <s v="Liquid Love Clear 30ml - DUSA"/>
    <s v="CONSUMIBLE PROPIO"/>
    <s v="DUSA"/>
    <n v="1"/>
    <n v="301.72000000000003"/>
  </r>
  <r>
    <x v="5"/>
    <s v="14/01/2026"/>
    <x v="2"/>
    <s v="782421083922"/>
    <s v="Sol pulsador beige - RITUAL"/>
    <s v="JUGUETE"/>
    <s v="RITUAL"/>
    <n v="1"/>
    <n v="1637.93"/>
  </r>
  <r>
    <x v="5"/>
    <s v="14/01/2026"/>
    <x v="2"/>
    <s v="7503032300443"/>
    <s v="Zoe bala vibradora RETAIL - CXO"/>
    <s v="JUGUETE PROPIO"/>
    <s v="CXO"/>
    <n v="2"/>
    <n v="310.33999999999997"/>
  </r>
  <r>
    <x v="5"/>
    <s v="15/01/2026"/>
    <x v="9"/>
    <s v="7503024256734"/>
    <s v="Cola de Zorro 45cm blanco M - CXO"/>
    <s v="JUGUETE PROPIO"/>
    <s v="CXO"/>
    <n v="1"/>
    <n v="301.72000000000003"/>
  </r>
  <r>
    <x v="5"/>
    <s v="15/01/2026"/>
    <x v="9"/>
    <s v="782421007805"/>
    <s v="Deep throat desensibilizador spray menta 59 ml - GOODHEAD"/>
    <s v="CONSUMIBLE"/>
    <s v="GOODHEAD"/>
    <n v="1"/>
    <n v="362.07"/>
  </r>
  <r>
    <x v="5"/>
    <s v="15/01/2026"/>
    <x v="9"/>
    <s v="7503043917012"/>
    <s v="Liquid Love Backdoor 30ml - DUSA"/>
    <s v="CONSUMIBLE PROPIO"/>
    <s v="DUSA"/>
    <n v="1"/>
    <n v="301.72000000000003"/>
  </r>
  <r>
    <x v="5"/>
    <s v="15/01/2026"/>
    <x v="9"/>
    <s v="7503043917005"/>
    <s v="Liquid Love Clear 30ml - DUSA"/>
    <s v="CONSUMIBLE PROPIO"/>
    <s v="DUSA"/>
    <n v="1"/>
    <n v="301.72000000000003"/>
  </r>
  <r>
    <x v="5"/>
    <s v="15/01/2026"/>
    <x v="9"/>
    <s v="7503013378645"/>
    <s v="Liquid Love Pleasure 100ml - DUSA"/>
    <s v="CONSUMIBLE PROPIO"/>
    <s v="DUSA"/>
    <n v="1"/>
    <n v="775.86"/>
  </r>
  <r>
    <x v="5"/>
    <s v="15/01/2026"/>
    <x v="9"/>
    <s v="75079390"/>
    <s v="Mini Kit Mujer 3 piezas- SXO"/>
    <s v="CONSUMIBLE"/>
    <s v="SXO"/>
    <n v="1"/>
    <n v="284.48"/>
  </r>
  <r>
    <x v="5"/>
    <s v="16/01/2026"/>
    <x v="9"/>
    <s v="7503013378102"/>
    <s v="Anastasia Gema de Colores M - CXO"/>
    <s v="JUGUETE PROPIO"/>
    <s v="CXO"/>
    <n v="1"/>
    <n v="456.9"/>
  </r>
  <r>
    <x v="5"/>
    <s v="16/01/2026"/>
    <x v="9"/>
    <s v="7503030111031"/>
    <s v="Anillo vibrador de aro doble con estimulador y dildo Javier - CXO"/>
    <s v="JUGUETE PROPIO"/>
    <s v="CXO"/>
    <n v="1"/>
    <n v="1681.03"/>
  </r>
  <r>
    <x v="5"/>
    <s v="16/01/2026"/>
    <x v="9"/>
    <s v="7503043917524"/>
    <s v="Kit Lisboa 8 pzs - CXO"/>
    <s v="JUGUETE PROPIO"/>
    <s v="CXO"/>
    <n v="1"/>
    <n v="465.52"/>
  </r>
  <r>
    <x v="5"/>
    <s v="16/01/2026"/>
    <x v="9"/>
    <s v="7503013378010"/>
    <s v="Rigidex 2 pzas - DUSA"/>
    <s v="CONSUMIBLE PROPIO"/>
    <s v="DUSA"/>
    <n v="1"/>
    <n v="431.03"/>
  </r>
  <r>
    <x v="5"/>
    <s v="16/01/2026"/>
    <x v="9"/>
    <s v="7503024256192"/>
    <s v="Shot Shumatsu Fun Mujer - DUSA"/>
    <s v="CONSUMIBLE PROPIO"/>
    <s v="DUSA"/>
    <n v="3"/>
    <n v="517.23"/>
  </r>
  <r>
    <x v="5"/>
    <s v="16/01/2026"/>
    <x v="9"/>
    <s v="7503013378690"/>
    <s v="Shumatsu 3 pzas - DUSA"/>
    <s v="CONSUMIBLE PROPIO"/>
    <s v="DUSA"/>
    <n v="2"/>
    <n v="1155.18"/>
  </r>
  <r>
    <x v="5"/>
    <s v="16/01/2026"/>
    <x v="9"/>
    <s v="7503032300443"/>
    <s v="Zoe bala vibradora RETAIL - CXO"/>
    <s v="JUGUETE PROPIO"/>
    <s v="CXO"/>
    <n v="1"/>
    <n v="155.16999999999999"/>
  </r>
  <r>
    <x v="5"/>
    <s v="17/01/2026"/>
    <x v="9"/>
    <s v="7503030102198"/>
    <s v="Dildo realista vibrador con ventosa Ulises - CXO"/>
    <s v="JUGUETE PROPIO"/>
    <s v="CXO"/>
    <n v="1"/>
    <n v="2000"/>
  </r>
  <r>
    <x v="5"/>
    <s v="17/01/2026"/>
    <x v="9"/>
    <s v="7503043917012"/>
    <s v="Liquid Love Backdoor 30ml - DUSA"/>
    <s v="CONSUMIBLE PROPIO"/>
    <s v="DUSA"/>
    <n v="1"/>
    <n v="301.72000000000003"/>
  </r>
  <r>
    <x v="5"/>
    <s v="17/01/2026"/>
    <x v="9"/>
    <s v="7503020596001"/>
    <s v="Liquid Love Clear 100ml - DUSA"/>
    <s v="CONSUMIBLE PROPIO"/>
    <s v="DUSA"/>
    <n v="1"/>
    <n v="775.86"/>
  </r>
  <r>
    <x v="5"/>
    <s v="17/01/2026"/>
    <x v="9"/>
    <s v="7503013378690"/>
    <s v="Shumatsu 3 pzas - DUSA"/>
    <s v="CONSUMIBLE PROPIO"/>
    <s v="DUSA"/>
    <n v="1"/>
    <n v="577.59"/>
  </r>
  <r>
    <x v="5"/>
    <s v="18/01/2026"/>
    <x v="9"/>
    <s v="7503030220043"/>
    <s v="Dados para juegos 2 piezas - CXO"/>
    <s v="JUGUETE PROPIO"/>
    <s v="CXO"/>
    <n v="1"/>
    <n v="112.07"/>
  </r>
  <r>
    <x v="5"/>
    <s v="18/01/2026"/>
    <x v="9"/>
    <s v="7503020596957"/>
    <s v="Shot Shumatsu Fun Hombre - DUSA"/>
    <s v="CONSUMIBLE PROPIO"/>
    <s v="DUSA"/>
    <n v="1"/>
    <n v="172.41"/>
  </r>
  <r>
    <x v="5"/>
    <s v="19/01/2026"/>
    <x v="9"/>
    <s v="7503050524241"/>
    <s v="Orgasmik 30ml - DUSA"/>
    <s v="CONSUMIBLE PROPIO"/>
    <s v="DUSA"/>
    <n v="1"/>
    <n v="431.03"/>
  </r>
  <r>
    <x v="5"/>
    <s v="20/01/2026"/>
    <x v="3"/>
    <s v="7503043917005"/>
    <s v="Liquid Love Clear 30ml - DUSA"/>
    <s v="CONSUMIBLE PROPIO"/>
    <s v="DUSA"/>
    <n v="1"/>
    <n v="301.72000000000003"/>
  </r>
  <r>
    <x v="5"/>
    <s v="20/01/2026"/>
    <x v="3"/>
    <s v="7503050524241"/>
    <s v="Orgasmik 30ml - DUSA"/>
    <s v="CONSUMIBLE PROPIO"/>
    <s v="DUSA"/>
    <n v="1"/>
    <n v="431.03"/>
  </r>
  <r>
    <x v="5"/>
    <s v="20/01/2026"/>
    <x v="3"/>
    <s v="7503013378010"/>
    <s v="Rigidex 2 pzas - DUSA"/>
    <s v="CONSUMIBLE PROPIO"/>
    <s v="DUSA"/>
    <n v="1"/>
    <n v="431.03"/>
  </r>
  <r>
    <x v="5"/>
    <s v="20/01/2026"/>
    <x v="3"/>
    <s v="782421118105"/>
    <s v="The Manhandler 25cm - Doc Johnson"/>
    <s v="JUGUETE"/>
    <s v="DOC JOHNSON"/>
    <n v="1"/>
    <n v="650.86"/>
  </r>
  <r>
    <x v="5"/>
    <s v="21/01/2026"/>
    <x v="9"/>
    <s v="7503020111071"/>
    <s v="Anillo vibrador Hank gris con 10 velocidades – CXO"/>
    <s v="JUGUETE PROPIO"/>
    <s v="CXO"/>
    <n v="1"/>
    <n v="1267.24"/>
  </r>
  <r>
    <x v="5"/>
    <s v="21/01/2026"/>
    <x v="9"/>
    <s v="7503030207201"/>
    <s v="Funda semi realista para pene Rodolfo - CXO"/>
    <s v="JUGUETE PROPIO"/>
    <s v="CXO"/>
    <n v="1"/>
    <n v="1137.93"/>
  </r>
  <r>
    <x v="5"/>
    <s v="21/01/2026"/>
    <x v="9"/>
    <s v="7503013378980"/>
    <s v="Lubricante Body Surf Termico Chicle DUSA 60ml"/>
    <s v="CONSUMIBLE PROPIO"/>
    <s v="DUSA"/>
    <n v="1"/>
    <n v="387.93"/>
  </r>
  <r>
    <x v="5"/>
    <s v="21/01/2026"/>
    <x v="9"/>
    <s v="7503032300825"/>
    <s v="Lubricante Sachet natural 2 ml - BANANA SHAKE"/>
    <s v="CONSUMIBLE"/>
    <s v="BANANA SHAKE"/>
    <n v="5"/>
    <n v="86.2"/>
  </r>
  <r>
    <x v="5"/>
    <s v="21/01/2026"/>
    <x v="9"/>
    <s v="7503032300795"/>
    <s v="Sachet lubricante desensibilizador 2 ml - BANANA SHAKE"/>
    <s v="CONSUMIBLE"/>
    <s v="BANANA SHAKE"/>
    <n v="4"/>
    <n v="86.2"/>
  </r>
  <r>
    <x v="5"/>
    <s v="21/01/2026"/>
    <x v="9"/>
    <s v="782421081294"/>
    <s v="Vibrador Expander anal - DOC JOHNSON"/>
    <s v="JUGUETE"/>
    <s v="DOC JOHNSON"/>
    <n v="1"/>
    <n v="2758.62"/>
  </r>
  <r>
    <x v="5"/>
    <s v="23/01/2026"/>
    <x v="9"/>
    <s v="7503032300856"/>
    <s v="Sachet vibrador liquido 2 ml - BANANA SHAKE"/>
    <s v="CONSUMIBLE"/>
    <s v="BANANA SHAKE"/>
    <n v="5"/>
    <n v="86.2"/>
  </r>
  <r>
    <x v="5"/>
    <s v="23/01/2026"/>
    <x v="9"/>
    <s v="7503013378690"/>
    <s v="Shumatsu 3 pzas - DUSA"/>
    <s v="CONSUMIBLE PROPIO"/>
    <s v="DUSA"/>
    <n v="1"/>
    <n v="577.59"/>
  </r>
  <r>
    <x v="5"/>
    <s v="23/01/2026"/>
    <x v="9"/>
    <s v="7503032300443"/>
    <s v="Zoe bala vibradora RETAIL - CXO"/>
    <s v="JUGUETE PROPIO"/>
    <s v="CXO"/>
    <n v="1"/>
    <n v="155.16999999999999"/>
  </r>
  <r>
    <x v="5"/>
    <s v="24/01/2026"/>
    <x v="9"/>
    <s v="7503030202167"/>
    <s v="Dildo hiper realista con ventosa Raul - CXO"/>
    <s v="JUGUETE PROPIO"/>
    <s v="CXO"/>
    <n v="1"/>
    <n v="1525.86"/>
  </r>
  <r>
    <x v="5"/>
    <s v="24/01/2026"/>
    <x v="9"/>
    <s v="7503043917005"/>
    <s v="Liquid Love Clear 30ml - DUSA"/>
    <s v="CONSUMIBLE PROPIO"/>
    <s v="DUSA"/>
    <n v="1"/>
    <n v="301.72000000000003"/>
  </r>
  <r>
    <x v="5"/>
    <s v="24/01/2026"/>
    <x v="9"/>
    <s v="7503013378126"/>
    <s v="Lubricante Body Surf Frio Natural DUSA 60ml"/>
    <s v="CONSUMIBLE PROPIO"/>
    <s v="DUSA"/>
    <n v="1"/>
    <n v="387.93"/>
  </r>
  <r>
    <x v="5"/>
    <s v="24/01/2026"/>
    <x v="9"/>
    <s v="7503013378980"/>
    <s v="Lubricante Body Surf Termico Chicle DUSA 60ml"/>
    <s v="CONSUMIBLE PROPIO"/>
    <s v="DUSA"/>
    <n v="1"/>
    <n v="387.93"/>
  </r>
  <r>
    <x v="5"/>
    <s v="24/01/2026"/>
    <x v="9"/>
    <s v="7503026484845"/>
    <s v="Oral Sex Erotic Nut 5g - Feel Love"/>
    <s v="CONSUMIBLE"/>
    <s v="DIAMANTE"/>
    <n v="1"/>
    <n v="51.72"/>
  </r>
  <r>
    <x v="5"/>
    <s v="24/01/2026"/>
    <x v="9"/>
    <s v="6959633156094"/>
    <s v="Robin - SVAKOM"/>
    <s v="JUGUETE"/>
    <s v="SVAKOM"/>
    <n v="1"/>
    <n v="1318.97"/>
  </r>
  <r>
    <x v="5"/>
    <s v="24/01/2026"/>
    <x v="9"/>
    <s v="7503032300856"/>
    <s v="Sachet vibrador liquido 2 ml - BANANA SHAKE"/>
    <s v="CONSUMIBLE"/>
    <s v="BANANA SHAKE"/>
    <n v="10"/>
    <n v="172.4"/>
  </r>
  <r>
    <x v="5"/>
    <s v="25/01/2026"/>
    <x v="9"/>
    <s v="7503030202035"/>
    <s v="Dildo con testiculos y ventosa Mr. Garcia - CXO"/>
    <s v="JUGUETE PROPIO"/>
    <s v="CXO"/>
    <n v="1"/>
    <n v="646.54999999999995"/>
  </r>
  <r>
    <x v="5"/>
    <s v="26/01/2026"/>
    <x v="9"/>
    <s v="7503013378492"/>
    <s v="Clean Whisper 120ml - DUSA"/>
    <s v="CONSUMIBLE PROPIO"/>
    <s v="DUSA"/>
    <n v="1"/>
    <n v="301.72000000000003"/>
  </r>
  <r>
    <x v="5"/>
    <s v="26/01/2026"/>
    <x v="9"/>
    <s v="7503032300214"/>
    <s v="Cola de Zorro Arcoiris 38cm S - CXO"/>
    <s v="JUGUETE PROPIO"/>
    <s v="CXO"/>
    <n v="1"/>
    <n v="258.62"/>
  </r>
  <r>
    <x v="5"/>
    <s v="26/01/2026"/>
    <x v="9"/>
    <s v="7502214980053"/>
    <s v="CONDON TRUST NATURAL CON 3 MAQ - PRUDENCE"/>
    <s v="CONSUMIBLE"/>
    <s v="PRUDENCE"/>
    <n v="1"/>
    <n v="77.59"/>
  </r>
  <r>
    <x v="5"/>
    <s v="26/01/2026"/>
    <x v="9"/>
    <s v="7503013378904"/>
    <s v="Dildo Mr. Hernandez - CXO"/>
    <s v="JUGUETE PROPIO"/>
    <s v="CXO"/>
    <n v="1"/>
    <n v="517.24"/>
  </r>
  <r>
    <x v="5"/>
    <s v="26/01/2026"/>
    <x v="9"/>
    <s v="7503043917579"/>
    <s v="Huevo masturbador twister - EGG"/>
    <s v="JUGUETE"/>
    <s v="EGG"/>
    <n v="1"/>
    <n v="159.47999999999999"/>
  </r>
  <r>
    <x v="5"/>
    <s v="26/01/2026"/>
    <x v="9"/>
    <s v="7503043917005"/>
    <s v="Liquid Love Clear 30ml - DUSA"/>
    <s v="CONSUMIBLE PROPIO"/>
    <s v="DUSA"/>
    <n v="1"/>
    <n v="301.72000000000003"/>
  </r>
  <r>
    <x v="5"/>
    <s v="26/01/2026"/>
    <x v="9"/>
    <s v="7503032300856"/>
    <s v="Sachet vibrador liquido 2 ml - BANANA SHAKE"/>
    <s v="CONSUMIBLE"/>
    <s v="BANANA SHAKE"/>
    <n v="5"/>
    <n v="86.2"/>
  </r>
  <r>
    <x v="5"/>
    <s v="26/01/2026"/>
    <x v="9"/>
    <s v="7503020596957"/>
    <s v="Shot Shumatsu Fun Hombre - DUSA"/>
    <s v="CONSUMIBLE PROPIO"/>
    <s v="DUSA"/>
    <n v="1"/>
    <n v="172.41"/>
  </r>
  <r>
    <x v="5"/>
    <s v="27/01/2026"/>
    <x v="2"/>
    <s v="7503013378645"/>
    <s v="Liquid Love Pleasure 100ml - DUSA"/>
    <s v="CONSUMIBLE PROPIO"/>
    <s v="DUSA"/>
    <n v="1"/>
    <n v="775.86"/>
  </r>
  <r>
    <x v="5"/>
    <s v="27/01/2026"/>
    <x v="2"/>
    <s v="6959633103494"/>
    <s v="Mora Neo multiorgasmico rosa - SVAKOM"/>
    <s v="JUGUETE"/>
    <s v="SVAKOM"/>
    <n v="1"/>
    <n v="1637.93"/>
  </r>
  <r>
    <x v="5"/>
    <s v="27/01/2026"/>
    <x v="2"/>
    <s v="7503013378690"/>
    <s v="Shumatsu 3 pzas - DUSA"/>
    <s v="CONSUMIBLE PROPIO"/>
    <s v="DUSA"/>
    <n v="1"/>
    <n v="577.59"/>
  </r>
  <r>
    <x v="5"/>
    <s v="28/01/2026"/>
    <x v="9"/>
    <s v="7503020112070"/>
    <s v="Bala vibradora recargable Ely – CXO"/>
    <s v="JUGUETE PROPIO"/>
    <s v="CXO"/>
    <n v="1"/>
    <n v="793.1"/>
  </r>
  <r>
    <x v="5"/>
    <s v="28/01/2026"/>
    <x v="9"/>
    <s v="FM1002"/>
    <s v="FEROMONAS DIAMANTE CONCENTRADO HOMBRE"/>
    <s v="CONSUMIBLE"/>
    <s v="DIAMANTE"/>
    <n v="1"/>
    <n v="413.79"/>
  </r>
  <r>
    <x v="5"/>
    <s v="28/01/2026"/>
    <x v="9"/>
    <s v="7508304288412"/>
    <s v="FEROMONAS EN GEL 20ML HOMBRE HOMBRE"/>
    <s v="CONSUMIBLE"/>
    <s v="DIAMANTE"/>
    <n v="1"/>
    <n v="379.31"/>
  </r>
  <r>
    <x v="5"/>
    <s v="28/01/2026"/>
    <x v="9"/>
    <s v="7503032300627"/>
    <s v="Kevin - CXO"/>
    <s v="JUGUETE PROPIO"/>
    <s v="CXO"/>
    <n v="1"/>
    <n v="775.86"/>
  </r>
  <r>
    <x v="5"/>
    <s v="28/01/2026"/>
    <x v="9"/>
    <s v="7503013378690"/>
    <s v="Shumatsu 3 pzas - DUSA"/>
    <s v="CONSUMIBLE PROPIO"/>
    <s v="DUSA"/>
    <n v="3"/>
    <n v="1732.77"/>
  </r>
  <r>
    <x v="5"/>
    <s v="29/01/2026"/>
    <x v="2"/>
    <s v="7503030215199"/>
    <s v="Arnes para doble penetracion - CXO"/>
    <s v="JUGUETE PROPIO"/>
    <s v="CXO"/>
    <n v="1"/>
    <n v="1422.41"/>
  </r>
  <r>
    <x v="5"/>
    <s v="29/01/2026"/>
    <x v="2"/>
    <s v="7503020596513"/>
    <s v="Liquid Love Natural 20ml - DUSA"/>
    <s v="CONSUMIBLE PROPIO"/>
    <s v="DUSA"/>
    <n v="1"/>
    <n v="258.62"/>
  </r>
  <r>
    <x v="5"/>
    <s v="29/01/2026"/>
    <x v="2"/>
    <s v="7503013378690"/>
    <s v="Shumatsu 3 pzas - DUSA"/>
    <s v="CONSUMIBLE PROPIO"/>
    <s v="DUSA"/>
    <n v="1"/>
    <n v="577.59"/>
  </r>
  <r>
    <x v="5"/>
    <s v="30/01/2026"/>
    <x v="9"/>
    <s v="7503043917081"/>
    <s v="Blade rosa anillo vibrador - CXO"/>
    <s v="JUGUETE PROPIO"/>
    <s v="CXO"/>
    <n v="1"/>
    <n v="81.900000000000006"/>
  </r>
  <r>
    <x v="5"/>
    <s v="30/01/2026"/>
    <x v="9"/>
    <s v="7503013378492"/>
    <s v="Clean Whisper 120ml - DUSA"/>
    <s v="CONSUMIBLE PROPIO"/>
    <s v="DUSA"/>
    <n v="1"/>
    <n v="301.72000000000003"/>
  </r>
  <r>
    <x v="5"/>
    <s v="30/01/2026"/>
    <x v="9"/>
    <s v="7503020596056"/>
    <s v="He Plus - DUSA"/>
    <s v="CONSUMIBLE PROPIO"/>
    <s v="DUSA"/>
    <n v="1"/>
    <n v="431.03"/>
  </r>
  <r>
    <x v="5"/>
    <s v="30/01/2026"/>
    <x v="9"/>
    <s v="7503032300825"/>
    <s v="Lubricante Sachet natural 2 ml - BANANA SHAKE"/>
    <s v="CONSUMIBLE"/>
    <s v="BANANA SHAKE"/>
    <n v="5"/>
    <n v="86.2"/>
  </r>
  <r>
    <x v="5"/>
    <s v="30/01/2026"/>
    <x v="9"/>
    <s v="7503026484845"/>
    <s v="Oral Sex Erotic Nut 5g - Feel Love"/>
    <s v="CONSUMIBLE"/>
    <s v="DIAMANTE"/>
    <n v="1"/>
    <n v="51.72"/>
  </r>
  <r>
    <x v="5"/>
    <s v="30/01/2026"/>
    <x v="9"/>
    <s v="7503030128202"/>
    <s v="Plug Anal con 10 modos de vibracion y rotacion 360 Beto - CXO"/>
    <s v="JUGUETE PROPIO"/>
    <s v="CXO"/>
    <n v="1"/>
    <n v="1577.59"/>
  </r>
  <r>
    <x v="5"/>
    <s v="30/01/2026"/>
    <x v="9"/>
    <s v="7503032300795"/>
    <s v="Sachet lubricante desensibilizador 2 ml - BANANA SHAKE"/>
    <s v="CONSUMIBLE"/>
    <s v="BANANA SHAKE"/>
    <n v="4"/>
    <n v="86.2"/>
  </r>
  <r>
    <x v="5"/>
    <s v="30/01/2026"/>
    <x v="9"/>
    <s v="7503020596049"/>
    <s v="Sensicool - DUSA"/>
    <s v="CONSUMIBLE PROPIO"/>
    <s v="DUSA"/>
    <n v="1"/>
    <n v="431.03"/>
  </r>
  <r>
    <x v="5"/>
    <s v="30/01/2026"/>
    <x v="9"/>
    <s v="7503013378690"/>
    <s v="Shumatsu 3 pzas - DUSA"/>
    <s v="CONSUMIBLE PROPIO"/>
    <s v="DUSA"/>
    <n v="1"/>
    <n v="577.59"/>
  </r>
  <r>
    <x v="5"/>
    <s v="31/01/2026"/>
    <x v="9"/>
    <s v="7503032300795"/>
    <s v="Sachet lubricante desensibilizador 2 ml - BANANA SHAKE"/>
    <s v="CONSUMIBLE"/>
    <s v="BANANA SHAKE"/>
    <n v="5"/>
    <n v="107.75"/>
  </r>
  <r>
    <x v="5"/>
    <s v="31/01/2026"/>
    <x v="9"/>
    <s v="7503032300856"/>
    <s v="Sachet vibrador liquido 2 ml - BANANA SHAKE"/>
    <s v="CONSUMIBLE"/>
    <s v="BANANA SHAKE"/>
    <n v="4"/>
    <n v="68.959999999999994"/>
  </r>
  <r>
    <x v="5"/>
    <s v="31/01/2026"/>
    <x v="9"/>
    <s v="7503024256192"/>
    <s v="Shot Shumatsu Fun Mujer - DUSA"/>
    <s v="CONSUMIBLE PROPIO"/>
    <s v="DUSA"/>
    <n v="1"/>
    <n v="172.41"/>
  </r>
  <r>
    <x v="5"/>
    <s v="31/01/2026"/>
    <x v="9"/>
    <s v="7503013378690"/>
    <s v="Shumatsu 3 pzas - DUSA"/>
    <s v="CONSUMIBLE PROPIO"/>
    <s v="DUSA"/>
    <n v="1"/>
    <n v="577.59"/>
  </r>
  <r>
    <x v="5"/>
    <s v="31/01/2026"/>
    <x v="9"/>
    <s v="7503020596063"/>
    <s v="Stallion Regenerador - DUSA"/>
    <s v="CONSUMIBLE PROPIO"/>
    <s v="DUSA"/>
    <n v="1"/>
    <n v="1293.0999999999999"/>
  </r>
  <r>
    <x v="6"/>
    <s v="02/01/2026"/>
    <x v="10"/>
    <s v="7503020112070"/>
    <s v="Bala vibradora recargable Ely – CXO"/>
    <s v="JUGUETE PROPIO"/>
    <s v="CXO"/>
    <n v="1"/>
    <n v="793.1"/>
  </r>
  <r>
    <x v="6"/>
    <s v="02/01/2026"/>
    <x v="10"/>
    <s v="7503043917609"/>
    <s v="Dados 2 pz - CXO"/>
    <s v="JUGUETE PROPIO"/>
    <s v="CXO"/>
    <n v="1"/>
    <n v="73.28"/>
  </r>
  <r>
    <x v="6"/>
    <s v="02/01/2026"/>
    <x v="10"/>
    <s v="7503032300993"/>
    <s v="Liquid Love Pleasure 30ml - DUSA"/>
    <s v="CONSUMIBLE PROPIO"/>
    <s v="DUSA"/>
    <n v="1"/>
    <n v="301.72000000000003"/>
  </r>
  <r>
    <x v="6"/>
    <s v="02/01/2026"/>
    <x v="10"/>
    <s v="7503024256154"/>
    <s v="Lubricante Body Surf Termico Cereza DUSA 60ml"/>
    <s v="CONSUMIBLE PROPIO"/>
    <s v="DUSA"/>
    <n v="1"/>
    <n v="387.93"/>
  </r>
  <r>
    <x v="6"/>
    <s v="02/01/2026"/>
    <x v="10"/>
    <s v="7503023462198"/>
    <s v="Lubricante Masaje Térmico Comestible Plátano Excitante FEEL LOVE 4 en 1 - 60ml"/>
    <s v="LUBRICANTE"/>
    <s v="FEEL LOVE"/>
    <n v="1"/>
    <n v="344.83"/>
  </r>
  <r>
    <x v="6"/>
    <s v="02/01/2026"/>
    <x v="10"/>
    <s v="8699415912859"/>
    <s v="Miel Vigorizante para Hombre  Miracle Honey  VIP 15g-  SECRET MIRACLE HONEY"/>
    <s v="CONSUMIBLE"/>
    <s v="SECRET MIRACLE HONEY"/>
    <n v="1"/>
    <n v="215.52"/>
  </r>
  <r>
    <x v="6"/>
    <s v="02/01/2026"/>
    <x v="10"/>
    <s v="7503020596957"/>
    <s v="Shot Shumatsu Fun Hombre - DUSA"/>
    <s v="CONSUMIBLE PROPIO"/>
    <s v="DUSA"/>
    <n v="2"/>
    <n v="344.82"/>
  </r>
  <r>
    <x v="6"/>
    <s v="02/01/2026"/>
    <x v="10"/>
    <s v="7503024256192"/>
    <s v="Shot Shumatsu Fun Mujer - DUSA"/>
    <s v="CONSUMIBLE PROPIO"/>
    <s v="DUSA"/>
    <n v="2"/>
    <n v="344.82"/>
  </r>
  <r>
    <x v="6"/>
    <s v="02/01/2026"/>
    <x v="10"/>
    <s v="7503013378690"/>
    <s v="Shumatsu 3 pzas - DUSA"/>
    <s v="CONSUMIBLE PROPIO"/>
    <s v="DUSA"/>
    <n v="1"/>
    <n v="577.59"/>
  </r>
  <r>
    <x v="6"/>
    <s v="03/01/2026"/>
    <x v="10"/>
    <s v="CON01CH014007L"/>
    <s v="Conjunto Viri L baby pink"/>
    <s v="LENCERIA PROPIA"/>
    <s v="OLA MOU"/>
    <n v="1"/>
    <n v="129.31"/>
  </r>
  <r>
    <x v="6"/>
    <s v="03/01/2026"/>
    <x v="10"/>
    <s v="7500464543059"/>
    <s v="Dildo Realista con Ventosa 15.5cms Domi CXO"/>
    <s v="JUGUETE PROPIO"/>
    <s v="CXO"/>
    <n v="2"/>
    <n v="1637.94"/>
  </r>
  <r>
    <x v="6"/>
    <s v="03/01/2026"/>
    <x v="10"/>
    <s v="7503030102034"/>
    <s v="Dildo vibrador con control Anthony - CXO"/>
    <s v="JUGUETE PROPIO"/>
    <s v="CXO"/>
    <n v="1"/>
    <n v="2112.0700000000002"/>
  </r>
  <r>
    <x v="6"/>
    <s v="03/01/2026"/>
    <x v="10"/>
    <s v="7508304288436"/>
    <s v="FEROMONAS DIAMANTE EXCLUSIVE SPRAY 25 ML ELLA"/>
    <s v="CONSUMIBLE"/>
    <s v="DIAMANTE"/>
    <n v="1"/>
    <n v="387.93"/>
  </r>
  <r>
    <x v="6"/>
    <s v="03/01/2026"/>
    <x v="10"/>
    <s v="7503026484227"/>
    <s v="Fragancia con Feromonas Body Breeze Sensual DIAMANTE 125ml"/>
    <s v="CONSUMIBLE"/>
    <s v="DIAMANTE"/>
    <n v="1"/>
    <n v="413.79"/>
  </r>
  <r>
    <x v="6"/>
    <s v="03/01/2026"/>
    <x v="10"/>
    <s v="7503020596513"/>
    <s v="Liquid Love Natural 20ml - DUSA"/>
    <s v="CONSUMIBLE PROPIO"/>
    <s v="DUSA"/>
    <n v="1"/>
    <n v="258.62"/>
  </r>
  <r>
    <x v="6"/>
    <s v="03/01/2026"/>
    <x v="10"/>
    <s v="7503050524241"/>
    <s v="Orgasmik 30ml - DUSA"/>
    <s v="CONSUMIBLE PROPIO"/>
    <s v="DUSA"/>
    <n v="1"/>
    <n v="431.03"/>
  </r>
  <r>
    <x v="6"/>
    <s v="03/01/2026"/>
    <x v="10"/>
    <s v="7503024256192"/>
    <s v="Shot Shumatsu Fun Mujer - DUSA"/>
    <s v="CONSUMIBLE PROPIO"/>
    <s v="DUSA"/>
    <n v="2"/>
    <n v="344.82"/>
  </r>
  <r>
    <x v="6"/>
    <s v="03/01/2026"/>
    <x v="10"/>
    <s v="7503013378690"/>
    <s v="Shumatsu 3 pzas - DUSA"/>
    <s v="CONSUMIBLE PROPIO"/>
    <s v="DUSA"/>
    <n v="1"/>
    <n v="577.59"/>
  </r>
  <r>
    <x v="6"/>
    <s v="04/01/2026"/>
    <x v="10"/>
    <s v="7503038654007"/>
    <s v="Fragancia con Feromonas Body Breeze Sugar Baby DIAMANTE Dulce 125ml"/>
    <s v="CONSUMIBLE"/>
    <s v="DIAMANTE"/>
    <n v="1"/>
    <n v="413.79"/>
  </r>
  <r>
    <x v="6"/>
    <s v="04/01/2026"/>
    <x v="10"/>
    <s v="7503020596513"/>
    <s v="Liquid Love Natural 20ml - DUSA"/>
    <s v="CONSUMIBLE PROPIO"/>
    <s v="DUSA"/>
    <n v="1"/>
    <n v="258.62"/>
  </r>
  <r>
    <x v="6"/>
    <s v="04/01/2026"/>
    <x v="10"/>
    <s v="7503023462235"/>
    <s v="Lubricante Masaje Térmico Comestible Piña Colada FEEL LOVE 4 en 1 - 60ml"/>
    <s v="LUBRICANTE"/>
    <s v="FEEL LOVE"/>
    <n v="1"/>
    <n v="344.83"/>
  </r>
  <r>
    <x v="6"/>
    <s v="04/01/2026"/>
    <x v="10"/>
    <s v="7503023462242"/>
    <s v="Lubricante Masaje Termico Comestible Uva Dulce FEEL LOVE 4 en 1 60ml"/>
    <s v="LUBRICANTE"/>
    <s v="FEEL LOVE"/>
    <n v="1"/>
    <n v="344.83"/>
  </r>
  <r>
    <x v="6"/>
    <s v="04/01/2026"/>
    <x v="10"/>
    <s v="7503020596957"/>
    <s v="Shot Shumatsu Fun Hombre - DUSA"/>
    <s v="CONSUMIBLE PROPIO"/>
    <s v="DUSA"/>
    <n v="1"/>
    <n v="172.41"/>
  </r>
  <r>
    <x v="6"/>
    <s v="05/01/2026"/>
    <x v="10"/>
    <s v="7503020310205"/>
    <s v="Dildo Vibrador Termico Realista 3 en 1 con movimiento Hades-CXO"/>
    <s v="JUGUETE PROPIO"/>
    <s v="CXO"/>
    <n v="1"/>
    <n v="2500"/>
  </r>
  <r>
    <x v="6"/>
    <s v="05/01/2026"/>
    <x v="10"/>
    <s v="69143A"/>
    <s v="Pantie tipo tanga color negro Alexa M"/>
    <s v="LENCERIA PROPIA"/>
    <s v="OLA MOU"/>
    <n v="1"/>
    <n v="100"/>
  </r>
  <r>
    <x v="6"/>
    <s v="05/01/2026"/>
    <x v="10"/>
    <s v="7503020596957"/>
    <s v="Shot Shumatsu Fun Hombre - DUSA"/>
    <s v="CONSUMIBLE PROPIO"/>
    <s v="DUSA"/>
    <n v="1"/>
    <n v="172.41"/>
  </r>
  <r>
    <x v="6"/>
    <s v="06/01/2026"/>
    <x v="10"/>
    <s v="7502214985805"/>
    <s v="CONDON PRUDENCE VETE A LA VERSH  C/3"/>
    <s v="CONSUMIBLE"/>
    <s v="PRUDENCE"/>
    <n v="1"/>
    <n v="77.59"/>
  </r>
  <r>
    <x v="6"/>
    <s v="06/01/2026"/>
    <x v="10"/>
    <s v="7502214980053"/>
    <s v="CONDON TRUST NATURAL CON 3 MAQ - PRUDENCE"/>
    <s v="CONSUMIBLE"/>
    <s v="PRUDENCE"/>
    <n v="1"/>
    <n v="77.59"/>
  </r>
  <r>
    <x v="6"/>
    <s v="06/01/2026"/>
    <x v="10"/>
    <s v="7503020596513"/>
    <s v="Liquid Love Natural 20ml - DUSA"/>
    <s v="CONSUMIBLE PROPIO"/>
    <s v="DUSA"/>
    <n v="1"/>
    <n v="258.62"/>
  </r>
  <r>
    <x v="6"/>
    <s v="06/01/2026"/>
    <x v="10"/>
    <s v="7503020104080"/>
    <s v="Vibrador multiorgásmico con doble motor y estimulador de conejito Ara – CXO"/>
    <s v="JUGUETE PROPIO"/>
    <s v="CXO"/>
    <n v="1"/>
    <n v="2163.79"/>
  </r>
  <r>
    <x v="6"/>
    <s v="07/01/2026"/>
    <x v="10"/>
    <s v="7503020596513"/>
    <s v="Liquid Love Natural 20ml - DUSA"/>
    <s v="CONSUMIBLE PROPIO"/>
    <s v="DUSA"/>
    <n v="1"/>
    <n v="258.62"/>
  </r>
  <r>
    <x v="6"/>
    <s v="07/01/2026"/>
    <x v="10"/>
    <s v="7503013378690"/>
    <s v="Shumatsu 3 pzas - DUSA"/>
    <s v="CONSUMIBLE PROPIO"/>
    <s v="DUSA"/>
    <n v="1"/>
    <n v="577.59"/>
  </r>
  <r>
    <x v="6"/>
    <s v="08/01/2026"/>
    <x v="10"/>
    <s v="7503032300559"/>
    <s v="Cola de Zorro 45cm cafe L - CXO"/>
    <s v="JUGUETE PROPIO"/>
    <s v="CXO"/>
    <n v="1"/>
    <n v="344.83"/>
  </r>
  <r>
    <x v="6"/>
    <s v="08/01/2026"/>
    <x v="10"/>
    <s v="FM1002"/>
    <s v="FEROMONAS DIAMANTE CONCENTRADO HOMBRE"/>
    <s v="CONSUMIBLE"/>
    <s v="DIAMANTE"/>
    <n v="1"/>
    <n v="413.79"/>
  </r>
  <r>
    <x v="6"/>
    <s v="08/01/2026"/>
    <x v="10"/>
    <s v="7503020596957"/>
    <s v="Shot Shumatsu Fun Hombre - DUSA"/>
    <s v="CONSUMIBLE PROPIO"/>
    <s v="DUSA"/>
    <n v="1"/>
    <n v="172.41"/>
  </r>
  <r>
    <x v="6"/>
    <s v="08/01/2026"/>
    <x v="10"/>
    <s v="7503024256192"/>
    <s v="Shot Shumatsu Fun Mujer - DUSA"/>
    <s v="CONSUMIBLE PROPIO"/>
    <s v="DUSA"/>
    <n v="1"/>
    <n v="172.41"/>
  </r>
  <r>
    <x v="6"/>
    <s v="08/01/2026"/>
    <x v="10"/>
    <s v="7503013378690"/>
    <s v="Shumatsu 3 pzas - DUSA"/>
    <s v="CONSUMIBLE PROPIO"/>
    <s v="DUSA"/>
    <n v="1"/>
    <n v="577.59"/>
  </r>
  <r>
    <x v="6"/>
    <s v="09/01/2026"/>
    <x v="2"/>
    <s v="7503023462242"/>
    <s v="Lubricante Masaje Termico Comestible Uva Dulce FEEL LOVE 4 en 1 60ml"/>
    <s v="LUBRICANTE"/>
    <s v="FEEL LOVE"/>
    <n v="1"/>
    <n v="344.83"/>
  </r>
  <r>
    <x v="6"/>
    <s v="10/01/2026"/>
    <x v="10"/>
    <s v="7503020111072"/>
    <s v="Anillo vibrador recargable con textura negra Hank - CXO"/>
    <s v="JUGUETE PROPIO"/>
    <s v="CXO"/>
    <n v="1"/>
    <n v="1267.24"/>
  </r>
  <r>
    <x v="6"/>
    <s v="10/01/2026"/>
    <x v="10"/>
    <s v="7503030102034"/>
    <s v="Dildo vibrador con control Anthony - CXO"/>
    <s v="JUGUETE PROPIO"/>
    <s v="CXO"/>
    <n v="1"/>
    <n v="2112.0700000000002"/>
  </r>
  <r>
    <x v="6"/>
    <s v="10/01/2026"/>
    <x v="10"/>
    <s v="7503043917555"/>
    <s v="Huevo masturbador spider - EGG"/>
    <s v="JUGUETE"/>
    <s v="EGG"/>
    <n v="1"/>
    <n v="159.47999999999999"/>
  </r>
  <r>
    <x v="6"/>
    <s v="10/01/2026"/>
    <x v="10"/>
    <s v="7503043917562"/>
    <s v="Huevo masturbador stepper - EGG"/>
    <s v="JUGUETE"/>
    <s v="EGG"/>
    <n v="1"/>
    <n v="159.47999999999999"/>
  </r>
  <r>
    <x v="6"/>
    <s v="10/01/2026"/>
    <x v="10"/>
    <s v="7503013378010"/>
    <s v="Rigidex 2 pzas - DUSA"/>
    <s v="CONSUMIBLE PROPIO"/>
    <s v="DUSA"/>
    <n v="1"/>
    <n v="431.03"/>
  </r>
  <r>
    <x v="6"/>
    <s v="11/01/2026"/>
    <x v="10"/>
    <s v="8699415912859"/>
    <s v="Miel Vigorizante para Hombre  Miracle Honey  VIP 15g-  SECRET MIRACLE HONEY"/>
    <s v="CONSUMIBLE"/>
    <s v="SECRET MIRACLE HONEY"/>
    <n v="1"/>
    <n v="215.52"/>
  </r>
  <r>
    <x v="6"/>
    <s v="11/01/2026"/>
    <x v="10"/>
    <s v="7503020596957"/>
    <s v="Shot Shumatsu Fun Hombre - DUSA"/>
    <s v="CONSUMIBLE PROPIO"/>
    <s v="DUSA"/>
    <n v="2"/>
    <n v="344.82"/>
  </r>
  <r>
    <x v="6"/>
    <s v="11/01/2026"/>
    <x v="10"/>
    <s v="7503013378690"/>
    <s v="Shumatsu 3 pzas - DUSA"/>
    <s v="CONSUMIBLE PROPIO"/>
    <s v="DUSA"/>
    <n v="2"/>
    <n v="1155.18"/>
  </r>
  <r>
    <x v="6"/>
    <s v="12/01/2026"/>
    <x v="5"/>
    <s v="7503043917005"/>
    <s v="Liquid Love Clear 30ml - DUSA"/>
    <s v="CONSUMIBLE PROPIO"/>
    <s v="DUSA"/>
    <n v="1"/>
    <n v="301.72000000000003"/>
  </r>
  <r>
    <x v="6"/>
    <s v="13/01/2026"/>
    <x v="2"/>
    <s v="7503013378690"/>
    <s v="Shumatsu 3 pzas - DUSA"/>
    <s v="CONSUMIBLE PROPIO"/>
    <s v="DUSA"/>
    <n v="1"/>
    <n v="577.59"/>
  </r>
  <r>
    <x v="6"/>
    <s v="15/01/2026"/>
    <x v="2"/>
    <s v="7503032300856"/>
    <s v="Sachet vibrador liquido 2 ml - BANANA SHAKE"/>
    <s v="CONSUMIBLE"/>
    <s v="BANANA SHAKE"/>
    <n v="5"/>
    <n v="86.2"/>
  </r>
  <r>
    <x v="6"/>
    <s v="15/01/2026"/>
    <x v="2"/>
    <s v="7503013378690"/>
    <s v="Shumatsu 3 pzas - DUSA"/>
    <s v="CONSUMIBLE PROPIO"/>
    <s v="DUSA"/>
    <n v="1"/>
    <n v="577.59"/>
  </r>
  <r>
    <x v="6"/>
    <s v="17/01/2026"/>
    <x v="10"/>
    <s v="7503030111031"/>
    <s v="Anillo vibrador de aro doble con estimulador y dildo Javier - CXO"/>
    <s v="JUGUETE PROPIO"/>
    <s v="CXO"/>
    <n v="1"/>
    <n v="1681.03"/>
  </r>
  <r>
    <x v="6"/>
    <s v="17/01/2026"/>
    <x v="10"/>
    <s v="7502214985362"/>
    <s v="CONDON MUTUAL SENSATION C/3 - PRUDENCE"/>
    <s v="CONSUMIBLE"/>
    <s v="PRUDENCE"/>
    <n v="1"/>
    <n v="77.59"/>
  </r>
  <r>
    <x v="6"/>
    <s v="17/01/2026"/>
    <x v="10"/>
    <s v="7503043917012"/>
    <s v="Liquid Love Backdoor 30ml - DUSA"/>
    <s v="CONSUMIBLE PROPIO"/>
    <s v="DUSA"/>
    <n v="2"/>
    <n v="603.44000000000005"/>
  </r>
  <r>
    <x v="6"/>
    <s v="17/01/2026"/>
    <x v="10"/>
    <s v="7503024256154"/>
    <s v="Lubricante Body Surf Termico Cereza DUSA 60ml"/>
    <s v="CONSUMIBLE PROPIO"/>
    <s v="DUSA"/>
    <n v="1"/>
    <n v="387.93"/>
  </r>
  <r>
    <x v="6"/>
    <s v="17/01/2026"/>
    <x v="10"/>
    <s v="7503013378980"/>
    <s v="Lubricante Body Surf Termico Chicle DUSA 60ml"/>
    <s v="CONSUMIBLE PROPIO"/>
    <s v="DUSA"/>
    <n v="1"/>
    <n v="387.93"/>
  </r>
  <r>
    <x v="6"/>
    <s v="17/01/2026"/>
    <x v="10"/>
    <s v="7503020596957"/>
    <s v="Shot Shumatsu Fun Hombre - DUSA"/>
    <s v="CONSUMIBLE PROPIO"/>
    <s v="DUSA"/>
    <n v="3"/>
    <n v="517.23"/>
  </r>
  <r>
    <x v="6"/>
    <s v="17/01/2026"/>
    <x v="10"/>
    <s v="7503024256192"/>
    <s v="Shot Shumatsu Fun Mujer - DUSA"/>
    <s v="CONSUMIBLE PROPIO"/>
    <s v="DUSA"/>
    <n v="2"/>
    <n v="344.82"/>
  </r>
  <r>
    <x v="6"/>
    <s v="19/01/2026"/>
    <x v="2"/>
    <s v="7503030102034"/>
    <s v="Dildo vibrador con control Anthony - CXO"/>
    <s v="JUGUETE PROPIO"/>
    <s v="CXO"/>
    <n v="1"/>
    <n v="2112.0700000000002"/>
  </r>
  <r>
    <x v="6"/>
    <s v="19/01/2026"/>
    <x v="2"/>
    <s v="7503043917562"/>
    <s v="Huevo masturbador stepper - EGG"/>
    <s v="JUGUETE"/>
    <s v="EGG"/>
    <n v="1"/>
    <n v="159.47999999999999"/>
  </r>
  <r>
    <x v="6"/>
    <s v="19/01/2026"/>
    <x v="2"/>
    <s v="7503032300993"/>
    <s v="Liquid Love Pleasure 30ml - DUSA"/>
    <s v="CONSUMIBLE PROPIO"/>
    <s v="DUSA"/>
    <n v="1"/>
    <n v="301.72000000000003"/>
  </r>
  <r>
    <x v="6"/>
    <s v="19/01/2026"/>
    <x v="2"/>
    <s v="7503013378690"/>
    <s v="Shumatsu 3 pzas - DUSA"/>
    <s v="CONSUMIBLE PROPIO"/>
    <s v="DUSA"/>
    <n v="1"/>
    <n v="577.59"/>
  </r>
  <r>
    <x v="6"/>
    <s v="20/01/2026"/>
    <x v="10"/>
    <s v="7503043917012"/>
    <s v="Liquid Love Backdoor 30ml - DUSA"/>
    <s v="CONSUMIBLE PROPIO"/>
    <s v="DUSA"/>
    <n v="1"/>
    <n v="301.72000000000003"/>
  </r>
  <r>
    <x v="6"/>
    <s v="20/01/2026"/>
    <x v="10"/>
    <s v="7503024256192"/>
    <s v="Shot Shumatsu Fun Mujer - DUSA"/>
    <s v="CONSUMIBLE PROPIO"/>
    <s v="DUSA"/>
    <n v="1"/>
    <n v="172.41"/>
  </r>
  <r>
    <x v="6"/>
    <s v="21/01/2026"/>
    <x v="10"/>
    <s v="7503020596957"/>
    <s v="Shot Shumatsu Fun Hombre - DUSA"/>
    <s v="CONSUMIBLE PROPIO"/>
    <s v="DUSA"/>
    <n v="1"/>
    <n v="172.41"/>
  </r>
  <r>
    <x v="6"/>
    <s v="22/01/2026"/>
    <x v="10"/>
    <s v="7503024256192"/>
    <s v="Shot Shumatsu Fun Mujer - DUSA"/>
    <s v="CONSUMIBLE PROPIO"/>
    <s v="DUSA"/>
    <n v="1"/>
    <n v="172.41"/>
  </r>
  <r>
    <x v="6"/>
    <s v="23/01/2026"/>
    <x v="10"/>
    <s v="7508304288900"/>
    <s v="ACEITE DE ALMENDRAS 130ML AMOR INFINITO"/>
    <s v="CONSUMIBLE"/>
    <s v="DIAMANTE"/>
    <n v="1"/>
    <n v="448.28"/>
  </r>
  <r>
    <x v="6"/>
    <s v="23/01/2026"/>
    <x v="10"/>
    <s v="7503013378904"/>
    <s v="Dildo Mr. Hernandez - CXO"/>
    <s v="JUGUETE PROPIO"/>
    <s v="CXO"/>
    <n v="1"/>
    <n v="517.24"/>
  </r>
  <r>
    <x v="6"/>
    <s v="23/01/2026"/>
    <x v="10"/>
    <s v="7503020202213"/>
    <s v="Dildo realista con ventosa Nick - CXO"/>
    <s v="JUGUETE PROPIO"/>
    <s v="CXO"/>
    <n v="1"/>
    <n v="818.97"/>
  </r>
  <r>
    <x v="6"/>
    <s v="23/01/2026"/>
    <x v="10"/>
    <s v="7503043917012"/>
    <s v="Liquid Love Backdoor 30ml - DUSA"/>
    <s v="CONSUMIBLE PROPIO"/>
    <s v="DUSA"/>
    <n v="1"/>
    <n v="301.72000000000003"/>
  </r>
  <r>
    <x v="6"/>
    <s v="23/01/2026"/>
    <x v="10"/>
    <s v="603912332025"/>
    <s v="PLUG ANAL MEGA SILICONE PLUG ANAL FANTASY"/>
    <s v="JUGUETE"/>
    <s v="PIPEDREAM"/>
    <n v="1"/>
    <n v="1435.34"/>
  </r>
  <r>
    <x v="6"/>
    <s v="23/01/2026"/>
    <x v="10"/>
    <s v="7503013378010"/>
    <s v="Rigidex 2 pzas - DUSA"/>
    <s v="CONSUMIBLE PROPIO"/>
    <s v="DUSA"/>
    <n v="2"/>
    <n v="862.07"/>
  </r>
  <r>
    <x v="6"/>
    <s v="23/01/2026"/>
    <x v="10"/>
    <s v="7503020596957"/>
    <s v="Shot Shumatsu Fun Hombre - DUSA"/>
    <s v="CONSUMIBLE PROPIO"/>
    <s v="DUSA"/>
    <n v="1"/>
    <n v="172.41"/>
  </r>
  <r>
    <x v="6"/>
    <s v="23/01/2026"/>
    <x v="10"/>
    <s v="7503024256192"/>
    <s v="Shot Shumatsu Fun Mujer - DUSA"/>
    <s v="CONSUMIBLE PROPIO"/>
    <s v="DUSA"/>
    <n v="1"/>
    <n v="172.41"/>
  </r>
  <r>
    <x v="6"/>
    <s v="23/01/2026"/>
    <x v="10"/>
    <s v="7503032300443"/>
    <s v="Zoe bala vibradora RETAIL - CXO"/>
    <s v="JUGUETE PROPIO"/>
    <s v="CXO"/>
    <n v="1"/>
    <n v="155.16999999999999"/>
  </r>
  <r>
    <x v="6"/>
    <s v="24/01/2026"/>
    <x v="10"/>
    <s v="7502214985362"/>
    <s v="CONDON MUTUAL SENSATION C/3 - PRUDENCE"/>
    <s v="CONSUMIBLE"/>
    <s v="PRUDENCE"/>
    <n v="1"/>
    <n v="77.59"/>
  </r>
  <r>
    <x v="6"/>
    <s v="24/01/2026"/>
    <x v="10"/>
    <s v="7503030202035"/>
    <s v="Dildo con testiculos y ventosa Mr. Garcia - CXO"/>
    <s v="JUGUETE PROPIO"/>
    <s v="CXO"/>
    <n v="1"/>
    <n v="646.54999999999995"/>
  </r>
  <r>
    <x v="6"/>
    <s v="24/01/2026"/>
    <x v="10"/>
    <s v="7503030102198"/>
    <s v="Dildo realista vibrador con ventosa Ulises - CXO"/>
    <s v="JUGUETE PROPIO"/>
    <s v="CXO"/>
    <n v="1"/>
    <n v="2000"/>
  </r>
  <r>
    <x v="6"/>
    <s v="24/01/2026"/>
    <x v="10"/>
    <s v="7503043917531"/>
    <s v="Huevo masturbador clicker - EGG"/>
    <s v="JUGUETE"/>
    <s v="EGG"/>
    <n v="1"/>
    <n v="159.47999999999999"/>
  </r>
  <r>
    <x v="6"/>
    <s v="24/01/2026"/>
    <x v="10"/>
    <s v="7503043917005"/>
    <s v="Liquid Love Clear 30ml - DUSA"/>
    <s v="CONSUMIBLE PROPIO"/>
    <s v="DUSA"/>
    <n v="1"/>
    <n v="301.72000000000003"/>
  </r>
  <r>
    <x v="6"/>
    <s v="24/01/2026"/>
    <x v="10"/>
    <s v="7503032300993"/>
    <s v="Liquid Love Pleasure 30ml - DUSA"/>
    <s v="CONSUMIBLE PROPIO"/>
    <s v="DUSA"/>
    <n v="1"/>
    <n v="301.72000000000003"/>
  </r>
  <r>
    <x v="6"/>
    <s v="24/01/2026"/>
    <x v="10"/>
    <s v="7503013378690"/>
    <s v="Shumatsu 3 pzas - DUSA"/>
    <s v="CONSUMIBLE PROPIO"/>
    <s v="DUSA"/>
    <n v="1"/>
    <n v="577.59"/>
  </r>
  <r>
    <x v="6"/>
    <s v="24/01/2026"/>
    <x v="10"/>
    <s v="7503032300443"/>
    <s v="Zoe bala vibradora RETAIL - CXO"/>
    <s v="JUGUETE PROPIO"/>
    <s v="CXO"/>
    <n v="1"/>
    <n v="155.16999999999999"/>
  </r>
  <r>
    <x v="6"/>
    <s v="25/01/2026"/>
    <x v="10"/>
    <s v="7503013378119"/>
    <s v="Anastasia gema de colores S - CXO"/>
    <s v="JUGUETE PROPIO"/>
    <s v="CXO"/>
    <n v="1"/>
    <n v="396.55"/>
  </r>
  <r>
    <x v="6"/>
    <s v="25/01/2026"/>
    <x v="10"/>
    <s v="7503013378416"/>
    <s v="Angie - CXO"/>
    <s v="JUGUETE PROPIO"/>
    <s v="CXO"/>
    <n v="1"/>
    <n v="689.66"/>
  </r>
  <r>
    <x v="6"/>
    <s v="25/01/2026"/>
    <x v="10"/>
    <s v="7503032300542"/>
    <s v="Cola de Zorro 45cm negro L - CXO"/>
    <s v="JUGUETE PROPIO"/>
    <s v="CXO"/>
    <n v="1"/>
    <n v="344.83"/>
  </r>
  <r>
    <x v="6"/>
    <s v="25/01/2026"/>
    <x v="10"/>
    <s v="7503043917012"/>
    <s v="Liquid Love Backdoor 30ml - DUSA"/>
    <s v="CONSUMIBLE PROPIO"/>
    <s v="DUSA"/>
    <n v="2"/>
    <n v="603.44000000000005"/>
  </r>
  <r>
    <x v="6"/>
    <s v="25/01/2026"/>
    <x v="10"/>
    <s v="7503020596957"/>
    <s v="Shot Shumatsu Fun Hombre - DUSA"/>
    <s v="CONSUMIBLE PROPIO"/>
    <s v="DUSA"/>
    <n v="1"/>
    <n v="172.41"/>
  </r>
  <r>
    <x v="6"/>
    <s v="26/01/2026"/>
    <x v="10"/>
    <s v="848518031129"/>
    <s v="AF838 MS THE CURVED DICKTATOR DILDO"/>
    <s v="JUGUETE"/>
    <s v="SENSUALITY TOYS"/>
    <n v="1"/>
    <n v="3672.41"/>
  </r>
  <r>
    <x v="6"/>
    <s v="26/01/2026"/>
    <x v="10"/>
    <s v="7503013378850"/>
    <s v="Amy fucsia - CXO"/>
    <s v="JUGUETE PROPIO"/>
    <s v="CXO"/>
    <n v="1"/>
    <n v="431.03"/>
  </r>
  <r>
    <x v="6"/>
    <s v="26/01/2026"/>
    <x v="10"/>
    <s v="7503013378102"/>
    <s v="Anastasia Gema de Colores M - CXO"/>
    <s v="JUGUETE PROPIO"/>
    <s v="CXO"/>
    <n v="1"/>
    <n v="456.9"/>
  </r>
  <r>
    <x v="6"/>
    <s v="26/01/2026"/>
    <x v="10"/>
    <s v="844477011332"/>
    <s v="PLEASURE BALSS - ONE NIGHT STAND"/>
    <s v="JUGUETE"/>
    <s v="DIAMANTE"/>
    <n v="1"/>
    <n v="258.62"/>
  </r>
  <r>
    <x v="6"/>
    <s v="26/01/2026"/>
    <x v="10"/>
    <s v="7503020596957"/>
    <s v="Shot Shumatsu Fun Hombre - DUSA"/>
    <s v="CONSUMIBLE PROPIO"/>
    <s v="DUSA"/>
    <n v="1"/>
    <n v="172.41"/>
  </r>
  <r>
    <x v="6"/>
    <s v="26/01/2026"/>
    <x v="10"/>
    <s v="7503024256192"/>
    <s v="Shot Shumatsu Fun Mujer - DUSA"/>
    <s v="CONSUMIBLE PROPIO"/>
    <s v="DUSA"/>
    <n v="1"/>
    <n v="172.41"/>
  </r>
  <r>
    <x v="6"/>
    <s v="27/01/2026"/>
    <x v="1"/>
    <s v="7503043917548"/>
    <s v="Huevo masturbador silky - EGG"/>
    <s v="JUGUETE"/>
    <s v="EGG"/>
    <n v="1"/>
    <n v="159.47999999999999"/>
  </r>
  <r>
    <x v="6"/>
    <s v="27/01/2026"/>
    <x v="1"/>
    <s v="7503050524241"/>
    <s v="Orgasmik 30ml - DUSA"/>
    <s v="CONSUMIBLE PROPIO"/>
    <s v="DUSA"/>
    <n v="1"/>
    <n v="431.03"/>
  </r>
  <r>
    <x v="6"/>
    <s v="27/01/2026"/>
    <x v="1"/>
    <s v="784656900647"/>
    <s v="silicon explorers - sinclair institute"/>
    <s v="JUGUETE"/>
    <s v="DIAMANTE"/>
    <n v="1"/>
    <n v="948.28"/>
  </r>
  <r>
    <x v="6"/>
    <s v="29/01/2026"/>
    <x v="10"/>
    <s v="7503013378102"/>
    <s v="Anastasia Gema de Colores M - CXO"/>
    <s v="JUGUETE PROPIO"/>
    <s v="CXO"/>
    <n v="1"/>
    <n v="456.9"/>
  </r>
  <r>
    <x v="6"/>
    <s v="29/01/2026"/>
    <x v="10"/>
    <s v="603912320213"/>
    <s v="FETISH FANTASY SERIES LIMITED EDITIONRUBBER PADDLE BLACK"/>
    <s v="JUGUETE"/>
    <s v="PIPEDREAM"/>
    <n v="1"/>
    <n v="275.86"/>
  </r>
  <r>
    <x v="6"/>
    <s v="29/01/2026"/>
    <x v="10"/>
    <s v="7503013378010"/>
    <s v="Rigidex 2 pzas - DUSA"/>
    <s v="CONSUMIBLE PROPIO"/>
    <s v="DUSA"/>
    <n v="1"/>
    <n v="431.03"/>
  </r>
  <r>
    <x v="6"/>
    <s v="29/01/2026"/>
    <x v="10"/>
    <s v="7503032300443"/>
    <s v="Zoe bala vibradora RETAIL - CXO"/>
    <s v="JUGUETE PROPIO"/>
    <s v="CXO"/>
    <n v="1"/>
    <n v="155.16999999999999"/>
  </r>
  <r>
    <x v="6"/>
    <s v="30/01/2026"/>
    <x v="10"/>
    <s v="7503024256154"/>
    <s v="Lubricante Body Surf Termico Cereza DUSA 60ml"/>
    <s v="CONSUMIBLE PROPIO"/>
    <s v="DUSA"/>
    <n v="1"/>
    <n v="387.93"/>
  </r>
  <r>
    <x v="6"/>
    <s v="30/01/2026"/>
    <x v="10"/>
    <s v="7503013378799"/>
    <s v="Lubricante Body Surf Termico Citricos DUSA 60ml"/>
    <s v="CONSUMIBLE PROPIO"/>
    <s v="DUSA"/>
    <n v="1"/>
    <n v="387.93"/>
  </r>
  <r>
    <x v="6"/>
    <s v="30/01/2026"/>
    <x v="10"/>
    <s v="7503020596957"/>
    <s v="Shot Shumatsu Fun Hombre - DUSA"/>
    <s v="CONSUMIBLE PROPIO"/>
    <s v="DUSA"/>
    <n v="1"/>
    <n v="172.41"/>
  </r>
  <r>
    <x v="6"/>
    <s v="30/01/2026"/>
    <x v="10"/>
    <s v="7503032300443"/>
    <s v="Zoe bala vibradora RETAIL - CXO"/>
    <s v="JUGUETE PROPIO"/>
    <s v="CXO"/>
    <n v="1"/>
    <n v="155.16999999999999"/>
  </r>
  <r>
    <x v="6"/>
    <s v="31/01/2026"/>
    <x v="10"/>
    <s v="7503032300474"/>
    <s v="Cola de Zorro 45cm blanco S - CXO"/>
    <s v="JUGUETE PROPIO"/>
    <s v="CXO"/>
    <n v="1"/>
    <n v="258.62"/>
  </r>
  <r>
    <x v="6"/>
    <s v="31/01/2026"/>
    <x v="10"/>
    <s v="7503043917005"/>
    <s v="Liquid Love Clear 30ml - DUSA"/>
    <s v="CONSUMIBLE PROPIO"/>
    <s v="DUSA"/>
    <n v="2"/>
    <n v="603.44000000000005"/>
  </r>
  <r>
    <x v="6"/>
    <s v="31/01/2026"/>
    <x v="10"/>
    <s v="7503013378690"/>
    <s v="Shumatsu 3 pzas - DUSA"/>
    <s v="CONSUMIBLE PROPIO"/>
    <s v="DUSA"/>
    <n v="1"/>
    <n v="577.59"/>
  </r>
  <r>
    <x v="6"/>
    <s v="31/01/2026"/>
    <x v="10"/>
    <s v="66097C"/>
    <s v="Tanga rosa fluorecente Camila M"/>
    <s v="LENCERIA PROPIA"/>
    <s v="OLA MOU"/>
    <n v="1"/>
    <n v="133.62"/>
  </r>
  <r>
    <x v="7"/>
    <s v="02/01/2026"/>
    <x v="11"/>
    <s v="7503043917081"/>
    <s v="Blade rosa anillo vibrador - CXO"/>
    <s v="JUGUETE PROPIO"/>
    <s v="CXO"/>
    <n v="2"/>
    <n v="163.80000000000001"/>
  </r>
  <r>
    <x v="7"/>
    <s v="02/01/2026"/>
    <x v="11"/>
    <s v="7502214985362"/>
    <s v="CONDON MUTUAL SENSATION C/3 - PRUDENCE"/>
    <s v="CONSUMIBLE"/>
    <s v="PRUDENCE"/>
    <n v="1"/>
    <n v="77.59"/>
  </r>
  <r>
    <x v="7"/>
    <s v="02/01/2026"/>
    <x v="11"/>
    <s v="7503013378645"/>
    <s v="Liquid Love Pleasure 100ml - DUSA"/>
    <s v="CONSUMIBLE PROPIO"/>
    <s v="DUSA"/>
    <n v="1"/>
    <n v="775.86"/>
  </r>
  <r>
    <x v="7"/>
    <s v="02/01/2026"/>
    <x v="11"/>
    <s v="6959633185476"/>
    <s v="Masturbador Hedy X Confidence – SVAKOM"/>
    <s v="JUGUETE"/>
    <s v="SVAKOM"/>
    <n v="1"/>
    <n v="181.03"/>
  </r>
  <r>
    <x v="7"/>
    <s v="03/01/2026"/>
    <x v="11"/>
    <s v="7508304288948"/>
    <s v="Aceite de almendras sensacion 130ml - DIAMANTE"/>
    <s v="CONSUMIBLE"/>
    <s v="DIAMANTE"/>
    <n v="1"/>
    <n v="448.28"/>
  </r>
  <r>
    <x v="7"/>
    <s v="03/01/2026"/>
    <x v="11"/>
    <s v="7713042311883"/>
    <s v="Aceite de almendras sensual 130ml - DIAMANTE"/>
    <s v="CONSUMIBLE"/>
    <s v="DIAMANTE"/>
    <n v="1"/>
    <n v="448.28"/>
  </r>
  <r>
    <x v="7"/>
    <s v="03/01/2026"/>
    <x v="11"/>
    <s v="7503043917081"/>
    <s v="Blade rosa anillo vibrador - CXO"/>
    <s v="JUGUETE PROPIO"/>
    <s v="CXO"/>
    <n v="1"/>
    <n v="81.900000000000006"/>
  </r>
  <r>
    <x v="7"/>
    <s v="03/01/2026"/>
    <x v="11"/>
    <s v="7503043917326"/>
    <s v="Caro dual - CXO"/>
    <s v="JUGUETE PROPIO"/>
    <s v="CXO"/>
    <n v="1"/>
    <n v="1379.31"/>
  </r>
  <r>
    <x v="7"/>
    <s v="03/01/2026"/>
    <x v="11"/>
    <s v="7503032300566"/>
    <s v="Cola de Zorro 45cm fucsia L - CXO"/>
    <s v="JUGUETE PROPIO"/>
    <s v="CXO"/>
    <n v="1"/>
    <n v="344.83"/>
  </r>
  <r>
    <x v="7"/>
    <s v="03/01/2026"/>
    <x v="11"/>
    <s v="7502214980053"/>
    <s v="CONDON TRUST NATURAL CON 3 MAQ - PRUDENCE"/>
    <s v="CONSUMIBLE"/>
    <s v="PRUDENCE"/>
    <n v="1"/>
    <n v="77.59"/>
  </r>
  <r>
    <x v="7"/>
    <s v="03/01/2026"/>
    <x v="11"/>
    <s v="7503020310205"/>
    <s v="Dildo Vibrador Termico Realista 3 en 1 con movimiento Hades-CXO"/>
    <s v="JUGUETE PROPIO"/>
    <s v="CXO"/>
    <n v="1"/>
    <n v="2500"/>
  </r>
  <r>
    <x v="7"/>
    <s v="03/01/2026"/>
    <x v="11"/>
    <s v="FM1002"/>
    <s v="FEROMONAS DIAMANTE CONCENTRADO HOMBRE"/>
    <s v="CONSUMIBLE"/>
    <s v="DIAMANTE"/>
    <n v="1"/>
    <n v="413.79"/>
  </r>
  <r>
    <x v="7"/>
    <s v="03/01/2026"/>
    <x v="11"/>
    <s v="7503024256154"/>
    <s v="Lubricante Body Surf Termico Cereza DUSA 60ml"/>
    <s v="CONSUMIBLE PROPIO"/>
    <s v="DUSA"/>
    <n v="1"/>
    <n v="387.93"/>
  </r>
  <r>
    <x v="7"/>
    <s v="03/01/2026"/>
    <x v="11"/>
    <s v="7503032300795"/>
    <s v="Sachet lubricante desensibilizador 2 ml - BANANA SHAKE"/>
    <s v="CONSUMIBLE"/>
    <s v="BANANA SHAKE"/>
    <n v="5"/>
    <n v="107.75"/>
  </r>
  <r>
    <x v="7"/>
    <s v="03/01/2026"/>
    <x v="11"/>
    <s v="7503024256192"/>
    <s v="Shot Shumatsu Fun Mujer - DUSA"/>
    <s v="CONSUMIBLE PROPIO"/>
    <s v="DUSA"/>
    <n v="1"/>
    <n v="172.41"/>
  </r>
  <r>
    <x v="7"/>
    <s v="03/01/2026"/>
    <x v="11"/>
    <s v="7503013378690"/>
    <s v="Shumatsu 3 pzas - DUSA"/>
    <s v="CONSUMIBLE PROPIO"/>
    <s v="DUSA"/>
    <n v="1"/>
    <n v="577.59"/>
  </r>
  <r>
    <x v="7"/>
    <s v="03/01/2026"/>
    <x v="11"/>
    <s v="4630017971008"/>
    <s v="Titan gel original - TITAN"/>
    <s v="CONSUMIBLE"/>
    <s v="TITAN"/>
    <n v="1"/>
    <n v="517.24"/>
  </r>
  <r>
    <x v="7"/>
    <s v="03/01/2026"/>
    <x v="11"/>
    <s v="7503030118033"/>
    <s v="Vibrador con Aza"/>
    <s v="JUGUETE PROPIO"/>
    <s v="CXO"/>
    <n v="1"/>
    <n v="551.72"/>
  </r>
  <r>
    <x v="7"/>
    <s v="05/01/2026"/>
    <x v="11"/>
    <s v="7503030211021"/>
    <s v="Anillo desechable para pene Donut - CXO"/>
    <s v="JUGUETE PROPIO"/>
    <s v="CXO"/>
    <n v="1"/>
    <n v="34.479999999999997"/>
  </r>
  <r>
    <x v="7"/>
    <s v="05/01/2026"/>
    <x v="11"/>
    <s v="7503043917326"/>
    <s v="Caro dual - CXO"/>
    <s v="JUGUETE PROPIO"/>
    <s v="CXO"/>
    <n v="1"/>
    <n v="1379.31"/>
  </r>
  <r>
    <x v="7"/>
    <s v="05/01/2026"/>
    <x v="11"/>
    <s v="7503050524340"/>
    <s v="Ducha Felix S - CXO"/>
    <s v="JUGUETE PROPIO"/>
    <s v="CXO"/>
    <n v="1"/>
    <n v="612.07000000000005"/>
  </r>
  <r>
    <x v="7"/>
    <s v="05/01/2026"/>
    <x v="11"/>
    <s v="7503043917524"/>
    <s v="Kit Lisboa 8 pzs - CXO"/>
    <s v="JUGUETE PROPIO"/>
    <s v="CXO"/>
    <n v="1"/>
    <n v="465.52"/>
  </r>
  <r>
    <x v="7"/>
    <s v="05/01/2026"/>
    <x v="11"/>
    <s v="7503020596001"/>
    <s v="Liquid Love Clear 100ml - DUSA"/>
    <s v="CONSUMIBLE PROPIO"/>
    <s v="DUSA"/>
    <n v="1"/>
    <n v="775.86"/>
  </r>
  <r>
    <x v="7"/>
    <s v="05/01/2026"/>
    <x v="11"/>
    <s v="7503013378645"/>
    <s v="Liquid Love Pleasure 100ml - DUSA"/>
    <s v="CONSUMIBLE PROPIO"/>
    <s v="DUSA"/>
    <n v="1"/>
    <n v="775.86"/>
  </r>
  <r>
    <x v="7"/>
    <s v="05/01/2026"/>
    <x v="11"/>
    <s v="7503024256192"/>
    <s v="Shot Shumatsu Fun Mujer - DUSA"/>
    <s v="CONSUMIBLE PROPIO"/>
    <s v="DUSA"/>
    <n v="1"/>
    <n v="172.41"/>
  </r>
  <r>
    <x v="7"/>
    <s v="05/01/2026"/>
    <x v="11"/>
    <s v="7503010217045"/>
    <s v="Vela para masaje red love - DUSA"/>
    <s v="CONSUMIBLE PROPIO"/>
    <s v="DUSA"/>
    <n v="1"/>
    <n v="241.38"/>
  </r>
  <r>
    <x v="7"/>
    <s v="06/01/2026"/>
    <x v="11"/>
    <s v="7503013378102"/>
    <s v="Anastasia Gema de Colores M - CXO"/>
    <s v="JUGUETE PROPIO"/>
    <s v="CXO"/>
    <n v="1"/>
    <n v="456.9"/>
  </r>
  <r>
    <x v="7"/>
    <s v="06/01/2026"/>
    <x v="11"/>
    <s v="7503014914002"/>
    <s v="CAPSULAS MULTIORGASMICO AMO O-GEN"/>
    <s v="CONSUMIBLE"/>
    <s v="POWER MAN"/>
    <n v="1"/>
    <n v="431.04"/>
  </r>
  <r>
    <x v="7"/>
    <s v="06/01/2026"/>
    <x v="11"/>
    <s v="7502214980275"/>
    <s v="Condones sabor y aroma soda c/ 3 pzs - PRUDENCE"/>
    <s v="CONSUMIBLE"/>
    <s v="PRUDENCE"/>
    <n v="1"/>
    <n v="60.34"/>
  </r>
  <r>
    <x v="7"/>
    <s v="06/01/2026"/>
    <x v="11"/>
    <s v="7503013378690"/>
    <s v="Shumatsu 3 pzas - DUSA"/>
    <s v="CONSUMIBLE PROPIO"/>
    <s v="DUSA"/>
    <n v="6"/>
    <n v="3465.54"/>
  </r>
  <r>
    <x v="7"/>
    <s v="07/01/2026"/>
    <x v="11"/>
    <s v="7503043917081"/>
    <s v="Blade rosa anillo vibrador - CXO"/>
    <s v="JUGUETE PROPIO"/>
    <s v="CXO"/>
    <n v="1"/>
    <n v="81.900000000000006"/>
  </r>
  <r>
    <x v="7"/>
    <s v="07/01/2026"/>
    <x v="11"/>
    <s v="7503030102034"/>
    <s v="Dildo vibrador con control Anthony - CXO"/>
    <s v="JUGUETE PROPIO"/>
    <s v="CXO"/>
    <n v="1"/>
    <n v="2112.0700000000002"/>
  </r>
  <r>
    <x v="7"/>
    <s v="07/01/2026"/>
    <x v="11"/>
    <s v="7503050524265"/>
    <s v="He Plus 30ml - DUSA"/>
    <s v="CONSUMIBLE PROPIO"/>
    <s v="DUSA"/>
    <n v="2"/>
    <n v="862.06"/>
  </r>
  <r>
    <x v="7"/>
    <s v="07/01/2026"/>
    <x v="11"/>
    <s v="7503013378126"/>
    <s v="Lubricante Body Surf Frio Natural DUSA 60ml"/>
    <s v="CONSUMIBLE PROPIO"/>
    <s v="DUSA"/>
    <n v="1"/>
    <n v="387.93"/>
  </r>
  <r>
    <x v="7"/>
    <s v="07/01/2026"/>
    <x v="11"/>
    <s v="7503032300856"/>
    <s v="Sachet vibrador liquido 2 ml - BANANA SHAKE"/>
    <s v="CONSUMIBLE"/>
    <s v="BANANA SHAKE"/>
    <n v="6"/>
    <n v="103.44"/>
  </r>
  <r>
    <x v="7"/>
    <s v="07/01/2026"/>
    <x v="11"/>
    <s v="7503020210510"/>
    <s v="Vibrador tipo C para parejas"/>
    <s v="JUGUETE PROPIO"/>
    <s v="CXO"/>
    <n v="1"/>
    <n v="646.54999999999995"/>
  </r>
  <r>
    <x v="7"/>
    <s v="07/01/2026"/>
    <x v="11"/>
    <s v="7503032300443"/>
    <s v="Zoe bala vibradora RETAIL - CXO"/>
    <s v="JUGUETE PROPIO"/>
    <s v="CXO"/>
    <n v="1"/>
    <n v="155.16999999999999"/>
  </r>
  <r>
    <x v="7"/>
    <s v="08/01/2026"/>
    <x v="11"/>
    <s v="7503030111031"/>
    <s v="Anillo vibrador de aro doble con estimulador y dildo Javier - CXO"/>
    <s v="JUGUETE PROPIO"/>
    <s v="CXO"/>
    <n v="1"/>
    <n v="1681.03"/>
  </r>
  <r>
    <x v="7"/>
    <s v="08/01/2026"/>
    <x v="11"/>
    <s v="7502214980084"/>
    <s v="CONDON TRUST RETARDANTE CON 3 MAQ - PRUDENCE"/>
    <s v="CONSUMIBLE"/>
    <s v="PRUDENCE"/>
    <n v="1"/>
    <n v="77.59"/>
  </r>
  <r>
    <x v="7"/>
    <s v="08/01/2026"/>
    <x v="11"/>
    <s v="7502214980060"/>
    <s v="CONDON TRUST SENSITIVO CON 3 MAQ - PRUDENCE"/>
    <s v="CONSUMIBLE"/>
    <s v="PRUDENCE"/>
    <n v="1"/>
    <n v="77.59"/>
  </r>
  <r>
    <x v="7"/>
    <s v="08/01/2026"/>
    <x v="11"/>
    <s v="7503020310205"/>
    <s v="Dildo Vibrador Termico Realista 3 en 1 con movimiento Hades-CXO"/>
    <s v="JUGUETE PROPIO"/>
    <s v="CXO"/>
    <n v="1"/>
    <n v="2500"/>
  </r>
  <r>
    <x v="7"/>
    <s v="08/01/2026"/>
    <x v="11"/>
    <s v="7503020596001"/>
    <s v="Liquid Love Clear 100ml - DUSA"/>
    <s v="CONSUMIBLE PROPIO"/>
    <s v="DUSA"/>
    <n v="1"/>
    <n v="775.86"/>
  </r>
  <r>
    <x v="7"/>
    <s v="08/01/2026"/>
    <x v="11"/>
    <s v="7503013378645"/>
    <s v="Liquid Love Pleasure 100ml - DUSA"/>
    <s v="CONSUMIBLE PROPIO"/>
    <s v="DUSA"/>
    <n v="1"/>
    <n v="775.86"/>
  </r>
  <r>
    <x v="7"/>
    <s v="08/01/2026"/>
    <x v="11"/>
    <s v="7503050226162"/>
    <s v="Plug Anal con Vibración y Control Roberto - CXO"/>
    <s v="JUGUETE PROPIO"/>
    <s v="CXO"/>
    <n v="1"/>
    <n v="1293.0999999999999"/>
  </r>
  <r>
    <x v="7"/>
    <s v="08/01/2026"/>
    <x v="11"/>
    <s v="4061504007496"/>
    <s v="Succionado con App Curvy 1+ - Satisfayer"/>
    <s v="JUGUETE"/>
    <s v="SATISFAYER"/>
    <n v="1"/>
    <n v="1810.34"/>
  </r>
  <r>
    <x v="7"/>
    <s v="10/01/2026"/>
    <x v="11"/>
    <s v="7503043917081"/>
    <s v="Blade rosa anillo vibrador - CXO"/>
    <s v="JUGUETE PROPIO"/>
    <s v="CXO"/>
    <n v="2"/>
    <n v="163.80000000000001"/>
  </r>
  <r>
    <x v="7"/>
    <s v="10/01/2026"/>
    <x v="11"/>
    <s v="7502214982439"/>
    <s v="Condon Extra Time Retardante 3 pzs - PRUDENCE"/>
    <s v="CONSUMIBLE"/>
    <s v="PRUDENCE"/>
    <n v="1"/>
    <n v="77.59"/>
  </r>
  <r>
    <x v="7"/>
    <s v="10/01/2026"/>
    <x v="11"/>
    <s v="7502214982811"/>
    <s v="Condones Mix Sabor y Aroma 5 pzs - PRUDENCE"/>
    <s v="CONSUMIBLE"/>
    <s v="PRUDENCE"/>
    <n v="1"/>
    <n v="77.59"/>
  </r>
  <r>
    <x v="7"/>
    <s v="10/01/2026"/>
    <x v="11"/>
    <s v="7503050524265"/>
    <s v="He Plus 30ml - DUSA"/>
    <s v="CONSUMIBLE PROPIO"/>
    <s v="DUSA"/>
    <n v="1"/>
    <n v="431.03"/>
  </r>
  <r>
    <x v="7"/>
    <s v="10/01/2026"/>
    <x v="11"/>
    <s v="7503013378857"/>
    <s v="Micrófono Vaginal"/>
    <s v="JUGUETE PROPIO"/>
    <s v="CXO"/>
    <n v="1"/>
    <n v="310.33999999999997"/>
  </r>
  <r>
    <x v="7"/>
    <s v="10/01/2026"/>
    <x v="11"/>
    <s v="7503032300795"/>
    <s v="Sachet lubricante desensibilizador 2 ml - BANANA SHAKE"/>
    <s v="CONSUMIBLE"/>
    <s v="BANANA SHAKE"/>
    <n v="5"/>
    <n v="107.75"/>
  </r>
  <r>
    <x v="7"/>
    <s v="10/01/2026"/>
    <x v="11"/>
    <s v="7503024256192"/>
    <s v="Shot Shumatsu Fun Mujer - DUSA"/>
    <s v="CONSUMIBLE PROPIO"/>
    <s v="DUSA"/>
    <n v="1"/>
    <n v="172.41"/>
  </r>
  <r>
    <x v="7"/>
    <s v="12/01/2026"/>
    <x v="11"/>
    <s v="7503032300634"/>
    <s v="Kevin violeta - CXO"/>
    <s v="JUGUETE PROPIO"/>
    <s v="CXO"/>
    <n v="1"/>
    <n v="775.86"/>
  </r>
  <r>
    <x v="7"/>
    <s v="12/01/2026"/>
    <x v="11"/>
    <s v="7503013378652"/>
    <s v="Liquid Love Backdoor 100ml - DUSA"/>
    <s v="CONSUMIBLE PROPIO"/>
    <s v="DUSA"/>
    <n v="1"/>
    <n v="1077.5899999999999"/>
  </r>
  <r>
    <x v="7"/>
    <s v="13/01/2026"/>
    <x v="11"/>
    <s v="7508304288917"/>
    <s v="Aceite de Almendras 130ml EROTICA -DIAMANTE"/>
    <s v="CONSUMIBLE"/>
    <s v="DIAMANTE"/>
    <n v="1"/>
    <n v="448.28"/>
  </r>
  <r>
    <x v="7"/>
    <s v="13/01/2026"/>
    <x v="11"/>
    <s v="7503013378416"/>
    <s v="Angie - CXO"/>
    <s v="JUGUETE PROPIO"/>
    <s v="CXO"/>
    <n v="1"/>
    <n v="689.66"/>
  </r>
  <r>
    <x v="7"/>
    <s v="13/01/2026"/>
    <x v="11"/>
    <s v="7503030211021"/>
    <s v="Anillo desechable para pene Donut - CXO"/>
    <s v="JUGUETE PROPIO"/>
    <s v="CXO"/>
    <n v="1"/>
    <n v="34.479999999999997"/>
  </r>
  <r>
    <x v="7"/>
    <s v="13/01/2026"/>
    <x v="11"/>
    <s v="7503043917081"/>
    <s v="Blade rosa anillo vibrador - CXO"/>
    <s v="JUGUETE PROPIO"/>
    <s v="CXO"/>
    <n v="1"/>
    <n v="81.900000000000006"/>
  </r>
  <r>
    <x v="7"/>
    <s v="13/01/2026"/>
    <x v="11"/>
    <s v="7502214985362"/>
    <s v="CONDON MUTUAL SENSATION C/3 - PRUDENCE"/>
    <s v="CONSUMIBLE"/>
    <s v="PRUDENCE"/>
    <n v="1"/>
    <n v="77.59"/>
  </r>
  <r>
    <x v="7"/>
    <s v="13/01/2026"/>
    <x v="11"/>
    <s v="7502214986598"/>
    <s v="Condones Zero c/ 3 pzs - PRUDENCE"/>
    <s v="CONSUMIBLE"/>
    <s v="PRUDENCE"/>
    <n v="1"/>
    <n v="77.59"/>
  </r>
  <r>
    <x v="7"/>
    <s v="13/01/2026"/>
    <x v="11"/>
    <s v="7503013378980"/>
    <s v="Lubricante Body Surf Termico Chicle DUSA 60ml"/>
    <s v="CONSUMIBLE PROPIO"/>
    <s v="DUSA"/>
    <n v="1"/>
    <n v="387.93"/>
  </r>
  <r>
    <x v="7"/>
    <s v="13/01/2026"/>
    <x v="11"/>
    <s v="SE016"/>
    <s v="Masturbador Vagina -  CXO"/>
    <s v="JUGUETE PROPIO"/>
    <s v="CXO"/>
    <n v="1"/>
    <n v="948.28"/>
  </r>
  <r>
    <x v="7"/>
    <s v="13/01/2026"/>
    <x v="11"/>
    <s v="7503013378690"/>
    <s v="Shumatsu 3 pzas - DUSA"/>
    <s v="CONSUMIBLE PROPIO"/>
    <s v="DUSA"/>
    <n v="2"/>
    <n v="1155.18"/>
  </r>
  <r>
    <x v="7"/>
    <s v="14/01/2026"/>
    <x v="11"/>
    <s v="7503043917081"/>
    <s v="Blade rosa anillo vibrador - CXO"/>
    <s v="JUGUETE PROPIO"/>
    <s v="CXO"/>
    <n v="1"/>
    <n v="81.900000000000006"/>
  </r>
  <r>
    <x v="7"/>
    <s v="14/01/2026"/>
    <x v="11"/>
    <s v="7503050524265"/>
    <s v="He Plus 30ml - DUSA"/>
    <s v="CONSUMIBLE PROPIO"/>
    <s v="DUSA"/>
    <n v="1"/>
    <n v="431.03"/>
  </r>
  <r>
    <x v="7"/>
    <s v="14/01/2026"/>
    <x v="11"/>
    <s v="7503013378980"/>
    <s v="Lubricante Body Surf Termico Chicle DUSA 60ml"/>
    <s v="CONSUMIBLE PROPIO"/>
    <s v="DUSA"/>
    <n v="1"/>
    <n v="387.93"/>
  </r>
  <r>
    <x v="7"/>
    <s v="14/01/2026"/>
    <x v="11"/>
    <s v="7503013378857"/>
    <s v="Micrófono Vaginal"/>
    <s v="JUGUETE PROPIO"/>
    <s v="CXO"/>
    <n v="1"/>
    <n v="310.33999999999997"/>
  </r>
  <r>
    <x v="7"/>
    <s v="14/01/2026"/>
    <x v="11"/>
    <s v="7503032300443"/>
    <s v="Zoe bala vibradora RETAIL - CXO"/>
    <s v="JUGUETE PROPIO"/>
    <s v="CXO"/>
    <n v="2"/>
    <n v="310.33999999999997"/>
  </r>
  <r>
    <x v="7"/>
    <s v="15/01/2026"/>
    <x v="11"/>
    <s v="7503030211021"/>
    <s v="Anillo desechable para pene Donut - CXO"/>
    <s v="JUGUETE PROPIO"/>
    <s v="CXO"/>
    <n v="2"/>
    <n v="68.959999999999994"/>
  </r>
  <r>
    <x v="7"/>
    <s v="15/01/2026"/>
    <x v="11"/>
    <s v="7503020112070"/>
    <s v="Bala vibradora recargable Ely – CXO"/>
    <s v="JUGUETE PROPIO"/>
    <s v="CXO"/>
    <n v="2"/>
    <n v="1586.2"/>
  </r>
  <r>
    <x v="7"/>
    <s v="15/01/2026"/>
    <x v="11"/>
    <s v="7503043917081"/>
    <s v="Blade rosa anillo vibrador - CXO"/>
    <s v="JUGUETE PROPIO"/>
    <s v="CXO"/>
    <n v="1"/>
    <n v="81.900000000000006"/>
  </r>
  <r>
    <x v="7"/>
    <s v="15/01/2026"/>
    <x v="11"/>
    <s v="7502214980015"/>
    <s v="Condon Clasico 3 pzs - PRUDENCE"/>
    <s v="CONSUMIBLE"/>
    <s v="PRUDENCE"/>
    <n v="1"/>
    <n v="60.34"/>
  </r>
  <r>
    <x v="7"/>
    <s v="15/01/2026"/>
    <x v="11"/>
    <s v="MBS0530"/>
    <s v="Esposas de broche - CXO"/>
    <s v="JUGUETE PROPIO"/>
    <s v="CXO"/>
    <n v="1"/>
    <n v="172.41"/>
  </r>
  <r>
    <x v="7"/>
    <s v="15/01/2026"/>
    <x v="11"/>
    <s v="7503024256154"/>
    <s v="Lubricante Body Surf Termico Cereza DUSA 60ml"/>
    <s v="CONSUMIBLE PROPIO"/>
    <s v="DUSA"/>
    <n v="1"/>
    <n v="387.93"/>
  </r>
  <r>
    <x v="7"/>
    <s v="15/01/2026"/>
    <x v="11"/>
    <s v="7503013378980"/>
    <s v="Lubricante Body Surf Termico Chicle DUSA 60ml"/>
    <s v="CONSUMIBLE PROPIO"/>
    <s v="DUSA"/>
    <n v="1"/>
    <n v="387.93"/>
  </r>
  <r>
    <x v="7"/>
    <s v="15/01/2026"/>
    <x v="11"/>
    <s v="75078737"/>
    <s v="Mini Kit Dulces 2 piezas - SXO"/>
    <s v="CONSUMIBLE"/>
    <s v="SXO"/>
    <n v="1"/>
    <n v="120.69"/>
  </r>
  <r>
    <x v="7"/>
    <s v="15/01/2026"/>
    <x v="11"/>
    <s v="6970556032074"/>
    <s v="Plug Anal con 10 modos de Vibracion de 11.5cm  Ramiro- CXO"/>
    <s v="JUGUETE PROPIO"/>
    <s v="CXO"/>
    <n v="1"/>
    <n v="1034.48"/>
  </r>
  <r>
    <x v="7"/>
    <s v="15/01/2026"/>
    <x v="11"/>
    <s v="7503032300795"/>
    <s v="Sachet lubricante desensibilizador 2 ml - BANANA SHAKE"/>
    <s v="CONSUMIBLE"/>
    <s v="BANANA SHAKE"/>
    <n v="5"/>
    <n v="107.75"/>
  </r>
  <r>
    <x v="7"/>
    <s v="15/01/2026"/>
    <x v="11"/>
    <s v="7503032300856"/>
    <s v="Sachet vibrador liquido 2 ml - BANANA SHAKE"/>
    <s v="CONSUMIBLE"/>
    <s v="BANANA SHAKE"/>
    <n v="6"/>
    <n v="103.44"/>
  </r>
  <r>
    <x v="7"/>
    <s v="15/01/2026"/>
    <x v="11"/>
    <s v="7503024256192"/>
    <s v="Shot Shumatsu Fun Mujer - DUSA"/>
    <s v="CONSUMIBLE PROPIO"/>
    <s v="DUSA"/>
    <n v="1"/>
    <n v="172.41"/>
  </r>
  <r>
    <x v="7"/>
    <s v="16/01/2026"/>
    <x v="11"/>
    <s v="7502214986598"/>
    <s v="Condones Zero c/ 3 pzs - PRUDENCE"/>
    <s v="CONSUMIBLE"/>
    <s v="PRUDENCE"/>
    <n v="1"/>
    <n v="77.59"/>
  </r>
  <r>
    <x v="7"/>
    <s v="16/01/2026"/>
    <x v="11"/>
    <s v="7503020310205"/>
    <s v="Dildo Vibrador Termico Realista 3 en 1 con movimiento Hades-CXO"/>
    <s v="JUGUETE PROPIO"/>
    <s v="CXO"/>
    <n v="1"/>
    <n v="2500"/>
  </r>
  <r>
    <x v="7"/>
    <s v="16/01/2026"/>
    <x v="11"/>
    <s v="LL-A2216"/>
    <s v="Huevito con 10 modos de Vibración  Gina - CXO"/>
    <s v="JUGUETE PROPIO"/>
    <s v="CXO"/>
    <n v="1"/>
    <n v="1500"/>
  </r>
  <r>
    <x v="7"/>
    <s v="16/01/2026"/>
    <x v="11"/>
    <s v="7503032300993"/>
    <s v="Liquid Love Pleasure 30ml - DUSA"/>
    <s v="CONSUMIBLE PROPIO"/>
    <s v="DUSA"/>
    <n v="1"/>
    <n v="301.72000000000003"/>
  </r>
  <r>
    <x v="7"/>
    <s v="16/01/2026"/>
    <x v="11"/>
    <s v="SC258C01"/>
    <s v="Multiorgasmico dual con estimulador de clitoris 360 con 10 modos Dany - CXO"/>
    <s v="JUGUETE PROPIO"/>
    <s v="CXO"/>
    <n v="1"/>
    <n v="3017.24"/>
  </r>
  <r>
    <x v="7"/>
    <s v="16/01/2026"/>
    <x v="11"/>
    <s v="7503020596957"/>
    <s v="Shot Shumatsu Fun Hombre - DUSA"/>
    <s v="CONSUMIBLE PROPIO"/>
    <s v="DUSA"/>
    <n v="1"/>
    <n v="172.41"/>
  </r>
  <r>
    <x v="7"/>
    <s v="16/01/2026"/>
    <x v="11"/>
    <s v="7503013378690"/>
    <s v="Shumatsu 3 pzas - DUSA"/>
    <s v="CONSUMIBLE PROPIO"/>
    <s v="DUSA"/>
    <n v="1"/>
    <n v="577.59"/>
  </r>
  <r>
    <x v="7"/>
    <s v="17/01/2026"/>
    <x v="11"/>
    <s v="7503050524265"/>
    <s v="He Plus 30ml - DUSA"/>
    <s v="CONSUMIBLE PROPIO"/>
    <s v="DUSA"/>
    <n v="1"/>
    <n v="431.03"/>
  </r>
  <r>
    <x v="7"/>
    <s v="17/01/2026"/>
    <x v="11"/>
    <s v="7503032300825"/>
    <s v="Lubricante Sachet natural 2 ml - BANANA SHAKE"/>
    <s v="CONSUMIBLE"/>
    <s v="BANANA SHAKE"/>
    <n v="1"/>
    <n v="17.239999999999998"/>
  </r>
  <r>
    <x v="7"/>
    <s v="17/01/2026"/>
    <x v="11"/>
    <s v="6959633103494"/>
    <s v="Mora Neo multiorgasmico rosa - SVAKOM"/>
    <s v="JUGUETE"/>
    <s v="SVAKOM"/>
    <n v="1"/>
    <n v="1637.93"/>
  </r>
  <r>
    <x v="7"/>
    <s v="17/01/2026"/>
    <x v="11"/>
    <s v="4061504007359"/>
    <s v="Succionador Pingüino - Satisfayer"/>
    <s v="JUGUETE"/>
    <s v="SATISFAYER"/>
    <n v="1"/>
    <n v="1379.31"/>
  </r>
  <r>
    <x v="7"/>
    <s v="17/01/2026"/>
    <x v="11"/>
    <s v="7503032300443"/>
    <s v="Zoe bala vibradora RETAIL - CXO"/>
    <s v="JUGUETE PROPIO"/>
    <s v="CXO"/>
    <n v="1"/>
    <n v="155.16999999999999"/>
  </r>
  <r>
    <x v="7"/>
    <s v="19/01/2026"/>
    <x v="11"/>
    <s v="6970556032746"/>
    <s v="Vibrador en forma de Osito Lilo- CXO"/>
    <s v="JUGUETE PROPIO"/>
    <s v="CXO"/>
    <n v="1"/>
    <n v="775.86"/>
  </r>
  <r>
    <x v="7"/>
    <s v="20/01/2026"/>
    <x v="11"/>
    <s v="7503032300009"/>
    <s v="Arnes Bond - CXO"/>
    <s v="JUGUETE PROPIO"/>
    <s v="CXO"/>
    <n v="1"/>
    <n v="625"/>
  </r>
  <r>
    <x v="7"/>
    <s v="20/01/2026"/>
    <x v="11"/>
    <s v="7503024256741"/>
    <s v="Cola de Zorro 45cm café S - CXO"/>
    <s v="JUGUETE PROPIO"/>
    <s v="CXO"/>
    <n v="1"/>
    <n v="258.62"/>
  </r>
  <r>
    <x v="7"/>
    <s v="20/01/2026"/>
    <x v="11"/>
    <s v="7503043917524"/>
    <s v="Kit Lisboa 8 pzs - CXO"/>
    <s v="JUGUETE PROPIO"/>
    <s v="CXO"/>
    <n v="1"/>
    <n v="465.52"/>
  </r>
  <r>
    <x v="7"/>
    <s v="21/01/2026"/>
    <x v="11"/>
    <s v="7503043917081"/>
    <s v="Blade rosa anillo vibrador - CXO"/>
    <s v="JUGUETE PROPIO"/>
    <s v="CXO"/>
    <n v="2"/>
    <n v="163.80000000000001"/>
  </r>
  <r>
    <x v="7"/>
    <s v="21/01/2026"/>
    <x v="11"/>
    <s v="7500464543059"/>
    <s v="Dildo Realista con Ventosa 15.5cms Domi CXO"/>
    <s v="JUGUETE PROPIO"/>
    <s v="CXO"/>
    <n v="1"/>
    <n v="818.97"/>
  </r>
  <r>
    <x v="7"/>
    <s v="21/01/2026"/>
    <x v="11"/>
    <s v="7503030118033"/>
    <s v="Kit vibrador + estimulante para clitoris Lau - CXO"/>
    <s v="JUGUETE PROPIO"/>
    <s v="CXO"/>
    <n v="1"/>
    <n v="1706.9"/>
  </r>
  <r>
    <x v="7"/>
    <s v="21/01/2026"/>
    <x v="11"/>
    <s v="7503024256154"/>
    <s v="Lubricante Body Surf Termico Cereza DUSA 60ml"/>
    <s v="CONSUMIBLE PROPIO"/>
    <s v="DUSA"/>
    <n v="1"/>
    <n v="387.93"/>
  </r>
  <r>
    <x v="7"/>
    <s v="21/01/2026"/>
    <x v="11"/>
    <s v="7503020596957"/>
    <s v="Shot Shumatsu Fun Hombre - DUSA"/>
    <s v="CONSUMIBLE PROPIO"/>
    <s v="DUSA"/>
    <n v="3"/>
    <n v="517.23"/>
  </r>
  <r>
    <x v="7"/>
    <s v="21/01/2026"/>
    <x v="11"/>
    <s v="7503013378690"/>
    <s v="Shumatsu 3 pzas - DUSA"/>
    <s v="CONSUMIBLE PROPIO"/>
    <s v="DUSA"/>
    <n v="1"/>
    <n v="577.59"/>
  </r>
  <r>
    <x v="7"/>
    <s v="22/01/2026"/>
    <x v="11"/>
    <s v="7503013378409"/>
    <s v="Anillo de Acero Grueso - CXO"/>
    <s v="JUGUETE PROPIO"/>
    <s v="CXO"/>
    <n v="1"/>
    <n v="474.14"/>
  </r>
  <r>
    <x v="7"/>
    <s v="22/01/2026"/>
    <x v="11"/>
    <s v="7503030220043"/>
    <s v="Dados para juegos 2 piezas - CXO"/>
    <s v="JUGUETE PROPIO"/>
    <s v="CXO"/>
    <n v="1"/>
    <n v="112.07"/>
  </r>
  <r>
    <x v="7"/>
    <s v="22/01/2026"/>
    <x v="11"/>
    <s v="75037628"/>
    <s v="Dulces Garganta Profunda 2 piezas Sabor Fresa - SXO"/>
    <s v="CONSUMIBLE"/>
    <s v="SXO"/>
    <n v="1"/>
    <n v="120.69"/>
  </r>
  <r>
    <x v="7"/>
    <s v="22/01/2026"/>
    <x v="11"/>
    <s v="7500464377302"/>
    <s v="Juego de Cartas Salto del Tigre"/>
    <s v="OTRO"/>
    <s v="SALTO DEL TIGRE"/>
    <n v="1"/>
    <n v="297.41000000000003"/>
  </r>
  <r>
    <x v="7"/>
    <s v="22/01/2026"/>
    <x v="11"/>
    <s v="7503024256154"/>
    <s v="Lubricante Body Surf Termico Cereza DUSA 60ml"/>
    <s v="CONSUMIBLE PROPIO"/>
    <s v="DUSA"/>
    <n v="1"/>
    <n v="387.93"/>
  </r>
  <r>
    <x v="7"/>
    <s v="22/01/2026"/>
    <x v="11"/>
    <s v="6959633185476"/>
    <s v="Masturbador Hedy X Confidence – SVAKOM"/>
    <s v="JUGUETE"/>
    <s v="SVAKOM"/>
    <n v="1"/>
    <n v="181.03"/>
  </r>
  <r>
    <x v="7"/>
    <s v="22/01/2026"/>
    <x v="11"/>
    <s v="7503020596957"/>
    <s v="Shot Shumatsu Fun Hombre - DUSA"/>
    <s v="CONSUMIBLE PROPIO"/>
    <s v="DUSA"/>
    <n v="1"/>
    <n v="172.41"/>
  </r>
  <r>
    <x v="7"/>
    <s v="23/01/2026"/>
    <x v="11"/>
    <s v="7503043917333"/>
    <s v="Bren multiorgasmico - CXO"/>
    <s v="JUGUETE PROPIO"/>
    <s v="CXO"/>
    <n v="1"/>
    <n v="1508.62"/>
  </r>
  <r>
    <x v="7"/>
    <s v="23/01/2026"/>
    <x v="11"/>
    <s v="7503013378492"/>
    <s v="Clean Whisper 120ml - DUSA"/>
    <s v="CONSUMIBLE PROPIO"/>
    <s v="DUSA"/>
    <n v="1"/>
    <n v="301.72000000000003"/>
  </r>
  <r>
    <x v="7"/>
    <s v="23/01/2026"/>
    <x v="11"/>
    <s v="FLOCXO0007910"/>
    <s v="ESTIMULADOR DE CLIROTIS CON MANGO DE AGARRE"/>
    <s v="JUGUETE PROPIO"/>
    <s v="CXO"/>
    <n v="1"/>
    <n v="1116.3800000000001"/>
  </r>
  <r>
    <x v="7"/>
    <s v="23/01/2026"/>
    <x v="11"/>
    <s v="7503032300993"/>
    <s v="Liquid Love Pleasure 30ml - DUSA"/>
    <s v="CONSUMIBLE PROPIO"/>
    <s v="DUSA"/>
    <n v="1"/>
    <n v="301.72000000000003"/>
  </r>
  <r>
    <x v="7"/>
    <s v="23/01/2026"/>
    <x v="11"/>
    <s v="7503013378799"/>
    <s v="Lubricante Body Surf Termico Citricos DUSA 60ml"/>
    <s v="CONSUMIBLE PROPIO"/>
    <s v="DUSA"/>
    <n v="1"/>
    <n v="387.93"/>
  </r>
  <r>
    <x v="7"/>
    <s v="23/01/2026"/>
    <x v="11"/>
    <s v="6970556034061"/>
    <s v="Multiorgasmico con succion y extensor Anna - CXO"/>
    <s v="JUGUETE PROPIO"/>
    <s v="CXO"/>
    <n v="1"/>
    <n v="1982.76"/>
  </r>
  <r>
    <x v="7"/>
    <s v="23/01/2026"/>
    <x v="11"/>
    <s v="7503020596957"/>
    <s v="Shot Shumatsu Fun Hombre - DUSA"/>
    <s v="CONSUMIBLE PROPIO"/>
    <s v="DUSA"/>
    <n v="2"/>
    <n v="344.82"/>
  </r>
  <r>
    <x v="7"/>
    <s v="23/01/2026"/>
    <x v="11"/>
    <s v="7503013378690"/>
    <s v="Shumatsu 3 pzas - DUSA"/>
    <s v="CONSUMIBLE PROPIO"/>
    <s v="DUSA"/>
    <n v="1"/>
    <n v="577.59"/>
  </r>
  <r>
    <x v="7"/>
    <s v="24/01/2026"/>
    <x v="11"/>
    <s v="7503032300795"/>
    <s v="Sachet lubricante desensibilizador 2 ml - BANANA SHAKE"/>
    <s v="CONSUMIBLE"/>
    <s v="BANANA SHAKE"/>
    <n v="5"/>
    <n v="107.75"/>
  </r>
  <r>
    <x v="7"/>
    <s v="24/01/2026"/>
    <x v="11"/>
    <s v="7503024256192"/>
    <s v="Shot Shumatsu Fun Mujer - DUSA"/>
    <s v="CONSUMIBLE PROPIO"/>
    <s v="DUSA"/>
    <n v="1"/>
    <n v="172.41"/>
  </r>
  <r>
    <x v="7"/>
    <s v="26/01/2026"/>
    <x v="11"/>
    <s v="7503032300993"/>
    <s v="Liquid Love Pleasure 30ml - DUSA"/>
    <s v="CONSUMIBLE PROPIO"/>
    <s v="DUSA"/>
    <n v="1"/>
    <n v="301.72000000000003"/>
  </r>
  <r>
    <x v="7"/>
    <s v="26/01/2026"/>
    <x v="11"/>
    <s v="SE020"/>
    <s v="Masturbador 2 en 1 Vagina y Boca - CXO"/>
    <s v="JUGUETE PROPIO"/>
    <s v="CXO"/>
    <n v="1"/>
    <n v="1293.0999999999999"/>
  </r>
  <r>
    <x v="7"/>
    <s v="26/01/2026"/>
    <x v="11"/>
    <s v="7503032300856"/>
    <s v="Sachet vibrador liquido 2 ml - BANANA SHAKE"/>
    <s v="CONSUMIBLE"/>
    <s v="BANANA SHAKE"/>
    <n v="6"/>
    <n v="103.44"/>
  </r>
  <r>
    <x v="7"/>
    <s v="27/01/2026"/>
    <x v="11"/>
    <s v="7503032300993"/>
    <s v="Liquid Love Pleasure 30ml - DUSA"/>
    <s v="CONSUMIBLE PROPIO"/>
    <s v="DUSA"/>
    <n v="1"/>
    <n v="301.72000000000003"/>
  </r>
  <r>
    <x v="7"/>
    <s v="27/01/2026"/>
    <x v="11"/>
    <s v="7503032300856"/>
    <s v="Sachet vibrador liquido 2 ml - BANANA SHAKE"/>
    <s v="CONSUMIBLE"/>
    <s v="BANANA SHAKE"/>
    <n v="1"/>
    <n v="17.239999999999998"/>
  </r>
  <r>
    <x v="7"/>
    <s v="27/01/2026"/>
    <x v="11"/>
    <s v="7503020596957"/>
    <s v="Shot Shumatsu Fun Hombre - DUSA"/>
    <s v="CONSUMIBLE PROPIO"/>
    <s v="DUSA"/>
    <n v="1"/>
    <n v="172.41"/>
  </r>
  <r>
    <x v="7"/>
    <s v="27/01/2026"/>
    <x v="11"/>
    <s v="7503032300443"/>
    <s v="Zoe bala vibradora RETAIL - CXO"/>
    <s v="JUGUETE PROPIO"/>
    <s v="CXO"/>
    <n v="1"/>
    <n v="155.16999999999999"/>
  </r>
  <r>
    <x v="7"/>
    <s v="28/01/2026"/>
    <x v="11"/>
    <s v="7503043917081"/>
    <s v="Blade rosa anillo vibrador - CXO"/>
    <s v="JUGUETE PROPIO"/>
    <s v="CXO"/>
    <n v="1"/>
    <n v="81.900000000000006"/>
  </r>
  <r>
    <x v="7"/>
    <s v="28/01/2026"/>
    <x v="11"/>
    <s v="7503032300993"/>
    <s v="Liquid Love Pleasure 30ml - DUSA"/>
    <s v="CONSUMIBLE PROPIO"/>
    <s v="DUSA"/>
    <n v="1"/>
    <n v="301.72000000000003"/>
  </r>
  <r>
    <x v="7"/>
    <s v="29/01/2026"/>
    <x v="11"/>
    <s v="7503030211021"/>
    <s v="Anillo desechable para pene Donut - CXO"/>
    <s v="JUGUETE PROPIO"/>
    <s v="CXO"/>
    <n v="3"/>
    <n v="103.44999999999999"/>
  </r>
  <r>
    <x v="7"/>
    <s v="29/01/2026"/>
    <x v="11"/>
    <s v="7503043917081"/>
    <s v="Blade rosa anillo vibrador - CXO"/>
    <s v="JUGUETE PROPIO"/>
    <s v="CXO"/>
    <n v="1"/>
    <n v="81.900000000000006"/>
  </r>
  <r>
    <x v="7"/>
    <s v="29/01/2026"/>
    <x v="11"/>
    <s v="7503050524340"/>
    <s v="Ducha Felix S - CXO"/>
    <s v="JUGUETE PROPIO"/>
    <s v="CXO"/>
    <n v="1"/>
    <n v="612.07000000000005"/>
  </r>
  <r>
    <x v="7"/>
    <s v="29/01/2026"/>
    <x v="11"/>
    <s v="7503043917005"/>
    <s v="Liquid Love Clear 30ml - DUSA"/>
    <s v="CONSUMIBLE PROPIO"/>
    <s v="DUSA"/>
    <n v="1"/>
    <n v="301.72000000000003"/>
  </r>
  <r>
    <x v="7"/>
    <s v="29/01/2026"/>
    <x v="11"/>
    <s v="7503013378980"/>
    <s v="Lubricante Body Surf Termico Chicle DUSA 60ml"/>
    <s v="CONSUMIBLE PROPIO"/>
    <s v="DUSA"/>
    <n v="1"/>
    <n v="387.93"/>
  </r>
  <r>
    <x v="7"/>
    <s v="29/01/2026"/>
    <x v="11"/>
    <s v="HRZH27262"/>
    <s v="Multiorgásmico Estimulador de Clítoris y Anal con 12 modos de Vibración  Carla- CXO"/>
    <s v="JUGUETE PROPIO"/>
    <s v="CXO"/>
    <n v="1"/>
    <n v="2543.1"/>
  </r>
  <r>
    <x v="7"/>
    <s v="29/01/2026"/>
    <x v="11"/>
    <s v="7503032300795"/>
    <s v="Sachet lubricante desensibilizador 2 ml - BANANA SHAKE"/>
    <s v="CONSUMIBLE"/>
    <s v="BANANA SHAKE"/>
    <n v="5"/>
    <n v="107.75"/>
  </r>
  <r>
    <x v="7"/>
    <s v="29/01/2026"/>
    <x v="11"/>
    <s v="7503020596957"/>
    <s v="Shot Shumatsu Fun Hombre - DUSA"/>
    <s v="CONSUMIBLE PROPIO"/>
    <s v="DUSA"/>
    <n v="1"/>
    <n v="172.41"/>
  </r>
  <r>
    <x v="7"/>
    <s v="29/01/2026"/>
    <x v="11"/>
    <s v="7503024256192"/>
    <s v="Shot Shumatsu Fun Mujer - DUSA"/>
    <s v="CONSUMIBLE PROPIO"/>
    <s v="DUSA"/>
    <n v="1"/>
    <n v="172.41"/>
  </r>
  <r>
    <x v="7"/>
    <s v="29/01/2026"/>
    <x v="11"/>
    <s v="7503043917593"/>
    <s v="Vibrador Babo"/>
    <s v="JUGUETE PROPIO"/>
    <s v="CXO"/>
    <n v="1"/>
    <n v="258.62"/>
  </r>
  <r>
    <x v="7"/>
    <s v="29/01/2026"/>
    <x v="11"/>
    <s v="679359000018"/>
    <s v="Xtreme 68 ml - BODY ACTION"/>
    <s v="CONSUMIBLE"/>
    <s v="BODY ACTION"/>
    <n v="1"/>
    <n v="775.86"/>
  </r>
  <r>
    <x v="7"/>
    <s v="30/01/2026"/>
    <x v="11"/>
    <s v="7503043917081"/>
    <s v="Blade rosa anillo vibrador - CXO"/>
    <s v="JUGUETE PROPIO"/>
    <s v="CXO"/>
    <n v="2"/>
    <n v="163.80000000000001"/>
  </r>
  <r>
    <x v="7"/>
    <s v="30/01/2026"/>
    <x v="11"/>
    <s v="7503032300993"/>
    <s v="Liquid Love Pleasure 30ml - DUSA"/>
    <s v="CONSUMIBLE PROPIO"/>
    <s v="DUSA"/>
    <n v="1"/>
    <n v="301.72000000000003"/>
  </r>
  <r>
    <x v="7"/>
    <s v="30/01/2026"/>
    <x v="11"/>
    <s v="7503013378799"/>
    <s v="Lubricante Body Surf Termico Citricos DUSA 60ml"/>
    <s v="CONSUMIBLE PROPIO"/>
    <s v="DUSA"/>
    <n v="1"/>
    <n v="387.93"/>
  </r>
  <r>
    <x v="7"/>
    <s v="30/01/2026"/>
    <x v="11"/>
    <s v="7503020596957"/>
    <s v="Shot Shumatsu Fun Hombre - DUSA"/>
    <s v="CONSUMIBLE PROPIO"/>
    <s v="DUSA"/>
    <n v="1"/>
    <n v="172.41"/>
  </r>
  <r>
    <x v="7"/>
    <s v="31/01/2026"/>
    <x v="11"/>
    <s v="7508304288931"/>
    <s v="Aceite de Almendras 130ml ILUSION - DIAMANTE"/>
    <s v="CONSUMIBLE"/>
    <s v="DIAMANTE"/>
    <n v="1"/>
    <n v="448.28"/>
  </r>
  <r>
    <x v="7"/>
    <s v="31/01/2026"/>
    <x v="11"/>
    <s v="7503043917081"/>
    <s v="Blade rosa anillo vibrador - CXO"/>
    <s v="JUGUETE PROPIO"/>
    <s v="CXO"/>
    <n v="1"/>
    <n v="81.900000000000006"/>
  </r>
  <r>
    <x v="7"/>
    <s v="31/01/2026"/>
    <x v="11"/>
    <s v="7503032300498"/>
    <s v="Cola de Zorro 45cm cafe M - CXO"/>
    <s v="JUGUETE PROPIO"/>
    <s v="CXO"/>
    <n v="1"/>
    <n v="301.72000000000003"/>
  </r>
  <r>
    <x v="7"/>
    <s v="31/01/2026"/>
    <x v="11"/>
    <s v="7503032300993"/>
    <s v="Liquid Love Pleasure 30ml - DUSA"/>
    <s v="CONSUMIBLE PROPIO"/>
    <s v="DUSA"/>
    <n v="2"/>
    <n v="603.44000000000005"/>
  </r>
  <r>
    <x v="7"/>
    <s v="31/01/2026"/>
    <x v="11"/>
    <s v="7503032300825"/>
    <s v="Lubricante Sachet natural 2 ml - BANANA SHAKE"/>
    <s v="CONSUMIBLE"/>
    <s v="BANANA SHAKE"/>
    <n v="1"/>
    <n v="17.239999999999998"/>
  </r>
  <r>
    <x v="7"/>
    <s v="31/01/2026"/>
    <x v="11"/>
    <s v="6959633146972"/>
    <s v="Masturbador Hedy X Experience – SVAKOM"/>
    <s v="JUGUETE"/>
    <s v="SVAKOM"/>
    <n v="1"/>
    <n v="181.03"/>
  </r>
  <r>
    <x v="7"/>
    <s v="31/01/2026"/>
    <x v="11"/>
    <s v="7503020596957"/>
    <s v="Shot Shumatsu Fun Hombre - DUSA"/>
    <s v="CONSUMIBLE PROPIO"/>
    <s v="DUSA"/>
    <n v="3"/>
    <n v="517.23"/>
  </r>
  <r>
    <x v="7"/>
    <s v="31/01/2026"/>
    <x v="11"/>
    <s v="7503013378256"/>
    <s v="VIBRADOR MONA MICROFONO"/>
    <s v="JUGUETE PROPIO"/>
    <s v="CXO"/>
    <n v="1"/>
    <n v="448.28"/>
  </r>
  <r>
    <x v="7"/>
    <s v="31/01/2026"/>
    <x v="11"/>
    <s v="7503032300443"/>
    <s v="Zoe bala vibradora RETAIL - CXO"/>
    <s v="JUGUETE PROPIO"/>
    <s v="CXO"/>
    <n v="1"/>
    <n v="155.16999999999999"/>
  </r>
  <r>
    <x v="8"/>
    <s v="02/01/2026"/>
    <x v="12"/>
    <s v="7503020112070"/>
    <s v="Bala vibradora recargable Ely – CXO"/>
    <s v="JUGUETE PROPIO"/>
    <s v="CXO"/>
    <n v="2"/>
    <n v="1586.2"/>
  </r>
  <r>
    <x v="8"/>
    <s v="02/01/2026"/>
    <x v="12"/>
    <s v="7503020596957"/>
    <s v="Shot Shumatsu Fun Hombre - DUSA"/>
    <s v="CONSUMIBLE PROPIO"/>
    <s v="DUSA"/>
    <n v="2"/>
    <n v="344.82"/>
  </r>
  <r>
    <x v="8"/>
    <s v="03/01/2026"/>
    <x v="12"/>
    <s v="7707167951468"/>
    <s v="Brasier Mod 501196 36B - EA"/>
    <s v="LENCERIA"/>
    <s v="EA"/>
    <n v="1"/>
    <n v="688"/>
  </r>
  <r>
    <x v="8"/>
    <s v="03/01/2026"/>
    <x v="12"/>
    <s v="7503014914002"/>
    <s v="CAPSULAS MULTIORGASMICO AMO O-GEN"/>
    <s v="CONSUMIBLE"/>
    <s v="POWER MAN"/>
    <n v="1"/>
    <n v="431.04"/>
  </r>
  <r>
    <x v="8"/>
    <s v="03/01/2026"/>
    <x v="12"/>
    <s v="CON01CH03600785C"/>
    <s v="Conjunto Aranza 85C negro"/>
    <s v="LENCERIA PROPIA"/>
    <s v="OLA MOU"/>
    <n v="1"/>
    <n v="489.22"/>
  </r>
  <r>
    <x v="8"/>
    <s v="03/01/2026"/>
    <x v="12"/>
    <s v="7503050524265"/>
    <s v="He Plus 30ml - DUSA"/>
    <s v="CONSUMIBLE PROPIO"/>
    <s v="DUSA"/>
    <n v="1"/>
    <n v="431.03"/>
  </r>
  <r>
    <x v="8"/>
    <s v="03/01/2026"/>
    <x v="12"/>
    <s v="7946000265472"/>
    <s v="JUEGO DE MESA EL JUEGO DE LA OCA SENSUAL"/>
    <s v="JUGUETE"/>
    <s v="VARIAS"/>
    <n v="1"/>
    <n v="224.14"/>
  </r>
  <r>
    <x v="8"/>
    <s v="03/01/2026"/>
    <x v="12"/>
    <s v="7503032300634"/>
    <s v="Kevin violeta - CXO"/>
    <s v="JUGUETE PROPIO"/>
    <s v="CXO"/>
    <n v="1"/>
    <n v="775.86"/>
  </r>
  <r>
    <x v="8"/>
    <s v="03/01/2026"/>
    <x v="12"/>
    <s v="7503013378690"/>
    <s v="Shumatsu 3 pzas - DUSA"/>
    <s v="CONSUMIBLE PROPIO"/>
    <s v="DUSA"/>
    <n v="2"/>
    <n v="1155.18"/>
  </r>
  <r>
    <x v="8"/>
    <s v="03/01/2026"/>
    <x v="12"/>
    <s v="TBBMAQ002"/>
    <s v="Tame &amp; Fill brow collection - THE BEAUTY BAR FX"/>
    <s v="SKINCARE"/>
    <s v="THE BEAUTY BAR FX"/>
    <n v="1"/>
    <n v="103.45"/>
  </r>
  <r>
    <x v="8"/>
    <s v="05/01/2026"/>
    <x v="12"/>
    <s v="6959633101278"/>
    <s v="Alex Neo 2 azul oscuro - SVAKOM"/>
    <s v="JUGUETE"/>
    <s v="SVAKOM"/>
    <n v="1"/>
    <n v="4482.76"/>
  </r>
  <r>
    <x v="8"/>
    <s v="05/01/2026"/>
    <x v="12"/>
    <s v="7503013378850"/>
    <s v="Amy fucsia - CXO"/>
    <s v="JUGUETE PROPIO"/>
    <s v="CXO"/>
    <n v="1"/>
    <n v="431.03"/>
  </r>
  <r>
    <x v="8"/>
    <s v="05/01/2026"/>
    <x v="12"/>
    <s v="7503020111072"/>
    <s v="Anillo vibrador recargable con textura negra Hank - CXO"/>
    <s v="JUGUETE PROPIO"/>
    <s v="CXO"/>
    <n v="1"/>
    <n v="1267.24"/>
  </r>
  <r>
    <x v="8"/>
    <s v="05/01/2026"/>
    <x v="12"/>
    <s v="7502235091431"/>
    <s v="Aumentador de Semen - Lions Power"/>
    <s v="CONSUMIBLE"/>
    <s v="SXO"/>
    <n v="1"/>
    <n v="482.76"/>
  </r>
  <r>
    <x v="8"/>
    <s v="05/01/2026"/>
    <x v="12"/>
    <s v="BAT03CB128003UN"/>
    <s v="Bata de satin rosa - OLA MOU"/>
    <s v="LENCERIA PROPIA"/>
    <s v="OLA MOU : CHOCOLATES"/>
    <n v="1"/>
    <n v="982.76"/>
  </r>
  <r>
    <x v="8"/>
    <s v="05/01/2026"/>
    <x v="12"/>
    <s v="7503014914002"/>
    <s v="CAPSULAS MULTIORGASMICO AMO O-GEN"/>
    <s v="CONSUMIBLE"/>
    <s v="POWER MAN"/>
    <n v="3"/>
    <n v="1293.1199999999999"/>
  </r>
  <r>
    <x v="8"/>
    <s v="05/01/2026"/>
    <x v="12"/>
    <s v="7503043917326"/>
    <s v="Caro dual - CXO"/>
    <s v="JUGUETE PROPIO"/>
    <s v="CXO"/>
    <n v="1"/>
    <n v="1379.31"/>
  </r>
  <r>
    <x v="8"/>
    <s v="05/01/2026"/>
    <x v="12"/>
    <s v="7502214985805"/>
    <s v="CONDON PRUDENCE VETE A LA VERSH  C/3"/>
    <s v="CONSUMIBLE"/>
    <s v="PRUDENCE"/>
    <n v="1"/>
    <n v="77.59"/>
  </r>
  <r>
    <x v="8"/>
    <s v="05/01/2026"/>
    <x v="12"/>
    <s v="7503030220044"/>
    <s v="Dados con posiciones 2 piezas - CXO"/>
    <s v="JUGUETE PROPIO"/>
    <s v="CXO"/>
    <n v="1"/>
    <n v="77.59"/>
  </r>
  <r>
    <x v="8"/>
    <s v="05/01/2026"/>
    <x v="12"/>
    <s v="7503030220043"/>
    <s v="Dados para juegos 2 piezas - CXO"/>
    <s v="JUGUETE PROPIO"/>
    <s v="CXO"/>
    <n v="1"/>
    <n v="112.07"/>
  </r>
  <r>
    <x v="8"/>
    <s v="05/01/2026"/>
    <x v="12"/>
    <s v="7503030119041"/>
    <s v="Dildo vibrador con movimiento impulsor Arma - CXO"/>
    <s v="JUGUETE PROPIO"/>
    <s v="CXO"/>
    <n v="1"/>
    <n v="1706.9"/>
  </r>
  <r>
    <x v="8"/>
    <s v="05/01/2026"/>
    <x v="12"/>
    <s v="6959633118795"/>
    <s v="Edeny - SVAKOM"/>
    <s v="JUGUETE"/>
    <s v="SVAKOM"/>
    <n v="1"/>
    <n v="3275.86"/>
  </r>
  <r>
    <x v="8"/>
    <s v="05/01/2026"/>
    <x v="12"/>
    <s v="782421022686"/>
    <s v="Extensor Anal Platinum The Stretch - DOC JOHNSON"/>
    <s v="JUGUETE"/>
    <s v="DOC JOHNSON"/>
    <n v="1"/>
    <n v="603.45000000000005"/>
  </r>
  <r>
    <x v="8"/>
    <s v="05/01/2026"/>
    <x v="12"/>
    <s v="LL-A2216"/>
    <s v="Huevito con 10 modos de Vibración  Gina - CXO"/>
    <s v="JUGUETE PROPIO"/>
    <s v="CXO"/>
    <n v="1"/>
    <n v="1500"/>
  </r>
  <r>
    <x v="8"/>
    <s v="05/01/2026"/>
    <x v="12"/>
    <s v="7500464377302"/>
    <s v="Juego de Cartas Salto del Tigre"/>
    <s v="OTRO"/>
    <s v="SALTO DEL TIGRE"/>
    <n v="1"/>
    <n v="297.41000000000003"/>
  </r>
  <r>
    <x v="8"/>
    <s v="05/01/2026"/>
    <x v="12"/>
    <s v="ER49300410CH"/>
    <s v="LENCERIA MICROBODY 1 BLANCO CH 28"/>
    <s v="LENCERIA"/>
    <s v="PARISINA SEXY"/>
    <n v="1"/>
    <n v="431.03"/>
  </r>
  <r>
    <x v="8"/>
    <s v="05/01/2026"/>
    <x v="12"/>
    <s v="7503013378645"/>
    <s v="Liquid Love Pleasure 100ml - DUSA"/>
    <s v="CONSUMIBLE PROPIO"/>
    <s v="DUSA"/>
    <n v="1"/>
    <n v="775.86"/>
  </r>
  <r>
    <x v="8"/>
    <s v="05/01/2026"/>
    <x v="12"/>
    <s v="7503013378126"/>
    <s v="Lubricante Body Surf Frio Natural DUSA 60ml"/>
    <s v="CONSUMIBLE PROPIO"/>
    <s v="DUSA"/>
    <n v="1"/>
    <n v="387.93"/>
  </r>
  <r>
    <x v="8"/>
    <s v="05/01/2026"/>
    <x v="12"/>
    <s v="8699415912859"/>
    <s v="Miel Vigorizante para Hombre  Miracle Honey  VIP 15g-  SECRET MIRACLE HONEY"/>
    <s v="CONSUMIBLE"/>
    <s v="SECRET MIRACLE HONEY"/>
    <n v="5"/>
    <n v="1077.5999999999999"/>
  </r>
  <r>
    <x v="8"/>
    <s v="05/01/2026"/>
    <x v="12"/>
    <s v="75079413"/>
    <s v="Mini Kit Hombre 3 piezas - SXO"/>
    <s v="CONSUMIBLE"/>
    <s v="SXO"/>
    <n v="2"/>
    <n v="568.97"/>
  </r>
  <r>
    <x v="8"/>
    <s v="05/01/2026"/>
    <x v="12"/>
    <s v="75079390"/>
    <s v="Mini Kit Mujer 3 piezas- SXO"/>
    <s v="CONSUMIBLE"/>
    <s v="SXO"/>
    <n v="2"/>
    <n v="568.97"/>
  </r>
  <r>
    <x v="8"/>
    <s v="05/01/2026"/>
    <x v="12"/>
    <s v="7503050524241"/>
    <s v="Orgasmik 30ml - DUSA"/>
    <s v="CONSUMIBLE PROPIO"/>
    <s v="DUSA"/>
    <n v="1"/>
    <n v="431.03"/>
  </r>
  <r>
    <x v="8"/>
    <s v="05/01/2026"/>
    <x v="12"/>
    <s v="657447106330"/>
    <s v="Paleta arcoiris - SPECTRA BONDAGE"/>
    <s v="OTRO"/>
    <s v="SPECTRA BONDAGE"/>
    <n v="1"/>
    <n v="310.33999999999997"/>
  </r>
  <r>
    <x v="8"/>
    <s v="05/01/2026"/>
    <x v="12"/>
    <s v="7503050226162"/>
    <s v="Plug Anal con Vibración y Control Roberto - CXO"/>
    <s v="JUGUETE PROPIO"/>
    <s v="CXO"/>
    <n v="1"/>
    <n v="1293.0999999999999"/>
  </r>
  <r>
    <x v="8"/>
    <s v="05/01/2026"/>
    <x v="12"/>
    <s v="782421023379"/>
    <s v="Relax gel 56gr - INTIMATE ENHANCEMENTS"/>
    <s v="CONSUMIBLE"/>
    <s v="DOC JOHNSON"/>
    <n v="1"/>
    <n v="387.93"/>
  </r>
  <r>
    <x v="8"/>
    <s v="05/01/2026"/>
    <x v="12"/>
    <s v="7503050524258"/>
    <s v="Sensicool 30ml - DUSA"/>
    <s v="CONSUMIBLE PROPIO"/>
    <s v="DUSA"/>
    <n v="1"/>
    <n v="431.03"/>
  </r>
  <r>
    <x v="8"/>
    <s v="05/01/2026"/>
    <x v="12"/>
    <s v="7503020596957"/>
    <s v="Shot Shumatsu Fun Hombre - DUSA"/>
    <s v="CONSUMIBLE PROPIO"/>
    <s v="DUSA"/>
    <n v="5"/>
    <n v="862.05"/>
  </r>
  <r>
    <x v="8"/>
    <s v="05/01/2026"/>
    <x v="12"/>
    <s v="7503024256192"/>
    <s v="Shot Shumatsu Fun Mujer - DUSA"/>
    <s v="CONSUMIBLE PROPIO"/>
    <s v="DUSA"/>
    <n v="4"/>
    <n v="689.64"/>
  </r>
  <r>
    <x v="8"/>
    <s v="05/01/2026"/>
    <x v="12"/>
    <s v="4061504007373"/>
    <s v="Succionador Number Two - Satisfayer"/>
    <s v="JUGUETE"/>
    <s v="SATISFAYER"/>
    <n v="1"/>
    <n v="1637.93"/>
  </r>
  <r>
    <x v="8"/>
    <s v="05/01/2026"/>
    <x v="12"/>
    <s v="716770092090"/>
    <s v="Thrusting Rotator prostático - CALEX"/>
    <s v="JUGUETE"/>
    <s v="CALEXOTICS"/>
    <n v="1"/>
    <n v="1810.34"/>
  </r>
  <r>
    <x v="8"/>
    <s v="05/01/2026"/>
    <x v="12"/>
    <s v="6959633105313"/>
    <s v="Vibrador de Prostata con Pulsaciones Iker Neo - SVAKOM"/>
    <s v="JUGUETE"/>
    <s v="SVAKOM"/>
    <n v="1"/>
    <n v="3879.31"/>
  </r>
  <r>
    <x v="8"/>
    <s v="05/01/2026"/>
    <x v="12"/>
    <s v="7503032300443"/>
    <s v="Zoe bala vibradora RETAIL - CXO"/>
    <s v="JUGUETE PROPIO"/>
    <s v="CXO"/>
    <n v="2"/>
    <n v="310.33999999999997"/>
  </r>
  <r>
    <x v="8"/>
    <s v="06/01/2026"/>
    <x v="12"/>
    <s v="7503014914002"/>
    <s v="CAPSULAS MULTIORGASMICO AMO O-GEN"/>
    <s v="CONSUMIBLE"/>
    <s v="POWER MAN"/>
    <n v="1"/>
    <n v="431.04"/>
  </r>
  <r>
    <x v="8"/>
    <s v="06/01/2026"/>
    <x v="12"/>
    <s v="7503013378645"/>
    <s v="Liquid Love Pleasure 100ml - DUSA"/>
    <s v="CONSUMIBLE PROPIO"/>
    <s v="DUSA"/>
    <n v="1"/>
    <n v="775.86"/>
  </r>
  <r>
    <x v="8"/>
    <s v="06/01/2026"/>
    <x v="12"/>
    <s v="7503024256192"/>
    <s v="Shot Shumatsu Fun Mujer - DUSA"/>
    <s v="CONSUMIBLE PROPIO"/>
    <s v="DUSA"/>
    <n v="1"/>
    <n v="172.41"/>
  </r>
  <r>
    <x v="8"/>
    <s v="06/01/2026"/>
    <x v="12"/>
    <s v="7503013378690"/>
    <s v="Shumatsu 3 pzas - DUSA"/>
    <s v="CONSUMIBLE PROPIO"/>
    <s v="DUSA"/>
    <n v="2"/>
    <n v="1155.18"/>
  </r>
  <r>
    <x v="8"/>
    <s v="07/01/2026"/>
    <x v="12"/>
    <s v="7503032300993"/>
    <s v="Liquid Love Pleasure 30ml - DUSA"/>
    <s v="CONSUMIBLE PROPIO"/>
    <s v="DUSA"/>
    <n v="1"/>
    <n v="301.72000000000003"/>
  </r>
  <r>
    <x v="8"/>
    <s v="07/01/2026"/>
    <x v="12"/>
    <s v="7503013378690"/>
    <s v="Shumatsu 3 pzas - DUSA"/>
    <s v="CONSUMIBLE PROPIO"/>
    <s v="DUSA"/>
    <n v="2"/>
    <n v="1155.18"/>
  </r>
  <r>
    <x v="8"/>
    <s v="08/01/2026"/>
    <x v="12"/>
    <s v="7503013378492"/>
    <s v="Clean Whisper 120ml - DUSA"/>
    <s v="CONSUMIBLE PROPIO"/>
    <s v="DUSA"/>
    <n v="1"/>
    <n v="301.72000000000003"/>
  </r>
  <r>
    <x v="8"/>
    <s v="08/01/2026"/>
    <x v="12"/>
    <s v="6959633166963"/>
    <s v="Ella Neo rojo- SVAKOM"/>
    <s v="JUGUETE"/>
    <s v="SVAKOM"/>
    <n v="1"/>
    <n v="3017.24"/>
  </r>
  <r>
    <x v="8"/>
    <s v="08/01/2026"/>
    <x v="12"/>
    <s v="7503043917012"/>
    <s v="Liquid Love Backdoor 30ml - DUSA"/>
    <s v="CONSUMIBLE PROPIO"/>
    <s v="DUSA"/>
    <n v="1"/>
    <n v="301.72000000000003"/>
  </r>
  <r>
    <x v="8"/>
    <s v="08/01/2026"/>
    <x v="12"/>
    <s v="7503032300993"/>
    <s v="Liquid Love Pleasure 30ml - DUSA"/>
    <s v="CONSUMIBLE PROPIO"/>
    <s v="DUSA"/>
    <n v="2"/>
    <n v="603.44000000000005"/>
  </r>
  <r>
    <x v="8"/>
    <s v="08/01/2026"/>
    <x v="12"/>
    <s v="7503013378645"/>
    <s v="Liquid Love Pleasure 100ml - DUSA"/>
    <s v="CONSUMIBLE PROPIO"/>
    <s v="DUSA"/>
    <n v="1"/>
    <n v="775.86"/>
  </r>
  <r>
    <x v="8"/>
    <s v="08/01/2026"/>
    <x v="12"/>
    <s v="7503050226162"/>
    <s v="Plug Anal con Vibración y Control Roberto - CXO"/>
    <s v="JUGUETE PROPIO"/>
    <s v="CXO"/>
    <n v="1"/>
    <n v="1293.0999999999999"/>
  </r>
  <r>
    <x v="8"/>
    <s v="08/01/2026"/>
    <x v="12"/>
    <s v="7503013378010"/>
    <s v="Rigidex 2 pzas - DUSA"/>
    <s v="CONSUMIBLE PROPIO"/>
    <s v="DUSA"/>
    <n v="1"/>
    <n v="431.03"/>
  </r>
  <r>
    <x v="8"/>
    <s v="08/01/2026"/>
    <x v="12"/>
    <s v="7503013378690"/>
    <s v="Shumatsu 3 pzas - DUSA"/>
    <s v="CONSUMIBLE PROPIO"/>
    <s v="DUSA"/>
    <n v="1"/>
    <n v="577.59"/>
  </r>
  <r>
    <x v="8"/>
    <s v="08/01/2026"/>
    <x v="12"/>
    <s v="7503020596063"/>
    <s v="Stallion Regenerador - DUSA"/>
    <s v="CONSUMIBLE PROPIO"/>
    <s v="DUSA"/>
    <n v="1"/>
    <n v="1293.0999999999999"/>
  </r>
  <r>
    <x v="8"/>
    <s v="08/01/2026"/>
    <x v="12"/>
    <s v="CXOMJ007"/>
    <s v="Succionador Penny  - CXO"/>
    <s v="JUGUETE PROPIO"/>
    <s v="CXO"/>
    <n v="1"/>
    <n v="818.97"/>
  </r>
  <r>
    <x v="8"/>
    <s v="08/01/2026"/>
    <x v="12"/>
    <s v="RAICO00401"/>
    <s v="Tonico anti acne para piel grasa 50ml - RAICES CO"/>
    <s v="SKINCARE"/>
    <s v="RAICES CO"/>
    <n v="1"/>
    <n v="103.45"/>
  </r>
  <r>
    <x v="8"/>
    <s v="09/01/2026"/>
    <x v="12"/>
    <s v="8699415912859"/>
    <s v="Miel Vigorizante para Hombre  Miracle Honey  VIP 15g-  SECRET MIRACLE HONEY"/>
    <s v="CONSUMIBLE"/>
    <s v="SECRET MIRACLE HONEY"/>
    <n v="1"/>
    <n v="215.52"/>
  </r>
  <r>
    <x v="8"/>
    <s v="10/01/2026"/>
    <x v="12"/>
    <s v="7503043917081"/>
    <s v="Blade rosa anillo vibrador - CXO"/>
    <s v="JUGUETE PROPIO"/>
    <s v="CXO"/>
    <n v="1"/>
    <n v="81.900000000000006"/>
  </r>
  <r>
    <x v="8"/>
    <s v="10/01/2026"/>
    <x v="12"/>
    <s v="7503020310205"/>
    <s v="Dildo Vibrador Termico Realista 3 en 1 con movimiento Hades-CXO"/>
    <s v="JUGUETE PROPIO"/>
    <s v="CXO"/>
    <n v="1"/>
    <n v="2500"/>
  </r>
  <r>
    <x v="8"/>
    <s v="10/01/2026"/>
    <x v="12"/>
    <s v="7503013378652"/>
    <s v="Liquid Love Backdoor 100ml - DUSA"/>
    <s v="CONSUMIBLE PROPIO"/>
    <s v="DUSA"/>
    <n v="1"/>
    <n v="1077.5899999999999"/>
  </r>
  <r>
    <x v="8"/>
    <s v="10/01/2026"/>
    <x v="12"/>
    <s v="75082048"/>
    <s v="Miel Estimulante Hombre 18ml - SXO"/>
    <s v="CONSUMIBLE"/>
    <s v="SXO"/>
    <n v="1"/>
    <n v="301.72000000000003"/>
  </r>
  <r>
    <x v="8"/>
    <s v="10/01/2026"/>
    <x v="12"/>
    <s v="8699415912859"/>
    <s v="Miel Vigorizante para Hombre  Miracle Honey  VIP 15g-  SECRET MIRACLE HONEY"/>
    <s v="CONSUMIBLE"/>
    <s v="SECRET MIRACLE HONEY"/>
    <n v="1"/>
    <n v="215.52"/>
  </r>
  <r>
    <x v="8"/>
    <s v="10/01/2026"/>
    <x v="12"/>
    <s v="713001200104"/>
    <s v="Multiorgasmico con estimulador de clitoris de aleteo Marisol - CXO"/>
    <s v="JUGUETE PROPIO"/>
    <s v="CXO"/>
    <n v="1"/>
    <n v="2500"/>
  </r>
  <r>
    <x v="8"/>
    <s v="10/01/2026"/>
    <x v="12"/>
    <s v="7503024256192"/>
    <s v="Shot Shumatsu Fun Mujer - DUSA"/>
    <s v="CONSUMIBLE PROPIO"/>
    <s v="DUSA"/>
    <n v="1"/>
    <n v="172.41"/>
  </r>
  <r>
    <x v="8"/>
    <s v="10/01/2026"/>
    <x v="12"/>
    <s v="7503032300443"/>
    <s v="Zoe bala vibradora RETAIL - CXO"/>
    <s v="JUGUETE PROPIO"/>
    <s v="CXO"/>
    <n v="1"/>
    <n v="155.16999999999999"/>
  </r>
  <r>
    <x v="8"/>
    <s v="14/01/2026"/>
    <x v="12"/>
    <s v="7503024256154"/>
    <s v="Lubricante Body Surf Termico Cereza DUSA 60ml"/>
    <s v="CONSUMIBLE PROPIO"/>
    <s v="DUSA"/>
    <n v="1"/>
    <n v="387.93"/>
  </r>
  <r>
    <x v="8"/>
    <s v="14/01/2026"/>
    <x v="12"/>
    <s v="7503024256192"/>
    <s v="Shot Shumatsu Fun Mujer - DUSA"/>
    <s v="CONSUMIBLE PROPIO"/>
    <s v="DUSA"/>
    <n v="1"/>
    <n v="172.41"/>
  </r>
  <r>
    <x v="8"/>
    <s v="14/01/2026"/>
    <x v="12"/>
    <s v="7503032300443"/>
    <s v="Zoe bala vibradora RETAIL - CXO"/>
    <s v="JUGUETE PROPIO"/>
    <s v="CXO"/>
    <n v="1"/>
    <n v="155.16999999999999"/>
  </r>
  <r>
    <x v="8"/>
    <s v="15/01/2026"/>
    <x v="12"/>
    <s v="75082048"/>
    <s v="Miel Estimulante Hombre 18ml - SXO"/>
    <s v="CONSUMIBLE"/>
    <s v="SXO"/>
    <n v="2"/>
    <n v="603.45000000000005"/>
  </r>
  <r>
    <x v="8"/>
    <s v="15/01/2026"/>
    <x v="12"/>
    <s v="7503013378010"/>
    <s v="Rigidex 2 pzas - DUSA"/>
    <s v="CONSUMIBLE PROPIO"/>
    <s v="DUSA"/>
    <n v="1"/>
    <n v="431.03"/>
  </r>
  <r>
    <x v="8"/>
    <s v="15/01/2026"/>
    <x v="12"/>
    <s v="7503024256192"/>
    <s v="Shot Shumatsu Fun Mujer - DUSA"/>
    <s v="CONSUMIBLE PROPIO"/>
    <s v="DUSA"/>
    <n v="2"/>
    <n v="344.82"/>
  </r>
  <r>
    <x v="8"/>
    <s v="17/01/2026"/>
    <x v="12"/>
    <s v="6959633102800"/>
    <s v="Ava neo vibrador azul - SVAKOM"/>
    <s v="JUGUETE"/>
    <s v="SVAKOM"/>
    <n v="1"/>
    <n v="1810.34"/>
  </r>
  <r>
    <x v="8"/>
    <s v="17/01/2026"/>
    <x v="12"/>
    <s v="7503024256727"/>
    <s v="Cola de Zorro 45cm negro S - CXO"/>
    <s v="JUGUETE PROPIO"/>
    <s v="CXO"/>
    <n v="1"/>
    <n v="258.62"/>
  </r>
  <r>
    <x v="8"/>
    <s v="17/01/2026"/>
    <x v="12"/>
    <s v="7502214985386"/>
    <s v="CONDON EXTRA PLEASURE C/3 -PRUDENCE"/>
    <s v="CONSUMIBLE"/>
    <s v="PRUDENCE"/>
    <n v="1"/>
    <n v="77.59"/>
  </r>
  <r>
    <x v="8"/>
    <s v="17/01/2026"/>
    <x v="12"/>
    <s v="7502214982439"/>
    <s v="Condon Extra Time Retardante 3 pzs - PRUDENCE"/>
    <s v="CONSUMIBLE"/>
    <s v="PRUDENCE"/>
    <n v="1"/>
    <n v="77.59"/>
  </r>
  <r>
    <x v="8"/>
    <s v="17/01/2026"/>
    <x v="12"/>
    <s v="7502214985362"/>
    <s v="CONDON MUTUAL SENSATION C/3 - PRUDENCE"/>
    <s v="CONSUMIBLE"/>
    <s v="PRUDENCE"/>
    <n v="1"/>
    <n v="77.59"/>
  </r>
  <r>
    <x v="8"/>
    <s v="17/01/2026"/>
    <x v="12"/>
    <s v="7503050524265"/>
    <s v="He Plus 30ml - DUSA"/>
    <s v="CONSUMIBLE PROPIO"/>
    <s v="DUSA"/>
    <n v="1"/>
    <n v="431.03"/>
  </r>
  <r>
    <x v="8"/>
    <s v="17/01/2026"/>
    <x v="12"/>
    <s v="7503032300993"/>
    <s v="Liquid Love Pleasure 30ml - DUSA"/>
    <s v="CONSUMIBLE PROPIO"/>
    <s v="DUSA"/>
    <n v="1"/>
    <n v="301.72000000000003"/>
  </r>
  <r>
    <x v="8"/>
    <s v="17/01/2026"/>
    <x v="12"/>
    <s v="7503024256154"/>
    <s v="Lubricante Body Surf Termico Cereza DUSA 60ml"/>
    <s v="CONSUMIBLE PROPIO"/>
    <s v="DUSA"/>
    <n v="1"/>
    <n v="387.93"/>
  </r>
  <r>
    <x v="8"/>
    <s v="17/01/2026"/>
    <x v="12"/>
    <s v="7503013378799"/>
    <s v="Lubricante Body Surf Termico Citricos DUSA 60ml"/>
    <s v="CONSUMIBLE PROPIO"/>
    <s v="DUSA"/>
    <n v="1"/>
    <n v="387.93"/>
  </r>
  <r>
    <x v="8"/>
    <s v="17/01/2026"/>
    <x v="12"/>
    <s v="6959633185476"/>
    <s v="Masturbador Hedy X Confidence – SVAKOM"/>
    <s v="JUGUETE"/>
    <s v="SVAKOM"/>
    <n v="1"/>
    <n v="181.03"/>
  </r>
  <r>
    <x v="8"/>
    <s v="17/01/2026"/>
    <x v="12"/>
    <s v="7503050226162"/>
    <s v="Plug Anal con Vibración y Control Roberto - CXO"/>
    <s v="JUGUETE PROPIO"/>
    <s v="CXO"/>
    <n v="1"/>
    <n v="1293.0999999999999"/>
  </r>
  <r>
    <x v="8"/>
    <s v="17/01/2026"/>
    <x v="12"/>
    <s v="782421007607"/>
    <s v="Reverse Tightening gel 0.25oz - DOC JOHNSON"/>
    <s v="CONSUMIBLE"/>
    <s v="DOC JOHNSON"/>
    <n v="1"/>
    <n v="68.97"/>
  </r>
  <r>
    <x v="8"/>
    <s v="17/01/2026"/>
    <x v="12"/>
    <s v="7503032300856"/>
    <s v="Sachet vibrador liquido 2 ml - BANANA SHAKE"/>
    <s v="CONSUMIBLE"/>
    <s v="BANANA SHAKE"/>
    <n v="2"/>
    <n v="34.479999999999997"/>
  </r>
  <r>
    <x v="8"/>
    <s v="17/01/2026"/>
    <x v="12"/>
    <s v="7503024256192"/>
    <s v="Shot Shumatsu Fun Mujer - DUSA"/>
    <s v="CONSUMIBLE PROPIO"/>
    <s v="DUSA"/>
    <n v="1"/>
    <n v="172.41"/>
  </r>
  <r>
    <x v="8"/>
    <s v="19/01/2026"/>
    <x v="12"/>
    <s v="7503043917531"/>
    <s v="Huevo masturbador clicker - EGG"/>
    <s v="JUGUETE"/>
    <s v="EGG"/>
    <n v="1"/>
    <n v="159.47999999999999"/>
  </r>
  <r>
    <x v="8"/>
    <s v="19/01/2026"/>
    <x v="12"/>
    <s v="7503013378645"/>
    <s v="Liquid Love Pleasure 100ml - DUSA"/>
    <s v="CONSUMIBLE PROPIO"/>
    <s v="DUSA"/>
    <n v="1"/>
    <n v="775.86"/>
  </r>
  <r>
    <x v="8"/>
    <s v="19/01/2026"/>
    <x v="12"/>
    <s v="4560220552780"/>
    <s v="Masturbador en huevo Surfer - TENGA"/>
    <s v="JUGUETE"/>
    <s v="TENGA"/>
    <n v="1"/>
    <n v="301.72000000000003"/>
  </r>
  <r>
    <x v="8"/>
    <s v="19/01/2026"/>
    <x v="12"/>
    <s v="7503050524241"/>
    <s v="Orgasmik 30ml - DUSA"/>
    <s v="CONSUMIBLE PROPIO"/>
    <s v="DUSA"/>
    <n v="1"/>
    <n v="431.03"/>
  </r>
  <r>
    <x v="8"/>
    <s v="19/01/2026"/>
    <x v="12"/>
    <s v="7503020596957"/>
    <s v="Shot Shumatsu Fun Hombre - DUSA"/>
    <s v="CONSUMIBLE PROPIO"/>
    <s v="DUSA"/>
    <n v="1"/>
    <n v="172.41"/>
  </r>
  <r>
    <x v="8"/>
    <s v="19/01/2026"/>
    <x v="12"/>
    <s v="7503024256192"/>
    <s v="Shot Shumatsu Fun Mujer - DUSA"/>
    <s v="CONSUMIBLE PROPIO"/>
    <s v="DUSA"/>
    <n v="1"/>
    <n v="172.41"/>
  </r>
  <r>
    <x v="8"/>
    <s v="19/01/2026"/>
    <x v="12"/>
    <s v="7503013378690"/>
    <s v="Shumatsu 3 pzas - DUSA"/>
    <s v="CONSUMIBLE PROPIO"/>
    <s v="DUSA"/>
    <n v="5"/>
    <n v="2887.9500000000003"/>
  </r>
  <r>
    <x v="8"/>
    <s v="20/01/2026"/>
    <x v="12"/>
    <s v="7503013378690"/>
    <s v="Shumatsu 3 pzas - DUSA"/>
    <s v="CONSUMIBLE PROPIO"/>
    <s v="DUSA"/>
    <n v="1"/>
    <n v="577.59"/>
  </r>
  <r>
    <x v="8"/>
    <s v="21/01/2026"/>
    <x v="12"/>
    <s v="7503014914002"/>
    <s v="CAPSULAS MULTIORGASMICO AMO O-GEN"/>
    <s v="CONSUMIBLE"/>
    <s v="POWER MAN"/>
    <n v="1"/>
    <n v="431.04"/>
  </r>
  <r>
    <x v="8"/>
    <s v="22/01/2026"/>
    <x v="12"/>
    <s v="7503020111072"/>
    <s v="Anillo vibrador recargable con textura negra Hank - CXO"/>
    <s v="JUGUETE PROPIO"/>
    <s v="CXO"/>
    <n v="1"/>
    <n v="1267.24"/>
  </r>
  <r>
    <x v="8"/>
    <s v="22/01/2026"/>
    <x v="12"/>
    <s v="7503020420814"/>
    <s v="Bomba de vacio manual Noah - CXO"/>
    <s v="JUGUETE PROPIO"/>
    <s v="CXO"/>
    <n v="1"/>
    <n v="818.97"/>
  </r>
  <r>
    <x v="8"/>
    <s v="22/01/2026"/>
    <x v="12"/>
    <s v="7503030220043"/>
    <s v="Dados para juegos 2 piezas - CXO"/>
    <s v="JUGUETE PROPIO"/>
    <s v="CXO"/>
    <n v="1"/>
    <n v="112.07"/>
  </r>
  <r>
    <x v="8"/>
    <s v="22/01/2026"/>
    <x v="12"/>
    <s v="7503020220077"/>
    <s v="Juego de mesa sensual para parejas – CXO"/>
    <s v="JUGUETE PROPIO"/>
    <s v="CXO"/>
    <n v="1"/>
    <n v="637.92999999999995"/>
  </r>
  <r>
    <x v="8"/>
    <s v="22/01/2026"/>
    <x v="12"/>
    <s v="PZ-812-ZT"/>
    <s v="KIT BDSM Policia - CXO"/>
    <s v="JUGUETE PROPIO"/>
    <s v="CXO"/>
    <n v="1"/>
    <n v="1724.14"/>
  </r>
  <r>
    <x v="8"/>
    <s v="22/01/2026"/>
    <x v="12"/>
    <s v="7503013378652"/>
    <s v="Liquid Love Backdoor 100ml - DUSA"/>
    <s v="CONSUMIBLE PROPIO"/>
    <s v="DUSA"/>
    <n v="2"/>
    <n v="2155.1799999999998"/>
  </r>
  <r>
    <x v="8"/>
    <s v="22/01/2026"/>
    <x v="12"/>
    <s v="7503013378645"/>
    <s v="Liquid Love Pleasure 100ml - DUSA"/>
    <s v="CONSUMIBLE PROPIO"/>
    <s v="DUSA"/>
    <n v="1"/>
    <n v="775.86"/>
  </r>
  <r>
    <x v="8"/>
    <s v="22/01/2026"/>
    <x v="12"/>
    <s v="7508304289037"/>
    <s v="LUBRICANTE C/FEROMONAS -LUJO- 40ML  RETARDADOR"/>
    <s v="CONSUMIBLE"/>
    <s v="DIAMANTE"/>
    <n v="2"/>
    <n v="1017.24"/>
  </r>
  <r>
    <x v="8"/>
    <s v="22/01/2026"/>
    <x v="12"/>
    <s v="7503050524241"/>
    <s v="Orgasmik 30ml - DUSA"/>
    <s v="CONSUMIBLE PROPIO"/>
    <s v="DUSA"/>
    <n v="4"/>
    <n v="1724.12"/>
  </r>
  <r>
    <x v="8"/>
    <s v="22/01/2026"/>
    <x v="12"/>
    <s v="7503032300856"/>
    <s v="Sachet vibrador liquido 2 ml - BANANA SHAKE"/>
    <s v="CONSUMIBLE"/>
    <s v="BANANA SHAKE"/>
    <n v="6"/>
    <n v="103.44"/>
  </r>
  <r>
    <x v="8"/>
    <s v="22/01/2026"/>
    <x v="12"/>
    <s v="7503020596957"/>
    <s v="Shot Shumatsu Fun Hombre - DUSA"/>
    <s v="CONSUMIBLE PROPIO"/>
    <s v="DUSA"/>
    <n v="3"/>
    <n v="517.23"/>
  </r>
  <r>
    <x v="8"/>
    <s v="22/01/2026"/>
    <x v="12"/>
    <s v="7503024256192"/>
    <s v="Shot Shumatsu Fun Mujer - DUSA"/>
    <s v="CONSUMIBLE PROPIO"/>
    <s v="DUSA"/>
    <n v="3"/>
    <n v="517.23"/>
  </r>
  <r>
    <x v="8"/>
    <s v="22/01/2026"/>
    <x v="12"/>
    <s v="4061504007496"/>
    <s v="Succionado con App Curvy 1+ - Satisfayer"/>
    <s v="JUGUETE"/>
    <s v="SATISFAYER"/>
    <n v="1"/>
    <n v="1810.34"/>
  </r>
  <r>
    <x v="8"/>
    <s v="23/01/2026"/>
    <x v="12"/>
    <s v="7503030211021"/>
    <s v="Anillo desechable para pene Donut - CXO"/>
    <s v="JUGUETE PROPIO"/>
    <s v="CXO"/>
    <n v="2"/>
    <n v="68.959999999999994"/>
  </r>
  <r>
    <x v="8"/>
    <s v="23/01/2026"/>
    <x v="12"/>
    <s v="FM1001"/>
    <s v="FEROMONAS DIAMANTE CONCENTRADO MUJER"/>
    <s v="CONSUMIBLE"/>
    <s v="DIAMANTE"/>
    <n v="1"/>
    <n v="413.79"/>
  </r>
  <r>
    <x v="8"/>
    <s v="23/01/2026"/>
    <x v="12"/>
    <s v="7503043917531"/>
    <s v="Huevo masturbador clicker - EGG"/>
    <s v="JUGUETE"/>
    <s v="EGG"/>
    <n v="1"/>
    <n v="159.47999999999999"/>
  </r>
  <r>
    <x v="8"/>
    <s v="23/01/2026"/>
    <x v="12"/>
    <s v="7503043917524"/>
    <s v="Kit Lisboa 8 pzs - CXO"/>
    <s v="JUGUETE PROPIO"/>
    <s v="CXO"/>
    <n v="1"/>
    <n v="465.52"/>
  </r>
  <r>
    <x v="8"/>
    <s v="23/01/2026"/>
    <x v="12"/>
    <s v="7503050524241"/>
    <s v="Orgasmik 30ml - DUSA"/>
    <s v="CONSUMIBLE PROPIO"/>
    <s v="DUSA"/>
    <n v="1"/>
    <n v="431.03"/>
  </r>
  <r>
    <x v="8"/>
    <s v="23/01/2026"/>
    <x v="12"/>
    <s v="4061504007359"/>
    <s v="Succionador Pingüino - Satisfayer"/>
    <s v="JUGUETE"/>
    <s v="SATISFAYER"/>
    <n v="1"/>
    <n v="1379.31"/>
  </r>
  <r>
    <x v="8"/>
    <s v="24/01/2026"/>
    <x v="12"/>
    <s v="7503030211021"/>
    <s v="Anillo desechable para pene Donut - CXO"/>
    <s v="JUGUETE PROPIO"/>
    <s v="CXO"/>
    <n v="2"/>
    <n v="68.97"/>
  </r>
  <r>
    <x v="8"/>
    <s v="26/01/2026"/>
    <x v="12"/>
    <s v="6959633166963"/>
    <s v="Ella Neo rojo- SVAKOM"/>
    <s v="JUGUETE"/>
    <s v="SVAKOM"/>
    <n v="1"/>
    <n v="3017.24"/>
  </r>
  <r>
    <x v="8"/>
    <s v="26/01/2026"/>
    <x v="12"/>
    <s v="7503030103028"/>
    <s v="Huevito vibrador con control a distancia Daniela - CXO"/>
    <s v="JUGUETE PROPIO"/>
    <s v="CXO"/>
    <n v="1"/>
    <n v="1500"/>
  </r>
  <r>
    <x v="8"/>
    <s v="26/01/2026"/>
    <x v="12"/>
    <s v="7503032300993"/>
    <s v="Liquid Love Pleasure 30ml - DUSA"/>
    <s v="CONSUMIBLE PROPIO"/>
    <s v="DUSA"/>
    <n v="1"/>
    <n v="301.72000000000003"/>
  </r>
  <r>
    <x v="8"/>
    <s v="26/01/2026"/>
    <x v="12"/>
    <s v="7503013378645"/>
    <s v="Liquid Love Pleasure 100ml - DUSA"/>
    <s v="CONSUMIBLE PROPIO"/>
    <s v="DUSA"/>
    <n v="1"/>
    <n v="775.86"/>
  </r>
  <r>
    <x v="8"/>
    <s v="26/01/2026"/>
    <x v="12"/>
    <s v="7503013378010"/>
    <s v="Rigidex 2 pzas - DUSA"/>
    <s v="CONSUMIBLE PROPIO"/>
    <s v="DUSA"/>
    <n v="20"/>
    <n v="8620.69"/>
  </r>
  <r>
    <x v="8"/>
    <s v="27/01/2026"/>
    <x v="12"/>
    <s v="7503020111072"/>
    <s v="Anillo vibrador recargable con textura negra Hank - CXO"/>
    <s v="JUGUETE PROPIO"/>
    <s v="CXO"/>
    <n v="1"/>
    <n v="1267.24"/>
  </r>
  <r>
    <x v="8"/>
    <s v="27/01/2026"/>
    <x v="12"/>
    <s v="7503024256154"/>
    <s v="Lubricante Body Surf Termico Cereza DUSA 60ml"/>
    <s v="CONSUMIBLE PROPIO"/>
    <s v="DUSA"/>
    <n v="1"/>
    <n v="387.93"/>
  </r>
  <r>
    <x v="8"/>
    <s v="27/01/2026"/>
    <x v="12"/>
    <s v="844477014166"/>
    <s v="Power Couple - EVOLVED"/>
    <s v="JUGUETE"/>
    <s v="ADAM &amp; EVE"/>
    <n v="1"/>
    <n v="1306.03"/>
  </r>
  <r>
    <x v="8"/>
    <s v="27/01/2026"/>
    <x v="12"/>
    <s v="7503020596957"/>
    <s v="Shot Shumatsu Fun Hombre - DUSA"/>
    <s v="CONSUMIBLE PROPIO"/>
    <s v="DUSA"/>
    <n v="1"/>
    <n v="172.41"/>
  </r>
  <r>
    <x v="8"/>
    <s v="27/01/2026"/>
    <x v="12"/>
    <s v="7503024256192"/>
    <s v="Shot Shumatsu Fun Mujer - DUSA"/>
    <s v="CONSUMIBLE PROPIO"/>
    <s v="DUSA"/>
    <n v="1"/>
    <n v="172.41"/>
  </r>
  <r>
    <x v="8"/>
    <s v="27/01/2026"/>
    <x v="12"/>
    <s v="RAICO03201"/>
    <s v="Tonico detox &amp; crecimiento tratamiento capilar 80 ml - RAICES CO"/>
    <s v="SKINCARE"/>
    <s v="RAICES CO"/>
    <n v="1"/>
    <n v="103.45"/>
  </r>
  <r>
    <x v="8"/>
    <s v="29/01/2026"/>
    <x v="12"/>
    <s v="FM1002"/>
    <s v="FEROMONAS DIAMANTE CONCENTRADO HOMBRE"/>
    <s v="CONSUMIBLE"/>
    <s v="DIAMANTE"/>
    <n v="2"/>
    <n v="827.59"/>
  </r>
  <r>
    <x v="8"/>
    <s v="29/01/2026"/>
    <x v="12"/>
    <s v="7503023462242"/>
    <s v="Lubricante Masaje Termico Comestible Uva Dulce FEEL LOVE 4 en 1 60ml"/>
    <s v="LUBRICANTE"/>
    <s v="FEEL LOVE"/>
    <n v="1"/>
    <n v="344.83"/>
  </r>
  <r>
    <x v="8"/>
    <s v="29/01/2026"/>
    <x v="12"/>
    <s v="7503013378690"/>
    <s v="Shumatsu 3 pzas - DUSA"/>
    <s v="CONSUMIBLE PROPIO"/>
    <s v="DUSA"/>
    <n v="1"/>
    <n v="577.59"/>
  </r>
  <r>
    <x v="8"/>
    <s v="30/01/2026"/>
    <x v="12"/>
    <s v="7503043917081"/>
    <s v="Blade rosa anillo vibrador - CXO"/>
    <s v="JUGUETE PROPIO"/>
    <s v="CXO"/>
    <n v="1"/>
    <n v="81.900000000000006"/>
  </r>
  <r>
    <x v="8"/>
    <s v="30/01/2026"/>
    <x v="12"/>
    <s v="7503032300993"/>
    <s v="Liquid Love Pleasure 30ml - DUSA"/>
    <s v="CONSUMIBLE PROPIO"/>
    <s v="DUSA"/>
    <n v="1"/>
    <n v="301.72000000000003"/>
  </r>
  <r>
    <x v="8"/>
    <s v="30/01/2026"/>
    <x v="12"/>
    <s v="7503050524241"/>
    <s v="Orgasmik 30ml - DUSA"/>
    <s v="CONSUMIBLE PROPIO"/>
    <s v="DUSA"/>
    <n v="1"/>
    <n v="431.03"/>
  </r>
  <r>
    <x v="8"/>
    <s v="30/01/2026"/>
    <x v="12"/>
    <s v="7503020596957"/>
    <s v="Shot Shumatsu Fun Hombre - DUSA"/>
    <s v="CONSUMIBLE PROPIO"/>
    <s v="DUSA"/>
    <n v="1"/>
    <n v="172.41"/>
  </r>
  <r>
    <x v="8"/>
    <s v="30/01/2026"/>
    <x v="12"/>
    <s v="7503024256192"/>
    <s v="Shot Shumatsu Fun Mujer - DUSA"/>
    <s v="CONSUMIBLE PROPIO"/>
    <s v="DUSA"/>
    <n v="1"/>
    <n v="172.41"/>
  </r>
  <r>
    <x v="8"/>
    <s v="30/01/2026"/>
    <x v="12"/>
    <s v="7503013378690"/>
    <s v="Shumatsu 3 pzas - DUSA"/>
    <s v="CONSUMIBLE PROPIO"/>
    <s v="DUSA"/>
    <n v="3"/>
    <n v="1732.77"/>
  </r>
  <r>
    <x v="8"/>
    <s v="30/01/2026"/>
    <x v="12"/>
    <s v="7503032300443"/>
    <s v="Zoe bala vibradora RETAIL - CXO"/>
    <s v="JUGUETE PROPIO"/>
    <s v="CXO"/>
    <n v="1"/>
    <n v="155.16999999999999"/>
  </r>
  <r>
    <x v="8"/>
    <s v="31/01/2026"/>
    <x v="12"/>
    <s v="7503020111072"/>
    <s v="Anillo vibrador recargable con textura negra Hank - CXO"/>
    <s v="JUGUETE PROPIO"/>
    <s v="CXO"/>
    <n v="1"/>
    <n v="1267.24"/>
  </r>
  <r>
    <x v="8"/>
    <s v="31/01/2026"/>
    <x v="12"/>
    <s v="7502214982576"/>
    <s v="CONDON PRUDENCE SABOR Y AROMA EXTRA FUERTE"/>
    <s v="CONSUMIBLE"/>
    <s v="PRUDENCE"/>
    <n v="1"/>
    <n v="77.59"/>
  </r>
  <r>
    <x v="8"/>
    <s v="31/01/2026"/>
    <x v="12"/>
    <s v="7503030220043"/>
    <s v="Dados para juegos 2 piezas - CXO"/>
    <s v="JUGUETE PROPIO"/>
    <s v="CXO"/>
    <n v="1"/>
    <n v="112.07"/>
  </r>
  <r>
    <x v="8"/>
    <s v="31/01/2026"/>
    <x v="12"/>
    <s v="75037628"/>
    <s v="Dulces Garganta Profunda 2 piezas Sabor Fresa - SXO"/>
    <s v="CONSUMIBLE"/>
    <s v="SXO"/>
    <n v="1"/>
    <n v="120.69"/>
  </r>
  <r>
    <x v="8"/>
    <s v="31/01/2026"/>
    <x v="12"/>
    <s v="7503050524265"/>
    <s v="He Plus 30ml - DUSA"/>
    <s v="CONSUMIBLE PROPIO"/>
    <s v="DUSA"/>
    <n v="1"/>
    <n v="431.03"/>
  </r>
  <r>
    <x v="8"/>
    <s v="31/01/2026"/>
    <x v="12"/>
    <s v="7503024256222"/>
    <s v="Jones - CXO"/>
    <s v="JUGUETE PROPIO"/>
    <s v="CXO"/>
    <n v="1"/>
    <n v="1329.11"/>
  </r>
  <r>
    <x v="8"/>
    <s v="31/01/2026"/>
    <x v="12"/>
    <s v="7503043917012"/>
    <s v="Liquid Love Backdoor 30ml - DUSA"/>
    <s v="CONSUMIBLE PROPIO"/>
    <s v="DUSA"/>
    <n v="2"/>
    <n v="603.44000000000005"/>
  </r>
  <r>
    <x v="8"/>
    <s v="31/01/2026"/>
    <x v="12"/>
    <s v="7503013378799"/>
    <s v="Lubricante Body Surf Termico Citricos DUSA 60ml"/>
    <s v="CONSUMIBLE PROPIO"/>
    <s v="DUSA"/>
    <n v="1"/>
    <n v="387.93"/>
  </r>
  <r>
    <x v="8"/>
    <s v="31/01/2026"/>
    <x v="12"/>
    <s v="75082048"/>
    <s v="Miel Estimulante Hombre 18ml - SXO"/>
    <s v="CONSUMIBLE"/>
    <s v="SXO"/>
    <n v="1"/>
    <n v="301.72000000000003"/>
  </r>
  <r>
    <x v="8"/>
    <s v="31/01/2026"/>
    <x v="12"/>
    <s v="75078737"/>
    <s v="Mini Kit Dulces 2 piezas - SXO"/>
    <s v="CONSUMIBLE"/>
    <s v="SXO"/>
    <n v="1"/>
    <n v="120.69"/>
  </r>
  <r>
    <x v="8"/>
    <s v="31/01/2026"/>
    <x v="12"/>
    <s v="7503050524241"/>
    <s v="Orgasmik 30ml - DUSA"/>
    <s v="CONSUMIBLE PROPIO"/>
    <s v="DUSA"/>
    <n v="1"/>
    <n v="431.03"/>
  </r>
  <r>
    <x v="8"/>
    <s v="31/01/2026"/>
    <x v="12"/>
    <s v="7503020596049"/>
    <s v="Sensicool - DUSA"/>
    <s v="CONSUMIBLE PROPIO"/>
    <s v="DUSA"/>
    <n v="1"/>
    <n v="431.03"/>
  </r>
  <r>
    <x v="8"/>
    <s v="31/01/2026"/>
    <x v="12"/>
    <s v="7503024256192"/>
    <s v="Shot Shumatsu Fun Mujer - DUSA"/>
    <s v="CONSUMIBLE PROPIO"/>
    <s v="DUSA"/>
    <n v="1"/>
    <n v="172.41"/>
  </r>
  <r>
    <x v="9"/>
    <s v="02/01/2026"/>
    <x v="2"/>
    <s v="7503032300993"/>
    <s v="Liquid Love Pleasure 30ml - DUSA"/>
    <s v="CONSUMIBLE PROPIO"/>
    <s v="DUSA"/>
    <n v="2"/>
    <n v="603.44000000000005"/>
  </r>
  <r>
    <x v="9"/>
    <s v="02/01/2026"/>
    <x v="2"/>
    <s v="7503032300795"/>
    <s v="Sachet lubricante desensibilizador 2 ml - BANANA SHAKE"/>
    <s v="CONSUMIBLE"/>
    <s v="BANANA SHAKE"/>
    <n v="4"/>
    <n v="86.2"/>
  </r>
  <r>
    <x v="9"/>
    <s v="02/01/2026"/>
    <x v="2"/>
    <s v="7503013378690"/>
    <s v="Shumatsu 3 pzas - DUSA"/>
    <s v="CONSUMIBLE PROPIO"/>
    <s v="DUSA"/>
    <n v="1"/>
    <n v="577.59"/>
  </r>
  <r>
    <x v="9"/>
    <s v="03/01/2026"/>
    <x v="13"/>
    <s v="7503013378102"/>
    <s v="Anastasia Gema de Colores M - CXO"/>
    <s v="JUGUETE PROPIO"/>
    <s v="CXO"/>
    <n v="2"/>
    <n v="913.8"/>
  </r>
  <r>
    <x v="9"/>
    <s v="03/01/2026"/>
    <x v="13"/>
    <s v="7503013378492"/>
    <s v="Clean Whisper 120ml - DUSA"/>
    <s v="CONSUMIBLE PROPIO"/>
    <s v="DUSA"/>
    <n v="1"/>
    <n v="301.72000000000003"/>
  </r>
  <r>
    <x v="9"/>
    <s v="03/01/2026"/>
    <x v="13"/>
    <s v="7503043917012"/>
    <s v="Liquid Love Backdoor 30ml - DUSA"/>
    <s v="CONSUMIBLE PROPIO"/>
    <s v="DUSA"/>
    <n v="1"/>
    <n v="301.72000000000003"/>
  </r>
  <r>
    <x v="9"/>
    <s v="03/01/2026"/>
    <x v="13"/>
    <s v="7503043917005"/>
    <s v="Liquid Love Clear 30ml - DUSA"/>
    <s v="CONSUMIBLE PROPIO"/>
    <s v="DUSA"/>
    <n v="2"/>
    <n v="603.44000000000005"/>
  </r>
  <r>
    <x v="9"/>
    <s v="03/01/2026"/>
    <x v="13"/>
    <s v="7503032300993"/>
    <s v="Liquid Love Pleasure 30ml - DUSA"/>
    <s v="CONSUMIBLE PROPIO"/>
    <s v="DUSA"/>
    <n v="1"/>
    <n v="301.72000000000003"/>
  </r>
  <r>
    <x v="9"/>
    <s v="03/01/2026"/>
    <x v="13"/>
    <s v="6959633103494"/>
    <s v="Mora Neo multiorgasmico rosa - SVAKOM"/>
    <s v="JUGUETE"/>
    <s v="SVAKOM"/>
    <n v="1"/>
    <n v="1637.93"/>
  </r>
  <r>
    <x v="9"/>
    <s v="03/01/2026"/>
    <x v="13"/>
    <s v="7503013378010"/>
    <s v="Rigidex 2 pzas - DUSA"/>
    <s v="CONSUMIBLE PROPIO"/>
    <s v="DUSA"/>
    <n v="1"/>
    <n v="431.03"/>
  </r>
  <r>
    <x v="9"/>
    <s v="03/01/2026"/>
    <x v="13"/>
    <s v="7503024256192"/>
    <s v="Shot Shumatsu Fun Mujer - DUSA"/>
    <s v="CONSUMIBLE PROPIO"/>
    <s v="DUSA"/>
    <n v="4"/>
    <n v="689.64"/>
  </r>
  <r>
    <x v="9"/>
    <s v="03/01/2026"/>
    <x v="13"/>
    <s v="7503013378690"/>
    <s v="Shumatsu 3 pzas - DUSA"/>
    <s v="CONSUMIBLE PROPIO"/>
    <s v="DUSA"/>
    <n v="1"/>
    <n v="577.59"/>
  </r>
  <r>
    <x v="9"/>
    <s v="03/01/2026"/>
    <x v="13"/>
    <s v="4061504007496"/>
    <s v="Succionado con App Curvy 1+ - Satisfayer"/>
    <s v="JUGUETE"/>
    <s v="SATISFAYER"/>
    <n v="1"/>
    <n v="1810.34"/>
  </r>
  <r>
    <x v="9"/>
    <s v="03/01/2026"/>
    <x v="13"/>
    <s v="4061504007359"/>
    <s v="Succionador Pingüino - Satisfayer"/>
    <s v="JUGUETE"/>
    <s v="SATISFAYER"/>
    <n v="1"/>
    <n v="1379.31"/>
  </r>
  <r>
    <x v="9"/>
    <s v="04/01/2026"/>
    <x v="13"/>
    <s v="7503014914002"/>
    <s v="CAPSULAS MULTIORGASMICO AMO O-GEN"/>
    <s v="CONSUMIBLE"/>
    <s v="POWER MAN"/>
    <n v="1"/>
    <n v="431.04"/>
  </r>
  <r>
    <x v="9"/>
    <s v="05/01/2026"/>
    <x v="13"/>
    <s v="7500464543059"/>
    <s v="Dildo Realista con Ventosa 15.5cms Domi CXO"/>
    <s v="JUGUETE PROPIO"/>
    <s v="CXO"/>
    <n v="1"/>
    <n v="818.97"/>
  </r>
  <r>
    <x v="9"/>
    <s v="05/01/2026"/>
    <x v="13"/>
    <s v="7503013378652"/>
    <s v="Liquid Love Backdoor 100ml - DUSA"/>
    <s v="CONSUMIBLE PROPIO"/>
    <s v="DUSA"/>
    <n v="1"/>
    <n v="1077.5899999999999"/>
  </r>
  <r>
    <x v="9"/>
    <s v="05/01/2026"/>
    <x v="13"/>
    <s v="7503032300993"/>
    <s v="Liquid Love Pleasure 30ml - DUSA"/>
    <s v="CONSUMIBLE PROPIO"/>
    <s v="DUSA"/>
    <n v="1"/>
    <n v="301.72000000000003"/>
  </r>
  <r>
    <x v="9"/>
    <s v="05/01/2026"/>
    <x v="13"/>
    <s v="7503013378645"/>
    <s v="Liquid Love Pleasure 100ml - DUSA"/>
    <s v="CONSUMIBLE PROPIO"/>
    <s v="DUSA"/>
    <n v="1"/>
    <n v="775.86"/>
  </r>
  <r>
    <x v="9"/>
    <s v="05/01/2026"/>
    <x v="13"/>
    <s v="8699415912859"/>
    <s v="Miel Vigorizante para Hombre  Miracle Honey  VIP 15g-  SECRET MIRACLE HONEY"/>
    <s v="CONSUMIBLE"/>
    <s v="SECRET MIRACLE HONEY"/>
    <n v="1"/>
    <n v="215.52"/>
  </r>
  <r>
    <x v="9"/>
    <s v="05/01/2026"/>
    <x v="13"/>
    <s v="7503020596049"/>
    <s v="Sensicool - DUSA"/>
    <s v="CONSUMIBLE PROPIO"/>
    <s v="DUSA"/>
    <n v="1"/>
    <n v="431.03"/>
  </r>
  <r>
    <x v="9"/>
    <s v="05/01/2026"/>
    <x v="13"/>
    <s v="7503020596957"/>
    <s v="Shot Shumatsu Fun Hombre - DUSA"/>
    <s v="CONSUMIBLE PROPIO"/>
    <s v="DUSA"/>
    <n v="1"/>
    <n v="172.41"/>
  </r>
  <r>
    <x v="9"/>
    <s v="05/01/2026"/>
    <x v="13"/>
    <s v="7503024256192"/>
    <s v="Shot Shumatsu Fun Mujer - DUSA"/>
    <s v="CONSUMIBLE PROPIO"/>
    <s v="DUSA"/>
    <n v="1"/>
    <n v="172.41"/>
  </r>
  <r>
    <x v="9"/>
    <s v="05/01/2026"/>
    <x v="13"/>
    <s v="7503013378690"/>
    <s v="Shumatsu 3 pzas - DUSA"/>
    <s v="CONSUMIBLE PROPIO"/>
    <s v="DUSA"/>
    <n v="2"/>
    <n v="1155.18"/>
  </r>
  <r>
    <x v="9"/>
    <s v="06/01/2026"/>
    <x v="2"/>
    <s v="7503023462754"/>
    <s v="Fragancia con Feromonas Body Breeze Sexy DIAMANTE Cereza 125ml"/>
    <s v="CONSUMIBLE"/>
    <s v="DIAMANTE"/>
    <n v="1"/>
    <n v="413.79"/>
  </r>
  <r>
    <x v="9"/>
    <s v="06/01/2026"/>
    <x v="2"/>
    <s v="7503032300627"/>
    <s v="Kevin - CXO"/>
    <s v="JUGUETE PROPIO"/>
    <s v="CXO"/>
    <n v="1"/>
    <n v="775.86"/>
  </r>
  <r>
    <x v="9"/>
    <s v="06/01/2026"/>
    <x v="2"/>
    <s v="7503013378799"/>
    <s v="Lubricante Body Surf Termico Citricos DUSA 60ml"/>
    <s v="CONSUMIBLE PROPIO"/>
    <s v="DUSA"/>
    <n v="1"/>
    <n v="387.93"/>
  </r>
  <r>
    <x v="9"/>
    <s v="06/01/2026"/>
    <x v="2"/>
    <s v="8699415912859"/>
    <s v="Miel Vigorizante para Hombre  Miracle Honey  VIP 15g-  SECRET MIRACLE HONEY"/>
    <s v="CONSUMIBLE"/>
    <s v="SECRET MIRACLE HONEY"/>
    <n v="1"/>
    <n v="215.52"/>
  </r>
  <r>
    <x v="9"/>
    <s v="06/01/2026"/>
    <x v="2"/>
    <s v="6970784913251"/>
    <s v="Multiorgasmico con Conejito con 10 modos Nika - CXO"/>
    <s v="JUGUETE PROPIO"/>
    <s v="CXO"/>
    <n v="1"/>
    <n v="2672.41"/>
  </r>
  <r>
    <x v="9"/>
    <s v="07/01/2026"/>
    <x v="13"/>
    <s v="7503050226131"/>
    <s v="Disfraz Colegiala - OLA MOU"/>
    <s v="LENCERIA PROPIA"/>
    <s v="OLA MOU"/>
    <n v="1"/>
    <n v="344.83"/>
  </r>
  <r>
    <x v="9"/>
    <s v="07/01/2026"/>
    <x v="13"/>
    <s v="6959633118795"/>
    <s v="Edeny - SVAKOM"/>
    <s v="JUGUETE"/>
    <s v="SVAKOM"/>
    <n v="1"/>
    <n v="3275.86"/>
  </r>
  <r>
    <x v="9"/>
    <s v="07/01/2026"/>
    <x v="13"/>
    <s v="7503043917012"/>
    <s v="Liquid Love Backdoor 30ml - DUSA"/>
    <s v="CONSUMIBLE PROPIO"/>
    <s v="DUSA"/>
    <n v="1"/>
    <n v="301.72000000000003"/>
  </r>
  <r>
    <x v="9"/>
    <s v="07/01/2026"/>
    <x v="13"/>
    <s v="7503032300993"/>
    <s v="Liquid Love Pleasure 30ml - DUSA"/>
    <s v="CONSUMIBLE PROPIO"/>
    <s v="DUSA"/>
    <n v="2"/>
    <n v="603.44000000000005"/>
  </r>
  <r>
    <x v="9"/>
    <s v="07/01/2026"/>
    <x v="13"/>
    <s v="7503013378645"/>
    <s v="Liquid Love Pleasure 100ml - DUSA"/>
    <s v="CONSUMIBLE PROPIO"/>
    <s v="DUSA"/>
    <n v="1"/>
    <n v="775.86"/>
  </r>
  <r>
    <x v="9"/>
    <s v="07/01/2026"/>
    <x v="13"/>
    <s v="6959633185476"/>
    <s v="Masturbador Hedy X Confidence – SVAKOM"/>
    <s v="JUGUETE"/>
    <s v="SVAKOM"/>
    <n v="1"/>
    <n v="181.03"/>
  </r>
  <r>
    <x v="9"/>
    <s v="08/01/2026"/>
    <x v="13"/>
    <s v="7503030211021"/>
    <s v="Anillo desechable para pene Donut - CXO"/>
    <s v="JUGUETE PROPIO"/>
    <s v="CXO"/>
    <n v="1"/>
    <n v="34.479999999999997"/>
  </r>
  <r>
    <x v="9"/>
    <s v="08/01/2026"/>
    <x v="13"/>
    <s v="7502235091431"/>
    <s v="Aumentador de Semen - Lions Power"/>
    <s v="CONSUMIBLE"/>
    <s v="SXO"/>
    <n v="1"/>
    <n v="482.76"/>
  </r>
  <r>
    <x v="9"/>
    <s v="08/01/2026"/>
    <x v="13"/>
    <s v="7503032300993"/>
    <s v="Liquid Love Pleasure 30ml - DUSA"/>
    <s v="CONSUMIBLE PROPIO"/>
    <s v="DUSA"/>
    <n v="1"/>
    <n v="301.72000000000003"/>
  </r>
  <r>
    <x v="9"/>
    <s v="08/01/2026"/>
    <x v="13"/>
    <s v="8699415912859"/>
    <s v="Miel Vigorizante para Hombre  Miracle Honey  VIP 15g-  SECRET MIRACLE HONEY"/>
    <s v="CONSUMIBLE"/>
    <s v="SECRET MIRACLE HONEY"/>
    <n v="1"/>
    <n v="215.52"/>
  </r>
  <r>
    <x v="9"/>
    <s v="08/01/2026"/>
    <x v="13"/>
    <s v="7503050226162"/>
    <s v="Plug Anal con Vibración y Control Roberto - CXO"/>
    <s v="JUGUETE PROPIO"/>
    <s v="CXO"/>
    <n v="1"/>
    <n v="1293.0999999999999"/>
  </r>
  <r>
    <x v="9"/>
    <s v="08/01/2026"/>
    <x v="13"/>
    <s v="7503013378010"/>
    <s v="Rigidex 2 pzas - DUSA"/>
    <s v="CONSUMIBLE PROPIO"/>
    <s v="DUSA"/>
    <n v="2"/>
    <n v="862.06"/>
  </r>
  <r>
    <x v="9"/>
    <s v="08/01/2026"/>
    <x v="13"/>
    <s v="7503020596957"/>
    <s v="Shot Shumatsu Fun Hombre - DUSA"/>
    <s v="CONSUMIBLE PROPIO"/>
    <s v="DUSA"/>
    <n v="1"/>
    <n v="172.41"/>
  </r>
  <r>
    <x v="9"/>
    <s v="08/01/2026"/>
    <x v="13"/>
    <s v="7503013378690"/>
    <s v="Shumatsu 3 pzas - DUSA"/>
    <s v="CONSUMIBLE PROPIO"/>
    <s v="DUSA"/>
    <n v="3"/>
    <n v="1732.77"/>
  </r>
  <r>
    <x v="9"/>
    <s v="09/01/2026"/>
    <x v="13"/>
    <s v="7503013378492"/>
    <s v="Clean Whisper 120ml - DUSA"/>
    <s v="CONSUMIBLE PROPIO"/>
    <s v="DUSA"/>
    <n v="1"/>
    <n v="301.72000000000003"/>
  </r>
  <r>
    <x v="9"/>
    <s v="09/01/2026"/>
    <x v="13"/>
    <s v="7503030102034"/>
    <s v="Dildo vibrador con control Anthony - CXO"/>
    <s v="JUGUETE PROPIO"/>
    <s v="CXO"/>
    <n v="1"/>
    <n v="2112.0700000000002"/>
  </r>
  <r>
    <x v="9"/>
    <s v="09/01/2026"/>
    <x v="13"/>
    <s v="7503032300627"/>
    <s v="Kevin - CXO"/>
    <s v="JUGUETE PROPIO"/>
    <s v="CXO"/>
    <n v="2"/>
    <n v="1551.72"/>
  </r>
  <r>
    <x v="9"/>
    <s v="09/01/2026"/>
    <x v="13"/>
    <s v="7503043917012"/>
    <s v="Liquid Love Backdoor 30ml - DUSA"/>
    <s v="CONSUMIBLE PROPIO"/>
    <s v="DUSA"/>
    <n v="1"/>
    <n v="301.72000000000003"/>
  </r>
  <r>
    <x v="9"/>
    <s v="09/01/2026"/>
    <x v="13"/>
    <s v="7503013378010"/>
    <s v="Rigidex 2 pzas - DUSA"/>
    <s v="CONSUMIBLE PROPIO"/>
    <s v="DUSA"/>
    <n v="1"/>
    <n v="431.03"/>
  </r>
  <r>
    <x v="9"/>
    <s v="09/01/2026"/>
    <x v="13"/>
    <s v="7503013378690"/>
    <s v="Shumatsu 3 pzas - DUSA"/>
    <s v="CONSUMIBLE PROPIO"/>
    <s v="DUSA"/>
    <n v="1"/>
    <n v="577.59"/>
  </r>
  <r>
    <x v="9"/>
    <s v="10/01/2026"/>
    <x v="13"/>
    <s v="7503014914002"/>
    <s v="CAPSULAS MULTIORGASMICO AMO O-GEN"/>
    <s v="CONSUMIBLE"/>
    <s v="POWER MAN"/>
    <n v="2"/>
    <n v="862.08"/>
  </r>
  <r>
    <x v="9"/>
    <s v="10/01/2026"/>
    <x v="13"/>
    <s v="7503013378492"/>
    <s v="Clean Whisper 120ml - DUSA"/>
    <s v="CONSUMIBLE PROPIO"/>
    <s v="DUSA"/>
    <n v="1"/>
    <n v="301.72000000000003"/>
  </r>
  <r>
    <x v="9"/>
    <s v="10/01/2026"/>
    <x v="13"/>
    <s v="7503043917142"/>
    <s v="Hank negro anillo vibrador - CXO"/>
    <s v="JUGUETE PROPIO"/>
    <s v="CXO"/>
    <n v="1"/>
    <n v="818.97"/>
  </r>
  <r>
    <x v="9"/>
    <s v="10/01/2026"/>
    <x v="13"/>
    <s v="7503020596056"/>
    <s v="He Plus - DUSA"/>
    <s v="CONSUMIBLE PROPIO"/>
    <s v="DUSA"/>
    <n v="1"/>
    <n v="431.03"/>
  </r>
  <r>
    <x v="9"/>
    <s v="10/01/2026"/>
    <x v="13"/>
    <s v="7503013378652"/>
    <s v="Liquid Love Backdoor 100ml - DUSA"/>
    <s v="CONSUMIBLE PROPIO"/>
    <s v="DUSA"/>
    <n v="1"/>
    <n v="1077.5899999999999"/>
  </r>
  <r>
    <x v="9"/>
    <s v="10/01/2026"/>
    <x v="13"/>
    <s v="7503020596513"/>
    <s v="Liquid Love Natural 20ml - DUSA"/>
    <s v="CONSUMIBLE PROPIO"/>
    <s v="DUSA"/>
    <n v="1"/>
    <n v="258.62"/>
  </r>
  <r>
    <x v="9"/>
    <s v="10/01/2026"/>
    <x v="13"/>
    <s v="7503013378645"/>
    <s v="Liquid Love Pleasure 100ml - DUSA"/>
    <s v="CONSUMIBLE PROPIO"/>
    <s v="DUSA"/>
    <n v="2"/>
    <n v="1551.72"/>
  </r>
  <r>
    <x v="9"/>
    <s v="10/01/2026"/>
    <x v="13"/>
    <s v="7503024256154"/>
    <s v="Lubricante Body Surf Termico Cereza DUSA 60ml"/>
    <s v="CONSUMIBLE PROPIO"/>
    <s v="DUSA"/>
    <n v="1"/>
    <n v="387.93"/>
  </r>
  <r>
    <x v="9"/>
    <s v="10/01/2026"/>
    <x v="13"/>
    <s v="7503023462242"/>
    <s v="Lubricante Masaje Termico Comestible Uva Dulce FEEL LOVE 4 en 1 60ml"/>
    <s v="LUBRICANTE"/>
    <s v="FEEL LOVE"/>
    <n v="1"/>
    <n v="344.83"/>
  </r>
  <r>
    <x v="9"/>
    <s v="10/01/2026"/>
    <x v="13"/>
    <s v="7503032300825"/>
    <s v="Lubricante Sachet natural 2 ml - BANANA SHAKE"/>
    <s v="CONSUMIBLE"/>
    <s v="BANANA SHAKE"/>
    <n v="5"/>
    <n v="86.2"/>
  </r>
  <r>
    <x v="9"/>
    <s v="10/01/2026"/>
    <x v="13"/>
    <s v="8699415912859"/>
    <s v="Miel Vigorizante para Hombre  Miracle Honey  VIP 15g-  SECRET MIRACLE HONEY"/>
    <s v="CONSUMIBLE"/>
    <s v="SECRET MIRACLE HONEY"/>
    <n v="3"/>
    <n v="646.54999999999995"/>
  </r>
  <r>
    <x v="9"/>
    <s v="10/01/2026"/>
    <x v="13"/>
    <s v="7503032300795"/>
    <s v="Sachet lubricante desensibilizador 2 ml - BANANA SHAKE"/>
    <s v="CONSUMIBLE"/>
    <s v="BANANA SHAKE"/>
    <n v="4"/>
    <n v="86.2"/>
  </r>
  <r>
    <x v="9"/>
    <s v="10/01/2026"/>
    <x v="13"/>
    <s v="7503032300856"/>
    <s v="Sachet vibrador liquido 2 ml - BANANA SHAKE"/>
    <s v="CONSUMIBLE"/>
    <s v="BANANA SHAKE"/>
    <n v="2"/>
    <n v="34.479999999999997"/>
  </r>
  <r>
    <x v="9"/>
    <s v="10/01/2026"/>
    <x v="13"/>
    <s v="7503020596957"/>
    <s v="Shot Shumatsu Fun Hombre - DUSA"/>
    <s v="CONSUMIBLE PROPIO"/>
    <s v="DUSA"/>
    <n v="2"/>
    <n v="344.82"/>
  </r>
  <r>
    <x v="9"/>
    <s v="10/01/2026"/>
    <x v="13"/>
    <s v="7503024256192"/>
    <s v="Shot Shumatsu Fun Mujer - DUSA"/>
    <s v="CONSUMIBLE PROPIO"/>
    <s v="DUSA"/>
    <n v="2"/>
    <n v="344.82"/>
  </r>
  <r>
    <x v="9"/>
    <s v="10/01/2026"/>
    <x v="13"/>
    <s v="7503013378690"/>
    <s v="Shumatsu 3 pzas - DUSA"/>
    <s v="CONSUMIBLE PROPIO"/>
    <s v="DUSA"/>
    <n v="1"/>
    <n v="577.59"/>
  </r>
  <r>
    <x v="9"/>
    <s v="10/01/2026"/>
    <x v="13"/>
    <s v="7503020105084"/>
    <s v="Vibrador para parejas tipo C Trinity – CXO"/>
    <s v="JUGUETE PROPIO"/>
    <s v="CXO"/>
    <n v="1"/>
    <n v="2465.52"/>
  </r>
  <r>
    <x v="9"/>
    <s v="11/01/2026"/>
    <x v="13"/>
    <s v="RYSC-159-C-ZT"/>
    <s v="Juego de Ataduras BDSM Sumision - CXO"/>
    <s v="JUGUETE PROPIO"/>
    <s v="CXO"/>
    <n v="1"/>
    <n v="775.86"/>
  </r>
  <r>
    <x v="9"/>
    <s v="11/01/2026"/>
    <x v="13"/>
    <s v="7503032300993"/>
    <s v="Liquid Love Pleasure 30ml - DUSA"/>
    <s v="CONSUMIBLE PROPIO"/>
    <s v="DUSA"/>
    <n v="3"/>
    <n v="905.16000000000008"/>
  </r>
  <r>
    <x v="9"/>
    <s v="11/01/2026"/>
    <x v="13"/>
    <s v="7503050226162"/>
    <s v="Plug Anal con Vibración y Control Roberto - CXO"/>
    <s v="JUGUETE PROPIO"/>
    <s v="CXO"/>
    <n v="1"/>
    <n v="1293.0999999999999"/>
  </r>
  <r>
    <x v="9"/>
    <s v="11/01/2026"/>
    <x v="13"/>
    <s v="7503020596957"/>
    <s v="Shot Shumatsu Fun Hombre - DUSA"/>
    <s v="CONSUMIBLE PROPIO"/>
    <s v="DUSA"/>
    <n v="2"/>
    <n v="344.82"/>
  </r>
  <r>
    <x v="9"/>
    <s v="11/01/2026"/>
    <x v="13"/>
    <s v="7503024256192"/>
    <s v="Shot Shumatsu Fun Mujer - DUSA"/>
    <s v="CONSUMIBLE PROPIO"/>
    <s v="DUSA"/>
    <n v="3"/>
    <n v="517.23"/>
  </r>
  <r>
    <x v="9"/>
    <s v="11/01/2026"/>
    <x v="13"/>
    <s v="7503013378690"/>
    <s v="Shumatsu 3 pzas - DUSA"/>
    <s v="CONSUMIBLE PROPIO"/>
    <s v="DUSA"/>
    <n v="2"/>
    <n v="1155.18"/>
  </r>
  <r>
    <x v="9"/>
    <s v="11/01/2026"/>
    <x v="13"/>
    <s v="7503020104082"/>
    <s v="Vibrador multiorgásmico con succionador y perlas Andy – CXO"/>
    <s v="JUGUETE PROPIO"/>
    <s v="CXO"/>
    <n v="1"/>
    <n v="2258.62"/>
  </r>
  <r>
    <x v="9"/>
    <s v="11/01/2026"/>
    <x v="13"/>
    <s v="7503032300443"/>
    <s v="Zoe bala vibradora RETAIL - CXO"/>
    <s v="JUGUETE PROPIO"/>
    <s v="CXO"/>
    <n v="1"/>
    <n v="155.16999999999999"/>
  </r>
  <r>
    <x v="9"/>
    <s v="12/01/2026"/>
    <x v="13"/>
    <s v="7502235091431"/>
    <s v="Aumentador de Semen - Lions Power"/>
    <s v="CONSUMIBLE"/>
    <s v="SXO"/>
    <n v="1"/>
    <n v="482.76"/>
  </r>
  <r>
    <x v="9"/>
    <s v="12/01/2026"/>
    <x v="13"/>
    <s v="7503013378492"/>
    <s v="Clean Whisper 120ml - DUSA"/>
    <s v="CONSUMIBLE PROPIO"/>
    <s v="DUSA"/>
    <n v="2"/>
    <n v="603.44000000000005"/>
  </r>
  <r>
    <x v="9"/>
    <s v="12/01/2026"/>
    <x v="13"/>
    <s v="7503020310205"/>
    <s v="Dildo Vibrador Termico Realista 3 en 1 con movimiento Hades-CXO"/>
    <s v="JUGUETE PROPIO"/>
    <s v="CXO"/>
    <n v="2"/>
    <n v="5000"/>
  </r>
  <r>
    <x v="9"/>
    <s v="12/01/2026"/>
    <x v="13"/>
    <s v="7503030118033"/>
    <s v="Kit vibrador + estimulante para clitoris Lau - CXO"/>
    <s v="JUGUETE PROPIO"/>
    <s v="CXO"/>
    <n v="1"/>
    <n v="1706.9"/>
  </r>
  <r>
    <x v="9"/>
    <s v="12/01/2026"/>
    <x v="13"/>
    <s v="7503032300993"/>
    <s v="Liquid Love Pleasure 30ml - DUSA"/>
    <s v="CONSUMIBLE PROPIO"/>
    <s v="DUSA"/>
    <n v="1"/>
    <n v="301.72000000000003"/>
  </r>
  <r>
    <x v="9"/>
    <s v="12/01/2026"/>
    <x v="13"/>
    <s v="7503013378645"/>
    <s v="Liquid Love Pleasure 100ml - DUSA"/>
    <s v="CONSUMIBLE PROPIO"/>
    <s v="DUSA"/>
    <n v="1"/>
    <n v="775.86"/>
  </r>
  <r>
    <x v="9"/>
    <s v="13/01/2026"/>
    <x v="13"/>
    <s v="7503043917081"/>
    <s v="Blade rosa anillo vibrador - CXO"/>
    <s v="JUGUETE PROPIO"/>
    <s v="CXO"/>
    <n v="2"/>
    <n v="163.80000000000001"/>
  </r>
  <r>
    <x v="9"/>
    <s v="13/01/2026"/>
    <x v="13"/>
    <s v="6959633166963"/>
    <s v="Ella Neo rojo- SVAKOM"/>
    <s v="JUGUETE"/>
    <s v="SVAKOM"/>
    <n v="1"/>
    <n v="3017.24"/>
  </r>
  <r>
    <x v="9"/>
    <s v="13/01/2026"/>
    <x v="13"/>
    <s v="D07003"/>
    <s v="Kit BDSM 7 piezas - CXO"/>
    <s v="JUGUETE PROPIO"/>
    <s v="CXO"/>
    <n v="1"/>
    <n v="474.14"/>
  </r>
  <r>
    <x v="9"/>
    <s v="13/01/2026"/>
    <x v="13"/>
    <s v="7503032300993"/>
    <s v="Liquid Love Pleasure 30ml - DUSA"/>
    <s v="CONSUMIBLE PROPIO"/>
    <s v="DUSA"/>
    <n v="2"/>
    <n v="603.44000000000005"/>
  </r>
  <r>
    <x v="9"/>
    <s v="13/01/2026"/>
    <x v="13"/>
    <s v="6959633185476"/>
    <s v="Masturbador Hedy X Confidence – SVAKOM"/>
    <s v="JUGUETE"/>
    <s v="SVAKOM"/>
    <n v="1"/>
    <n v="181.03"/>
  </r>
  <r>
    <x v="9"/>
    <s v="14/01/2026"/>
    <x v="13"/>
    <s v="03030211"/>
    <s v="Delineador liquido negro - BISSU"/>
    <s v="SKINCARE"/>
    <s v="BISSU"/>
    <n v="1"/>
    <n v="60.34"/>
  </r>
  <r>
    <x v="9"/>
    <s v="14/01/2026"/>
    <x v="13"/>
    <s v="03031237"/>
    <s v="Delineador plumin cafe - BISSU"/>
    <s v="SKINCARE"/>
    <s v="BISSU"/>
    <n v="1"/>
    <n v="68.97"/>
  </r>
  <r>
    <x v="9"/>
    <s v="14/01/2026"/>
    <x v="13"/>
    <s v="7503030118033"/>
    <s v="Kit vibrador + estimulante para clitoris Lau - CXO"/>
    <s v="JUGUETE PROPIO"/>
    <s v="CXO"/>
    <n v="1"/>
    <n v="1706.9"/>
  </r>
  <r>
    <x v="9"/>
    <s v="14/01/2026"/>
    <x v="13"/>
    <s v="8699415912859"/>
    <s v="Miel Vigorizante para Hombre  Miracle Honey  VIP 15g-  SECRET MIRACLE HONEY"/>
    <s v="CONSUMIBLE"/>
    <s v="SECRET MIRACLE HONEY"/>
    <n v="1"/>
    <n v="215.52"/>
  </r>
  <r>
    <x v="9"/>
    <s v="14/01/2026"/>
    <x v="13"/>
    <s v="7503013378010"/>
    <s v="Rigidex 2 pzas - DUSA"/>
    <s v="CONSUMIBLE PROPIO"/>
    <s v="DUSA"/>
    <n v="1"/>
    <n v="431.03"/>
  </r>
  <r>
    <x v="9"/>
    <s v="15/01/2026"/>
    <x v="13"/>
    <s v="7503014914002"/>
    <s v="CAPSULAS MULTIORGASMICO AMO O-GEN"/>
    <s v="CONSUMIBLE"/>
    <s v="POWER MAN"/>
    <n v="1"/>
    <n v="431.04"/>
  </r>
  <r>
    <x v="9"/>
    <s v="15/01/2026"/>
    <x v="13"/>
    <s v="7503013378010"/>
    <s v="Rigidex 2 pzas - DUSA"/>
    <s v="CONSUMIBLE PROPIO"/>
    <s v="DUSA"/>
    <n v="1"/>
    <n v="431.03"/>
  </r>
  <r>
    <x v="9"/>
    <s v="15/01/2026"/>
    <x v="13"/>
    <s v="7503013378690"/>
    <s v="Shumatsu 3 pzas - DUSA"/>
    <s v="CONSUMIBLE PROPIO"/>
    <s v="DUSA"/>
    <n v="7"/>
    <n v="4043.13"/>
  </r>
  <r>
    <x v="9"/>
    <s v="16/01/2026"/>
    <x v="13"/>
    <s v="7503020111072"/>
    <s v="Anillo vibrador recargable con textura negra Hank - CXO"/>
    <s v="JUGUETE PROPIO"/>
    <s v="CXO"/>
    <n v="1"/>
    <n v="1267.24"/>
  </r>
  <r>
    <x v="9"/>
    <s v="16/01/2026"/>
    <x v="13"/>
    <s v="7503014914002"/>
    <s v="CAPSULAS MULTIORGASMICO AMO O-GEN"/>
    <s v="CONSUMIBLE"/>
    <s v="POWER MAN"/>
    <n v="2"/>
    <n v="862.08"/>
  </r>
  <r>
    <x v="9"/>
    <s v="16/01/2026"/>
    <x v="13"/>
    <s v="7503020596513"/>
    <s v="Liquid Love Natural 20ml - DUSA"/>
    <s v="CONSUMIBLE PROPIO"/>
    <s v="DUSA"/>
    <n v="1"/>
    <n v="258.62"/>
  </r>
  <r>
    <x v="9"/>
    <s v="16/01/2026"/>
    <x v="13"/>
    <s v="7503032300993"/>
    <s v="Liquid Love Pleasure 30ml - DUSA"/>
    <s v="CONSUMIBLE PROPIO"/>
    <s v="DUSA"/>
    <n v="3"/>
    <n v="905.16000000000008"/>
  </r>
  <r>
    <x v="9"/>
    <s v="16/01/2026"/>
    <x v="13"/>
    <s v="7503013378645"/>
    <s v="Liquid Love Pleasure 100ml - DUSA"/>
    <s v="CONSUMIBLE PROPIO"/>
    <s v="DUSA"/>
    <n v="1"/>
    <n v="775.86"/>
  </r>
  <r>
    <x v="9"/>
    <s v="16/01/2026"/>
    <x v="13"/>
    <s v="8699415912859"/>
    <s v="Miel Vigorizante para Hombre  Miracle Honey  VIP 15g-  SECRET MIRACLE HONEY"/>
    <s v="CONSUMIBLE"/>
    <s v="SECRET MIRACLE HONEY"/>
    <n v="2"/>
    <n v="431.03"/>
  </r>
  <r>
    <x v="9"/>
    <s v="16/01/2026"/>
    <x v="13"/>
    <s v="7503032300382"/>
    <s v="Mon - CXO"/>
    <s v="JUGUETE PROPIO"/>
    <s v="CXO"/>
    <n v="1"/>
    <n v="517.24"/>
  </r>
  <r>
    <x v="9"/>
    <s v="16/01/2026"/>
    <x v="13"/>
    <s v="7503020596957"/>
    <s v="Shot Shumatsu Fun Hombre - DUSA"/>
    <s v="CONSUMIBLE PROPIO"/>
    <s v="DUSA"/>
    <n v="2"/>
    <n v="344.82"/>
  </r>
  <r>
    <x v="9"/>
    <s v="16/01/2026"/>
    <x v="13"/>
    <s v="7503024256192"/>
    <s v="Shot Shumatsu Fun Mujer - DUSA"/>
    <s v="CONSUMIBLE PROPIO"/>
    <s v="DUSA"/>
    <n v="1"/>
    <n v="172.41"/>
  </r>
  <r>
    <x v="9"/>
    <s v="16/01/2026"/>
    <x v="13"/>
    <s v="7503013378690"/>
    <s v="Shumatsu 3 pzas - DUSA"/>
    <s v="CONSUMIBLE PROPIO"/>
    <s v="DUSA"/>
    <n v="2"/>
    <n v="1155.18"/>
  </r>
  <r>
    <x v="9"/>
    <s v="16/01/2026"/>
    <x v="13"/>
    <s v="839289006805"/>
    <s v="Verge - WE VIBE"/>
    <s v="JUGUETE"/>
    <s v="WE VIBE"/>
    <n v="1"/>
    <n v="3879.31"/>
  </r>
  <r>
    <x v="9"/>
    <s v="17/01/2026"/>
    <x v="13"/>
    <s v="7503030111031"/>
    <s v="Anillo vibrador de aro doble con estimulador y dildo Javier - CXO"/>
    <s v="JUGUETE PROPIO"/>
    <s v="CXO"/>
    <n v="1"/>
    <n v="1681.03"/>
  </r>
  <r>
    <x v="9"/>
    <s v="17/01/2026"/>
    <x v="13"/>
    <s v="7503014914002"/>
    <s v="CAPSULAS MULTIORGASMICO AMO O-GEN"/>
    <s v="CONSUMIBLE"/>
    <s v="POWER MAN"/>
    <n v="1"/>
    <n v="431.04"/>
  </r>
  <r>
    <x v="9"/>
    <s v="17/01/2026"/>
    <x v="13"/>
    <s v="7503032300993"/>
    <s v="Liquid Love Pleasure 30ml - DUSA"/>
    <s v="CONSUMIBLE PROPIO"/>
    <s v="DUSA"/>
    <n v="1"/>
    <n v="301.72000000000003"/>
  </r>
  <r>
    <x v="9"/>
    <s v="17/01/2026"/>
    <x v="13"/>
    <s v="7503013378645"/>
    <s v="Liquid Love Pleasure 100ml - DUSA"/>
    <s v="CONSUMIBLE PROPIO"/>
    <s v="DUSA"/>
    <n v="1"/>
    <n v="775.86"/>
  </r>
  <r>
    <x v="9"/>
    <s v="17/01/2026"/>
    <x v="13"/>
    <s v="7503023462198"/>
    <s v="Lubricante Masaje Térmico Comestible Plátano Excitante FEEL LOVE 4 en 1 - 60ml"/>
    <s v="LUBRICANTE"/>
    <s v="FEEL LOVE"/>
    <n v="1"/>
    <n v="344.83"/>
  </r>
  <r>
    <x v="9"/>
    <s v="17/01/2026"/>
    <x v="13"/>
    <s v="8699415912859"/>
    <s v="Miel Vigorizante para Hombre  Miracle Honey  VIP 15g-  SECRET MIRACLE HONEY"/>
    <s v="CONSUMIBLE"/>
    <s v="SECRET MIRACLE HONEY"/>
    <n v="2"/>
    <n v="431.03"/>
  </r>
  <r>
    <x v="9"/>
    <s v="17/01/2026"/>
    <x v="13"/>
    <s v="7503050226162"/>
    <s v="Plug Anal con Vibración y Control Roberto - CXO"/>
    <s v="JUGUETE PROPIO"/>
    <s v="CXO"/>
    <n v="1"/>
    <n v="1293.0999999999999"/>
  </r>
  <r>
    <x v="9"/>
    <s v="17/01/2026"/>
    <x v="13"/>
    <s v="7503013378690"/>
    <s v="Shumatsu 3 pzas - DUSA"/>
    <s v="CONSUMIBLE PROPIO"/>
    <s v="DUSA"/>
    <n v="1"/>
    <n v="577.59"/>
  </r>
  <r>
    <x v="9"/>
    <s v="17/01/2026"/>
    <x v="13"/>
    <s v="7503010217046"/>
    <s v="Vela para masaje bear - DUSA"/>
    <s v="CONSUMIBLE PROPIO"/>
    <s v="DUSA"/>
    <n v="1"/>
    <n v="310.33999999999997"/>
  </r>
  <r>
    <x v="9"/>
    <s v="18/01/2026"/>
    <x v="1"/>
    <s v="7503043917005"/>
    <s v="Liquid Love Clear 30ml - DUSA"/>
    <s v="CONSUMIBLE PROPIO"/>
    <s v="DUSA"/>
    <n v="2"/>
    <n v="603.44000000000005"/>
  </r>
  <r>
    <x v="9"/>
    <s v="18/01/2026"/>
    <x v="1"/>
    <s v="7503013378690"/>
    <s v="Shumatsu 3 pzas - DUSA"/>
    <s v="CONSUMIBLE PROPIO"/>
    <s v="DUSA"/>
    <n v="2"/>
    <n v="1155.18"/>
  </r>
  <r>
    <x v="9"/>
    <s v="19/01/2026"/>
    <x v="13"/>
    <s v="7503030114188"/>
    <s v="Bomba de vacio Nico - CXO"/>
    <s v="JUGUETE PROPIO"/>
    <s v="CXO"/>
    <n v="1"/>
    <n v="1956.9"/>
  </r>
  <r>
    <x v="9"/>
    <s v="19/01/2026"/>
    <x v="13"/>
    <s v="7503032300993"/>
    <s v="Liquid Love Pleasure 30ml - DUSA"/>
    <s v="CONSUMIBLE PROPIO"/>
    <s v="DUSA"/>
    <n v="1"/>
    <n v="301.72000000000003"/>
  </r>
  <r>
    <x v="9"/>
    <s v="20/01/2026"/>
    <x v="13"/>
    <s v="7503020596063"/>
    <s v="Stallion Regenerador - DUSA"/>
    <s v="CONSUMIBLE PROPIO"/>
    <s v="DUSA"/>
    <n v="1"/>
    <n v="1293.0999999999999"/>
  </r>
  <r>
    <x v="9"/>
    <s v="21/01/2026"/>
    <x v="13"/>
    <s v="7502214986598"/>
    <s v="Condones Zero c/ 3 pzs - PRUDENCE"/>
    <s v="CONSUMIBLE"/>
    <s v="PRUDENCE"/>
    <n v="2"/>
    <n v="155.16999999999999"/>
  </r>
  <r>
    <x v="9"/>
    <s v="21/01/2026"/>
    <x v="13"/>
    <s v="7503043917005"/>
    <s v="Liquid Love Clear 30ml - DUSA"/>
    <s v="CONSUMIBLE PROPIO"/>
    <s v="DUSA"/>
    <n v="2"/>
    <n v="603.44000000000005"/>
  </r>
  <r>
    <x v="9"/>
    <s v="21/01/2026"/>
    <x v="13"/>
    <s v="7503013378690"/>
    <s v="Shumatsu 3 pzas - DUSA"/>
    <s v="CONSUMIBLE PROPIO"/>
    <s v="DUSA"/>
    <n v="1"/>
    <n v="577.59"/>
  </r>
  <r>
    <x v="9"/>
    <s v="21/01/2026"/>
    <x v="13"/>
    <s v="JUGERE00224XZ"/>
    <s v="Vibrador Anal de Perlas Mely - CXO"/>
    <s v="JUGUETE PROPIO"/>
    <s v="CXO"/>
    <n v="1"/>
    <n v="1681.03"/>
  </r>
  <r>
    <x v="9"/>
    <s v="22/01/2026"/>
    <x v="2"/>
    <s v="7503024256727"/>
    <s v="Cola de Zorro 45cm negro S - CXO"/>
    <s v="JUGUETE PROPIO"/>
    <s v="CXO"/>
    <n v="1"/>
    <n v="258.62"/>
  </r>
  <r>
    <x v="9"/>
    <s v="22/01/2026"/>
    <x v="2"/>
    <s v="7503030103028"/>
    <s v="Huevito vibrador con control a distancia Daniela - CXO"/>
    <s v="JUGUETE PROPIO"/>
    <s v="CXO"/>
    <n v="1"/>
    <n v="1500"/>
  </r>
  <r>
    <x v="9"/>
    <s v="22/01/2026"/>
    <x v="2"/>
    <s v="7503032300993"/>
    <s v="Liquid Love Pleasure 30ml - DUSA"/>
    <s v="CONSUMIBLE PROPIO"/>
    <s v="DUSA"/>
    <n v="1"/>
    <n v="301.72000000000003"/>
  </r>
  <r>
    <x v="9"/>
    <s v="22/01/2026"/>
    <x v="2"/>
    <s v="JUGERE00225V0"/>
    <s v="Multiorgasmico Flexible con  Lenguita y Efecto caliente Lorena - CXO"/>
    <s v="JUGUETE PROPIO"/>
    <s v="CXO"/>
    <n v="1"/>
    <n v="1896.55"/>
  </r>
  <r>
    <x v="9"/>
    <s v="22/01/2026"/>
    <x v="2"/>
    <s v="6959633134559"/>
    <s v="Phoenix Neo 2 rojo - SVAKOM"/>
    <s v="JUGUETE"/>
    <s v="SVAKOM"/>
    <n v="1"/>
    <n v="3534.48"/>
  </r>
  <r>
    <x v="9"/>
    <s v="22/01/2026"/>
    <x v="2"/>
    <s v="7503050524258"/>
    <s v="Sensicool 30ml - DUSA"/>
    <s v="CONSUMIBLE PROPIO"/>
    <s v="DUSA"/>
    <n v="1"/>
    <n v="431.03"/>
  </r>
  <r>
    <x v="9"/>
    <s v="22/01/2026"/>
    <x v="2"/>
    <s v="7503013378690"/>
    <s v="Shumatsu 3 pzas - DUSA"/>
    <s v="CONSUMIBLE PROPIO"/>
    <s v="DUSA"/>
    <n v="1"/>
    <n v="577.59"/>
  </r>
  <r>
    <x v="9"/>
    <s v="23/01/2026"/>
    <x v="13"/>
    <s v="7503030211021"/>
    <s v="Anillo desechable para pene Donut - CXO"/>
    <s v="JUGUETE PROPIO"/>
    <s v="CXO"/>
    <n v="6"/>
    <n v="206.9"/>
  </r>
  <r>
    <x v="9"/>
    <s v="23/01/2026"/>
    <x v="13"/>
    <s v="7503020111072"/>
    <s v="Anillo vibrador recargable con textura negra Hank - CXO"/>
    <s v="JUGUETE PROPIO"/>
    <s v="CXO"/>
    <n v="1"/>
    <n v="1267.24"/>
  </r>
  <r>
    <x v="9"/>
    <s v="23/01/2026"/>
    <x v="13"/>
    <s v="7503014914002"/>
    <s v="CAPSULAS MULTIORGASMICO AMO O-GEN"/>
    <s v="CONSUMIBLE"/>
    <s v="POWER MAN"/>
    <n v="1"/>
    <n v="431.04"/>
  </r>
  <r>
    <x v="9"/>
    <s v="23/01/2026"/>
    <x v="13"/>
    <s v="7502214982439"/>
    <s v="Condon Extra Time Retardante 3 pzs - PRUDENCE"/>
    <s v="CONSUMIBLE"/>
    <s v="PRUDENCE"/>
    <n v="2"/>
    <n v="155.16999999999999"/>
  </r>
  <r>
    <x v="9"/>
    <s v="23/01/2026"/>
    <x v="13"/>
    <s v="7503020202214"/>
    <s v="Dildo realista con ventosa y testiculos Eddy - CXO"/>
    <s v="JUGUETE PROPIO"/>
    <s v="CXO"/>
    <n v="1"/>
    <n v="948.28"/>
  </r>
  <r>
    <x v="9"/>
    <s v="23/01/2026"/>
    <x v="13"/>
    <s v="7503043917005"/>
    <s v="Liquid Love Clear 30ml - DUSA"/>
    <s v="CONSUMIBLE PROPIO"/>
    <s v="DUSA"/>
    <n v="1"/>
    <n v="301.72000000000003"/>
  </r>
  <r>
    <x v="9"/>
    <s v="23/01/2026"/>
    <x v="13"/>
    <s v="7503032300993"/>
    <s v="Liquid Love Pleasure 30ml - DUSA"/>
    <s v="CONSUMIBLE PROPIO"/>
    <s v="DUSA"/>
    <n v="1"/>
    <n v="301.72000000000003"/>
  </r>
  <r>
    <x v="9"/>
    <s v="23/01/2026"/>
    <x v="13"/>
    <s v="7503020310116"/>
    <s v="Panty vibrador con control remoto rosa Celi - CXO"/>
    <s v="JUGUETE PROPIO"/>
    <s v="CXO"/>
    <n v="1"/>
    <n v="1681.03"/>
  </r>
  <r>
    <x v="9"/>
    <s v="23/01/2026"/>
    <x v="13"/>
    <s v="7503020596957"/>
    <s v="Shot Shumatsu Fun Hombre - DUSA"/>
    <s v="CONSUMIBLE PROPIO"/>
    <s v="DUSA"/>
    <n v="1"/>
    <n v="172.41"/>
  </r>
  <r>
    <x v="9"/>
    <s v="23/01/2026"/>
    <x v="13"/>
    <s v="7503024256192"/>
    <s v="Shot Shumatsu Fun Mujer - DUSA"/>
    <s v="CONSUMIBLE PROPIO"/>
    <s v="DUSA"/>
    <n v="1"/>
    <n v="172.41"/>
  </r>
  <r>
    <x v="9"/>
    <s v="23/01/2026"/>
    <x v="13"/>
    <s v="7503013378690"/>
    <s v="Shumatsu 3 pzas - DUSA"/>
    <s v="CONSUMIBLE PROPIO"/>
    <s v="DUSA"/>
    <n v="2"/>
    <n v="1155.18"/>
  </r>
  <r>
    <x v="9"/>
    <s v="23/01/2026"/>
    <x v="13"/>
    <s v="7503020596063"/>
    <s v="Stallion Regenerador - DUSA"/>
    <s v="CONSUMIBLE PROPIO"/>
    <s v="DUSA"/>
    <n v="1"/>
    <n v="1293.0999999999999"/>
  </r>
  <r>
    <x v="9"/>
    <s v="24/01/2026"/>
    <x v="13"/>
    <s v="7503043917005"/>
    <s v="Liquid Love Clear 30ml - DUSA"/>
    <s v="CONSUMIBLE PROPIO"/>
    <s v="DUSA"/>
    <n v="1"/>
    <n v="301.72000000000003"/>
  </r>
  <r>
    <x v="9"/>
    <s v="24/01/2026"/>
    <x v="13"/>
    <s v="7503032300993"/>
    <s v="Liquid Love Pleasure 30ml - DUSA"/>
    <s v="CONSUMIBLE PROPIO"/>
    <s v="DUSA"/>
    <n v="1"/>
    <n v="301.72000000000003"/>
  </r>
  <r>
    <x v="9"/>
    <s v="24/01/2026"/>
    <x v="13"/>
    <s v="7503013378690"/>
    <s v="Shumatsu 3 pzas - DUSA"/>
    <s v="CONSUMIBLE PROPIO"/>
    <s v="DUSA"/>
    <n v="1"/>
    <n v="577.59"/>
  </r>
  <r>
    <x v="9"/>
    <s v="24/01/2026"/>
    <x v="13"/>
    <s v="7503030104190"/>
    <s v="Vibrador multiorgasmico con 10 modos de vibracion Norma - CXO"/>
    <s v="JUGUETE PROPIO"/>
    <s v="CXO"/>
    <n v="1"/>
    <n v="2396.5500000000002"/>
  </r>
  <r>
    <x v="9"/>
    <s v="26/01/2026"/>
    <x v="13"/>
    <s v="7503026484685"/>
    <s v="Aceite térmico vainilla 60ml - FEEL LOVE"/>
    <s v="CONSUMIBLE"/>
    <s v="FEEL LOVE"/>
    <n v="1"/>
    <n v="327.58999999999997"/>
  </r>
  <r>
    <x v="9"/>
    <s v="26/01/2026"/>
    <x v="13"/>
    <s v="7503026484975"/>
    <s v="Fragancia con Feromonas Body Breeze Divina DIAMANTE Fresa Shampagne 125ml"/>
    <s v="CONSUMIBLE"/>
    <s v="DIAMANTE"/>
    <n v="1"/>
    <n v="413.79"/>
  </r>
  <r>
    <x v="9"/>
    <s v="26/01/2026"/>
    <x v="13"/>
    <s v="7946000265472"/>
    <s v="JUEGO DE MESA EL JUEGO DE LA OCA SENSUAL"/>
    <s v="JUGUETE"/>
    <s v="VARIAS"/>
    <n v="1"/>
    <n v="224.14"/>
  </r>
  <r>
    <x v="9"/>
    <s v="26/01/2026"/>
    <x v="13"/>
    <s v="7503023462235"/>
    <s v="Lubricante Masaje Térmico Comestible Piña Colada FEEL LOVE 4 en 1 - 60ml"/>
    <s v="LUBRICANTE"/>
    <s v="FEEL LOVE"/>
    <n v="1"/>
    <n v="344.83"/>
  </r>
  <r>
    <x v="9"/>
    <s v="26/01/2026"/>
    <x v="13"/>
    <s v="7503013378690"/>
    <s v="Shumatsu 3 pzas - DUSA"/>
    <s v="CONSUMIBLE PROPIO"/>
    <s v="DUSA"/>
    <n v="1"/>
    <n v="577.59"/>
  </r>
  <r>
    <x v="9"/>
    <s v="27/01/2026"/>
    <x v="13"/>
    <s v="716222287579"/>
    <s v="ACEITE AROMATHERAPY MASSAGE OIL 4 INVIGORATE"/>
    <s v="CONSUMIBLE"/>
    <s v="WET"/>
    <n v="1"/>
    <n v="926.72"/>
  </r>
  <r>
    <x v="9"/>
    <s v="27/01/2026"/>
    <x v="13"/>
    <s v="7503030215178"/>
    <s v="Arnes tipo calzon con abertura - CXO"/>
    <s v="JUGUETE PROPIO"/>
    <s v="CXO"/>
    <n v="1"/>
    <n v="344.83"/>
  </r>
  <r>
    <x v="9"/>
    <s v="27/01/2026"/>
    <x v="13"/>
    <s v="7503020202214"/>
    <s v="Dildo realista con ventosa y testiculos Eddy - CXO"/>
    <s v="JUGUETE PROPIO"/>
    <s v="CXO"/>
    <n v="1"/>
    <n v="948.28"/>
  </r>
  <r>
    <x v="9"/>
    <s v="27/01/2026"/>
    <x v="13"/>
    <s v="7508304288405"/>
    <s v="Feromonas en gel para mujer 20ml - DIAMANTE"/>
    <s v="CONSUMIBLE"/>
    <s v="DIAMANTE"/>
    <n v="1"/>
    <n v="379.31"/>
  </r>
  <r>
    <x v="9"/>
    <s v="27/01/2026"/>
    <x v="13"/>
    <s v="716770114273"/>
    <s v="Kroma turbo curve - CALEXOTICS"/>
    <s v="JUGUETE"/>
    <s v="CALEXOTICS"/>
    <n v="1"/>
    <n v="1077.5899999999999"/>
  </r>
  <r>
    <x v="9"/>
    <s v="27/01/2026"/>
    <x v="13"/>
    <s v="7503013378645"/>
    <s v="Liquid Love Pleasure 100ml - DUSA"/>
    <s v="CONSUMIBLE PROPIO"/>
    <s v="DUSA"/>
    <n v="2"/>
    <n v="1551.72"/>
  </r>
  <r>
    <x v="9"/>
    <s v="27/01/2026"/>
    <x v="13"/>
    <s v="7503013378690"/>
    <s v="Shumatsu 3 pzas - DUSA"/>
    <s v="CONSUMIBLE PROPIO"/>
    <s v="DUSA"/>
    <n v="1"/>
    <n v="577.59"/>
  </r>
  <r>
    <x v="9"/>
    <s v="28/01/2026"/>
    <x v="1"/>
    <s v="7503030102198"/>
    <s v="Dildo realista vibrador con ventosa Ulises - CXO"/>
    <s v="JUGUETE PROPIO"/>
    <s v="CXO"/>
    <n v="1"/>
    <n v="2000"/>
  </r>
  <r>
    <x v="9"/>
    <s v="28/01/2026"/>
    <x v="1"/>
    <s v="782421020446"/>
    <s v="Double C Ring anillo vibrador OptiMale - DOC JOHNSON"/>
    <s v="JUGUETE"/>
    <s v="DOC JOHNSON"/>
    <n v="1"/>
    <n v="1198.28"/>
  </r>
  <r>
    <x v="9"/>
    <s v="28/01/2026"/>
    <x v="1"/>
    <s v="7503013378645"/>
    <s v="Liquid Love Pleasure 100ml - DUSA"/>
    <s v="CONSUMIBLE PROPIO"/>
    <s v="DUSA"/>
    <n v="1"/>
    <n v="775.86"/>
  </r>
  <r>
    <x v="9"/>
    <s v="28/01/2026"/>
    <x v="1"/>
    <s v="75079413"/>
    <s v="Mini Kit Hombre 3 piezas - SXO"/>
    <s v="CONSUMIBLE"/>
    <s v="SXO"/>
    <n v="1"/>
    <n v="284.48"/>
  </r>
  <r>
    <x v="9"/>
    <s v="28/01/2026"/>
    <x v="1"/>
    <s v="75079390"/>
    <s v="Mini Kit Mujer 3 piezas- SXO"/>
    <s v="CONSUMIBLE"/>
    <s v="SXO"/>
    <n v="1"/>
    <n v="284.48"/>
  </r>
  <r>
    <x v="9"/>
    <s v="28/01/2026"/>
    <x v="1"/>
    <s v="7503050524289"/>
    <s v="Oxi bomba de vacio manual - CXO"/>
    <s v="JUGUETE PROPIO"/>
    <s v="CXO"/>
    <n v="1"/>
    <n v="853.45"/>
  </r>
  <r>
    <x v="9"/>
    <s v="28/01/2026"/>
    <x v="1"/>
    <s v="7503013378690"/>
    <s v="Shumatsu 3 pzas - DUSA"/>
    <s v="CONSUMIBLE PROPIO"/>
    <s v="DUSA"/>
    <n v="2"/>
    <n v="1155.18"/>
  </r>
  <r>
    <x v="9"/>
    <s v="29/01/2026"/>
    <x v="13"/>
    <s v="7503026484678"/>
    <s v="Aceite térmico fresa 60ml - FEEL LOVE"/>
    <s v="CONSUMIBLE"/>
    <s v="FEEL LOVE"/>
    <n v="1"/>
    <n v="327.58999999999997"/>
  </r>
  <r>
    <x v="9"/>
    <s v="29/01/2026"/>
    <x v="13"/>
    <s v="7503013378102"/>
    <s v="Anastasia Gema de Colores M - CXO"/>
    <s v="JUGUETE PROPIO"/>
    <s v="CXO"/>
    <n v="1"/>
    <n v="456.9"/>
  </r>
  <r>
    <x v="9"/>
    <s v="29/01/2026"/>
    <x v="13"/>
    <s v="7503030128197"/>
    <s v="Ducha anal con vibracion Hector - CXO"/>
    <s v="JUGUETE PROPIO"/>
    <s v="CXO"/>
    <n v="1"/>
    <n v="1862.07"/>
  </r>
  <r>
    <x v="9"/>
    <s v="29/01/2026"/>
    <x v="13"/>
    <s v="D07003"/>
    <s v="Kit BDSM 7 piezas - CXO"/>
    <s v="JUGUETE PROPIO"/>
    <s v="CXO"/>
    <n v="1"/>
    <n v="474.14"/>
  </r>
  <r>
    <x v="9"/>
    <s v="29/01/2026"/>
    <x v="13"/>
    <s v="HRZH27262"/>
    <s v="Multiorgásmico Estimulador de Clítoris y Anal con 12 modos de Vibración  Carla- CXO"/>
    <s v="JUGUETE PROPIO"/>
    <s v="CXO"/>
    <n v="1"/>
    <n v="2543.1"/>
  </r>
  <r>
    <x v="9"/>
    <s v="29/01/2026"/>
    <x v="13"/>
    <s v="7503020310116"/>
    <s v="Panty vibrador con control remoto rosa Celi - CXO"/>
    <s v="JUGUETE PROPIO"/>
    <s v="CXO"/>
    <n v="1"/>
    <n v="1681.03"/>
  </r>
  <r>
    <x v="9"/>
    <s v="29/01/2026"/>
    <x v="13"/>
    <s v="7503013378010"/>
    <s v="Rigidex 2 pzas - DUSA"/>
    <s v="CONSUMIBLE PROPIO"/>
    <s v="DUSA"/>
    <n v="1"/>
    <n v="431.03"/>
  </r>
  <r>
    <x v="9"/>
    <s v="29/01/2026"/>
    <x v="13"/>
    <s v="7503050524258"/>
    <s v="Sensicool 30ml - DUSA"/>
    <s v="CONSUMIBLE PROPIO"/>
    <s v="DUSA"/>
    <n v="1"/>
    <n v="431.03"/>
  </r>
  <r>
    <x v="9"/>
    <s v="30/01/2026"/>
    <x v="13"/>
    <s v="7503014914002"/>
    <s v="CAPSULAS MULTIORGASMICO AMO O-GEN"/>
    <s v="CONSUMIBLE"/>
    <s v="POWER MAN"/>
    <n v="1"/>
    <n v="431.04"/>
  </r>
  <r>
    <x v="9"/>
    <s v="30/01/2026"/>
    <x v="13"/>
    <s v="7503050524265"/>
    <s v="He Plus 30ml - DUSA"/>
    <s v="CONSUMIBLE PROPIO"/>
    <s v="DUSA"/>
    <n v="1"/>
    <n v="431.03"/>
  </r>
  <r>
    <x v="9"/>
    <s v="30/01/2026"/>
    <x v="13"/>
    <s v="7503043917012"/>
    <s v="Liquid Love Backdoor 30ml - DUSA"/>
    <s v="CONSUMIBLE PROPIO"/>
    <s v="DUSA"/>
    <n v="1"/>
    <n v="301.72000000000003"/>
  </r>
  <r>
    <x v="9"/>
    <s v="30/01/2026"/>
    <x v="13"/>
    <s v="7503043917005"/>
    <s v="Liquid Love Clear 30ml - DUSA"/>
    <s v="CONSUMIBLE PROPIO"/>
    <s v="DUSA"/>
    <n v="1"/>
    <n v="301.72000000000003"/>
  </r>
  <r>
    <x v="9"/>
    <s v="30/01/2026"/>
    <x v="13"/>
    <s v="7503030109176"/>
    <s v="Osito succionador USB - CXO"/>
    <s v="JUGUETE PROPIO"/>
    <s v="CXO"/>
    <n v="1"/>
    <n v="818.97"/>
  </r>
  <r>
    <x v="9"/>
    <s v="30/01/2026"/>
    <x v="13"/>
    <s v="7503050226162"/>
    <s v="Plug Anal con Vibración y Control Roberto - CXO"/>
    <s v="JUGUETE PROPIO"/>
    <s v="CXO"/>
    <n v="1"/>
    <n v="1293.0999999999999"/>
  </r>
  <r>
    <x v="9"/>
    <s v="30/01/2026"/>
    <x v="13"/>
    <s v="7503026484050"/>
    <s v="SENSIBILIZADOR PARA PEZONES 15ML"/>
    <s v="CONSUMIBLE"/>
    <s v="FEEL LOVE"/>
    <n v="1"/>
    <n v="172.41"/>
  </r>
  <r>
    <x v="9"/>
    <s v="30/01/2026"/>
    <x v="13"/>
    <s v="7503020596957"/>
    <s v="Shot Shumatsu Fun Hombre - DUSA"/>
    <s v="CONSUMIBLE PROPIO"/>
    <s v="DUSA"/>
    <n v="2"/>
    <n v="344.82"/>
  </r>
  <r>
    <x v="9"/>
    <s v="30/01/2026"/>
    <x v="13"/>
    <s v="7503024256192"/>
    <s v="Shot Shumatsu Fun Mujer - DUSA"/>
    <s v="CONSUMIBLE PROPIO"/>
    <s v="DUSA"/>
    <n v="2"/>
    <n v="344.82"/>
  </r>
  <r>
    <x v="9"/>
    <s v="30/01/2026"/>
    <x v="13"/>
    <s v="7503013378690"/>
    <s v="Shumatsu 3 pzas - DUSA"/>
    <s v="CONSUMIBLE PROPIO"/>
    <s v="DUSA"/>
    <n v="1"/>
    <n v="577.59"/>
  </r>
  <r>
    <x v="9"/>
    <s v="31/01/2026"/>
    <x v="13"/>
    <s v="7503030211021"/>
    <s v="Anillo desechable para pene Donut - CXO"/>
    <s v="JUGUETE PROPIO"/>
    <s v="CXO"/>
    <n v="2"/>
    <n v="68.959999999999994"/>
  </r>
  <r>
    <x v="9"/>
    <s v="31/01/2026"/>
    <x v="13"/>
    <s v="7503043917081"/>
    <s v="Blade rosa anillo vibrador - CXO"/>
    <s v="JUGUETE PROPIO"/>
    <s v="CXO"/>
    <n v="1"/>
    <n v="81.900000000000006"/>
  </r>
  <r>
    <x v="9"/>
    <s v="31/01/2026"/>
    <x v="13"/>
    <s v="7503014914002"/>
    <s v="CAPSULAS MULTIORGASMICO AMO O-GEN"/>
    <s v="CONSUMIBLE"/>
    <s v="POWER MAN"/>
    <n v="1"/>
    <n v="431.04"/>
  </r>
  <r>
    <x v="9"/>
    <s v="31/01/2026"/>
    <x v="13"/>
    <s v="7503013378492"/>
    <s v="Clean Whisper 120ml - DUSA"/>
    <s v="CONSUMIBLE PROPIO"/>
    <s v="DUSA"/>
    <n v="1"/>
    <n v="301.72000000000003"/>
  </r>
  <r>
    <x v="9"/>
    <s v="31/01/2026"/>
    <x v="13"/>
    <s v="7503024256734"/>
    <s v="Cola de Zorro 45cm blanco M - CXO"/>
    <s v="JUGUETE PROPIO"/>
    <s v="CXO"/>
    <n v="1"/>
    <n v="301.72000000000003"/>
  </r>
  <r>
    <x v="9"/>
    <s v="31/01/2026"/>
    <x v="13"/>
    <s v="CON01CH013004L"/>
    <s v="Conjunto Ashley L borgoña"/>
    <s v="LENCERIA PROPIA"/>
    <s v="OLA MOU"/>
    <n v="1"/>
    <n v="599.14"/>
  </r>
  <r>
    <x v="9"/>
    <s v="31/01/2026"/>
    <x v="13"/>
    <s v="75037628"/>
    <s v="Dulces Garganta Profunda 2 piezas Sabor Fresa - SXO"/>
    <s v="CONSUMIBLE"/>
    <s v="SXO"/>
    <n v="1"/>
    <n v="120.69"/>
  </r>
  <r>
    <x v="9"/>
    <s v="31/01/2026"/>
    <x v="13"/>
    <s v="7503013378126"/>
    <s v="Lubricante Body Surf Frio Natural DUSA 60ml"/>
    <s v="CONSUMIBLE PROPIO"/>
    <s v="DUSA"/>
    <n v="1"/>
    <n v="387.93"/>
  </r>
  <r>
    <x v="9"/>
    <s v="31/01/2026"/>
    <x v="13"/>
    <s v="7503023462235"/>
    <s v="Lubricante Masaje Térmico Comestible Piña Colada FEEL LOVE 4 en 1 - 60ml"/>
    <s v="LUBRICANTE"/>
    <s v="FEEL LOVE"/>
    <n v="1"/>
    <n v="344.83"/>
  </r>
  <r>
    <x v="9"/>
    <s v="31/01/2026"/>
    <x v="13"/>
    <s v="827160100773"/>
    <s v="Lubricante original super concentrated 100 ml - PJUR"/>
    <s v="CONSUMIBLE"/>
    <s v="PJUR"/>
    <n v="1"/>
    <n v="775.86"/>
  </r>
  <r>
    <x v="9"/>
    <s v="31/01/2026"/>
    <x v="13"/>
    <s v="7503032300825"/>
    <s v="Lubricante Sachet natural 2 ml - BANANA SHAKE"/>
    <s v="CONSUMIBLE"/>
    <s v="BANANA SHAKE"/>
    <n v="4"/>
    <n v="68.959999999999994"/>
  </r>
  <r>
    <x v="9"/>
    <s v="31/01/2026"/>
    <x v="13"/>
    <s v="6959633146972"/>
    <s v="Masturbador Hedy X Experience – SVAKOM"/>
    <s v="JUGUETE"/>
    <s v="SVAKOM"/>
    <n v="1"/>
    <n v="181.03"/>
  </r>
  <r>
    <x v="9"/>
    <s v="31/01/2026"/>
    <x v="13"/>
    <s v="7503050524241"/>
    <s v="Orgasmik 30ml - DUSA"/>
    <s v="CONSUMIBLE PROPIO"/>
    <s v="DUSA"/>
    <n v="1"/>
    <n v="431.03"/>
  </r>
  <r>
    <x v="9"/>
    <s v="31/01/2026"/>
    <x v="13"/>
    <s v="7503013378690"/>
    <s v="Shumatsu 3 pzas - DUSA"/>
    <s v="CONSUMIBLE PROPIO"/>
    <s v="DUSA"/>
    <n v="2"/>
    <n v="1155.18"/>
  </r>
  <r>
    <x v="9"/>
    <s v="31/01/2026"/>
    <x v="13"/>
    <s v="7503020104212"/>
    <s v="Vibrador multiorgasmico con aleta estimuladora Megan - CXO"/>
    <s v="JUGUETE PROPIO"/>
    <s v="CXO"/>
    <n v="1"/>
    <n v="2413.79"/>
  </r>
  <r>
    <x v="9"/>
    <s v="31/01/2026"/>
    <x v="13"/>
    <s v="7503032300443"/>
    <s v="Zoe bala vibradora RETAIL - CXO"/>
    <s v="JUGUETE PROPIO"/>
    <s v="CXO"/>
    <n v="1"/>
    <n v="155.16999999999999"/>
  </r>
  <r>
    <x v="10"/>
    <s v="02/01/2026"/>
    <x v="14"/>
    <s v="7503043917081"/>
    <s v="Blade rosa anillo vibrador - CXO"/>
    <s v="JUGUETE PROPIO"/>
    <s v="CXO"/>
    <n v="1"/>
    <n v="81.900000000000006"/>
  </r>
  <r>
    <x v="10"/>
    <s v="02/01/2026"/>
    <x v="14"/>
    <s v="7503013378492"/>
    <s v="Clean Whisper 120ml - DUSA"/>
    <s v="CONSUMIBLE PROPIO"/>
    <s v="DUSA"/>
    <n v="1"/>
    <n v="301.72000000000003"/>
  </r>
  <r>
    <x v="10"/>
    <s v="02/01/2026"/>
    <x v="14"/>
    <s v="6959633166963"/>
    <s v="Ella Neo rojo- SVAKOM"/>
    <s v="JUGUETE"/>
    <s v="SVAKOM"/>
    <n v="1"/>
    <n v="3017.24"/>
  </r>
  <r>
    <x v="10"/>
    <s v="02/01/2026"/>
    <x v="14"/>
    <s v="7503032300993"/>
    <s v="Liquid Love Pleasure 30ml - DUSA"/>
    <s v="CONSUMIBLE PROPIO"/>
    <s v="DUSA"/>
    <n v="1"/>
    <n v="301.72000000000003"/>
  </r>
  <r>
    <x v="10"/>
    <s v="02/01/2026"/>
    <x v="14"/>
    <s v="7503013378645"/>
    <s v="Liquid Love Pleasure 100ml - DUSA"/>
    <s v="CONSUMIBLE PROPIO"/>
    <s v="DUSA"/>
    <n v="1"/>
    <n v="775.86"/>
  </r>
  <r>
    <x v="10"/>
    <s v="02/01/2026"/>
    <x v="14"/>
    <s v="7503032300856"/>
    <s v="Sachet vibrador liquido 2 ml - BANANA SHAKE"/>
    <s v="CONSUMIBLE"/>
    <s v="BANANA SHAKE"/>
    <n v="5"/>
    <n v="86.2"/>
  </r>
  <r>
    <x v="10"/>
    <s v="02/01/2026"/>
    <x v="14"/>
    <s v="7503050524258"/>
    <s v="Sensicool 30ml - DUSA"/>
    <s v="CONSUMIBLE PROPIO"/>
    <s v="DUSA"/>
    <n v="1"/>
    <n v="431.03"/>
  </r>
  <r>
    <x v="10"/>
    <s v="02/01/2026"/>
    <x v="14"/>
    <s v="7503020596957"/>
    <s v="Shot Shumatsu Fun Hombre - DUSA"/>
    <s v="CONSUMIBLE PROPIO"/>
    <s v="DUSA"/>
    <n v="1"/>
    <n v="172.41"/>
  </r>
  <r>
    <x v="10"/>
    <s v="02/01/2026"/>
    <x v="14"/>
    <s v="4061504007533"/>
    <s v="Succionador con App Love Triangle - Satisfayer"/>
    <s v="JUGUETE"/>
    <s v="SATISFAYER"/>
    <n v="1"/>
    <n v="1465.52"/>
  </r>
  <r>
    <x v="10"/>
    <s v="02/01/2026"/>
    <x v="14"/>
    <s v="7503020104073"/>
    <s v="Vibrador multiorgásmico con textura y estimulación doble Lidia - CXO"/>
    <s v="JUGUETE PROPIO"/>
    <s v="CXO"/>
    <n v="1"/>
    <n v="2008.62"/>
  </r>
  <r>
    <x v="10"/>
    <s v="03/01/2026"/>
    <x v="14"/>
    <s v="7713042311883"/>
    <s v="Aceite de almendras sensual 130ml - DIAMANTE"/>
    <s v="CONSUMIBLE"/>
    <s v="DIAMANTE"/>
    <n v="1"/>
    <n v="448.28"/>
  </r>
  <r>
    <x v="10"/>
    <s v="03/01/2026"/>
    <x v="14"/>
    <s v="7503043917081"/>
    <s v="Blade rosa anillo vibrador - CXO"/>
    <s v="JUGUETE PROPIO"/>
    <s v="CXO"/>
    <n v="1"/>
    <n v="81.900000000000006"/>
  </r>
  <r>
    <x v="10"/>
    <s v="03/01/2026"/>
    <x v="14"/>
    <s v="7503050226145"/>
    <s v="Body Ava - OLA MOU"/>
    <s v="LENCERIA PROPIA"/>
    <s v="OLA MOU"/>
    <n v="1"/>
    <n v="387.93"/>
  </r>
  <r>
    <x v="10"/>
    <s v="03/01/2026"/>
    <x v="14"/>
    <s v="7503030102034"/>
    <s v="Dildo vibrador con control Anthony - CXO"/>
    <s v="JUGUETE PROPIO"/>
    <s v="CXO"/>
    <n v="1"/>
    <n v="2112.0700000000002"/>
  </r>
  <r>
    <x v="10"/>
    <s v="03/01/2026"/>
    <x v="14"/>
    <s v="75037628"/>
    <s v="Dulces Garganta Profunda 2 piezas Sabor Fresa - SXO"/>
    <s v="CONSUMIBLE"/>
    <s v="SXO"/>
    <n v="1"/>
    <n v="120.69"/>
  </r>
  <r>
    <x v="10"/>
    <s v="03/01/2026"/>
    <x v="14"/>
    <s v="7503050524265"/>
    <s v="He Plus 30ml - DUSA"/>
    <s v="CONSUMIBLE PROPIO"/>
    <s v="DUSA"/>
    <n v="2"/>
    <n v="862.06"/>
  </r>
  <r>
    <x v="10"/>
    <s v="03/01/2026"/>
    <x v="14"/>
    <s v="7503032300993"/>
    <s v="Liquid Love Pleasure 30ml - DUSA"/>
    <s v="CONSUMIBLE PROPIO"/>
    <s v="DUSA"/>
    <n v="2"/>
    <n v="603.44000000000005"/>
  </r>
  <r>
    <x v="10"/>
    <s v="03/01/2026"/>
    <x v="14"/>
    <s v="7503013378010"/>
    <s v="Rigidex 2 pzas - DUSA"/>
    <s v="CONSUMIBLE PROPIO"/>
    <s v="DUSA"/>
    <n v="1"/>
    <n v="431.03"/>
  </r>
  <r>
    <x v="10"/>
    <s v="03/01/2026"/>
    <x v="14"/>
    <s v="7503013378690"/>
    <s v="Shumatsu 3 pzas - DUSA"/>
    <s v="CONSUMIBLE PROPIO"/>
    <s v="DUSA"/>
    <n v="1"/>
    <n v="577.59"/>
  </r>
  <r>
    <x v="10"/>
    <s v="03/01/2026"/>
    <x v="14"/>
    <s v="7503032300443"/>
    <s v="Zoe bala vibradora RETAIL - CXO"/>
    <s v="JUGUETE PROPIO"/>
    <s v="CXO"/>
    <n v="1"/>
    <n v="155.16999999999999"/>
  </r>
  <r>
    <x v="10"/>
    <s v="04/01/2026"/>
    <x v="14"/>
    <s v="7508304288870"/>
    <s v="Aceite Chocolate 60ml - FEEL LOVE"/>
    <s v="CONSUMIBLE"/>
    <s v="FEEL LOVE"/>
    <n v="1"/>
    <n v="284.48"/>
  </r>
  <r>
    <x v="10"/>
    <s v="04/01/2026"/>
    <x v="14"/>
    <s v="7503043917081"/>
    <s v="Blade rosa anillo vibrador - CXO"/>
    <s v="JUGUETE PROPIO"/>
    <s v="CXO"/>
    <n v="3"/>
    <n v="245.70000000000002"/>
  </r>
  <r>
    <x v="10"/>
    <s v="04/01/2026"/>
    <x v="14"/>
    <s v="7500464543059"/>
    <s v="Dildo Realista con Ventosa 15.5cms Domi CXO"/>
    <s v="JUGUETE PROPIO"/>
    <s v="CXO"/>
    <n v="1"/>
    <n v="818.97"/>
  </r>
  <r>
    <x v="10"/>
    <s v="04/01/2026"/>
    <x v="14"/>
    <s v="7503032300856"/>
    <s v="Sachet vibrador liquido 2 ml - BANANA SHAKE"/>
    <s v="CONSUMIBLE"/>
    <s v="BANANA SHAKE"/>
    <n v="5"/>
    <n v="86.2"/>
  </r>
  <r>
    <x v="10"/>
    <s v="04/01/2026"/>
    <x v="14"/>
    <s v="7503050524258"/>
    <s v="Sensicool 30ml - DUSA"/>
    <s v="CONSUMIBLE PROPIO"/>
    <s v="DUSA"/>
    <n v="1"/>
    <n v="431.03"/>
  </r>
  <r>
    <x v="10"/>
    <s v="04/01/2026"/>
    <x v="14"/>
    <s v="7503024256192"/>
    <s v="Shot Shumatsu Fun Mujer - DUSA"/>
    <s v="CONSUMIBLE PROPIO"/>
    <s v="DUSA"/>
    <n v="1"/>
    <n v="172.41"/>
  </r>
  <r>
    <x v="10"/>
    <s v="05/01/2026"/>
    <x v="1"/>
    <s v="7503013378690"/>
    <s v="Shumatsu 3 pzas - DUSA"/>
    <s v="CONSUMIBLE PROPIO"/>
    <s v="DUSA"/>
    <n v="1"/>
    <n v="577.59"/>
  </r>
  <r>
    <x v="10"/>
    <s v="06/01/2026"/>
    <x v="14"/>
    <s v="7503043917081"/>
    <s v="Blade rosa anillo vibrador - CXO"/>
    <s v="JUGUETE PROPIO"/>
    <s v="CXO"/>
    <n v="2"/>
    <n v="163.80000000000001"/>
  </r>
  <r>
    <x v="10"/>
    <s v="06/01/2026"/>
    <x v="14"/>
    <s v="7503043917005"/>
    <s v="Liquid Love Clear 30ml - DUSA"/>
    <s v="CONSUMIBLE PROPIO"/>
    <s v="DUSA"/>
    <n v="2"/>
    <n v="603.44000000000005"/>
  </r>
  <r>
    <x v="10"/>
    <s v="06/01/2026"/>
    <x v="14"/>
    <s v="4560220552766"/>
    <s v="Masturbador en huevo Cloudy - TENGA"/>
    <s v="JUGUETE"/>
    <s v="TENGA"/>
    <n v="1"/>
    <n v="301.72000000000003"/>
  </r>
  <r>
    <x v="10"/>
    <s v="06/01/2026"/>
    <x v="14"/>
    <s v="6959633134559"/>
    <s v="Phoenix Neo 2 rojo - SVAKOM"/>
    <s v="JUGUETE"/>
    <s v="SVAKOM"/>
    <n v="1"/>
    <n v="3534.48"/>
  </r>
  <r>
    <x v="10"/>
    <s v="06/01/2026"/>
    <x v="14"/>
    <s v="7503032300856"/>
    <s v="Sachet vibrador liquido 2 ml - BANANA SHAKE"/>
    <s v="CONSUMIBLE"/>
    <s v="BANANA SHAKE"/>
    <n v="5"/>
    <n v="86.2"/>
  </r>
  <r>
    <x v="10"/>
    <s v="06/01/2026"/>
    <x v="14"/>
    <s v="7503050524258"/>
    <s v="Sensicool 30ml - DUSA"/>
    <s v="CONSUMIBLE PROPIO"/>
    <s v="DUSA"/>
    <n v="1"/>
    <n v="431.03"/>
  </r>
  <r>
    <x v="10"/>
    <s v="06/01/2026"/>
    <x v="14"/>
    <s v="7503020596957"/>
    <s v="Shot Shumatsu Fun Hombre - DUSA"/>
    <s v="CONSUMIBLE PROPIO"/>
    <s v="DUSA"/>
    <n v="2"/>
    <n v="344.82"/>
  </r>
  <r>
    <x v="10"/>
    <s v="07/01/2026"/>
    <x v="14"/>
    <s v="7503032300993"/>
    <s v="Liquid Love Pleasure 30ml - DUSA"/>
    <s v="CONSUMIBLE PROPIO"/>
    <s v="DUSA"/>
    <n v="1"/>
    <n v="301.72000000000003"/>
  </r>
  <r>
    <x v="10"/>
    <s v="07/01/2026"/>
    <x v="14"/>
    <s v="7503013378010"/>
    <s v="Rigidex 2 pzas - DUSA"/>
    <s v="CONSUMIBLE PROPIO"/>
    <s v="DUSA"/>
    <n v="1"/>
    <n v="431.03"/>
  </r>
  <r>
    <x v="10"/>
    <s v="07/01/2026"/>
    <x v="14"/>
    <s v="7503013378690"/>
    <s v="Shumatsu 3 pzas - DUSA"/>
    <s v="CONSUMIBLE PROPIO"/>
    <s v="DUSA"/>
    <n v="1"/>
    <n v="577.59"/>
  </r>
  <r>
    <x v="10"/>
    <s v="08/01/2026"/>
    <x v="14"/>
    <s v="7503043917081"/>
    <s v="Blade rosa anillo vibrador - CXO"/>
    <s v="JUGUETE PROPIO"/>
    <s v="CXO"/>
    <n v="2"/>
    <n v="163.80000000000001"/>
  </r>
  <r>
    <x v="10"/>
    <s v="08/01/2026"/>
    <x v="14"/>
    <s v="7503014914002"/>
    <s v="CAPSULAS MULTIORGASMICO AMO O-GEN"/>
    <s v="CONSUMIBLE"/>
    <s v="POWER MAN"/>
    <n v="1"/>
    <n v="431.04"/>
  </r>
  <r>
    <x v="10"/>
    <s v="08/01/2026"/>
    <x v="14"/>
    <s v="7503050524265"/>
    <s v="He Plus 30ml - DUSA"/>
    <s v="CONSUMIBLE PROPIO"/>
    <s v="DUSA"/>
    <n v="1"/>
    <n v="431.03"/>
  </r>
  <r>
    <x v="10"/>
    <s v="08/01/2026"/>
    <x v="14"/>
    <s v="7503032300993"/>
    <s v="Liquid Love Pleasure 30ml - DUSA"/>
    <s v="CONSUMIBLE PROPIO"/>
    <s v="DUSA"/>
    <n v="1"/>
    <n v="301.72000000000003"/>
  </r>
  <r>
    <x v="10"/>
    <s v="08/01/2026"/>
    <x v="14"/>
    <s v="4560220552766"/>
    <s v="Masturbador en huevo Cloudy - TENGA"/>
    <s v="JUGUETE"/>
    <s v="TENGA"/>
    <n v="1"/>
    <n v="301.72000000000003"/>
  </r>
  <r>
    <x v="10"/>
    <s v="08/01/2026"/>
    <x v="14"/>
    <s v="7503013378010"/>
    <s v="Rigidex 2 pzas - DUSA"/>
    <s v="CONSUMIBLE PROPIO"/>
    <s v="DUSA"/>
    <n v="1"/>
    <n v="431.03"/>
  </r>
  <r>
    <x v="10"/>
    <s v="08/01/2026"/>
    <x v="14"/>
    <s v="7503032300795"/>
    <s v="Sachet lubricante desensibilizador 2 ml - BANANA SHAKE"/>
    <s v="CONSUMIBLE"/>
    <s v="BANANA SHAKE"/>
    <n v="2"/>
    <n v="43.1"/>
  </r>
  <r>
    <x v="10"/>
    <s v="08/01/2026"/>
    <x v="14"/>
    <s v="7503032300856"/>
    <s v="Sachet vibrador liquido 2 ml - BANANA SHAKE"/>
    <s v="CONSUMIBLE"/>
    <s v="BANANA SHAKE"/>
    <n v="5"/>
    <n v="86.2"/>
  </r>
  <r>
    <x v="10"/>
    <s v="08/01/2026"/>
    <x v="14"/>
    <s v="7503032300443"/>
    <s v="Zoe bala vibradora RETAIL - CXO"/>
    <s v="JUGUETE PROPIO"/>
    <s v="CXO"/>
    <n v="1"/>
    <n v="155.16999999999999"/>
  </r>
  <r>
    <x v="10"/>
    <s v="09/01/2026"/>
    <x v="14"/>
    <s v="7503043917081"/>
    <s v="Blade rosa anillo vibrador - CXO"/>
    <s v="JUGUETE PROPIO"/>
    <s v="CXO"/>
    <n v="4"/>
    <n v="327.60000000000002"/>
  </r>
  <r>
    <x v="10"/>
    <s v="09/01/2026"/>
    <x v="14"/>
    <s v="716770060068"/>
    <s v="DILDO SW SORORITY SCREW DRIVES ORANGE"/>
    <s v="JUGUETE"/>
    <s v="CALEXOTICS"/>
    <n v="1"/>
    <n v="706.9"/>
  </r>
  <r>
    <x v="10"/>
    <s v="09/01/2026"/>
    <x v="14"/>
    <s v="FM1002"/>
    <s v="FEROMONAS DIAMANTE CONCENTRADO HOMBRE"/>
    <s v="CONSUMIBLE"/>
    <s v="DIAMANTE"/>
    <n v="1"/>
    <n v="413.79"/>
  </r>
  <r>
    <x v="10"/>
    <s v="09/01/2026"/>
    <x v="14"/>
    <s v="7503043917524"/>
    <s v="Kit Lisboa 8 pzs - CXO"/>
    <s v="JUGUETE PROPIO"/>
    <s v="CXO"/>
    <n v="1"/>
    <n v="465.52"/>
  </r>
  <r>
    <x v="10"/>
    <s v="09/01/2026"/>
    <x v="14"/>
    <s v="7503013378980"/>
    <s v="Lubricante Body Surf Termico Chicle DUSA 60ml"/>
    <s v="CONSUMIBLE PROPIO"/>
    <s v="DUSA"/>
    <n v="1"/>
    <n v="387.93"/>
  </r>
  <r>
    <x v="10"/>
    <s v="09/01/2026"/>
    <x v="14"/>
    <s v="7503023462235"/>
    <s v="Lubricante Masaje Térmico Comestible Piña Colada FEEL LOVE 4 en 1 - 60ml"/>
    <s v="LUBRICANTE"/>
    <s v="FEEL LOVE"/>
    <n v="1"/>
    <n v="344.83"/>
  </r>
  <r>
    <x v="10"/>
    <s v="09/01/2026"/>
    <x v="14"/>
    <s v="7503013378010"/>
    <s v="Rigidex 2 pzas - DUSA"/>
    <s v="CONSUMIBLE PROPIO"/>
    <s v="DUSA"/>
    <n v="1"/>
    <n v="431.03"/>
  </r>
  <r>
    <x v="10"/>
    <s v="09/01/2026"/>
    <x v="14"/>
    <s v="7503024256192"/>
    <s v="Shot Shumatsu Fun Mujer - DUSA"/>
    <s v="CONSUMIBLE PROPIO"/>
    <s v="DUSA"/>
    <n v="1"/>
    <n v="172.41"/>
  </r>
  <r>
    <x v="10"/>
    <s v="09/01/2026"/>
    <x v="14"/>
    <s v="7503032300443"/>
    <s v="Zoe bala vibradora RETAIL - CXO"/>
    <s v="JUGUETE PROPIO"/>
    <s v="CXO"/>
    <n v="1"/>
    <n v="155.16999999999999"/>
  </r>
  <r>
    <x v="10"/>
    <s v="10/01/2026"/>
    <x v="14"/>
    <s v="7503030211021"/>
    <s v="Anillo desechable para pene Donut - CXO"/>
    <s v="JUGUETE PROPIO"/>
    <s v="CXO"/>
    <n v="1"/>
    <n v="34.479999999999997"/>
  </r>
  <r>
    <x v="10"/>
    <s v="10/01/2026"/>
    <x v="14"/>
    <s v="7503043917081"/>
    <s v="Blade rosa anillo vibrador - CXO"/>
    <s v="JUGUETE PROPIO"/>
    <s v="CXO"/>
    <n v="3"/>
    <n v="245.70000000000002"/>
  </r>
  <r>
    <x v="10"/>
    <s v="10/01/2026"/>
    <x v="14"/>
    <s v="7503043917333"/>
    <s v="Bren multiorgasmico - CXO"/>
    <s v="JUGUETE PROPIO"/>
    <s v="CXO"/>
    <n v="1"/>
    <n v="1508.62"/>
  </r>
  <r>
    <x v="10"/>
    <s v="10/01/2026"/>
    <x v="14"/>
    <s v="7503014914002"/>
    <s v="CAPSULAS MULTIORGASMICO AMO O-GEN"/>
    <s v="CONSUMIBLE"/>
    <s v="POWER MAN"/>
    <n v="1"/>
    <n v="431.04"/>
  </r>
  <r>
    <x v="10"/>
    <s v="10/01/2026"/>
    <x v="14"/>
    <s v="7502214982477"/>
    <s v="Condon Fresa 3pzs - PRUDENCE"/>
    <s v="CONSUMIBLE"/>
    <s v="PRUDENCE"/>
    <n v="1"/>
    <n v="60.34"/>
  </r>
  <r>
    <x v="10"/>
    <s v="10/01/2026"/>
    <x v="14"/>
    <s v="7502214982576"/>
    <s v="CONDON PRUDENCE SABOR Y AROMA EXTRA FUERTE"/>
    <s v="CONSUMIBLE"/>
    <s v="PRUDENCE"/>
    <n v="1"/>
    <n v="77.59"/>
  </r>
  <r>
    <x v="10"/>
    <s v="10/01/2026"/>
    <x v="14"/>
    <s v="7503030220043"/>
    <s v="Dados para juegos 2 piezas - CXO"/>
    <s v="JUGUETE PROPIO"/>
    <s v="CXO"/>
    <n v="1"/>
    <n v="112.07"/>
  </r>
  <r>
    <x v="10"/>
    <s v="10/01/2026"/>
    <x v="14"/>
    <s v="7500464543059"/>
    <s v="Dildo Realista con Ventosa 15.5cms Domi CXO"/>
    <s v="JUGUETE PROPIO"/>
    <s v="CXO"/>
    <n v="1"/>
    <n v="818.97"/>
  </r>
  <r>
    <x v="10"/>
    <s v="10/01/2026"/>
    <x v="14"/>
    <s v="7503030102034"/>
    <s v="Dildo vibrador con control Anthony - CXO"/>
    <s v="JUGUETE PROPIO"/>
    <s v="CXO"/>
    <n v="1"/>
    <n v="2112.0700000000002"/>
  </r>
  <r>
    <x v="10"/>
    <s v="10/01/2026"/>
    <x v="14"/>
    <s v="75037628"/>
    <s v="Dulces Garganta Profunda 2 piezas Sabor Fresa - SXO"/>
    <s v="CONSUMIBLE"/>
    <s v="SXO"/>
    <n v="1"/>
    <n v="120.69"/>
  </r>
  <r>
    <x v="10"/>
    <s v="10/01/2026"/>
    <x v="14"/>
    <s v="7503032300627"/>
    <s v="Kevin - CXO"/>
    <s v="JUGUETE PROPIO"/>
    <s v="CXO"/>
    <n v="1"/>
    <n v="775.86"/>
  </r>
  <r>
    <x v="10"/>
    <s v="10/01/2026"/>
    <x v="14"/>
    <s v="7503043917005"/>
    <s v="Liquid Love Clear 30ml - DUSA"/>
    <s v="CONSUMIBLE PROPIO"/>
    <s v="DUSA"/>
    <n v="1"/>
    <n v="301.72000000000003"/>
  </r>
  <r>
    <x v="10"/>
    <s v="10/01/2026"/>
    <x v="14"/>
    <s v="7503032300993"/>
    <s v="Liquid Love Pleasure 30ml - DUSA"/>
    <s v="CONSUMIBLE PROPIO"/>
    <s v="DUSA"/>
    <n v="2"/>
    <n v="603.44000000000005"/>
  </r>
  <r>
    <x v="10"/>
    <s v="10/01/2026"/>
    <x v="14"/>
    <s v="SE018"/>
    <s v="Masturbador Jarrón - CXO"/>
    <s v="JUGUETE PROPIO"/>
    <s v="CXO"/>
    <n v="1"/>
    <n v="1034.48"/>
  </r>
  <r>
    <x v="10"/>
    <s v="10/01/2026"/>
    <x v="14"/>
    <s v="TGA02CH015003M"/>
    <s v="Panty Diana Negro"/>
    <s v="LENCERIA PROPIA"/>
    <s v="OLA MOU : BOMBONES"/>
    <n v="1"/>
    <n v="86.21"/>
  </r>
  <r>
    <x v="10"/>
    <s v="10/01/2026"/>
    <x v="14"/>
    <s v="7503013378690"/>
    <s v="Shumatsu 3 pzas - DUSA"/>
    <s v="CONSUMIBLE PROPIO"/>
    <s v="DUSA"/>
    <n v="1"/>
    <n v="577.59"/>
  </r>
  <r>
    <x v="10"/>
    <s v="11/01/2026"/>
    <x v="14"/>
    <s v="7503043917081"/>
    <s v="Blade rosa anillo vibrador - CXO"/>
    <s v="JUGUETE PROPIO"/>
    <s v="CXO"/>
    <n v="1"/>
    <n v="81.900000000000006"/>
  </r>
  <r>
    <x v="10"/>
    <s v="11/01/2026"/>
    <x v="14"/>
    <s v="7503014914002"/>
    <s v="CAPSULAS MULTIORGASMICO AMO O-GEN"/>
    <s v="CONSUMIBLE"/>
    <s v="POWER MAN"/>
    <n v="1"/>
    <n v="431.04"/>
  </r>
  <r>
    <x v="10"/>
    <s v="11/01/2026"/>
    <x v="14"/>
    <s v="7503032300993"/>
    <s v="Liquid Love Pleasure 30ml - DUSA"/>
    <s v="CONSUMIBLE PROPIO"/>
    <s v="DUSA"/>
    <n v="1"/>
    <n v="301.72000000000003"/>
  </r>
  <r>
    <x v="10"/>
    <s v="11/01/2026"/>
    <x v="14"/>
    <s v="695963319882"/>
    <s v="Masturbador  Recargable Hannes NEO - SVAKOM"/>
    <s v=""/>
    <s v="SVAKOM"/>
    <n v="1"/>
    <n v="2586.21"/>
  </r>
  <r>
    <x v="10"/>
    <s v="11/01/2026"/>
    <x v="14"/>
    <s v="714718001654"/>
    <s v="MEDIAS DE NYLON EN ENCAJE NUDE 1011"/>
    <s v="LENCERIA"/>
    <s v="LEG AVENUE"/>
    <n v="1"/>
    <n v="172.41"/>
  </r>
  <r>
    <x v="10"/>
    <s v="11/01/2026"/>
    <x v="14"/>
    <s v="7503032300856"/>
    <s v="Sachet vibrador liquido 2 ml - BANANA SHAKE"/>
    <s v="CONSUMIBLE"/>
    <s v="BANANA SHAKE"/>
    <n v="1"/>
    <n v="17.239999999999998"/>
  </r>
  <r>
    <x v="10"/>
    <s v="11/01/2026"/>
    <x v="14"/>
    <s v="7503020596957"/>
    <s v="Shot Shumatsu Fun Hombre - DUSA"/>
    <s v="CONSUMIBLE PROPIO"/>
    <s v="DUSA"/>
    <n v="1"/>
    <n v="172.41"/>
  </r>
  <r>
    <x v="10"/>
    <s v="11/01/2026"/>
    <x v="14"/>
    <s v="7503024256192"/>
    <s v="Shot Shumatsu Fun Mujer - DUSA"/>
    <s v="CONSUMIBLE PROPIO"/>
    <s v="DUSA"/>
    <n v="1"/>
    <n v="172.41"/>
  </r>
  <r>
    <x v="10"/>
    <s v="11/01/2026"/>
    <x v="14"/>
    <s v="7501513758042"/>
    <s v="TANGA MASCULINA GSTRING AZUL MARINO UNITALLA"/>
    <s v="LENCERIA"/>
    <s v="ADRENALINE"/>
    <n v="1"/>
    <n v="258.62"/>
  </r>
  <r>
    <x v="10"/>
    <s v="12/01/2026"/>
    <x v="14"/>
    <s v="7503043917036"/>
    <s v="Arnes universal de argolla negro - CXO"/>
    <s v="JUGUETE PROPIO"/>
    <s v="CXO"/>
    <n v="1"/>
    <n v="474.14"/>
  </r>
  <r>
    <x v="10"/>
    <s v="12/01/2026"/>
    <x v="14"/>
    <s v="7502214982514"/>
    <s v="Condon Chocolate 3 pzs - PRUDENCE"/>
    <s v="CONSUMIBLE"/>
    <s v="PRUDENCE"/>
    <n v="1"/>
    <n v="60.34"/>
  </r>
  <r>
    <x v="10"/>
    <s v="12/01/2026"/>
    <x v="14"/>
    <s v="7503043917005"/>
    <s v="Liquid Love Clear 30ml - DUSA"/>
    <s v="CONSUMIBLE PROPIO"/>
    <s v="DUSA"/>
    <n v="1"/>
    <n v="301.72000000000003"/>
  </r>
  <r>
    <x v="10"/>
    <s v="12/01/2026"/>
    <x v="14"/>
    <s v="7503032300993"/>
    <s v="Liquid Love Pleasure 30ml - DUSA"/>
    <s v="CONSUMIBLE PROPIO"/>
    <s v="DUSA"/>
    <n v="1"/>
    <n v="301.72000000000003"/>
  </r>
  <r>
    <x v="10"/>
    <s v="12/01/2026"/>
    <x v="14"/>
    <s v="7503023462235"/>
    <s v="Lubricante Masaje Térmico Comestible Piña Colada FEEL LOVE 4 en 1 - 60ml"/>
    <s v="LUBRICANTE"/>
    <s v="FEEL LOVE"/>
    <n v="1"/>
    <n v="344.83"/>
  </r>
  <r>
    <x v="10"/>
    <s v="12/01/2026"/>
    <x v="14"/>
    <s v="7503026484845"/>
    <s v="Oral Sex Erotic Nut 5g - Feel Love"/>
    <s v="CONSUMIBLE"/>
    <s v="DIAMANTE"/>
    <n v="1"/>
    <n v="51.72"/>
  </r>
  <r>
    <x v="10"/>
    <s v="12/01/2026"/>
    <x v="14"/>
    <s v="4061504007496"/>
    <s v="Succionado con App Curvy 1+ - Satisfayer"/>
    <s v="JUGUETE"/>
    <s v="SATISFAYER"/>
    <n v="1"/>
    <n v="1810.34"/>
  </r>
  <r>
    <x v="10"/>
    <s v="13/01/2026"/>
    <x v="14"/>
    <s v="7508304288887"/>
    <s v="Aceite Fruta de la pasion 60ml - FEEL LOVE"/>
    <s v="CONSUMIBLE"/>
    <s v="FEEL LOVE"/>
    <n v="1"/>
    <n v="327.58999999999997"/>
  </r>
  <r>
    <x v="10"/>
    <s v="13/01/2026"/>
    <x v="14"/>
    <s v="7503043917081"/>
    <s v="Blade rosa anillo vibrador - CXO"/>
    <s v="JUGUETE PROPIO"/>
    <s v="CXO"/>
    <n v="1"/>
    <n v="81.900000000000006"/>
  </r>
  <r>
    <x v="10"/>
    <s v="13/01/2026"/>
    <x v="14"/>
    <s v="7503043917593"/>
    <s v="Nora dildo vibrador - CXO"/>
    <s v="JUGUETE PROPIO"/>
    <s v="CXO"/>
    <n v="1"/>
    <n v="474.14"/>
  </r>
  <r>
    <x v="10"/>
    <s v="13/01/2026"/>
    <x v="14"/>
    <s v="7503013378690"/>
    <s v="Shumatsu 3 pzas - DUSA"/>
    <s v="CONSUMIBLE PROPIO"/>
    <s v="DUSA"/>
    <n v="1"/>
    <n v="577.59"/>
  </r>
  <r>
    <x v="10"/>
    <s v="13/01/2026"/>
    <x v="14"/>
    <s v="7503030104027"/>
    <s v="Vibrador con doble estimulacion y control a distancia Zafiro - CXO"/>
    <s v="JUGUETE PROPIO"/>
    <s v="CXO"/>
    <n v="1"/>
    <n v="1715.52"/>
  </r>
  <r>
    <x v="10"/>
    <s v="14/01/2026"/>
    <x v="1"/>
    <s v="4061504007496"/>
    <s v="Succionado con App Curvy 1+ - Satisfayer"/>
    <s v="JUGUETE"/>
    <s v="SATISFAYER"/>
    <n v="1"/>
    <n v="1810.34"/>
  </r>
  <r>
    <x v="10"/>
    <s v="15/01/2026"/>
    <x v="14"/>
    <s v="7503024256635"/>
    <s v="Olive  6.8&quot; rosa - CXO"/>
    <s v="JUGUETE PROPIO"/>
    <s v="CXO"/>
    <n v="1"/>
    <n v="603.45000000000005"/>
  </r>
  <r>
    <x v="10"/>
    <s v="15/01/2026"/>
    <x v="14"/>
    <s v="7503020596957"/>
    <s v="Shot Shumatsu Fun Hombre - DUSA"/>
    <s v="CONSUMIBLE PROPIO"/>
    <s v="DUSA"/>
    <n v="1"/>
    <n v="172.41"/>
  </r>
  <r>
    <x v="10"/>
    <s v="16/01/2026"/>
    <x v="14"/>
    <s v="7503013378775"/>
    <s v="Amy violeta - CXO"/>
    <s v="JUGUETE PROPIO"/>
    <s v="CXO"/>
    <n v="1"/>
    <n v="366.38"/>
  </r>
  <r>
    <x v="10"/>
    <s v="16/01/2026"/>
    <x v="14"/>
    <s v="7503013378393"/>
    <s v="Anillo de Acero con bola - CXO"/>
    <s v="JUGUETE PROPIO"/>
    <s v="CXO"/>
    <n v="1"/>
    <n v="137.93"/>
  </r>
  <r>
    <x v="10"/>
    <s v="16/01/2026"/>
    <x v="14"/>
    <s v="7503043917081"/>
    <s v="Blade rosa anillo vibrador - CXO"/>
    <s v="JUGUETE PROPIO"/>
    <s v="CXO"/>
    <n v="2"/>
    <n v="163.80000000000001"/>
  </r>
  <r>
    <x v="10"/>
    <s v="16/01/2026"/>
    <x v="14"/>
    <s v="7503014914002"/>
    <s v="CAPSULAS MULTIORGASMICO AMO O-GEN"/>
    <s v="CONSUMIBLE"/>
    <s v="POWER MAN"/>
    <n v="1"/>
    <n v="431.04"/>
  </r>
  <r>
    <x v="10"/>
    <s v="16/01/2026"/>
    <x v="14"/>
    <s v="7503013378492"/>
    <s v="Clean Whisper 120ml - DUSA"/>
    <s v="CONSUMIBLE PROPIO"/>
    <s v="DUSA"/>
    <n v="1"/>
    <n v="301.72000000000003"/>
  </r>
  <r>
    <x v="10"/>
    <s v="16/01/2026"/>
    <x v="14"/>
    <s v="7503050524265"/>
    <s v="He Plus 30ml - DUSA"/>
    <s v="CONSUMIBLE PROPIO"/>
    <s v="DUSA"/>
    <n v="2"/>
    <n v="862.06"/>
  </r>
  <r>
    <x v="10"/>
    <s v="16/01/2026"/>
    <x v="14"/>
    <s v="7503043917012"/>
    <s v="Liquid Love Backdoor 30ml - DUSA"/>
    <s v="CONSUMIBLE PROPIO"/>
    <s v="DUSA"/>
    <n v="1"/>
    <n v="301.72000000000003"/>
  </r>
  <r>
    <x v="10"/>
    <s v="16/01/2026"/>
    <x v="14"/>
    <s v="6959633103494"/>
    <s v="Mora Neo multiorgasmico rosa - SVAKOM"/>
    <s v="JUGUETE"/>
    <s v="SVAKOM"/>
    <n v="1"/>
    <n v="1637.93"/>
  </r>
  <r>
    <x v="10"/>
    <s v="16/01/2026"/>
    <x v="14"/>
    <s v="6970556034061"/>
    <s v="Multiorgasmico con succion y extensor Anna - CXO"/>
    <s v="JUGUETE PROPIO"/>
    <s v="CXO"/>
    <n v="1"/>
    <n v="1982.76"/>
  </r>
  <r>
    <x v="10"/>
    <s v="16/01/2026"/>
    <x v="14"/>
    <s v="7503050524241"/>
    <s v="Orgasmik 30ml - DUSA"/>
    <s v="CONSUMIBLE PROPIO"/>
    <s v="DUSA"/>
    <n v="1"/>
    <n v="431.03"/>
  </r>
  <r>
    <x v="10"/>
    <s v="16/01/2026"/>
    <x v="14"/>
    <s v="7503050226162"/>
    <s v="Plug Anal con Vibración y Control Roberto - CXO"/>
    <s v="JUGUETE PROPIO"/>
    <s v="CXO"/>
    <n v="1"/>
    <n v="1293.0999999999999"/>
  </r>
  <r>
    <x v="10"/>
    <s v="16/01/2026"/>
    <x v="14"/>
    <s v="7503013378010"/>
    <s v="Rigidex 2 pzas - DUSA"/>
    <s v="CONSUMIBLE PROPIO"/>
    <s v="DUSA"/>
    <n v="1"/>
    <n v="431.03"/>
  </r>
  <r>
    <x v="10"/>
    <s v="16/01/2026"/>
    <x v="14"/>
    <s v="7503032300856"/>
    <s v="Sachet vibrador liquido 2 ml - BANANA SHAKE"/>
    <s v="CONSUMIBLE"/>
    <s v="BANANA SHAKE"/>
    <n v="15"/>
    <n v="258.60000000000002"/>
  </r>
  <r>
    <x v="10"/>
    <s v="16/01/2026"/>
    <x v="14"/>
    <s v="7503013378690"/>
    <s v="Shumatsu 3 pzas - DUSA"/>
    <s v="CONSUMIBLE PROPIO"/>
    <s v="DUSA"/>
    <n v="1"/>
    <n v="577.59"/>
  </r>
  <r>
    <x v="10"/>
    <s v="16/01/2026"/>
    <x v="14"/>
    <s v="7503020104083"/>
    <s v="Vibrador multiorgásmico 3 en 1 Mich – CXO"/>
    <s v="JUGUETE PROPIO"/>
    <s v="CXO"/>
    <n v="1"/>
    <n v="2232.7600000000002"/>
  </r>
  <r>
    <x v="10"/>
    <s v="16/01/2026"/>
    <x v="14"/>
    <s v="7503032300443"/>
    <s v="Zoe bala vibradora RETAIL - CXO"/>
    <s v="JUGUETE PROPIO"/>
    <s v="CXO"/>
    <n v="1"/>
    <n v="155.16999999999999"/>
  </r>
  <r>
    <x v="10"/>
    <s v="17/01/2026"/>
    <x v="14"/>
    <s v="7503020112070"/>
    <s v="Bala vibradora recargable Ely – CXO"/>
    <s v="JUGUETE PROPIO"/>
    <s v="CXO"/>
    <n v="1"/>
    <n v="793.1"/>
  </r>
  <r>
    <x v="10"/>
    <s v="17/01/2026"/>
    <x v="14"/>
    <s v="7502214986598"/>
    <s v="Condones Zero c/ 3 pzs - PRUDENCE"/>
    <s v="CONSUMIBLE"/>
    <s v="PRUDENCE"/>
    <n v="1"/>
    <n v="77.59"/>
  </r>
  <r>
    <x v="10"/>
    <s v="17/01/2026"/>
    <x v="14"/>
    <s v="FM1001"/>
    <s v="FEROMONAS DIAMANTE CONCENTRADO MUJER"/>
    <s v="CONSUMIBLE"/>
    <s v="DIAMANTE"/>
    <n v="2"/>
    <n v="827.58"/>
  </r>
  <r>
    <x v="10"/>
    <s v="17/01/2026"/>
    <x v="14"/>
    <s v="7503013378010"/>
    <s v="Rigidex 2 pzas - DUSA"/>
    <s v="CONSUMIBLE PROPIO"/>
    <s v="DUSA"/>
    <n v="1"/>
    <n v="431.03"/>
  </r>
  <r>
    <x v="10"/>
    <s v="17/01/2026"/>
    <x v="14"/>
    <s v="7503032300856"/>
    <s v="Sachet vibrador liquido 2 ml - BANANA SHAKE"/>
    <s v="CONSUMIBLE"/>
    <s v="BANANA SHAKE"/>
    <n v="5"/>
    <n v="86.2"/>
  </r>
  <r>
    <x v="10"/>
    <s v="17/01/2026"/>
    <x v="14"/>
    <s v="7503013378690"/>
    <s v="Shumatsu 3 pzas - DUSA"/>
    <s v="CONSUMIBLE PROPIO"/>
    <s v="DUSA"/>
    <n v="1"/>
    <n v="577.59"/>
  </r>
  <r>
    <x v="10"/>
    <s v="18/01/2026"/>
    <x v="14"/>
    <s v="7503043917081"/>
    <s v="Blade rosa anillo vibrador - CXO"/>
    <s v="JUGUETE PROPIO"/>
    <s v="CXO"/>
    <n v="1"/>
    <n v="81.900000000000006"/>
  </r>
  <r>
    <x v="10"/>
    <s v="18/01/2026"/>
    <x v="14"/>
    <s v="7503032300207"/>
    <s v="Chibi - CXO"/>
    <s v="JUGUETE PROPIO"/>
    <s v="CXO"/>
    <n v="1"/>
    <n v="806.03"/>
  </r>
  <r>
    <x v="10"/>
    <s v="18/01/2026"/>
    <x v="14"/>
    <s v="7503013378904"/>
    <s v="Dildo Mr. Hernandez - CXO"/>
    <s v="JUGUETE PROPIO"/>
    <s v="CXO"/>
    <n v="1"/>
    <n v="517.24"/>
  </r>
  <r>
    <x v="10"/>
    <s v="18/01/2026"/>
    <x v="14"/>
    <s v="6959633166963"/>
    <s v="Ella Neo rojo- SVAKOM"/>
    <s v="JUGUETE"/>
    <s v="SVAKOM"/>
    <n v="1"/>
    <n v="3017.24"/>
  </r>
  <r>
    <x v="10"/>
    <s v="18/01/2026"/>
    <x v="14"/>
    <s v="7503050524265"/>
    <s v="He Plus 30ml - DUSA"/>
    <s v="CONSUMIBLE PROPIO"/>
    <s v="DUSA"/>
    <n v="1"/>
    <n v="431.03"/>
  </r>
  <r>
    <x v="10"/>
    <s v="18/01/2026"/>
    <x v="14"/>
    <s v="7503020220077"/>
    <s v="Juego de mesa sensual para parejas – CXO"/>
    <s v="JUGUETE PROPIO"/>
    <s v="CXO"/>
    <n v="1"/>
    <n v="637.92999999999995"/>
  </r>
  <r>
    <x v="10"/>
    <s v="18/01/2026"/>
    <x v="14"/>
    <s v="D07003"/>
    <s v="Kit BDSM 7 piezas - CXO"/>
    <s v="JUGUETE PROPIO"/>
    <s v="CXO"/>
    <n v="1"/>
    <n v="474.14"/>
  </r>
  <r>
    <x v="10"/>
    <s v="18/01/2026"/>
    <x v="14"/>
    <s v="7503013378645"/>
    <s v="Liquid Love Pleasure 100ml - DUSA"/>
    <s v="CONSUMIBLE PROPIO"/>
    <s v="DUSA"/>
    <n v="1"/>
    <n v="775.86"/>
  </r>
  <r>
    <x v="10"/>
    <s v="18/01/2026"/>
    <x v="14"/>
    <s v="7503024256154"/>
    <s v="Lubricante Body Surf Termico Cereza DUSA 60ml"/>
    <s v="CONSUMIBLE PROPIO"/>
    <s v="DUSA"/>
    <n v="1"/>
    <n v="387.93"/>
  </r>
  <r>
    <x v="10"/>
    <s v="18/01/2026"/>
    <x v="14"/>
    <s v="7503032300382"/>
    <s v="Mon - CXO"/>
    <s v="JUGUETE PROPIO"/>
    <s v="CXO"/>
    <n v="1"/>
    <n v="517.24"/>
  </r>
  <r>
    <x v="10"/>
    <s v="18/01/2026"/>
    <x v="14"/>
    <s v="7503030128202"/>
    <s v="Plug Anal con 10 modos de vibracion y rotacion 360 Beto - CXO"/>
    <s v="JUGUETE PROPIO"/>
    <s v="CXO"/>
    <n v="1"/>
    <n v="1577.59"/>
  </r>
  <r>
    <x v="10"/>
    <s v="19/01/2026"/>
    <x v="14"/>
    <s v="7503024256765"/>
    <s v="Cola de Zorro 45cm azul - CXO"/>
    <s v="JUGUETE PROPIO"/>
    <s v="CXO"/>
    <n v="1"/>
    <n v="318.97000000000003"/>
  </r>
  <r>
    <x v="10"/>
    <s v="19/01/2026"/>
    <x v="14"/>
    <s v="LL-A2216"/>
    <s v="Huevito con 10 modos de Vibración  Gina - CXO"/>
    <s v="JUGUETE PROPIO"/>
    <s v="CXO"/>
    <n v="1"/>
    <n v="1500"/>
  </r>
  <r>
    <x v="10"/>
    <s v="19/01/2026"/>
    <x v="14"/>
    <s v="7503032300627"/>
    <s v="Kevin - CXO"/>
    <s v="JUGUETE PROPIO"/>
    <s v="CXO"/>
    <n v="1"/>
    <n v="775.86"/>
  </r>
  <r>
    <x v="10"/>
    <s v="19/01/2026"/>
    <x v="14"/>
    <s v="7503043917012"/>
    <s v="Liquid Love Backdoor 30ml - DUSA"/>
    <s v="CONSUMIBLE PROPIO"/>
    <s v="DUSA"/>
    <n v="1"/>
    <n v="301.72000000000003"/>
  </r>
  <r>
    <x v="10"/>
    <s v="19/01/2026"/>
    <x v="14"/>
    <s v="7503024256154"/>
    <s v="Lubricante Body Surf Termico Cereza DUSA 60ml"/>
    <s v="CONSUMIBLE PROPIO"/>
    <s v="DUSA"/>
    <n v="1"/>
    <n v="387.93"/>
  </r>
  <r>
    <x v="10"/>
    <s v="19/01/2026"/>
    <x v="14"/>
    <s v="7503032300382"/>
    <s v="Mon - CXO"/>
    <s v="JUGUETE PROPIO"/>
    <s v="CXO"/>
    <n v="1"/>
    <n v="517.24"/>
  </r>
  <r>
    <x v="10"/>
    <s v="19/01/2026"/>
    <x v="14"/>
    <s v="6959633103494"/>
    <s v="Mora Neo multiorgasmico rosa - SVAKOM"/>
    <s v="JUGUETE"/>
    <s v="SVAKOM"/>
    <n v="1"/>
    <n v="1637.93"/>
  </r>
  <r>
    <x v="10"/>
    <s v="19/01/2026"/>
    <x v="14"/>
    <s v="7503050226162"/>
    <s v="Plug Anal con Vibración y Control Roberto - CXO"/>
    <s v="JUGUETE PROPIO"/>
    <s v="CXO"/>
    <n v="1"/>
    <n v="1293.0999999999999"/>
  </r>
  <r>
    <x v="10"/>
    <s v="19/01/2026"/>
    <x v="14"/>
    <s v="7503032300795"/>
    <s v="Sachet lubricante desensibilizador 2 ml - BANANA SHAKE"/>
    <s v="CONSUMIBLE"/>
    <s v="BANANA SHAKE"/>
    <n v="12"/>
    <n v="258.60000000000002"/>
  </r>
  <r>
    <x v="10"/>
    <s v="19/01/2026"/>
    <x v="14"/>
    <s v="7503030104190"/>
    <s v="Vibrador multiorgasmico con 10 modos de vibracion Norma - CXO"/>
    <s v="JUGUETE PROPIO"/>
    <s v="CXO"/>
    <n v="1"/>
    <n v="2396.5500000000002"/>
  </r>
  <r>
    <x v="10"/>
    <s v="19/01/2026"/>
    <x v="14"/>
    <s v="7503020104075"/>
    <s v="Vibrador multiorgásmico texturizado con succionador de clítoris Yeni - CXO"/>
    <s v="JUGUETE PROPIO"/>
    <s v="CXO"/>
    <n v="1"/>
    <n v="2465.52"/>
  </r>
  <r>
    <x v="10"/>
    <s v="20/01/2026"/>
    <x v="14"/>
    <s v="P07-00252"/>
    <s v="Huevito Vibrador con Lenguita Estimuladora de Clitoris Rosy - CXO"/>
    <s v="JUGUETE PROPIO"/>
    <s v="CXO"/>
    <n v="1"/>
    <n v="2672.41"/>
  </r>
  <r>
    <x v="10"/>
    <s v="20/01/2026"/>
    <x v="14"/>
    <s v="7503013378010"/>
    <s v="Rigidex 2 pzas - DUSA"/>
    <s v="CONSUMIBLE PROPIO"/>
    <s v="DUSA"/>
    <n v="1"/>
    <n v="431.03"/>
  </r>
  <r>
    <x v="10"/>
    <s v="20/01/2026"/>
    <x v="14"/>
    <s v="7503013378690"/>
    <s v="Shumatsu 3 pzas - DUSA"/>
    <s v="CONSUMIBLE PROPIO"/>
    <s v="DUSA"/>
    <n v="1"/>
    <n v="577.59"/>
  </r>
  <r>
    <x v="10"/>
    <s v="20/01/2026"/>
    <x v="14"/>
    <s v="7503020104076"/>
    <s v="Vibrador multiorgásmico con succión y estimulación de punto G Lulu - CXO"/>
    <s v="JUGUETE PROPIO"/>
    <s v="CXO"/>
    <n v="1"/>
    <n v="2120.69"/>
  </r>
  <r>
    <x v="10"/>
    <s v="21/01/2026"/>
    <x v="3"/>
    <s v="4630017970018"/>
    <s v="Alargador de Pene Titan Gel 50 ml"/>
    <s v="CONSUMIBLE"/>
    <s v="TITAN"/>
    <n v="1"/>
    <n v="594.83000000000004"/>
  </r>
  <r>
    <x v="10"/>
    <s v="21/01/2026"/>
    <x v="3"/>
    <s v="7503020112070"/>
    <s v="Bala vibradora recargable Ely – CXO"/>
    <s v="JUGUETE PROPIO"/>
    <s v="CXO"/>
    <n v="1"/>
    <n v="793.1"/>
  </r>
  <r>
    <x v="10"/>
    <s v="21/01/2026"/>
    <x v="3"/>
    <s v="7503032300474"/>
    <s v="Cola de Zorro 45cm blanco S - CXO"/>
    <s v="JUGUETE PROPIO"/>
    <s v="CXO"/>
    <n v="1"/>
    <n v="258.62"/>
  </r>
  <r>
    <x v="10"/>
    <s v="21/01/2026"/>
    <x v="3"/>
    <s v="7502214980053"/>
    <s v="CONDON TRUST NATURAL CON 3 MAQ - PRUDENCE"/>
    <s v="CONSUMIBLE"/>
    <s v="PRUDENCE"/>
    <n v="1"/>
    <n v="77.59"/>
  </r>
  <r>
    <x v="10"/>
    <s v="21/01/2026"/>
    <x v="3"/>
    <s v="7503043917005"/>
    <s v="Liquid Love Clear 30ml - DUSA"/>
    <s v="CONSUMIBLE PROPIO"/>
    <s v="DUSA"/>
    <n v="1"/>
    <n v="301.72000000000003"/>
  </r>
  <r>
    <x v="10"/>
    <s v="21/01/2026"/>
    <x v="3"/>
    <s v="7503013378690"/>
    <s v="Shumatsu 3 pzas - DUSA"/>
    <s v="CONSUMIBLE PROPIO"/>
    <s v="DUSA"/>
    <n v="1"/>
    <n v="577.59"/>
  </r>
  <r>
    <x v="10"/>
    <s v="22/01/2026"/>
    <x v="14"/>
    <s v="4630017970018"/>
    <s v="Alargador de Pene Titan Gel 50 ml"/>
    <s v="CONSUMIBLE"/>
    <s v="TITAN"/>
    <n v="1"/>
    <n v="594.83000000000004"/>
  </r>
  <r>
    <x v="10"/>
    <s v="22/01/2026"/>
    <x v="14"/>
    <s v="7503013378119"/>
    <s v="Anastasia gema de colores S - CXO"/>
    <s v="JUGUETE PROPIO"/>
    <s v="CXO"/>
    <n v="1"/>
    <n v="396.55"/>
  </r>
  <r>
    <x v="10"/>
    <s v="22/01/2026"/>
    <x v="14"/>
    <s v="7503020112070"/>
    <s v="Bala vibradora recargable Ely – CXO"/>
    <s v="JUGUETE PROPIO"/>
    <s v="CXO"/>
    <n v="1"/>
    <n v="793.1"/>
  </r>
  <r>
    <x v="10"/>
    <s v="22/01/2026"/>
    <x v="14"/>
    <s v="7503030114188"/>
    <s v="Bomba de vacio Nico - CXO"/>
    <s v="JUGUETE PROPIO"/>
    <s v="CXO"/>
    <n v="1"/>
    <n v="1956.9"/>
  </r>
  <r>
    <x v="10"/>
    <s v="22/01/2026"/>
    <x v="14"/>
    <s v="7503014914002"/>
    <s v="CAPSULAS MULTIORGASMICO AMO O-GEN"/>
    <s v="CONSUMIBLE"/>
    <s v="POWER MAN"/>
    <n v="1"/>
    <n v="431.04"/>
  </r>
  <r>
    <x v="10"/>
    <s v="22/01/2026"/>
    <x v="14"/>
    <s v="7502214982439"/>
    <s v="Condon Extra Time Retardante 3 pzs - PRUDENCE"/>
    <s v="CONSUMIBLE"/>
    <s v="PRUDENCE"/>
    <n v="1"/>
    <n v="77.59"/>
  </r>
  <r>
    <x v="10"/>
    <s v="22/01/2026"/>
    <x v="14"/>
    <s v="7502214980060"/>
    <s v="CONDON TRUST SENSITIVO CON 3 MAQ - PRUDENCE"/>
    <s v="CONSUMIBLE"/>
    <s v="PRUDENCE"/>
    <n v="1"/>
    <n v="77.59"/>
  </r>
  <r>
    <x v="10"/>
    <s v="22/01/2026"/>
    <x v="14"/>
    <s v="CON01CH03600175B"/>
    <s v="Conjunto Aranza 75B negro"/>
    <s v="LENCERIA PROPIA"/>
    <s v="OLA MOU"/>
    <n v="1"/>
    <n v="489.22"/>
  </r>
  <r>
    <x v="10"/>
    <s v="22/01/2026"/>
    <x v="14"/>
    <s v="7503050524265"/>
    <s v="He Plus 30ml - DUSA"/>
    <s v="CONSUMIBLE PROPIO"/>
    <s v="DUSA"/>
    <n v="1"/>
    <n v="431.03"/>
  </r>
  <r>
    <x v="10"/>
    <s v="22/01/2026"/>
    <x v="14"/>
    <s v="7503043917005"/>
    <s v="Liquid Love Clear 30ml - DUSA"/>
    <s v="CONSUMIBLE PROPIO"/>
    <s v="DUSA"/>
    <n v="1"/>
    <n v="301.72000000000003"/>
  </r>
  <r>
    <x v="10"/>
    <s v="22/01/2026"/>
    <x v="14"/>
    <s v="7503013378645"/>
    <s v="Liquid Love Pleasure 100ml - DUSA"/>
    <s v="CONSUMIBLE PROPIO"/>
    <s v="DUSA"/>
    <n v="1"/>
    <n v="775.86"/>
  </r>
  <r>
    <x v="10"/>
    <s v="22/01/2026"/>
    <x v="14"/>
    <s v="7503020596957"/>
    <s v="Shot Shumatsu Fun Hombre - DUSA"/>
    <s v="CONSUMIBLE PROPIO"/>
    <s v="DUSA"/>
    <n v="2"/>
    <n v="344.82"/>
  </r>
  <r>
    <x v="10"/>
    <s v="22/01/2026"/>
    <x v="14"/>
    <s v="7503024256192"/>
    <s v="Shot Shumatsu Fun Mujer - DUSA"/>
    <s v="CONSUMIBLE PROPIO"/>
    <s v="DUSA"/>
    <n v="1"/>
    <n v="172.41"/>
  </r>
  <r>
    <x v="10"/>
    <s v="22/01/2026"/>
    <x v="14"/>
    <s v="7503013378690"/>
    <s v="Shumatsu 3 pzas - DUSA"/>
    <s v="CONSUMIBLE PROPIO"/>
    <s v="DUSA"/>
    <n v="2"/>
    <n v="1155.18"/>
  </r>
  <r>
    <x v="10"/>
    <s v="23/01/2026"/>
    <x v="14"/>
    <s v="7503020420814"/>
    <s v="Bomba de vacio manual Noah - CXO"/>
    <s v="JUGUETE PROPIO"/>
    <s v="CXO"/>
    <n v="1"/>
    <n v="818.97"/>
  </r>
  <r>
    <x v="10"/>
    <s v="23/01/2026"/>
    <x v="14"/>
    <s v="7503043917562"/>
    <s v="Huevo masturbador stepper - EGG"/>
    <s v="JUGUETE"/>
    <s v="EGG"/>
    <n v="1"/>
    <n v="159.47999999999999"/>
  </r>
  <r>
    <x v="10"/>
    <s v="23/01/2026"/>
    <x v="14"/>
    <s v="7503024256154"/>
    <s v="Lubricante Body Surf Termico Cereza DUSA 60ml"/>
    <s v="CONSUMIBLE PROPIO"/>
    <s v="DUSA"/>
    <n v="1"/>
    <n v="387.93"/>
  </r>
  <r>
    <x v="10"/>
    <s v="23/01/2026"/>
    <x v="14"/>
    <s v="7503020596957"/>
    <s v="Shot Shumatsu Fun Hombre - DUSA"/>
    <s v="CONSUMIBLE PROPIO"/>
    <s v="DUSA"/>
    <n v="1"/>
    <n v="172.41"/>
  </r>
  <r>
    <x v="10"/>
    <s v="23/01/2026"/>
    <x v="14"/>
    <s v="7503024256192"/>
    <s v="Shot Shumatsu Fun Mujer - DUSA"/>
    <s v="CONSUMIBLE PROPIO"/>
    <s v="DUSA"/>
    <n v="1"/>
    <n v="172.41"/>
  </r>
  <r>
    <x v="10"/>
    <s v="24/01/2026"/>
    <x v="14"/>
    <s v="7503043917081"/>
    <s v="Blade rosa anillo vibrador - CXO"/>
    <s v="JUGUETE PROPIO"/>
    <s v="CXO"/>
    <n v="2"/>
    <n v="163.80000000000001"/>
  </r>
  <r>
    <x v="10"/>
    <s v="24/01/2026"/>
    <x v="14"/>
    <s v="7502214985386"/>
    <s v="CONDON EXTRA PLEASURE C/3 -PRUDENCE"/>
    <s v="CONSUMIBLE"/>
    <s v="PRUDENCE"/>
    <n v="1"/>
    <n v="77.59"/>
  </r>
  <r>
    <x v="10"/>
    <s v="24/01/2026"/>
    <x v="14"/>
    <s v="75037628"/>
    <s v="Dulces Garganta Profunda 2 piezas Sabor Fresa - SXO"/>
    <s v="CONSUMIBLE"/>
    <s v="SXO"/>
    <n v="1"/>
    <n v="120.69"/>
  </r>
  <r>
    <x v="10"/>
    <s v="24/01/2026"/>
    <x v="14"/>
    <s v="7503023462242"/>
    <s v="Lubricante Masaje Termico Comestible Uva Dulce FEEL LOVE 4 en 1 60ml"/>
    <s v="LUBRICANTE"/>
    <s v="FEEL LOVE"/>
    <n v="1"/>
    <n v="344.83"/>
  </r>
  <r>
    <x v="10"/>
    <s v="24/01/2026"/>
    <x v="14"/>
    <s v="7503024256192"/>
    <s v="Shot Shumatsu Fun Mujer - DUSA"/>
    <s v="CONSUMIBLE PROPIO"/>
    <s v="DUSA"/>
    <n v="1"/>
    <n v="172.41"/>
  </r>
  <r>
    <x v="10"/>
    <s v="24/01/2026"/>
    <x v="14"/>
    <s v="7503032300443"/>
    <s v="Zoe bala vibradora RETAIL - CXO"/>
    <s v="JUGUETE PROPIO"/>
    <s v="CXO"/>
    <n v="2"/>
    <n v="310.33999999999997"/>
  </r>
  <r>
    <x v="10"/>
    <s v="25/01/2026"/>
    <x v="14"/>
    <s v="7503030211021"/>
    <s v="Anillo desechable para pene Donut - CXO"/>
    <s v="JUGUETE PROPIO"/>
    <s v="CXO"/>
    <n v="1"/>
    <n v="34.479999999999997"/>
  </r>
  <r>
    <x v="10"/>
    <s v="25/01/2026"/>
    <x v="14"/>
    <s v="4560220551448"/>
    <s v="Masturbador en huevo Crater - TENGA"/>
    <s v="JUGUETE"/>
    <s v="TENGA"/>
    <n v="1"/>
    <n v="301.72000000000003"/>
  </r>
  <r>
    <x v="10"/>
    <s v="26/01/2026"/>
    <x v="14"/>
    <s v="7503023462556"/>
    <s v="LUBRICANTE COLD EFFECTS 60ML"/>
    <s v="CONSUMIBLE"/>
    <s v="FEEL LOVE"/>
    <n v="1"/>
    <n v="267.24"/>
  </r>
  <r>
    <x v="10"/>
    <s v="26/01/2026"/>
    <x v="14"/>
    <s v="7503013378010"/>
    <s v="Rigidex 2 pzas - DUSA"/>
    <s v="CONSUMIBLE PROPIO"/>
    <s v="DUSA"/>
    <n v="1"/>
    <n v="431.03"/>
  </r>
  <r>
    <x v="10"/>
    <s v="27/01/2026"/>
    <x v="14"/>
    <s v="4630017970018"/>
    <s v="Alargador de Pene Titan Gel 50 ml"/>
    <s v="CONSUMIBLE"/>
    <s v="TITAN"/>
    <n v="1"/>
    <n v="594.83000000000004"/>
  </r>
  <r>
    <x v="10"/>
    <s v="27/01/2026"/>
    <x v="14"/>
    <s v="7503043917081"/>
    <s v="Blade rosa anillo vibrador - CXO"/>
    <s v="JUGUETE PROPIO"/>
    <s v="CXO"/>
    <n v="1"/>
    <n v="81.900000000000006"/>
  </r>
  <r>
    <x v="10"/>
    <s v="27/01/2026"/>
    <x v="14"/>
    <s v="7503014914002"/>
    <s v="CAPSULAS MULTIORGASMICO AMO O-GEN"/>
    <s v="CONSUMIBLE"/>
    <s v="POWER MAN"/>
    <n v="1"/>
    <n v="431.04"/>
  </r>
  <r>
    <x v="10"/>
    <s v="27/01/2026"/>
    <x v="14"/>
    <s v="7503024256154"/>
    <s v="Lubricante Body Surf Termico Cereza DUSA 60ml"/>
    <s v="CONSUMIBLE PROPIO"/>
    <s v="DUSA"/>
    <n v="1"/>
    <n v="387.93"/>
  </r>
  <r>
    <x v="10"/>
    <s v="27/01/2026"/>
    <x v="14"/>
    <s v="7503013378799"/>
    <s v="Lubricante Body Surf Termico Citricos DUSA 60ml"/>
    <s v="CONSUMIBLE PROPIO"/>
    <s v="DUSA"/>
    <n v="1"/>
    <n v="387.93"/>
  </r>
  <r>
    <x v="10"/>
    <s v="27/01/2026"/>
    <x v="14"/>
    <s v="7503032300856"/>
    <s v="Sachet vibrador liquido 2 ml - BANANA SHAKE"/>
    <s v="CONSUMIBLE"/>
    <s v="BANANA SHAKE"/>
    <n v="5"/>
    <n v="86.2"/>
  </r>
  <r>
    <x v="10"/>
    <s v="27/01/2026"/>
    <x v="14"/>
    <s v="7503013378690"/>
    <s v="Shumatsu 3 pzas - DUSA"/>
    <s v="CONSUMIBLE PROPIO"/>
    <s v="DUSA"/>
    <n v="2"/>
    <n v="1155.18"/>
  </r>
  <r>
    <x v="10"/>
    <s v="27/01/2026"/>
    <x v="14"/>
    <s v="7503032300443"/>
    <s v="Zoe bala vibradora RETAIL - CXO"/>
    <s v="JUGUETE PROPIO"/>
    <s v="CXO"/>
    <n v="1"/>
    <n v="155.16999999999999"/>
  </r>
  <r>
    <x v="10"/>
    <s v="28/01/2026"/>
    <x v="14"/>
    <s v="7503013378010"/>
    <s v="Rigidex 2 pzas - DUSA"/>
    <s v="CONSUMIBLE PROPIO"/>
    <s v="DUSA"/>
    <n v="1"/>
    <n v="431.03"/>
  </r>
  <r>
    <x v="10"/>
    <s v="28/01/2026"/>
    <x v="14"/>
    <s v="7503032300856"/>
    <s v="Sachet vibrador liquido 2 ml - BANANA SHAKE"/>
    <s v="CONSUMIBLE"/>
    <s v="BANANA SHAKE"/>
    <n v="5"/>
    <n v="86.2"/>
  </r>
  <r>
    <x v="10"/>
    <s v="28/01/2026"/>
    <x v="14"/>
    <s v="7503013378690"/>
    <s v="Shumatsu 3 pzas - DUSA"/>
    <s v="CONSUMIBLE PROPIO"/>
    <s v="DUSA"/>
    <n v="3"/>
    <n v="1732.77"/>
  </r>
  <r>
    <x v="10"/>
    <s v="29/01/2026"/>
    <x v="14"/>
    <s v="7503050226132"/>
    <s v="Body Carla - OLA MOU"/>
    <s v="LENCERIA PROPIA"/>
    <s v="OLA MOU"/>
    <n v="1"/>
    <n v="431.03"/>
  </r>
  <r>
    <x v="10"/>
    <s v="29/01/2026"/>
    <x v="14"/>
    <s v="7503024256758"/>
    <s v="Cola de Zorro 45cm lila S - CXO"/>
    <s v="JUGUETE PROPIO"/>
    <s v="CXO"/>
    <n v="1"/>
    <n v="258.62"/>
  </r>
  <r>
    <x v="10"/>
    <s v="30/01/2026"/>
    <x v="5"/>
    <s v="7508304288917"/>
    <s v="Aceite de Almendras 130ml EROTICA -DIAMANTE"/>
    <s v="CONSUMIBLE"/>
    <s v="DIAMANTE"/>
    <n v="1"/>
    <n v="448.28"/>
  </r>
  <r>
    <x v="10"/>
    <s v="30/01/2026"/>
    <x v="5"/>
    <s v="6970556033477"/>
    <s v="Bala vibradora recargable Elisa– CXO"/>
    <s v="JUGUETE PROPIO"/>
    <s v="CXO"/>
    <n v="1"/>
    <n v="793.1"/>
  </r>
  <r>
    <x v="10"/>
    <s v="30/01/2026"/>
    <x v="5"/>
    <s v="7503050226162"/>
    <s v="Plug Anal con Vibración y Control Roberto - CXO"/>
    <s v="JUGUETE PROPIO"/>
    <s v="CXO"/>
    <n v="1"/>
    <n v="1293.0999999999999"/>
  </r>
  <r>
    <x v="10"/>
    <s v="30/01/2026"/>
    <x v="5"/>
    <s v="7503020596957"/>
    <s v="Shot Shumatsu Fun Hombre - DUSA"/>
    <s v="CONSUMIBLE PROPIO"/>
    <s v="DUSA"/>
    <n v="1"/>
    <n v="172.41"/>
  </r>
  <r>
    <x v="10"/>
    <s v="30/01/2026"/>
    <x v="5"/>
    <s v="CBD"/>
    <s v="SUNNY SIDE UP CBD HIPOALERGENICO 10ml"/>
    <s v="CONSUMIBLE"/>
    <s v="SUNNY SIDE UP"/>
    <n v="1"/>
    <n v="301.72000000000003"/>
  </r>
  <r>
    <x v="10"/>
    <s v="30/01/2026"/>
    <x v="5"/>
    <s v="7503032300443"/>
    <s v="Zoe bala vibradora RETAIL - CXO"/>
    <s v="JUGUETE PROPIO"/>
    <s v="CXO"/>
    <n v="1"/>
    <n v="155.16999999999999"/>
  </r>
  <r>
    <x v="10"/>
    <s v="31/01/2026"/>
    <x v="14"/>
    <s v="7503020111072"/>
    <s v="Anillo vibrador recargable con textura negra Hank - CXO"/>
    <s v="JUGUETE PROPIO"/>
    <s v="CXO"/>
    <n v="1"/>
    <n v="1267.24"/>
  </r>
  <r>
    <x v="10"/>
    <s v="31/01/2026"/>
    <x v="14"/>
    <s v="7503043917081"/>
    <s v="Blade rosa anillo vibrador - CXO"/>
    <s v="JUGUETE PROPIO"/>
    <s v="CXO"/>
    <n v="1"/>
    <n v="81.900000000000006"/>
  </r>
  <r>
    <x v="10"/>
    <s v="31/01/2026"/>
    <x v="14"/>
    <s v="7502214980015"/>
    <s v="Condon Clasico 3 pzs - PRUDENCE"/>
    <s v="CONSUMIBLE"/>
    <s v="PRUDENCE"/>
    <n v="1"/>
    <n v="60.34"/>
  </r>
  <r>
    <x v="10"/>
    <s v="31/01/2026"/>
    <x v="14"/>
    <s v="7502214982439"/>
    <s v="Condon Extra Time Retardante 3 pzs - PRUDENCE"/>
    <s v="CONSUMIBLE"/>
    <s v="PRUDENCE"/>
    <n v="1"/>
    <n v="77.59"/>
  </r>
  <r>
    <x v="10"/>
    <s v="31/01/2026"/>
    <x v="14"/>
    <s v="7503024256154"/>
    <s v="Lubricante Body Surf Termico Cereza DUSA 60ml"/>
    <s v="CONSUMIBLE PROPIO"/>
    <s v="DUSA"/>
    <n v="1"/>
    <n v="387.93"/>
  </r>
  <r>
    <x v="10"/>
    <s v="31/01/2026"/>
    <x v="14"/>
    <s v="6959633103494"/>
    <s v="Mora Neo multiorgasmico rosa - SVAKOM"/>
    <s v="JUGUETE"/>
    <s v="SVAKOM"/>
    <n v="1"/>
    <n v="1637.93"/>
  </r>
  <r>
    <x v="10"/>
    <s v="31/01/2026"/>
    <x v="14"/>
    <s v="7503020596957"/>
    <s v="Shot Shumatsu Fun Hombre - DUSA"/>
    <s v="CONSUMIBLE PROPIO"/>
    <s v="DUSA"/>
    <n v="1"/>
    <n v="172.41"/>
  </r>
  <r>
    <x v="10"/>
    <s v="31/01/2026"/>
    <x v="14"/>
    <s v="7503024256192"/>
    <s v="Shot Shumatsu Fun Mujer - DUSA"/>
    <s v="CONSUMIBLE PROPIO"/>
    <s v="DUSA"/>
    <n v="1"/>
    <n v="172.41"/>
  </r>
  <r>
    <x v="11"/>
    <s v="02/01/2026"/>
    <x v="15"/>
    <s v="7503032300887"/>
    <s v="Anahi L - CXO"/>
    <s v="JUGUETE PROPIO"/>
    <s v="CXO"/>
    <n v="1"/>
    <n v="521.54999999999995"/>
  </r>
  <r>
    <x v="11"/>
    <s v="02/01/2026"/>
    <x v="15"/>
    <s v="7503014914002"/>
    <s v="CAPSULAS MULTIORGASMICO AMO O-GEN"/>
    <s v="CONSUMIBLE"/>
    <s v="POWER MAN"/>
    <n v="1"/>
    <n v="431.04"/>
  </r>
  <r>
    <x v="11"/>
    <s v="02/01/2026"/>
    <x v="15"/>
    <s v="7503013378492"/>
    <s v="Clean Whisper 120ml - DUSA"/>
    <s v="CONSUMIBLE PROPIO"/>
    <s v="DUSA"/>
    <n v="1"/>
    <n v="301.72000000000003"/>
  </r>
  <r>
    <x v="11"/>
    <s v="02/01/2026"/>
    <x v="15"/>
    <s v="7502214982491"/>
    <s v="CONDON PRUDENCE EXTRA TIME UVA"/>
    <s v="CONSUMIBLE"/>
    <s v="PRUDENCE"/>
    <n v="1"/>
    <n v="60.34"/>
  </r>
  <r>
    <x v="11"/>
    <s v="02/01/2026"/>
    <x v="15"/>
    <s v="7503032300252"/>
    <s v="Dildo Nebulosa - CXO"/>
    <s v="JUGUETE PROPIO"/>
    <s v="CXO"/>
    <n v="1"/>
    <n v="474.14"/>
  </r>
  <r>
    <x v="11"/>
    <s v="02/01/2026"/>
    <x v="15"/>
    <s v="855215007654"/>
    <s v="Dildo Realista 8&quot; Cocolate - Blush"/>
    <s v="JUGUETE"/>
    <s v="BLUSH"/>
    <n v="1"/>
    <n v="1896.55"/>
  </r>
  <r>
    <x v="11"/>
    <s v="02/01/2026"/>
    <x v="15"/>
    <s v="7503020310205"/>
    <s v="Dildo Vibrador Termico Realista 3 en 1 con movimiento Hades-CXO"/>
    <s v="JUGUETE PROPIO"/>
    <s v="CXO"/>
    <n v="1"/>
    <n v="2500"/>
  </r>
  <r>
    <x v="11"/>
    <s v="02/01/2026"/>
    <x v="15"/>
    <s v="75037543"/>
    <s v="Dulce Estimulante Sexual Sabor Fresa  2 piezas - SXO"/>
    <s v="CONSUMIBLE"/>
    <s v="SXO"/>
    <n v="1"/>
    <n v="120.69"/>
  </r>
  <r>
    <x v="11"/>
    <s v="02/01/2026"/>
    <x v="15"/>
    <s v="FM1001"/>
    <s v="FEROMONAS DIAMANTE CONCENTRADO MUJER"/>
    <s v="CONSUMIBLE"/>
    <s v="DIAMANTE"/>
    <n v="1"/>
    <n v="413.79"/>
  </r>
  <r>
    <x v="11"/>
    <s v="02/01/2026"/>
    <x v="15"/>
    <s v="7503050524265"/>
    <s v="He Plus 30ml - DUSA"/>
    <s v="CONSUMIBLE PROPIO"/>
    <s v="DUSA"/>
    <n v="1"/>
    <n v="431.03"/>
  </r>
  <r>
    <x v="11"/>
    <s v="02/01/2026"/>
    <x v="15"/>
    <s v="7503043917524"/>
    <s v="Kit Lisboa 8 pzs - CXO"/>
    <s v="JUGUETE PROPIO"/>
    <s v="CXO"/>
    <n v="1"/>
    <n v="465.52"/>
  </r>
  <r>
    <x v="11"/>
    <s v="02/01/2026"/>
    <x v="15"/>
    <s v="7503013378645"/>
    <s v="Liquid Love Pleasure 100ml - DUSA"/>
    <s v="CONSUMIBLE PROPIO"/>
    <s v="DUSA"/>
    <n v="1"/>
    <n v="775.86"/>
  </r>
  <r>
    <x v="11"/>
    <s v="02/01/2026"/>
    <x v="15"/>
    <s v="7503024256154"/>
    <s v="Lubricante Body Surf Termico Cereza DUSA 60ml"/>
    <s v="CONSUMIBLE PROPIO"/>
    <s v="DUSA"/>
    <n v="1"/>
    <n v="387.93"/>
  </r>
  <r>
    <x v="11"/>
    <s v="02/01/2026"/>
    <x v="15"/>
    <s v="7503023462204"/>
    <s v="Lubricante Masaje Térmico Comestible Manzana del Edén FEEL LOVE 4 en 1 - 60ml"/>
    <s v="LUBRICANTE"/>
    <s v="FEEL LOVE"/>
    <n v="1"/>
    <n v="344.83"/>
  </r>
  <r>
    <x v="11"/>
    <s v="02/01/2026"/>
    <x v="15"/>
    <s v="8699415912859"/>
    <s v="Miel Vigorizante para Hombre  Miracle Honey  VIP 15g-  SECRET MIRACLE HONEY"/>
    <s v="CONSUMIBLE"/>
    <s v="SECRET MIRACLE HONEY"/>
    <n v="1"/>
    <n v="215.52"/>
  </r>
  <r>
    <x v="11"/>
    <s v="02/01/2026"/>
    <x v="15"/>
    <s v="716770101662"/>
    <s v="Muñeco Inflable Entrenador Personal - CALEX"/>
    <s v="OTRO"/>
    <s v="CALEXOTICS"/>
    <n v="1"/>
    <n v="939.66"/>
  </r>
  <r>
    <x v="11"/>
    <s v="02/01/2026"/>
    <x v="15"/>
    <s v="7503050524241"/>
    <s v="Orgasmik 30ml - DUSA"/>
    <s v="CONSUMIBLE PROPIO"/>
    <s v="DUSA"/>
    <n v="1"/>
    <n v="431.03"/>
  </r>
  <r>
    <x v="11"/>
    <s v="02/01/2026"/>
    <x v="15"/>
    <s v="7503013378010"/>
    <s v="Rigidex 2 pzas - DUSA"/>
    <s v="CONSUMIBLE PROPIO"/>
    <s v="DUSA"/>
    <n v="3"/>
    <n v="1293.0999999999999"/>
  </r>
  <r>
    <x v="11"/>
    <s v="02/01/2026"/>
    <x v="15"/>
    <s v="7503032300795"/>
    <s v="Sachet lubricante desensibilizador 2 ml - BANANA SHAKE"/>
    <s v="CONSUMIBLE"/>
    <s v="BANANA SHAKE"/>
    <n v="10"/>
    <n v="215.5"/>
  </r>
  <r>
    <x v="11"/>
    <s v="02/01/2026"/>
    <x v="15"/>
    <s v="7503032300856"/>
    <s v="Sachet vibrador liquido 2 ml - BANANA SHAKE"/>
    <s v="CONSUMIBLE"/>
    <s v="BANANA SHAKE"/>
    <n v="2"/>
    <n v="34.479999999999997"/>
  </r>
  <r>
    <x v="11"/>
    <s v="02/01/2026"/>
    <x v="15"/>
    <s v="7503024256192"/>
    <s v="Shot Shumatsu Fun Mujer - DUSA"/>
    <s v="CONSUMIBLE PROPIO"/>
    <s v="DUSA"/>
    <n v="1"/>
    <n v="172.41"/>
  </r>
  <r>
    <x v="11"/>
    <s v="02/01/2026"/>
    <x v="15"/>
    <s v="7503020104075"/>
    <s v="Vibrador multiorgásmico texturizado con succionador de clítoris Yeni - CXO"/>
    <s v="JUGUETE PROPIO"/>
    <s v="CXO"/>
    <n v="1"/>
    <n v="2465.52"/>
  </r>
  <r>
    <x v="11"/>
    <s v="03/01/2026"/>
    <x v="15"/>
    <s v="7503050524265"/>
    <s v="He Plus 30ml - DUSA"/>
    <s v="CONSUMIBLE PROPIO"/>
    <s v="DUSA"/>
    <n v="1"/>
    <n v="431.03"/>
  </r>
  <r>
    <x v="11"/>
    <s v="03/01/2026"/>
    <x v="15"/>
    <s v="7503032300993"/>
    <s v="Liquid Love Pleasure 30ml - DUSA"/>
    <s v="CONSUMIBLE PROPIO"/>
    <s v="DUSA"/>
    <n v="1"/>
    <n v="301.72000000000003"/>
  </r>
  <r>
    <x v="11"/>
    <s v="03/01/2026"/>
    <x v="15"/>
    <s v="7503013378980"/>
    <s v="Lubricante Body Surf Termico Chicle DUSA 60ml"/>
    <s v="CONSUMIBLE PROPIO"/>
    <s v="DUSA"/>
    <n v="1"/>
    <n v="387.93"/>
  </r>
  <r>
    <x v="11"/>
    <s v="03/01/2026"/>
    <x v="15"/>
    <s v="7503020596063"/>
    <s v="Stallion Regenerador - DUSA"/>
    <s v="CONSUMIBLE PROPIO"/>
    <s v="DUSA"/>
    <n v="2"/>
    <n v="2586.1999999999998"/>
  </r>
  <r>
    <x v="11"/>
    <s v="04/01/2026"/>
    <x v="15"/>
    <s v="MBS0530"/>
    <s v="Esposas de broche - CXO"/>
    <s v="JUGUETE PROPIO"/>
    <s v="CXO"/>
    <n v="1"/>
    <n v="172.41"/>
  </r>
  <r>
    <x v="11"/>
    <s v="04/01/2026"/>
    <x v="15"/>
    <s v="7503020596001"/>
    <s v="Liquid Love Clear 100ml - DUSA"/>
    <s v="CONSUMIBLE PROPIO"/>
    <s v="DUSA"/>
    <n v="1"/>
    <n v="775.86"/>
  </r>
  <r>
    <x v="11"/>
    <s v="04/01/2026"/>
    <x v="15"/>
    <s v="7503020596957"/>
    <s v="Shot Shumatsu Fun Hombre - DUSA"/>
    <s v="CONSUMIBLE PROPIO"/>
    <s v="DUSA"/>
    <n v="2"/>
    <n v="344.82"/>
  </r>
  <r>
    <x v="11"/>
    <s v="05/01/2026"/>
    <x v="15"/>
    <s v="7503043917081"/>
    <s v="Blade rosa anillo vibrador - CXO"/>
    <s v="JUGUETE PROPIO"/>
    <s v="CXO"/>
    <n v="1"/>
    <n v="81.900000000000006"/>
  </r>
  <r>
    <x v="11"/>
    <s v="05/01/2026"/>
    <x v="15"/>
    <s v="7503020310205"/>
    <s v="Dildo Vibrador Termico Realista 3 en 1 con movimiento Hades-CXO"/>
    <s v="JUGUETE PROPIO"/>
    <s v="CXO"/>
    <n v="1"/>
    <n v="2500"/>
  </r>
  <r>
    <x v="11"/>
    <s v="05/01/2026"/>
    <x v="15"/>
    <s v="4560220552780"/>
    <s v="MASTURBADOR TENGA EGGS HARD BOILED SURFER TENGA"/>
    <s v="JUGUETE"/>
    <s v="TENGA"/>
    <n v="1"/>
    <n v="301.72000000000003"/>
  </r>
  <r>
    <x v="11"/>
    <s v="05/01/2026"/>
    <x v="15"/>
    <s v="8699415912859"/>
    <s v="Miel Vigorizante para Hombre  Miracle Honey  VIP 15g-  SECRET MIRACLE HONEY"/>
    <s v="CONSUMIBLE"/>
    <s v="SECRET MIRACLE HONEY"/>
    <n v="1"/>
    <n v="215.52"/>
  </r>
  <r>
    <x v="11"/>
    <s v="06/01/2026"/>
    <x v="15"/>
    <s v="7503013378102"/>
    <s v="Anastasia Gema de Colores M - CXO"/>
    <s v="JUGUETE PROPIO"/>
    <s v="CXO"/>
    <n v="1"/>
    <n v="456.9"/>
  </r>
  <r>
    <x v="11"/>
    <s v="06/01/2026"/>
    <x v="15"/>
    <s v="FM1002"/>
    <s v="FEROMONAS DIAMANTE CONCENTRADO HOMBRE"/>
    <s v="CONSUMIBLE"/>
    <s v="DIAMANTE"/>
    <n v="1"/>
    <n v="413.79"/>
  </r>
  <r>
    <x v="11"/>
    <s v="06/01/2026"/>
    <x v="15"/>
    <s v="7502235091615"/>
    <s v="Miel Estimulante Mujer 18ml"/>
    <s v="CONSUMIBLE"/>
    <s v="SXO"/>
    <n v="1"/>
    <n v="301.72000000000003"/>
  </r>
  <r>
    <x v="11"/>
    <s v="06/01/2026"/>
    <x v="15"/>
    <s v="8699415912859"/>
    <s v="Miel Vigorizante para Hombre  Miracle Honey  VIP 15g-  SECRET MIRACLE HONEY"/>
    <s v="CONSUMIBLE"/>
    <s v="SECRET MIRACLE HONEY"/>
    <n v="4"/>
    <n v="862.08"/>
  </r>
  <r>
    <x v="11"/>
    <s v="07/01/2026"/>
    <x v="15"/>
    <s v="75037420"/>
    <s v="Dulce Estimulante Sexual Sabor Menta 2 piezas - SXO"/>
    <s v="CONSUMIBLE"/>
    <s v="SXO"/>
    <n v="1"/>
    <n v="120.69"/>
  </r>
  <r>
    <x v="11"/>
    <s v="07/01/2026"/>
    <x v="15"/>
    <s v="7503013378645"/>
    <s v="Liquid Love Pleasure 100ml - DUSA"/>
    <s v="CONSUMIBLE PROPIO"/>
    <s v="DUSA"/>
    <n v="1"/>
    <n v="775.86"/>
  </r>
  <r>
    <x v="11"/>
    <s v="07/01/2026"/>
    <x v="15"/>
    <s v="827160100773"/>
    <s v="Lubricante original super concentrated 100 ml - PJUR"/>
    <s v="CONSUMIBLE"/>
    <s v="PJUR"/>
    <n v="1"/>
    <n v="775.86"/>
  </r>
  <r>
    <x v="11"/>
    <s v="07/01/2026"/>
    <x v="15"/>
    <s v="8699415912859"/>
    <s v="Miel Vigorizante para Hombre  Miracle Honey  VIP 15g-  SECRET MIRACLE HONEY"/>
    <s v="CONSUMIBLE"/>
    <s v="SECRET MIRACLE HONEY"/>
    <n v="1"/>
    <n v="215.52"/>
  </r>
  <r>
    <x v="11"/>
    <s v="07/01/2026"/>
    <x v="15"/>
    <s v="7503032300856"/>
    <s v="Sachet vibrador liquido 2 ml - BANANA SHAKE"/>
    <s v="CONSUMIBLE"/>
    <s v="BANANA SHAKE"/>
    <n v="11"/>
    <n v="189.64"/>
  </r>
  <r>
    <x v="11"/>
    <s v="07/01/2026"/>
    <x v="15"/>
    <s v="7503020596957"/>
    <s v="Shot Shumatsu Fun Hombre - DUSA"/>
    <s v="CONSUMIBLE PROPIO"/>
    <s v="DUSA"/>
    <n v="1"/>
    <n v="172.41"/>
  </r>
  <r>
    <x v="11"/>
    <s v="08/01/2026"/>
    <x v="5"/>
    <s v="7503050524265"/>
    <s v="He Plus 30ml - DUSA"/>
    <s v="CONSUMIBLE PROPIO"/>
    <s v="DUSA"/>
    <n v="1"/>
    <n v="431.03"/>
  </r>
  <r>
    <x v="11"/>
    <s v="08/01/2026"/>
    <x v="5"/>
    <s v="7503024256154"/>
    <s v="Lubricante Body Surf Termico Cereza DUSA 60ml"/>
    <s v="CONSUMIBLE PROPIO"/>
    <s v="DUSA"/>
    <n v="1"/>
    <n v="387.93"/>
  </r>
  <r>
    <x v="11"/>
    <s v="08/01/2026"/>
    <x v="5"/>
    <s v="7503050524241"/>
    <s v="Orgasmik 30ml - DUSA"/>
    <s v="CONSUMIBLE PROPIO"/>
    <s v="DUSA"/>
    <n v="1"/>
    <n v="431.03"/>
  </r>
  <r>
    <x v="11"/>
    <s v="08/01/2026"/>
    <x v="5"/>
    <s v="7503030104030"/>
    <s v="Vibrador multiorgasmico para parejas Eva - CXO"/>
    <s v="JUGUETE PROPIO"/>
    <s v="CXO"/>
    <n v="1"/>
    <n v="2982.76"/>
  </r>
  <r>
    <x v="11"/>
    <s v="09/01/2026"/>
    <x v="15"/>
    <s v="7503043917081"/>
    <s v="Blade rosa anillo vibrador - CXO"/>
    <s v="JUGUETE PROPIO"/>
    <s v="CXO"/>
    <n v="1"/>
    <n v="81.900000000000006"/>
  </r>
  <r>
    <x v="11"/>
    <s v="09/01/2026"/>
    <x v="15"/>
    <s v="7503013378492"/>
    <s v="Clean Whisper 120ml - DUSA"/>
    <s v="CONSUMIBLE PROPIO"/>
    <s v="DUSA"/>
    <n v="1"/>
    <n v="301.72000000000003"/>
  </r>
  <r>
    <x v="11"/>
    <s v="09/01/2026"/>
    <x v="15"/>
    <s v="7502214985386"/>
    <s v="CONDON EXTRA PLEASURE C/3 -PRUDENCE"/>
    <s v="CONSUMIBLE"/>
    <s v="PRUDENCE"/>
    <n v="1"/>
    <n v="77.59"/>
  </r>
  <r>
    <x v="11"/>
    <s v="09/01/2026"/>
    <x v="15"/>
    <s v="7502214985362"/>
    <s v="CONDON MUTUAL SENSATION C/3 - PRUDENCE"/>
    <s v="CONSUMIBLE"/>
    <s v="PRUDENCE"/>
    <n v="1"/>
    <n v="77.59"/>
  </r>
  <r>
    <x v="11"/>
    <s v="09/01/2026"/>
    <x v="15"/>
    <s v="75037420"/>
    <s v="Dulce Estimulante Sexual Sabor Menta 2 piezas - SXO"/>
    <s v="CONSUMIBLE"/>
    <s v="SXO"/>
    <n v="1"/>
    <n v="120.69"/>
  </r>
  <r>
    <x v="11"/>
    <s v="09/01/2026"/>
    <x v="15"/>
    <s v="7503013378980"/>
    <s v="Lubricante Body Surf Termico Chicle DUSA 60ml"/>
    <s v="CONSUMIBLE PROPIO"/>
    <s v="DUSA"/>
    <n v="1"/>
    <n v="387.93"/>
  </r>
  <r>
    <x v="11"/>
    <s v="09/01/2026"/>
    <x v="15"/>
    <s v="7502235091615"/>
    <s v="Miel Estimulante Mujer 18ml"/>
    <s v="CONSUMIBLE"/>
    <s v="SXO"/>
    <n v="1"/>
    <n v="301.72000000000003"/>
  </r>
  <r>
    <x v="11"/>
    <s v="09/01/2026"/>
    <x v="15"/>
    <s v="75079413"/>
    <s v="Mini Kit Hombre 3 piezas - SXO"/>
    <s v="CONSUMIBLE"/>
    <s v="SXO"/>
    <n v="1"/>
    <n v="284.48"/>
  </r>
  <r>
    <x v="11"/>
    <s v="09/01/2026"/>
    <x v="15"/>
    <s v="7503013378010"/>
    <s v="Rigidex 2 pzas - DUSA"/>
    <s v="CONSUMIBLE PROPIO"/>
    <s v="DUSA"/>
    <n v="2"/>
    <n v="862.06"/>
  </r>
  <r>
    <x v="11"/>
    <s v="09/01/2026"/>
    <x v="15"/>
    <s v="7503032300795"/>
    <s v="Sachet lubricante desensibilizador 2 ml - BANANA SHAKE"/>
    <s v="CONSUMIBLE"/>
    <s v="BANANA SHAKE"/>
    <n v="10"/>
    <n v="215.5"/>
  </r>
  <r>
    <x v="11"/>
    <s v="09/01/2026"/>
    <x v="15"/>
    <s v="7503032300856"/>
    <s v="Sachet vibrador liquido 2 ml - BANANA SHAKE"/>
    <s v="CONSUMIBLE"/>
    <s v="BANANA SHAKE"/>
    <n v="2"/>
    <n v="34.479999999999997"/>
  </r>
  <r>
    <x v="11"/>
    <s v="09/01/2026"/>
    <x v="15"/>
    <s v="7503020596957"/>
    <s v="Shot Shumatsu Fun Hombre - DUSA"/>
    <s v="CONSUMIBLE PROPIO"/>
    <s v="DUSA"/>
    <n v="1"/>
    <n v="172.41"/>
  </r>
  <r>
    <x v="11"/>
    <s v="09/01/2026"/>
    <x v="15"/>
    <s v="7503032300443"/>
    <s v="Zoe bala vibradora RETAIL - CXO"/>
    <s v="JUGUETE PROPIO"/>
    <s v="CXO"/>
    <n v="2"/>
    <n v="310.33999999999997"/>
  </r>
  <r>
    <x v="11"/>
    <s v="10/01/2026"/>
    <x v="15"/>
    <s v="75037543"/>
    <s v="Dulce Estimulante Sexual Sabor Fresa  2 piezas - SXO"/>
    <s v="CONSUMIBLE"/>
    <s v="SXO"/>
    <n v="1"/>
    <n v="120.69"/>
  </r>
  <r>
    <x v="11"/>
    <s v="10/01/2026"/>
    <x v="15"/>
    <s v="7503032300993"/>
    <s v="Liquid Love Pleasure 30ml - DUSA"/>
    <s v="CONSUMIBLE PROPIO"/>
    <s v="DUSA"/>
    <n v="1"/>
    <n v="301.72000000000003"/>
  </r>
  <r>
    <x v="11"/>
    <s v="10/01/2026"/>
    <x v="15"/>
    <s v="7503013378010"/>
    <s v="Rigidex 2 pzas - DUSA"/>
    <s v="CONSUMIBLE PROPIO"/>
    <s v="DUSA"/>
    <n v="2"/>
    <n v="862.06"/>
  </r>
  <r>
    <x v="11"/>
    <s v="11/01/2026"/>
    <x v="15"/>
    <s v="7503024256741"/>
    <s v="Cola de Zorro 45cm café S - CXO"/>
    <s v="JUGUETE PROPIO"/>
    <s v="CXO"/>
    <n v="1"/>
    <n v="258.62"/>
  </r>
  <r>
    <x v="11"/>
    <s v="11/01/2026"/>
    <x v="15"/>
    <s v="7503050226158"/>
    <s v="Conjunto Vicky - OLA MOU"/>
    <s v="LENCERIA PROPIA"/>
    <s v="OLA MOU"/>
    <n v="1"/>
    <n v="431.03"/>
  </r>
  <r>
    <x v="11"/>
    <s v="11/01/2026"/>
    <x v="15"/>
    <s v="7503024256154"/>
    <s v="Lubricante Body Surf Termico Cereza DUSA 60ml"/>
    <s v="CONSUMIBLE PROPIO"/>
    <s v="DUSA"/>
    <n v="1"/>
    <n v="387.93"/>
  </r>
  <r>
    <x v="11"/>
    <s v="12/01/2026"/>
    <x v="15"/>
    <s v="7503050524265"/>
    <s v="He Plus 30ml - DUSA"/>
    <s v="CONSUMIBLE PROPIO"/>
    <s v="DUSA"/>
    <n v="1"/>
    <n v="431.03"/>
  </r>
  <r>
    <x v="11"/>
    <s v="12/01/2026"/>
    <x v="15"/>
    <s v="LL-A2216"/>
    <s v="Huevito con 10 modos de Vibración  Gina - CXO"/>
    <s v="JUGUETE PROPIO"/>
    <s v="CXO"/>
    <n v="1"/>
    <n v="1500"/>
  </r>
  <r>
    <x v="11"/>
    <s v="12/01/2026"/>
    <x v="15"/>
    <s v="4560220552766"/>
    <s v="Masturbador en huevo Cloudy - TENGA"/>
    <s v="JUGUETE"/>
    <s v="TENGA"/>
    <n v="1"/>
    <n v="301.72000000000003"/>
  </r>
  <r>
    <x v="11"/>
    <s v="12/01/2026"/>
    <x v="15"/>
    <s v="7503032300856"/>
    <s v="Sachet vibrador liquido 2 ml - BANANA SHAKE"/>
    <s v="CONSUMIBLE"/>
    <s v="BANANA SHAKE"/>
    <n v="3"/>
    <n v="51.72"/>
  </r>
  <r>
    <x v="11"/>
    <s v="12/01/2026"/>
    <x v="15"/>
    <s v="7503020596957"/>
    <s v="Shot Shumatsu Fun Hombre - DUSA"/>
    <s v="CONSUMIBLE PROPIO"/>
    <s v="DUSA"/>
    <n v="1"/>
    <n v="172.41"/>
  </r>
  <r>
    <x v="11"/>
    <s v="13/01/2026"/>
    <x v="15"/>
    <s v="75037543"/>
    <s v="Dulce Estimulante Sexual Sabor Fresa  2 piezas - SXO"/>
    <s v="CONSUMIBLE"/>
    <s v="SXO"/>
    <n v="1"/>
    <n v="120.69"/>
  </r>
  <r>
    <x v="11"/>
    <s v="13/01/2026"/>
    <x v="15"/>
    <s v="7503024256154"/>
    <s v="Lubricante Body Surf Termico Cereza DUSA 60ml"/>
    <s v="CONSUMIBLE PROPIO"/>
    <s v="DUSA"/>
    <n v="1"/>
    <n v="387.93"/>
  </r>
  <r>
    <x v="11"/>
    <s v="13/01/2026"/>
    <x v="15"/>
    <s v="7503013378010"/>
    <s v="Rigidex 2 pzas - DUSA"/>
    <s v="CONSUMIBLE PROPIO"/>
    <s v="DUSA"/>
    <n v="1"/>
    <n v="431.03"/>
  </r>
  <r>
    <x v="11"/>
    <s v="13/01/2026"/>
    <x v="15"/>
    <s v="7503020596063"/>
    <s v="Stallion Regenerador - DUSA"/>
    <s v="CONSUMIBLE PROPIO"/>
    <s v="DUSA"/>
    <n v="1"/>
    <n v="1293.0999999999999"/>
  </r>
  <r>
    <x v="11"/>
    <s v="14/01/2026"/>
    <x v="15"/>
    <s v="DL-ZZ-YJPT-BJ-20250327"/>
    <s v="Funda de Silicon para Pene con 10 modos de Vibración  Raul- CXO"/>
    <s v="JUGUETE PROPIO"/>
    <s v="CXO"/>
    <n v="1"/>
    <n v="1810.34"/>
  </r>
  <r>
    <x v="11"/>
    <s v="14/01/2026"/>
    <x v="15"/>
    <s v="7503013378645"/>
    <s v="Liquid Love Pleasure 100ml - DUSA"/>
    <s v="CONSUMIBLE PROPIO"/>
    <s v="DUSA"/>
    <n v="2"/>
    <n v="1551.72"/>
  </r>
  <r>
    <x v="11"/>
    <s v="14/01/2026"/>
    <x v="15"/>
    <s v="7503013378010"/>
    <s v="Rigidex 2 pzas - DUSA"/>
    <s v="CONSUMIBLE PROPIO"/>
    <s v="DUSA"/>
    <n v="3"/>
    <n v="1293.0999999999999"/>
  </r>
  <r>
    <x v="11"/>
    <s v="15/01/2026"/>
    <x v="5"/>
    <s v="7503043917081"/>
    <s v="Blade rosa anillo vibrador - CXO"/>
    <s v="JUGUETE PROPIO"/>
    <s v="CXO"/>
    <n v="2"/>
    <n v="163.80000000000001"/>
  </r>
  <r>
    <x v="11"/>
    <s v="15/01/2026"/>
    <x v="5"/>
    <s v="7503043917012"/>
    <s v="Liquid Love Backdoor 30ml - DUSA"/>
    <s v="CONSUMIBLE PROPIO"/>
    <s v="DUSA"/>
    <n v="1"/>
    <n v="301.72000000000003"/>
  </r>
  <r>
    <x v="11"/>
    <s v="15/01/2026"/>
    <x v="5"/>
    <s v="7503043917005"/>
    <s v="Liquid Love Clear 30ml - DUSA"/>
    <s v="CONSUMIBLE PROPIO"/>
    <s v="DUSA"/>
    <n v="1"/>
    <n v="301.72000000000003"/>
  </r>
  <r>
    <x v="11"/>
    <s v="15/01/2026"/>
    <x v="5"/>
    <s v="7503013378645"/>
    <s v="Liquid Love Pleasure 100ml - DUSA"/>
    <s v="CONSUMIBLE PROPIO"/>
    <s v="DUSA"/>
    <n v="1"/>
    <n v="775.86"/>
  </r>
  <r>
    <x v="11"/>
    <s v="15/01/2026"/>
    <x v="5"/>
    <s v="7503024256154"/>
    <s v="Lubricante Body Surf Termico Cereza DUSA 60ml"/>
    <s v="CONSUMIBLE PROPIO"/>
    <s v="DUSA"/>
    <n v="1"/>
    <n v="387.93"/>
  </r>
  <r>
    <x v="11"/>
    <s v="15/01/2026"/>
    <x v="5"/>
    <s v="7503013378010"/>
    <s v="Rigidex 2 pzas - DUSA"/>
    <s v="CONSUMIBLE PROPIO"/>
    <s v="DUSA"/>
    <n v="1"/>
    <n v="431.03"/>
  </r>
  <r>
    <x v="11"/>
    <s v="15/01/2026"/>
    <x v="5"/>
    <s v="7502235091523"/>
    <s v="Spray Garganta Profunda Sabor Fresa 4.5 ml - SXO"/>
    <s v="CONSUMIBLE"/>
    <s v="SXO"/>
    <n v="1"/>
    <n v="129.31"/>
  </r>
  <r>
    <x v="11"/>
    <s v="15/01/2026"/>
    <x v="5"/>
    <s v="7503020105084"/>
    <s v="Vibrador para parejas tipo C Trinity – CXO"/>
    <s v="JUGUETE PROPIO"/>
    <s v="CXO"/>
    <n v="1"/>
    <n v="2465.52"/>
  </r>
  <r>
    <x v="11"/>
    <s v="15/01/2026"/>
    <x v="5"/>
    <s v="7503032300443"/>
    <s v="Zoe bala vibradora RETAIL - CXO"/>
    <s v="JUGUETE PROPIO"/>
    <s v="CXO"/>
    <n v="1"/>
    <n v="155.16999999999999"/>
  </r>
  <r>
    <x v="11"/>
    <s v="16/01/2026"/>
    <x v="15"/>
    <s v="7503013378850"/>
    <s v="Amy fucsia - CXO"/>
    <s v="JUGUETE PROPIO"/>
    <s v="CXO"/>
    <n v="1"/>
    <n v="431.03"/>
  </r>
  <r>
    <x v="11"/>
    <s v="16/01/2026"/>
    <x v="15"/>
    <s v="7503013378119"/>
    <s v="Anastasia gema de colores S - CXO"/>
    <s v="JUGUETE PROPIO"/>
    <s v="CXO"/>
    <n v="1"/>
    <n v="396.55"/>
  </r>
  <r>
    <x v="11"/>
    <s v="16/01/2026"/>
    <x v="15"/>
    <s v="7503043917081"/>
    <s v="Blade rosa anillo vibrador - CXO"/>
    <s v="JUGUETE PROPIO"/>
    <s v="CXO"/>
    <n v="2"/>
    <n v="163.80000000000001"/>
  </r>
  <r>
    <x v="11"/>
    <s v="16/01/2026"/>
    <x v="15"/>
    <s v="75037420"/>
    <s v="Dulce Estimulante Sexual Sabor Menta 2 piezas - SXO"/>
    <s v="CONSUMIBLE"/>
    <s v="SXO"/>
    <n v="1"/>
    <n v="120.69"/>
  </r>
  <r>
    <x v="11"/>
    <s v="16/01/2026"/>
    <x v="15"/>
    <s v="75037628"/>
    <s v="Dulces Garganta Profunda 2 piezas Sabor Fresa - SXO"/>
    <s v="CONSUMIBLE"/>
    <s v="SXO"/>
    <n v="1"/>
    <n v="120.69"/>
  </r>
  <r>
    <x v="11"/>
    <s v="16/01/2026"/>
    <x v="15"/>
    <s v="7508304288429"/>
    <s v="Feromonas en gel 20ml unisex - DIAMANTE"/>
    <s v="CONSUMIBLE"/>
    <s v="DIAMANTE"/>
    <n v="1"/>
    <n v="379.31"/>
  </r>
  <r>
    <x v="11"/>
    <s v="16/01/2026"/>
    <x v="15"/>
    <s v="7503013378652"/>
    <s v="Liquid Love Backdoor 100ml - DUSA"/>
    <s v="CONSUMIBLE PROPIO"/>
    <s v="DUSA"/>
    <n v="1"/>
    <n v="1077.5899999999999"/>
  </r>
  <r>
    <x v="11"/>
    <s v="16/01/2026"/>
    <x v="15"/>
    <s v="7503032300993"/>
    <s v="Liquid Love Pleasure 30ml - DUSA"/>
    <s v="CONSUMIBLE PROPIO"/>
    <s v="DUSA"/>
    <n v="1"/>
    <n v="301.72000000000003"/>
  </r>
  <r>
    <x v="11"/>
    <s v="16/01/2026"/>
    <x v="15"/>
    <s v="7503013378645"/>
    <s v="Liquid Love Pleasure 100ml - DUSA"/>
    <s v="CONSUMIBLE PROPIO"/>
    <s v="DUSA"/>
    <n v="1"/>
    <n v="775.86"/>
  </r>
  <r>
    <x v="11"/>
    <s v="16/01/2026"/>
    <x v="15"/>
    <s v="7503024256154"/>
    <s v="Lubricante Body Surf Termico Cereza DUSA 60ml"/>
    <s v="CONSUMIBLE PROPIO"/>
    <s v="DUSA"/>
    <n v="1"/>
    <n v="387.93"/>
  </r>
  <r>
    <x v="11"/>
    <s v="16/01/2026"/>
    <x v="15"/>
    <s v="7503032300856"/>
    <s v="Sachet vibrador liquido 2 ml - BANANA SHAKE"/>
    <s v="CONSUMIBLE"/>
    <s v="BANANA SHAKE"/>
    <n v="2"/>
    <n v="34.479999999999997"/>
  </r>
  <r>
    <x v="11"/>
    <s v="16/01/2026"/>
    <x v="15"/>
    <s v="7503020596957"/>
    <s v="Shot Shumatsu Fun Hombre - DUSA"/>
    <s v="CONSUMIBLE PROPIO"/>
    <s v="DUSA"/>
    <n v="1"/>
    <n v="172.41"/>
  </r>
  <r>
    <x v="11"/>
    <s v="16/01/2026"/>
    <x v="15"/>
    <s v="7503013378690"/>
    <s v="Shumatsu 3 pzas - DUSA"/>
    <s v="CONSUMIBLE PROPIO"/>
    <s v="DUSA"/>
    <n v="2"/>
    <n v="1155.18"/>
  </r>
  <r>
    <x v="11"/>
    <s v="16/01/2026"/>
    <x v="15"/>
    <s v="7503032300443"/>
    <s v="Zoe bala vibradora RETAIL - CXO"/>
    <s v="JUGUETE PROPIO"/>
    <s v="CXO"/>
    <n v="2"/>
    <n v="310.33999999999997"/>
  </r>
  <r>
    <x v="11"/>
    <s v="17/01/2026"/>
    <x v="15"/>
    <s v="7503043917081"/>
    <s v="Blade rosa anillo vibrador - CXO"/>
    <s v="JUGUETE PROPIO"/>
    <s v="CXO"/>
    <n v="1"/>
    <n v="81.900000000000006"/>
  </r>
  <r>
    <x v="11"/>
    <s v="17/01/2026"/>
    <x v="15"/>
    <s v="7503050524388"/>
    <s v="Cuerda shibari negra 10mts - CXO"/>
    <s v="JUGUETE PROPIO"/>
    <s v="CXO"/>
    <n v="1"/>
    <n v="379.31"/>
  </r>
  <r>
    <x v="11"/>
    <s v="17/01/2026"/>
    <x v="15"/>
    <s v="7503030220044"/>
    <s v="Dados con posiciones 2 piezas - CXO"/>
    <s v="JUGUETE PROPIO"/>
    <s v="CXO"/>
    <n v="1"/>
    <n v="77.59"/>
  </r>
  <r>
    <x v="11"/>
    <s v="17/01/2026"/>
    <x v="15"/>
    <s v="7503024256192"/>
    <s v="Shot Shumatsu Fun Mujer - DUSA"/>
    <s v="CONSUMIBLE PROPIO"/>
    <s v="DUSA"/>
    <n v="1"/>
    <n v="172.41"/>
  </r>
  <r>
    <x v="11"/>
    <s v="17/01/2026"/>
    <x v="15"/>
    <s v="7503013378690"/>
    <s v="Shumatsu 3 pzas - DUSA"/>
    <s v="CONSUMIBLE PROPIO"/>
    <s v="DUSA"/>
    <n v="1"/>
    <n v="577.59"/>
  </r>
  <r>
    <x v="11"/>
    <s v="17/01/2026"/>
    <x v="15"/>
    <s v="7503010217046"/>
    <s v="Vela para masaje bear - DUSA"/>
    <s v="CONSUMIBLE PROPIO"/>
    <s v="DUSA"/>
    <n v="1"/>
    <n v="310.33999999999997"/>
  </r>
  <r>
    <x v="11"/>
    <s v="18/01/2026"/>
    <x v="15"/>
    <s v="7503030220044"/>
    <s v="Dados con posiciones 2 piezas - CXO"/>
    <s v="JUGUETE PROPIO"/>
    <s v="CXO"/>
    <n v="1"/>
    <n v="77.59"/>
  </r>
  <r>
    <x v="11"/>
    <s v="18/01/2026"/>
    <x v="15"/>
    <s v="75037420"/>
    <s v="Dulce Estimulante Sexual Sabor Menta 2 piezas - SXO"/>
    <s v="CONSUMIBLE"/>
    <s v="SXO"/>
    <n v="1"/>
    <n v="120.69"/>
  </r>
  <r>
    <x v="11"/>
    <s v="18/01/2026"/>
    <x v="15"/>
    <s v="FM1001"/>
    <s v="FEROMONAS DIAMANTE CONCENTRADO MUJER"/>
    <s v="CONSUMIBLE"/>
    <s v="DIAMANTE"/>
    <n v="1"/>
    <n v="413.79"/>
  </r>
  <r>
    <x v="11"/>
    <s v="18/01/2026"/>
    <x v="15"/>
    <s v="7503032300993"/>
    <s v="Liquid Love Pleasure 30ml - DUSA"/>
    <s v="CONSUMIBLE PROPIO"/>
    <s v="DUSA"/>
    <n v="1"/>
    <n v="301.72000000000003"/>
  </r>
  <r>
    <x v="11"/>
    <s v="18/01/2026"/>
    <x v="15"/>
    <s v="75078737"/>
    <s v="Mini Kit Dulces 2 piezas - SXO"/>
    <s v="CONSUMIBLE"/>
    <s v="SXO"/>
    <n v="1"/>
    <n v="120.69"/>
  </r>
  <r>
    <x v="11"/>
    <s v="18/01/2026"/>
    <x v="15"/>
    <s v="7503020596957"/>
    <s v="Shot Shumatsu Fun Hombre - DUSA"/>
    <s v="CONSUMIBLE PROPIO"/>
    <s v="DUSA"/>
    <n v="1"/>
    <n v="172.41"/>
  </r>
  <r>
    <x v="11"/>
    <s v="18/01/2026"/>
    <x v="15"/>
    <s v="7503024256192"/>
    <s v="Shot Shumatsu Fun Mujer - DUSA"/>
    <s v="CONSUMIBLE PROPIO"/>
    <s v="DUSA"/>
    <n v="1"/>
    <n v="172.41"/>
  </r>
  <r>
    <x v="11"/>
    <s v="19/01/2026"/>
    <x v="15"/>
    <s v="7503043917081"/>
    <s v="Blade rosa anillo vibrador - CXO"/>
    <s v="JUGUETE PROPIO"/>
    <s v="CXO"/>
    <n v="2"/>
    <n v="163.80000000000001"/>
  </r>
  <r>
    <x v="11"/>
    <s v="19/01/2026"/>
    <x v="15"/>
    <s v="7503032300252"/>
    <s v="Dildo Nebulosa - CXO"/>
    <s v="JUGUETE PROPIO"/>
    <s v="CXO"/>
    <n v="1"/>
    <n v="474.14"/>
  </r>
  <r>
    <x v="11"/>
    <s v="19/01/2026"/>
    <x v="15"/>
    <s v="7503030102034"/>
    <s v="Dildo vibrador con control Anthony - CXO"/>
    <s v="JUGUETE PROPIO"/>
    <s v="CXO"/>
    <n v="1"/>
    <n v="2112.0700000000002"/>
  </r>
  <r>
    <x v="11"/>
    <s v="19/01/2026"/>
    <x v="15"/>
    <s v="75037628"/>
    <s v="Dulces Garganta Profunda 2 piezas Sabor Fresa - SXO"/>
    <s v="CONSUMIBLE"/>
    <s v="SXO"/>
    <n v="1"/>
    <n v="120.69"/>
  </r>
  <r>
    <x v="11"/>
    <s v="19/01/2026"/>
    <x v="15"/>
    <s v="75080471"/>
    <s v="Dulces Garganta Profunda 2 piezas Sabor Uva - SXO"/>
    <s v="CONSUMIBLE"/>
    <s v="SXO"/>
    <n v="1"/>
    <n v="120.69"/>
  </r>
  <r>
    <x v="11"/>
    <s v="19/01/2026"/>
    <x v="15"/>
    <s v="7503032300993"/>
    <s v="Liquid Love Pleasure 30ml - DUSA"/>
    <s v="CONSUMIBLE PROPIO"/>
    <s v="DUSA"/>
    <n v="1"/>
    <n v="301.72000000000003"/>
  </r>
  <r>
    <x v="11"/>
    <s v="19/01/2026"/>
    <x v="15"/>
    <s v="7503013378645"/>
    <s v="Liquid Love Pleasure 100ml - DUSA"/>
    <s v="CONSUMIBLE PROPIO"/>
    <s v="DUSA"/>
    <n v="1"/>
    <n v="775.86"/>
  </r>
  <r>
    <x v="11"/>
    <s v="19/01/2026"/>
    <x v="15"/>
    <s v="75078737"/>
    <s v="Mini Kit Dulces 2 piezas - SXO"/>
    <s v="CONSUMIBLE"/>
    <s v="SXO"/>
    <n v="1"/>
    <n v="120.69"/>
  </r>
  <r>
    <x v="11"/>
    <s v="19/01/2026"/>
    <x v="15"/>
    <s v="7503032300856"/>
    <s v="Sachet vibrador liquido 2 ml - BANANA SHAKE"/>
    <s v="CONSUMIBLE"/>
    <s v="BANANA SHAKE"/>
    <n v="5"/>
    <n v="86.199999999999989"/>
  </r>
  <r>
    <x v="11"/>
    <s v="19/01/2026"/>
    <x v="15"/>
    <s v="7503020596957"/>
    <s v="Shot Shumatsu Fun Hombre - DUSA"/>
    <s v="CONSUMIBLE PROPIO"/>
    <s v="DUSA"/>
    <n v="1"/>
    <n v="172.41"/>
  </r>
  <r>
    <x v="11"/>
    <s v="19/01/2026"/>
    <x v="15"/>
    <s v="7503024256192"/>
    <s v="Shot Shumatsu Fun Mujer - DUSA"/>
    <s v="CONSUMIBLE PROPIO"/>
    <s v="DUSA"/>
    <n v="2"/>
    <n v="344.82"/>
  </r>
  <r>
    <x v="11"/>
    <s v="19/01/2026"/>
    <x v="15"/>
    <s v="7503013378690"/>
    <s v="Shumatsu 3 pzas - DUSA"/>
    <s v="CONSUMIBLE PROPIO"/>
    <s v="DUSA"/>
    <n v="1"/>
    <n v="577.59"/>
  </r>
  <r>
    <x v="11"/>
    <s v="19/01/2026"/>
    <x v="15"/>
    <s v="7503020596063"/>
    <s v="Stallion Regenerador - DUSA"/>
    <s v="CONSUMIBLE PROPIO"/>
    <s v="DUSA"/>
    <n v="1"/>
    <n v="1293.0999999999999"/>
  </r>
  <r>
    <x v="11"/>
    <s v="19/01/2026"/>
    <x v="15"/>
    <s v="7503010217048"/>
    <s v="Vela para masaje rose - DUSA"/>
    <s v="CONSUMIBLE PROPIO"/>
    <s v="DUSA"/>
    <n v="1"/>
    <n v="241.38"/>
  </r>
  <r>
    <x v="11"/>
    <s v="19/01/2026"/>
    <x v="15"/>
    <s v="7503032300443"/>
    <s v="Zoe bala vibradora RETAIL - CXO"/>
    <s v="JUGUETE PROPIO"/>
    <s v="CXO"/>
    <n v="2"/>
    <n v="310.33999999999997"/>
  </r>
  <r>
    <x v="11"/>
    <s v="20/01/2026"/>
    <x v="15"/>
    <s v="7713042311883"/>
    <s v="Aceite de almendras sensual 130ml - DIAMANTE"/>
    <s v="CONSUMIBLE"/>
    <s v="DIAMANTE"/>
    <n v="1"/>
    <n v="448.28"/>
  </r>
  <r>
    <x v="11"/>
    <s v="20/01/2026"/>
    <x v="15"/>
    <s v="FM1002"/>
    <s v="FEROMONAS DIAMANTE CONCENTRADO HOMBRE"/>
    <s v="CONSUMIBLE"/>
    <s v="DIAMANTE"/>
    <n v="1"/>
    <n v="413.79"/>
  </r>
  <r>
    <x v="11"/>
    <s v="20/01/2026"/>
    <x v="15"/>
    <s v="7503013378690"/>
    <s v="Shumatsu 3 pzas - DUSA"/>
    <s v="CONSUMIBLE PROPIO"/>
    <s v="DUSA"/>
    <n v="1"/>
    <n v="577.59"/>
  </r>
  <r>
    <x v="11"/>
    <s v="21/01/2026"/>
    <x v="15"/>
    <s v="7503043917036"/>
    <s v="Arnes universal de argolla negro - CXO"/>
    <s v="JUGUETE PROPIO"/>
    <s v="CXO"/>
    <n v="1"/>
    <n v="474.14"/>
  </r>
  <r>
    <x v="11"/>
    <s v="21/01/2026"/>
    <x v="15"/>
    <s v="S1222-KKW1020"/>
    <s v="Bomba de vacío con anillos intercambiables -   S1222 KKW1020"/>
    <s v="JUGUETE PROPIO"/>
    <s v="CXO"/>
    <n v="1"/>
    <n v="1189.6600000000001"/>
  </r>
  <r>
    <x v="11"/>
    <s v="21/01/2026"/>
    <x v="15"/>
    <s v="75079390"/>
    <s v="Mini Kit Mujer 3 piezas- SXO"/>
    <s v="CONSUMIBLE"/>
    <s v="SXO"/>
    <n v="1"/>
    <n v="284.48"/>
  </r>
  <r>
    <x v="11"/>
    <s v="21/01/2026"/>
    <x v="15"/>
    <s v="7503024256192"/>
    <s v="Shot Shumatsu Fun Mujer - DUSA"/>
    <s v="CONSUMIBLE PROPIO"/>
    <s v="DUSA"/>
    <n v="2"/>
    <n v="344.82"/>
  </r>
  <r>
    <x v="11"/>
    <s v="22/01/2026"/>
    <x v="5"/>
    <s v="7503030202167"/>
    <s v="Dildo hiper realista con ventosa Raul - CXO"/>
    <s v="JUGUETE PROPIO"/>
    <s v="CXO"/>
    <n v="1"/>
    <n v="1525.86"/>
  </r>
  <r>
    <x v="11"/>
    <s v="22/01/2026"/>
    <x v="5"/>
    <s v="7503030102034"/>
    <s v="Dildo vibrador con control Anthony - CXO"/>
    <s v="JUGUETE PROPIO"/>
    <s v="CXO"/>
    <n v="1"/>
    <n v="2112.0700000000002"/>
  </r>
  <r>
    <x v="11"/>
    <s v="22/01/2026"/>
    <x v="5"/>
    <s v="7503043917005"/>
    <s v="Liquid Love Clear 30ml - DUSA"/>
    <s v="CONSUMIBLE PROPIO"/>
    <s v="DUSA"/>
    <n v="1"/>
    <n v="301.72000000000003"/>
  </r>
  <r>
    <x v="11"/>
    <s v="22/01/2026"/>
    <x v="5"/>
    <s v="7503043917098"/>
    <s v="Succionador Mia  - CXO"/>
    <s v="JUGUETE PROPIO"/>
    <s v="CXO"/>
    <n v="1"/>
    <n v="818.97"/>
  </r>
  <r>
    <x v="11"/>
    <s v="23/01/2026"/>
    <x v="15"/>
    <s v="7707167957422"/>
    <s v="Babydoll Mod 509203 M - EA"/>
    <s v="LENCERIA"/>
    <s v="EA"/>
    <n v="1"/>
    <n v="344.83"/>
  </r>
  <r>
    <x v="11"/>
    <s v="23/01/2026"/>
    <x v="15"/>
    <s v="7502214985386"/>
    <s v="CONDON EXTRA PLEASURE C/3 -PRUDENCE"/>
    <s v="CONSUMIBLE"/>
    <s v="PRUDENCE"/>
    <n v="1"/>
    <n v="77.59"/>
  </r>
  <r>
    <x v="11"/>
    <s v="23/01/2026"/>
    <x v="15"/>
    <s v="7502214980275"/>
    <s v="Condones sabor y aroma soda c/ 3 pzs - PRUDENCE"/>
    <s v="CONSUMIBLE"/>
    <s v="PRUDENCE"/>
    <n v="1"/>
    <n v="60.34"/>
  </r>
  <r>
    <x v="11"/>
    <s v="23/01/2026"/>
    <x v="15"/>
    <s v="7503050226141"/>
    <s v="Conjunto Aitana - OLA MOU"/>
    <s v="LENCERIA PROPIA"/>
    <s v="OLA MOU"/>
    <n v="1"/>
    <n v="431.03"/>
  </r>
  <r>
    <x v="11"/>
    <s v="23/01/2026"/>
    <x v="15"/>
    <s v="7503013378980"/>
    <s v="Lubricante Body Surf Termico Chicle DUSA 60ml"/>
    <s v="CONSUMIBLE PROPIO"/>
    <s v="DUSA"/>
    <n v="1"/>
    <n v="387.93"/>
  </r>
  <r>
    <x v="11"/>
    <s v="23/01/2026"/>
    <x v="15"/>
    <s v="7503013378010"/>
    <s v="Rigidex 2 pzas - DUSA"/>
    <s v="CONSUMIBLE PROPIO"/>
    <s v="DUSA"/>
    <n v="1"/>
    <n v="431.03"/>
  </r>
  <r>
    <x v="11"/>
    <s v="23/01/2026"/>
    <x v="15"/>
    <s v="7503013378690"/>
    <s v="Shumatsu 3 pzas - DUSA"/>
    <s v="CONSUMIBLE PROPIO"/>
    <s v="DUSA"/>
    <n v="1"/>
    <n v="577.59"/>
  </r>
  <r>
    <x v="11"/>
    <s v="24/01/2026"/>
    <x v="15"/>
    <s v="7503043917081"/>
    <s v="Blade rosa anillo vibrador - CXO"/>
    <s v="JUGUETE PROPIO"/>
    <s v="CXO"/>
    <n v="1"/>
    <n v="81.900000000000006"/>
  </r>
  <r>
    <x v="11"/>
    <s v="24/01/2026"/>
    <x v="15"/>
    <s v="7503043917326"/>
    <s v="Caro dual - CXO"/>
    <s v="JUGUETE PROPIO"/>
    <s v="CXO"/>
    <n v="1"/>
    <n v="1379.31"/>
  </r>
  <r>
    <x v="11"/>
    <s v="24/01/2026"/>
    <x v="15"/>
    <s v="7503013378492"/>
    <s v="Clean Whisper 120ml - DUSA"/>
    <s v="CONSUMIBLE PROPIO"/>
    <s v="DUSA"/>
    <n v="1"/>
    <n v="301.72000000000003"/>
  </r>
  <r>
    <x v="11"/>
    <s v="24/01/2026"/>
    <x v="15"/>
    <s v="7502214982514"/>
    <s v="Condon Chocolate 3 pzs - PRUDENCE"/>
    <s v="CONSUMIBLE"/>
    <s v="PRUDENCE"/>
    <n v="1"/>
    <n v="60.34"/>
  </r>
  <r>
    <x v="11"/>
    <s v="24/01/2026"/>
    <x v="15"/>
    <s v="7503043917012"/>
    <s v="Liquid Love Backdoor 30ml - DUSA"/>
    <s v="CONSUMIBLE PROPIO"/>
    <s v="DUSA"/>
    <n v="1"/>
    <n v="301.72000000000003"/>
  </r>
  <r>
    <x v="11"/>
    <s v="24/01/2026"/>
    <x v="15"/>
    <s v="7503032300993"/>
    <s v="Liquid Love Pleasure 30ml - DUSA"/>
    <s v="CONSUMIBLE PROPIO"/>
    <s v="DUSA"/>
    <n v="1"/>
    <n v="301.72000000000003"/>
  </r>
  <r>
    <x v="11"/>
    <s v="24/01/2026"/>
    <x v="15"/>
    <s v="7503013378980"/>
    <s v="Lubricante Body Surf Termico Chicle DUSA 60ml"/>
    <s v="CONSUMIBLE PROPIO"/>
    <s v="DUSA"/>
    <n v="1"/>
    <n v="387.93"/>
  </r>
  <r>
    <x v="11"/>
    <s v="24/01/2026"/>
    <x v="15"/>
    <s v="75078737"/>
    <s v="Mini Kit Dulces 2 piezas - SXO"/>
    <s v="CONSUMIBLE"/>
    <s v="SXO"/>
    <n v="1"/>
    <n v="120.69"/>
  </r>
  <r>
    <x v="11"/>
    <s v="24/01/2026"/>
    <x v="15"/>
    <s v="7503013378690"/>
    <s v="Shumatsu 3 pzas - DUSA"/>
    <s v="CONSUMIBLE PROPIO"/>
    <s v="DUSA"/>
    <n v="1"/>
    <n v="577.59"/>
  </r>
  <r>
    <x v="11"/>
    <s v="25/01/2026"/>
    <x v="15"/>
    <s v="7503013378492"/>
    <s v="Clean Whisper 120ml - DUSA"/>
    <s v="CONSUMIBLE PROPIO"/>
    <s v="DUSA"/>
    <n v="1"/>
    <n v="301.72000000000003"/>
  </r>
  <r>
    <x v="11"/>
    <s v="25/01/2026"/>
    <x v="15"/>
    <s v="7503050524265"/>
    <s v="He Plus 30ml - DUSA"/>
    <s v="CONSUMIBLE PROPIO"/>
    <s v="DUSA"/>
    <n v="1"/>
    <n v="431.03"/>
  </r>
  <r>
    <x v="11"/>
    <s v="25/01/2026"/>
    <x v="15"/>
    <s v="7503013378126"/>
    <s v="Lubricante Body Surf Frio Natural DUSA 60ml"/>
    <s v="CONSUMIBLE PROPIO"/>
    <s v="DUSA"/>
    <n v="1"/>
    <n v="387.93"/>
  </r>
  <r>
    <x v="11"/>
    <s v="25/01/2026"/>
    <x v="15"/>
    <s v="6959633156094"/>
    <s v="Robin - SVAKOM"/>
    <s v="JUGUETE"/>
    <s v="SVAKOM"/>
    <n v="1"/>
    <n v="1318.97"/>
  </r>
  <r>
    <x v="11"/>
    <s v="26/01/2026"/>
    <x v="15"/>
    <s v="7503032300993"/>
    <s v="Liquid Love Pleasure 30ml - DUSA"/>
    <s v="CONSUMIBLE PROPIO"/>
    <s v="DUSA"/>
    <n v="1"/>
    <n v="301.72000000000003"/>
  </r>
  <r>
    <x v="11"/>
    <s v="26/01/2026"/>
    <x v="15"/>
    <s v="7503023462235"/>
    <s v="Lubricante Masaje Térmico Comestible Piña Colada FEEL LOVE 4 en 1 - 60ml"/>
    <s v="LUBRICANTE"/>
    <s v="FEEL LOVE"/>
    <n v="1"/>
    <n v="344.83"/>
  </r>
  <r>
    <x v="11"/>
    <s v="26/01/2026"/>
    <x v="15"/>
    <s v="4061504007496"/>
    <s v="Succionado con App Curvy 1+ - Satisfayer"/>
    <s v="JUGUETE"/>
    <s v="SATISFAYER"/>
    <n v="1"/>
    <n v="1810.34"/>
  </r>
  <r>
    <x v="11"/>
    <s v="27/01/2026"/>
    <x v="15"/>
    <s v="7503043917081"/>
    <s v="Blade rosa anillo vibrador - CXO"/>
    <s v="JUGUETE PROPIO"/>
    <s v="CXO"/>
    <n v="1"/>
    <n v="81.900000000000006"/>
  </r>
  <r>
    <x v="11"/>
    <s v="27/01/2026"/>
    <x v="15"/>
    <s v="7503013378492"/>
    <s v="Clean Whisper 120ml - DUSA"/>
    <s v="CONSUMIBLE PROPIO"/>
    <s v="DUSA"/>
    <n v="1"/>
    <n v="301.72000000000003"/>
  </r>
  <r>
    <x v="11"/>
    <s v="27/01/2026"/>
    <x v="15"/>
    <s v="7350075029325"/>
    <s v="Enigma Wave negro - LELO"/>
    <s v="JUGUETE"/>
    <s v="LELO"/>
    <n v="1"/>
    <n v="5862.07"/>
  </r>
  <r>
    <x v="11"/>
    <s v="27/01/2026"/>
    <x v="15"/>
    <s v="7503043917005"/>
    <s v="Liquid Love Clear 30ml - DUSA"/>
    <s v="CONSUMIBLE PROPIO"/>
    <s v="DUSA"/>
    <n v="1"/>
    <n v="301.72000000000003"/>
  </r>
  <r>
    <x v="11"/>
    <s v="27/01/2026"/>
    <x v="15"/>
    <s v="7503024256154"/>
    <s v="Lubricante Body Surf Termico Cereza DUSA 60ml"/>
    <s v="CONSUMIBLE PROPIO"/>
    <s v="DUSA"/>
    <n v="1"/>
    <n v="387.93"/>
  </r>
  <r>
    <x v="11"/>
    <s v="27/01/2026"/>
    <x v="15"/>
    <s v="6959633189726"/>
    <s v="Masturbador Hedy X Control – SVAKOM"/>
    <s v="JUGUETE"/>
    <s v="SVAKOM"/>
    <n v="1"/>
    <n v="181.03"/>
  </r>
  <r>
    <x v="11"/>
    <s v="27/01/2026"/>
    <x v="15"/>
    <s v="7503013378010"/>
    <s v="Rigidex 2 pzas - DUSA"/>
    <s v="CONSUMIBLE PROPIO"/>
    <s v="DUSA"/>
    <n v="1"/>
    <n v="431.03"/>
  </r>
  <r>
    <x v="11"/>
    <s v="27/01/2026"/>
    <x v="15"/>
    <s v="7503032300856"/>
    <s v="Sachet vibrador liquido 2 ml - BANANA SHAKE"/>
    <s v="CONSUMIBLE"/>
    <s v="BANANA SHAKE"/>
    <n v="1"/>
    <n v="17.239999999999998"/>
  </r>
  <r>
    <x v="11"/>
    <s v="27/01/2026"/>
    <x v="15"/>
    <s v="7503020596957"/>
    <s v="Shot Shumatsu Fun Hombre - DUSA"/>
    <s v="CONSUMIBLE PROPIO"/>
    <s v="DUSA"/>
    <n v="1"/>
    <n v="172.41"/>
  </r>
  <r>
    <x v="11"/>
    <s v="28/01/2026"/>
    <x v="5"/>
    <s v="7503014914002"/>
    <s v="CAPSULAS MULTIORGASMICO AMO O-GEN"/>
    <s v="CONSUMIBLE"/>
    <s v="POWER MAN"/>
    <n v="1"/>
    <n v="431.04"/>
  </r>
  <r>
    <x v="11"/>
    <s v="28/01/2026"/>
    <x v="5"/>
    <s v="7503030102198"/>
    <s v="Dildo realista vibrador con ventosa Ulises - CXO"/>
    <s v="JUGUETE PROPIO"/>
    <s v="CXO"/>
    <n v="1"/>
    <n v="2000"/>
  </r>
  <r>
    <x v="11"/>
    <s v="28/01/2026"/>
    <x v="5"/>
    <s v="7503032300634"/>
    <s v="Kevin violeta - CXO"/>
    <s v="JUGUETE PROPIO"/>
    <s v="CXO"/>
    <n v="1"/>
    <n v="775.86"/>
  </r>
  <r>
    <x v="11"/>
    <s v="28/01/2026"/>
    <x v="5"/>
    <s v="7503013378010"/>
    <s v="Rigidex 2 pzas - DUSA"/>
    <s v="CONSUMIBLE PROPIO"/>
    <s v="DUSA"/>
    <n v="1"/>
    <n v="431.03"/>
  </r>
  <r>
    <x v="11"/>
    <s v="28/01/2026"/>
    <x v="5"/>
    <s v="7503020596957"/>
    <s v="Shot Shumatsu Fun Hombre - DUSA"/>
    <s v="CONSUMIBLE PROPIO"/>
    <s v="DUSA"/>
    <n v="1"/>
    <n v="172.41"/>
  </r>
  <r>
    <x v="11"/>
    <s v="29/01/2026"/>
    <x v="15"/>
    <s v="7503050524265"/>
    <s v="He Plus 30ml - DUSA"/>
    <s v="CONSUMIBLE PROPIO"/>
    <s v="DUSA"/>
    <n v="1"/>
    <n v="431.03"/>
  </r>
  <r>
    <x v="11"/>
    <s v="29/01/2026"/>
    <x v="15"/>
    <s v="7503013378645"/>
    <s v="Liquid Love Pleasure 100ml - DUSA"/>
    <s v="CONSUMIBLE PROPIO"/>
    <s v="DUSA"/>
    <n v="1"/>
    <n v="775.86"/>
  </r>
  <r>
    <x v="11"/>
    <s v="29/01/2026"/>
    <x v="15"/>
    <s v="7503032300825"/>
    <s v="Lubricante Sachet natural 2 ml - BANANA SHAKE"/>
    <s v="CONSUMIBLE"/>
    <s v="BANANA SHAKE"/>
    <n v="3"/>
    <n v="51.72"/>
  </r>
  <r>
    <x v="11"/>
    <s v="29/01/2026"/>
    <x v="15"/>
    <s v="6959633146972"/>
    <s v="Masturbador Hedy X Experience – SVAKOM"/>
    <s v="JUGUETE"/>
    <s v="SVAKOM"/>
    <n v="1"/>
    <n v="181.03"/>
  </r>
  <r>
    <x v="11"/>
    <s v="29/01/2026"/>
    <x v="15"/>
    <s v="7503050524241"/>
    <s v="Orgasmik 30ml - DUSA"/>
    <s v="CONSUMIBLE PROPIO"/>
    <s v="DUSA"/>
    <n v="1"/>
    <n v="431.03"/>
  </r>
  <r>
    <x v="11"/>
    <s v="29/01/2026"/>
    <x v="15"/>
    <s v="7503032300795"/>
    <s v="Sachet lubricante desensibilizador 2 ml - BANANA SHAKE"/>
    <s v="CONSUMIBLE"/>
    <s v="BANANA SHAKE"/>
    <n v="1"/>
    <n v="21.55"/>
  </r>
  <r>
    <x v="11"/>
    <s v="29/01/2026"/>
    <x v="15"/>
    <s v="7503032300856"/>
    <s v="Sachet vibrador liquido 2 ml - BANANA SHAKE"/>
    <s v="CONSUMIBLE"/>
    <s v="BANANA SHAKE"/>
    <n v="6"/>
    <n v="103.44"/>
  </r>
  <r>
    <x v="11"/>
    <s v="29/01/2026"/>
    <x v="15"/>
    <s v="7503020596957"/>
    <s v="Shot Shumatsu Fun Hombre - DUSA"/>
    <s v="CONSUMIBLE PROPIO"/>
    <s v="DUSA"/>
    <n v="2"/>
    <n v="344.82"/>
  </r>
  <r>
    <x v="11"/>
    <s v="30/01/2026"/>
    <x v="15"/>
    <s v="7503013378492"/>
    <s v="Clean Whisper 120ml - DUSA"/>
    <s v="CONSUMIBLE PROPIO"/>
    <s v="DUSA"/>
    <n v="1"/>
    <n v="301.72000000000003"/>
  </r>
  <r>
    <x v="11"/>
    <s v="30/01/2026"/>
    <x v="15"/>
    <s v="7503050524265"/>
    <s v="He Plus 30ml - DUSA"/>
    <s v="CONSUMIBLE PROPIO"/>
    <s v="DUSA"/>
    <n v="1"/>
    <n v="431.03"/>
  </r>
  <r>
    <x v="11"/>
    <s v="30/01/2026"/>
    <x v="15"/>
    <s v="7503013378010"/>
    <s v="Rigidex 2 pzas - DUSA"/>
    <s v="CONSUMIBLE PROPIO"/>
    <s v="DUSA"/>
    <n v="4"/>
    <n v="1724.1299999999999"/>
  </r>
  <r>
    <x v="11"/>
    <s v="30/01/2026"/>
    <x v="15"/>
    <s v="7503013378690"/>
    <s v="Shumatsu 3 pzas - DUSA"/>
    <s v="CONSUMIBLE PROPIO"/>
    <s v="DUSA"/>
    <n v="1"/>
    <n v="577.59"/>
  </r>
  <r>
    <x v="11"/>
    <s v="31/01/2026"/>
    <x v="15"/>
    <s v="7503043917036"/>
    <s v="Arnes universal de argolla negro - CXO"/>
    <s v="JUGUETE PROPIO"/>
    <s v="CXO"/>
    <n v="1"/>
    <n v="474.14"/>
  </r>
  <r>
    <x v="11"/>
    <s v="31/01/2026"/>
    <x v="15"/>
    <s v="BOD11CB033001XL"/>
    <s v="Body BD005 negro"/>
    <s v="LENCERIA PROPIA"/>
    <s v="OLA MOU : CHOCOLATES"/>
    <n v="1"/>
    <n v="724.14"/>
  </r>
  <r>
    <x v="11"/>
    <s v="31/01/2026"/>
    <x v="15"/>
    <s v="7503013378492"/>
    <s v="Clean Whisper 120ml - DUSA"/>
    <s v="CONSUMIBLE PROPIO"/>
    <s v="DUSA"/>
    <n v="3"/>
    <n v="905.16000000000008"/>
  </r>
  <r>
    <x v="11"/>
    <s v="31/01/2026"/>
    <x v="15"/>
    <s v="7502214982491"/>
    <s v="CONDON PRUDENCE EXTRA TIME UVA"/>
    <s v="CONSUMIBLE"/>
    <s v="PRUDENCE"/>
    <n v="1"/>
    <n v="60.34"/>
  </r>
  <r>
    <x v="11"/>
    <s v="31/01/2026"/>
    <x v="15"/>
    <s v="CON01CH005002L"/>
    <s v="Conjunto Alexa L negro"/>
    <s v="LENCERIA PROPIA"/>
    <s v="OLA MOU"/>
    <n v="1"/>
    <n v="814.66"/>
  </r>
  <r>
    <x v="11"/>
    <s v="31/01/2026"/>
    <x v="15"/>
    <s v="CON01CH029002L"/>
    <s v="Conjunto Paus L rosa-clear"/>
    <s v="LENCERIA PROPIA"/>
    <s v="OLA MOU"/>
    <n v="1"/>
    <n v="814.66"/>
  </r>
  <r>
    <x v="11"/>
    <s v="31/01/2026"/>
    <x v="15"/>
    <s v="CON01CH03300485B"/>
    <s v="Conjunto Regal 85B azul oscuro"/>
    <s v="LENCERIA PROPIA"/>
    <s v="OLA MOU"/>
    <n v="1"/>
    <n v="383.62"/>
  </r>
  <r>
    <x v="11"/>
    <s v="31/01/2026"/>
    <x v="15"/>
    <s v="7503030102034"/>
    <s v="Dildo vibrador con control Anthony - CXO"/>
    <s v="JUGUETE PROPIO"/>
    <s v="CXO"/>
    <n v="2"/>
    <n v="4224.1400000000003"/>
  </r>
  <r>
    <x v="11"/>
    <s v="31/01/2026"/>
    <x v="15"/>
    <s v="7503032300993"/>
    <s v="Liquid Love Pleasure 30ml - DUSA"/>
    <s v="CONSUMIBLE PROPIO"/>
    <s v="DUSA"/>
    <n v="1"/>
    <n v="301.72000000000003"/>
  </r>
  <r>
    <x v="11"/>
    <s v="31/01/2026"/>
    <x v="15"/>
    <s v="7503013378645"/>
    <s v="Liquid Love Pleasure 100ml - DUSA"/>
    <s v="CONSUMIBLE PROPIO"/>
    <s v="DUSA"/>
    <n v="2"/>
    <n v="1551.72"/>
  </r>
  <r>
    <x v="11"/>
    <s v="31/01/2026"/>
    <x v="15"/>
    <s v="7503024256154"/>
    <s v="Lubricante Body Surf Termico Cereza DUSA 60ml"/>
    <s v="CONSUMIBLE PROPIO"/>
    <s v="DUSA"/>
    <n v="1"/>
    <n v="387.93"/>
  </r>
  <r>
    <x v="11"/>
    <s v="31/01/2026"/>
    <x v="15"/>
    <s v="75078737"/>
    <s v="Mini Kit Dulces 2 piezas - SXO"/>
    <s v="CONSUMIBLE"/>
    <s v="SXO"/>
    <n v="1"/>
    <n v="120.69"/>
  </r>
  <r>
    <x v="11"/>
    <s v="31/01/2026"/>
    <x v="15"/>
    <s v="75079390"/>
    <s v="Mini Kit Mujer 3 piezas- SXO"/>
    <s v="CONSUMIBLE"/>
    <s v="SXO"/>
    <n v="1"/>
    <n v="284.48"/>
  </r>
  <r>
    <x v="11"/>
    <s v="31/01/2026"/>
    <x v="15"/>
    <s v="7503013378010"/>
    <s v="Rigidex 2 pzas - DUSA"/>
    <s v="CONSUMIBLE PROPIO"/>
    <s v="DUSA"/>
    <n v="1"/>
    <n v="431.03"/>
  </r>
  <r>
    <x v="11"/>
    <s v="31/01/2026"/>
    <x v="15"/>
    <s v="7503032300856"/>
    <s v="Sachet vibrador liquido 2 ml - BANANA SHAKE"/>
    <s v="CONSUMIBLE"/>
    <s v="BANANA SHAKE"/>
    <n v="13"/>
    <n v="224.11999999999998"/>
  </r>
  <r>
    <x v="11"/>
    <s v="31/01/2026"/>
    <x v="15"/>
    <s v="7503020596957"/>
    <s v="Shot Shumatsu Fun Hombre - DUSA"/>
    <s v="CONSUMIBLE PROPIO"/>
    <s v="DUSA"/>
    <n v="1"/>
    <n v="172.41"/>
  </r>
  <r>
    <x v="11"/>
    <s v="31/01/2026"/>
    <x v="15"/>
    <s v="7350075027840"/>
    <s v="Soraya Wave Magenta - LELO"/>
    <s v="JUGUETE"/>
    <s v="LELO"/>
    <n v="1"/>
    <n v="5862.07"/>
  </r>
  <r>
    <x v="11"/>
    <s v="31/01/2026"/>
    <x v="15"/>
    <s v="7503032300443"/>
    <s v="Zoe bala vibradora RETAIL - CXO"/>
    <s v="JUGUETE PROPIO"/>
    <s v="CXO"/>
    <n v="1"/>
    <n v="155.16999999999999"/>
  </r>
  <r>
    <x v="12"/>
    <s v="02/01/2026"/>
    <x v="3"/>
    <s v="7508304288429"/>
    <s v="Feromonas en gel 20ml unisex - DIAMANTE"/>
    <s v="CONSUMIBLE"/>
    <s v="DIAMANTE"/>
    <n v="1"/>
    <n v="379.31"/>
  </r>
  <r>
    <x v="12"/>
    <s v="02/01/2026"/>
    <x v="3"/>
    <s v="7503030118033"/>
    <s v="Kit vibrador + estimulante para clitoris Lau - CXO"/>
    <s v="JUGUETE PROPIO"/>
    <s v="CXO"/>
    <n v="1"/>
    <n v="1706.9"/>
  </r>
  <r>
    <x v="12"/>
    <s v="02/01/2026"/>
    <x v="3"/>
    <s v="7503013378645"/>
    <s v="Liquid Love Pleasure 100ml - DUSA"/>
    <s v="CONSUMIBLE PROPIO"/>
    <s v="DUSA"/>
    <n v="2"/>
    <n v="1551.72"/>
  </r>
  <r>
    <x v="12"/>
    <s v="02/01/2026"/>
    <x v="3"/>
    <s v="6959633144350"/>
    <s v="Pulse Union - SVAKOM"/>
    <s v="JUGUETE"/>
    <s v="SVAKOM"/>
    <n v="1"/>
    <n v="1810.34"/>
  </r>
  <r>
    <x v="12"/>
    <s v="02/01/2026"/>
    <x v="3"/>
    <s v="7503013378010"/>
    <s v="Rigidex 2 pzas - DUSA"/>
    <s v="CONSUMIBLE PROPIO"/>
    <s v="DUSA"/>
    <n v="1"/>
    <n v="431.03"/>
  </r>
  <r>
    <x v="12"/>
    <s v="02/01/2026"/>
    <x v="3"/>
    <s v="7503020596957"/>
    <s v="Shot Shumatsu Fun Hombre - DUSA"/>
    <s v="CONSUMIBLE PROPIO"/>
    <s v="DUSA"/>
    <n v="3"/>
    <n v="517.23"/>
  </r>
  <r>
    <x v="12"/>
    <s v="03/01/2026"/>
    <x v="3"/>
    <s v="7503013378645"/>
    <s v="Liquid Love Pleasure 100ml - DUSA"/>
    <s v="CONSUMIBLE PROPIO"/>
    <s v="DUSA"/>
    <n v="1"/>
    <n v="775.86"/>
  </r>
  <r>
    <x v="12"/>
    <s v="03/01/2026"/>
    <x v="3"/>
    <s v="7503024256635"/>
    <s v="Olive  6.8&quot; rosa - CXO"/>
    <s v="JUGUETE PROPIO"/>
    <s v="CXO"/>
    <n v="1"/>
    <n v="603.45000000000005"/>
  </r>
  <r>
    <x v="12"/>
    <s v="03/01/2026"/>
    <x v="3"/>
    <s v="7503020596957"/>
    <s v="Shot Shumatsu Fun Hombre - DUSA"/>
    <s v="CONSUMIBLE PROPIO"/>
    <s v="DUSA"/>
    <n v="1"/>
    <n v="172.41"/>
  </r>
  <r>
    <x v="12"/>
    <s v="03/01/2026"/>
    <x v="3"/>
    <s v="7503024256192"/>
    <s v="Shot Shumatsu Fun Mujer - DUSA"/>
    <s v="CONSUMIBLE PROPIO"/>
    <s v="DUSA"/>
    <n v="1"/>
    <n v="172.41"/>
  </r>
  <r>
    <x v="12"/>
    <s v="03/01/2026"/>
    <x v="3"/>
    <s v="7503032300443"/>
    <s v="Zoe bala vibradora RETAIL - CXO"/>
    <s v="JUGUETE PROPIO"/>
    <s v="CXO"/>
    <n v="2"/>
    <n v="310.33999999999997"/>
  </r>
  <r>
    <x v="12"/>
    <s v="04/01/2026"/>
    <x v="3"/>
    <s v="7503050524241"/>
    <s v="Orgasmik 30ml - DUSA"/>
    <s v="CONSUMIBLE PROPIO"/>
    <s v="DUSA"/>
    <n v="1"/>
    <n v="431.03"/>
  </r>
  <r>
    <x v="12"/>
    <s v="04/01/2026"/>
    <x v="3"/>
    <s v="7503032300443"/>
    <s v="Zoe bala vibradora RETAIL - CXO"/>
    <s v="JUGUETE PROPIO"/>
    <s v="CXO"/>
    <n v="1"/>
    <n v="155.16999999999999"/>
  </r>
  <r>
    <x v="12"/>
    <s v="05/01/2026"/>
    <x v="3"/>
    <s v="7503050226154"/>
    <s v="Conjunto Ariadna - OLA MOU"/>
    <s v="LENCERIA PROPIA"/>
    <s v="OLA MOU"/>
    <n v="1"/>
    <n v="431.03"/>
  </r>
  <r>
    <x v="12"/>
    <s v="05/01/2026"/>
    <x v="3"/>
    <s v="75037628"/>
    <s v="Dulces Garganta Profunda 2 piezas Sabor Fresa - SXO"/>
    <s v="CONSUMIBLE"/>
    <s v="SXO"/>
    <n v="1"/>
    <n v="120.69"/>
  </r>
  <r>
    <x v="12"/>
    <s v="05/01/2026"/>
    <x v="3"/>
    <s v="7503043917005"/>
    <s v="Liquid Love Clear 30ml - DUSA"/>
    <s v="CONSUMIBLE PROPIO"/>
    <s v="DUSA"/>
    <n v="1"/>
    <n v="301.72000000000003"/>
  </r>
  <r>
    <x v="12"/>
    <s v="05/01/2026"/>
    <x v="3"/>
    <s v="7503013378126"/>
    <s v="Lubricante Body Surf Frio Natural DUSA 60ml"/>
    <s v="CONSUMIBLE PROPIO"/>
    <s v="DUSA"/>
    <n v="1"/>
    <n v="387.93"/>
  </r>
  <r>
    <x v="12"/>
    <s v="05/01/2026"/>
    <x v="3"/>
    <s v="7503032300825"/>
    <s v="Lubricante Sachet natural 2 ml - BANANA SHAKE"/>
    <s v="CONSUMIBLE"/>
    <s v="BANANA SHAKE"/>
    <n v="5"/>
    <n v="86.2"/>
  </r>
  <r>
    <x v="12"/>
    <s v="05/01/2026"/>
    <x v="3"/>
    <s v="7503013378010"/>
    <s v="Rigidex 2 pzas - DUSA"/>
    <s v="CONSUMIBLE PROPIO"/>
    <s v="DUSA"/>
    <n v="2"/>
    <n v="862.06"/>
  </r>
  <r>
    <x v="12"/>
    <s v="05/01/2026"/>
    <x v="3"/>
    <s v="7503032300795"/>
    <s v="Sachet lubricante desensibilizador 2 ml - BANANA SHAKE"/>
    <s v="CONSUMIBLE"/>
    <s v="BANANA SHAKE"/>
    <n v="2"/>
    <n v="43.1"/>
  </r>
  <r>
    <x v="12"/>
    <s v="05/01/2026"/>
    <x v="3"/>
    <s v="7503020596957"/>
    <s v="Shot Shumatsu Fun Hombre - DUSA"/>
    <s v="CONSUMIBLE PROPIO"/>
    <s v="DUSA"/>
    <n v="2"/>
    <n v="344.82"/>
  </r>
  <r>
    <x v="12"/>
    <s v="05/01/2026"/>
    <x v="3"/>
    <s v="7503020105084"/>
    <s v="Vibrador para parejas tipo C Trinity – CXO"/>
    <s v="JUGUETE PROPIO"/>
    <s v="CXO"/>
    <n v="1"/>
    <n v="2465.52"/>
  </r>
  <r>
    <x v="12"/>
    <s v="05/01/2026"/>
    <x v="3"/>
    <s v="7503032300443"/>
    <s v="Zoe bala vibradora RETAIL - CXO"/>
    <s v="JUGUETE PROPIO"/>
    <s v="CXO"/>
    <n v="2"/>
    <n v="310.33999999999997"/>
  </r>
  <r>
    <x v="12"/>
    <s v="06/01/2026"/>
    <x v="3"/>
    <s v="7502235091431"/>
    <s v="Aumentador de Semen - Lions Power"/>
    <s v="CONSUMIBLE"/>
    <s v="SXO"/>
    <n v="1"/>
    <n v="482.76"/>
  </r>
  <r>
    <x v="12"/>
    <s v="06/01/2026"/>
    <x v="3"/>
    <s v="7503043917081"/>
    <s v="Blade rosa anillo vibrador - CXO"/>
    <s v="JUGUETE PROPIO"/>
    <s v="CXO"/>
    <n v="3"/>
    <n v="245.70000000000002"/>
  </r>
  <r>
    <x v="12"/>
    <s v="06/01/2026"/>
    <x v="3"/>
    <s v="7503043917012"/>
    <s v="Liquid Love Backdoor 30ml - DUSA"/>
    <s v="CONSUMIBLE PROPIO"/>
    <s v="DUSA"/>
    <n v="1"/>
    <n v="301.72000000000003"/>
  </r>
  <r>
    <x v="12"/>
    <s v="06/01/2026"/>
    <x v="3"/>
    <s v="7503020596001"/>
    <s v="Liquid Love Clear 100ml - DUSA"/>
    <s v="CONSUMIBLE PROPIO"/>
    <s v="DUSA"/>
    <n v="1"/>
    <n v="775.86"/>
  </r>
  <r>
    <x v="12"/>
    <s v="06/01/2026"/>
    <x v="3"/>
    <s v="7503032300993"/>
    <s v="Liquid Love Pleasure 30ml - DUSA"/>
    <s v="CONSUMIBLE PROPIO"/>
    <s v="DUSA"/>
    <n v="1"/>
    <n v="301.72000000000003"/>
  </r>
  <r>
    <x v="12"/>
    <s v="06/01/2026"/>
    <x v="3"/>
    <s v="7503013378645"/>
    <s v="Liquid Love Pleasure 100ml - DUSA"/>
    <s v="CONSUMIBLE PROPIO"/>
    <s v="DUSA"/>
    <n v="1"/>
    <n v="775.86"/>
  </r>
  <r>
    <x v="12"/>
    <s v="06/01/2026"/>
    <x v="3"/>
    <s v="6970556030858"/>
    <s v="Multiorgasmico Reno - CXO"/>
    <s v="JUGUETE PROPIO"/>
    <s v="CXO"/>
    <n v="1"/>
    <n v="2327.59"/>
  </r>
  <r>
    <x v="12"/>
    <s v="06/01/2026"/>
    <x v="3"/>
    <s v="7503050524241"/>
    <s v="Orgasmik 30ml - DUSA"/>
    <s v="CONSUMIBLE PROPIO"/>
    <s v="DUSA"/>
    <n v="1"/>
    <n v="431.03"/>
  </r>
  <r>
    <x v="12"/>
    <s v="06/01/2026"/>
    <x v="3"/>
    <s v="839289006904"/>
    <s v="Pivot - WE VIBE"/>
    <s v="JUGUETE"/>
    <s v="WE VIBE"/>
    <n v="1"/>
    <n v="3448.28"/>
  </r>
  <r>
    <x v="12"/>
    <s v="06/01/2026"/>
    <x v="3"/>
    <s v="7503020596957"/>
    <s v="Shot Shumatsu Fun Hombre - DUSA"/>
    <s v="CONSUMIBLE PROPIO"/>
    <s v="DUSA"/>
    <n v="1"/>
    <n v="172.41"/>
  </r>
  <r>
    <x v="12"/>
    <s v="06/01/2026"/>
    <x v="3"/>
    <s v="7503013378690"/>
    <s v="Shumatsu 3 pzas - DUSA"/>
    <s v="CONSUMIBLE PROPIO"/>
    <s v="DUSA"/>
    <n v="1"/>
    <n v="577.59"/>
  </r>
  <r>
    <x v="12"/>
    <s v="06/01/2026"/>
    <x v="3"/>
    <s v="7503032300443"/>
    <s v="Zoe bala vibradora RETAIL - CXO"/>
    <s v="JUGUETE PROPIO"/>
    <s v="CXO"/>
    <n v="1"/>
    <n v="155.16999999999999"/>
  </r>
  <r>
    <x v="12"/>
    <s v="07/01/2026"/>
    <x v="3"/>
    <s v="7503013378102"/>
    <s v="Anastasia Gema de Colores M - CXO"/>
    <s v="JUGUETE PROPIO"/>
    <s v="CXO"/>
    <n v="1"/>
    <n v="456.9"/>
  </r>
  <r>
    <x v="12"/>
    <s v="07/01/2026"/>
    <x v="3"/>
    <s v="7500464543059"/>
    <s v="Dildo Realista con Ventosa 15.5cms Domi CXO"/>
    <s v="JUGUETE PROPIO"/>
    <s v="CXO"/>
    <n v="1"/>
    <n v="818.97"/>
  </r>
  <r>
    <x v="12"/>
    <s v="07/01/2026"/>
    <x v="3"/>
    <s v="7503013378645"/>
    <s v="Liquid Love Pleasure 100ml - DUSA"/>
    <s v="CONSUMIBLE PROPIO"/>
    <s v="DUSA"/>
    <n v="1"/>
    <n v="775.86"/>
  </r>
  <r>
    <x v="12"/>
    <s v="07/01/2026"/>
    <x v="3"/>
    <s v="7503050226162"/>
    <s v="Plug Anal con Vibración y Control Roberto - CXO"/>
    <s v="JUGUETE PROPIO"/>
    <s v="CXO"/>
    <n v="1"/>
    <n v="1293.0999999999999"/>
  </r>
  <r>
    <x v="12"/>
    <s v="07/01/2026"/>
    <x v="3"/>
    <s v="7503013378010"/>
    <s v="Rigidex 2 pzas - DUSA"/>
    <s v="CONSUMIBLE PROPIO"/>
    <s v="DUSA"/>
    <n v="2"/>
    <n v="862.06"/>
  </r>
  <r>
    <x v="12"/>
    <s v="07/01/2026"/>
    <x v="3"/>
    <s v="7503032300443"/>
    <s v="Zoe bala vibradora RETAIL - CXO"/>
    <s v="JUGUETE PROPIO"/>
    <s v="CXO"/>
    <n v="1"/>
    <n v="155.16999999999999"/>
  </r>
  <r>
    <x v="12"/>
    <s v="08/01/2026"/>
    <x v="2"/>
    <s v="7503032300634"/>
    <s v="Kevin violeta - CXO"/>
    <s v="JUGUETE PROPIO"/>
    <s v="CXO"/>
    <n v="1"/>
    <n v="775.86"/>
  </r>
  <r>
    <x v="12"/>
    <s v="08/01/2026"/>
    <x v="2"/>
    <s v="7503043917005"/>
    <s v="Liquid Love Clear 30ml - DUSA"/>
    <s v="CONSUMIBLE PROPIO"/>
    <s v="DUSA"/>
    <n v="1"/>
    <n v="301.72000000000003"/>
  </r>
  <r>
    <x v="12"/>
    <s v="08/01/2026"/>
    <x v="2"/>
    <s v="75079413"/>
    <s v="Mini Kit Hombre 3 piezas - SXO"/>
    <s v="CONSUMIBLE"/>
    <s v="SXO"/>
    <n v="1"/>
    <n v="284.48"/>
  </r>
  <r>
    <x v="12"/>
    <s v="08/01/2026"/>
    <x v="2"/>
    <s v="75079390"/>
    <s v="Mini Kit Mujer 3 piezas- SXO"/>
    <s v="CONSUMIBLE"/>
    <s v="SXO"/>
    <n v="1"/>
    <n v="284.48"/>
  </r>
  <r>
    <x v="12"/>
    <s v="08/01/2026"/>
    <x v="2"/>
    <s v="7503023462921"/>
    <s v="ORAL SEX Beso Irlandes 30ml  - DIAMANTE"/>
    <s v="CONSUMIBLE"/>
    <s v="FEEL LOVE"/>
    <n v="1"/>
    <n v="310.35000000000002"/>
  </r>
  <r>
    <x v="12"/>
    <s v="08/01/2026"/>
    <x v="2"/>
    <s v="7503050524241"/>
    <s v="Orgasmik 30ml - DUSA"/>
    <s v="CONSUMIBLE PROPIO"/>
    <s v="DUSA"/>
    <n v="1"/>
    <n v="431.03"/>
  </r>
  <r>
    <x v="12"/>
    <s v="08/01/2026"/>
    <x v="2"/>
    <s v="7503013378010"/>
    <s v="Rigidex 2 pzas - DUSA"/>
    <s v="CONSUMIBLE PROPIO"/>
    <s v="DUSA"/>
    <n v="3"/>
    <n v="1293.0999999999999"/>
  </r>
  <r>
    <x v="12"/>
    <s v="08/01/2026"/>
    <x v="2"/>
    <s v="7503032300795"/>
    <s v="Sachet lubricante desensibilizador 2 ml - BANANA SHAKE"/>
    <s v="CONSUMIBLE"/>
    <s v="BANANA SHAKE"/>
    <n v="2"/>
    <n v="43.1"/>
  </r>
  <r>
    <x v="12"/>
    <s v="08/01/2026"/>
    <x v="2"/>
    <s v="7503032300856"/>
    <s v="Sachet vibrador liquido 2 ml - BANANA SHAKE"/>
    <s v="CONSUMIBLE"/>
    <s v="BANANA SHAKE"/>
    <n v="2"/>
    <n v="34.479999999999997"/>
  </r>
  <r>
    <x v="12"/>
    <s v="09/01/2026"/>
    <x v="3"/>
    <s v="7503043917081"/>
    <s v="Blade rosa anillo vibrador - CXO"/>
    <s v="JUGUETE PROPIO"/>
    <s v="CXO"/>
    <n v="3"/>
    <n v="245.70000000000002"/>
  </r>
  <r>
    <x v="12"/>
    <s v="09/01/2026"/>
    <x v="3"/>
    <s v="SC249C01"/>
    <s v="Funda Vibradora para Dedo masajeadora de Punto G  Lola- CXO"/>
    <s v="JUGUETE PROPIO"/>
    <s v="CXO"/>
    <n v="1"/>
    <n v="1551.72"/>
  </r>
  <r>
    <x v="12"/>
    <s v="09/01/2026"/>
    <x v="3"/>
    <s v="7503050524265"/>
    <s v="He Plus 30ml - DUSA"/>
    <s v="CONSUMIBLE PROPIO"/>
    <s v="DUSA"/>
    <n v="1"/>
    <n v="431.03"/>
  </r>
  <r>
    <x v="12"/>
    <s v="09/01/2026"/>
    <x v="3"/>
    <s v="7503043917012"/>
    <s v="Liquid Love Backdoor 30ml - DUSA"/>
    <s v="CONSUMIBLE PROPIO"/>
    <s v="DUSA"/>
    <n v="2"/>
    <n v="603.44000000000005"/>
  </r>
  <r>
    <x v="12"/>
    <s v="09/01/2026"/>
    <x v="3"/>
    <s v="7503013378645"/>
    <s v="Liquid Love Pleasure 100ml - DUSA"/>
    <s v="CONSUMIBLE PROPIO"/>
    <s v="DUSA"/>
    <n v="1"/>
    <n v="775.86"/>
  </r>
  <r>
    <x v="12"/>
    <s v="09/01/2026"/>
    <x v="3"/>
    <s v="7503050524241"/>
    <s v="Orgasmik 30ml - DUSA"/>
    <s v="CONSUMIBLE PROPIO"/>
    <s v="DUSA"/>
    <n v="3"/>
    <n v="1293.0899999999999"/>
  </r>
  <r>
    <x v="12"/>
    <s v="09/01/2026"/>
    <x v="3"/>
    <s v="7503013378010"/>
    <s v="Rigidex 2 pzas - DUSA"/>
    <s v="CONSUMIBLE PROPIO"/>
    <s v="DUSA"/>
    <n v="1"/>
    <n v="431.03"/>
  </r>
  <r>
    <x v="12"/>
    <s v="09/01/2026"/>
    <x v="3"/>
    <s v="7503032300443"/>
    <s v="Zoe bala vibradora RETAIL - CXO"/>
    <s v="JUGUETE PROPIO"/>
    <s v="CXO"/>
    <n v="1"/>
    <n v="155.16999999999999"/>
  </r>
  <r>
    <x v="12"/>
    <s v="10/01/2026"/>
    <x v="3"/>
    <s v="7503030111031"/>
    <s v="Anillo vibrador de aro doble con estimulador y dildo Javier - CXO"/>
    <s v="JUGUETE PROPIO"/>
    <s v="CXO"/>
    <n v="1"/>
    <n v="1681.03"/>
  </r>
  <r>
    <x v="12"/>
    <s v="10/01/2026"/>
    <x v="3"/>
    <s v="7503043917081"/>
    <s v="Blade rosa anillo vibrador - CXO"/>
    <s v="JUGUETE PROPIO"/>
    <s v="CXO"/>
    <n v="1"/>
    <n v="81.900000000000006"/>
  </r>
  <r>
    <x v="12"/>
    <s v="10/01/2026"/>
    <x v="3"/>
    <s v="7503013378010"/>
    <s v="Rigidex 2 pzas - DUSA"/>
    <s v="CONSUMIBLE PROPIO"/>
    <s v="DUSA"/>
    <n v="2"/>
    <n v="862.06"/>
  </r>
  <r>
    <x v="12"/>
    <s v="10/01/2026"/>
    <x v="3"/>
    <s v="7503020596957"/>
    <s v="Shot Shumatsu Fun Hombre - DUSA"/>
    <s v="CONSUMIBLE PROPIO"/>
    <s v="DUSA"/>
    <n v="1"/>
    <n v="172.41"/>
  </r>
  <r>
    <x v="12"/>
    <s v="10/01/2026"/>
    <x v="3"/>
    <s v="7503024256192"/>
    <s v="Shot Shumatsu Fun Mujer - DUSA"/>
    <s v="CONSUMIBLE PROPIO"/>
    <s v="DUSA"/>
    <n v="1"/>
    <n v="172.41"/>
  </r>
  <r>
    <x v="12"/>
    <s v="10/01/2026"/>
    <x v="3"/>
    <s v="850028334195"/>
    <s v="stretchy 4 ring buffer - ohnut"/>
    <s v="JUGUETE"/>
    <s v="DIAMANTE"/>
    <n v="1"/>
    <n v="1120.69"/>
  </r>
  <r>
    <x v="12"/>
    <s v="10/01/2026"/>
    <x v="3"/>
    <s v="4061504007496"/>
    <s v="Succionado con App Curvy 1+ - Satisfayer"/>
    <s v="JUGUETE"/>
    <s v="SATISFAYER"/>
    <n v="1"/>
    <n v="1810.34"/>
  </r>
  <r>
    <x v="12"/>
    <s v="10/01/2026"/>
    <x v="3"/>
    <s v="735380341619"/>
    <s v="VIBRADOR SEXI THING ROCKER BLUSH AZUL"/>
    <s v="JUGUETE"/>
    <s v="BLUSH"/>
    <n v="1"/>
    <n v="267.24"/>
  </r>
  <r>
    <x v="12"/>
    <s v="11/01/2026"/>
    <x v="3"/>
    <s v="7503013378102"/>
    <s v="Anastasia Gema de Colores M - CXO"/>
    <s v="JUGUETE PROPIO"/>
    <s v="CXO"/>
    <n v="1"/>
    <n v="456.9"/>
  </r>
  <r>
    <x v="12"/>
    <s v="11/01/2026"/>
    <x v="3"/>
    <s v="75037628"/>
    <s v="Dulces Garganta Profunda 2 piezas Sabor Fresa - SXO"/>
    <s v="CONSUMIBLE"/>
    <s v="SXO"/>
    <n v="1"/>
    <n v="120.69"/>
  </r>
  <r>
    <x v="12"/>
    <s v="11/01/2026"/>
    <x v="3"/>
    <s v="7503043917012"/>
    <s v="Liquid Love Backdoor 30ml - DUSA"/>
    <s v="CONSUMIBLE PROPIO"/>
    <s v="DUSA"/>
    <n v="1"/>
    <n v="301.72000000000003"/>
  </r>
  <r>
    <x v="12"/>
    <s v="11/01/2026"/>
    <x v="3"/>
    <s v="7503020596957"/>
    <s v="Shot Shumatsu Fun Hombre - DUSA"/>
    <s v="CONSUMIBLE PROPIO"/>
    <s v="DUSA"/>
    <n v="1"/>
    <n v="172.41"/>
  </r>
  <r>
    <x v="12"/>
    <s v="12/01/2026"/>
    <x v="3"/>
    <s v="7503043917005"/>
    <s v="Liquid Love Clear 30ml - DUSA"/>
    <s v="CONSUMIBLE PROPIO"/>
    <s v="DUSA"/>
    <n v="1"/>
    <n v="301.72000000000003"/>
  </r>
  <r>
    <x v="12"/>
    <s v="12/01/2026"/>
    <x v="3"/>
    <s v="7503013378010"/>
    <s v="Rigidex 2 pzas - DUSA"/>
    <s v="CONSUMIBLE PROPIO"/>
    <s v="DUSA"/>
    <n v="1"/>
    <n v="431.03"/>
  </r>
  <r>
    <x v="12"/>
    <s v="13/01/2026"/>
    <x v="1"/>
    <s v="S146 AAT1002"/>
    <s v="Bomba para Pene Automatica - S146 AAT1002"/>
    <s v="JUGUETE PROPIO"/>
    <s v="CXO"/>
    <n v="1"/>
    <n v="1551.72"/>
  </r>
  <r>
    <x v="12"/>
    <s v="13/01/2026"/>
    <x v="1"/>
    <s v="7503050226141"/>
    <s v="Conjunto Aitana - OLA MOU"/>
    <s v="LENCERIA PROPIA"/>
    <s v="OLA MOU"/>
    <n v="1"/>
    <n v="431.03"/>
  </r>
  <r>
    <x v="12"/>
    <s v="13/01/2026"/>
    <x v="1"/>
    <s v="7503043917005"/>
    <s v="Liquid Love Clear 30ml - DUSA"/>
    <s v="CONSUMIBLE PROPIO"/>
    <s v="DUSA"/>
    <n v="2"/>
    <n v="603.44000000000005"/>
  </r>
  <r>
    <x v="12"/>
    <s v="13/01/2026"/>
    <x v="1"/>
    <s v="6959633183120"/>
    <s v="Masturbador Hedy X Speed – SVAKOM"/>
    <s v="JUGUETE"/>
    <s v="SVAKOM"/>
    <n v="1"/>
    <n v="181.03"/>
  </r>
  <r>
    <x v="12"/>
    <s v="13/01/2026"/>
    <x v="1"/>
    <s v="7502235091615"/>
    <s v="Miel Estimulante Mujer 18ml"/>
    <s v="CONSUMIBLE"/>
    <s v="SXO"/>
    <n v="1"/>
    <n v="301.72000000000003"/>
  </r>
  <r>
    <x v="12"/>
    <s v="13/01/2026"/>
    <x v="1"/>
    <s v="7503023462914"/>
    <s v="ORAL SEX CREAM´S LIPS NUT 30 ML"/>
    <s v="CONSUMIBLE"/>
    <s v="FEEL LOVE"/>
    <n v="1"/>
    <n v="310.35000000000002"/>
  </r>
  <r>
    <x v="12"/>
    <s v="13/01/2026"/>
    <x v="1"/>
    <s v="7503023462891"/>
    <s v="ORAL SEX Exotic Nut 30ml - DIAMANTE"/>
    <s v="CONSUMIBLE"/>
    <s v="DIAMANTE"/>
    <n v="1"/>
    <n v="310.33999999999997"/>
  </r>
  <r>
    <x v="12"/>
    <s v="13/01/2026"/>
    <x v="1"/>
    <s v="7503050524241"/>
    <s v="Orgasmik 30ml - DUSA"/>
    <s v="CONSUMIBLE PROPIO"/>
    <s v="DUSA"/>
    <n v="3"/>
    <n v="1293.0899999999999"/>
  </r>
  <r>
    <x v="12"/>
    <s v="13/01/2026"/>
    <x v="1"/>
    <s v="7503032300443"/>
    <s v="Zoe bala vibradora RETAIL - CXO"/>
    <s v="JUGUETE PROPIO"/>
    <s v="CXO"/>
    <n v="1"/>
    <n v="155.16999999999999"/>
  </r>
  <r>
    <x v="12"/>
    <s v="14/01/2026"/>
    <x v="5"/>
    <s v="7503013378652"/>
    <s v="Liquid Love Backdoor 100ml - DUSA"/>
    <s v="CONSUMIBLE PROPIO"/>
    <s v="DUSA"/>
    <n v="1"/>
    <n v="1077.5899999999999"/>
  </r>
  <r>
    <x v="12"/>
    <s v="14/01/2026"/>
    <x v="5"/>
    <s v="7503043917005"/>
    <s v="Liquid Love Clear 30ml - DUSA"/>
    <s v="CONSUMIBLE PROPIO"/>
    <s v="DUSA"/>
    <n v="1"/>
    <n v="301.72000000000003"/>
  </r>
  <r>
    <x v="12"/>
    <s v="14/01/2026"/>
    <x v="5"/>
    <s v="7503050524241"/>
    <s v="Orgasmik 30ml - DUSA"/>
    <s v="CONSUMIBLE PROPIO"/>
    <s v="DUSA"/>
    <n v="1"/>
    <n v="431.03"/>
  </r>
  <r>
    <x v="12"/>
    <s v="14/01/2026"/>
    <x v="5"/>
    <s v="7503013378010"/>
    <s v="Rigidex 2 pzas - DUSA"/>
    <s v="CONSUMIBLE PROPIO"/>
    <s v="DUSA"/>
    <n v="3"/>
    <n v="1293.0899999999999"/>
  </r>
  <r>
    <x v="12"/>
    <s v="14/01/2026"/>
    <x v="5"/>
    <s v="7503020596957"/>
    <s v="Shot Shumatsu Fun Hombre - DUSA"/>
    <s v="CONSUMIBLE PROPIO"/>
    <s v="DUSA"/>
    <n v="1"/>
    <n v="172.41"/>
  </r>
  <r>
    <x v="12"/>
    <s v="14/01/2026"/>
    <x v="5"/>
    <s v="7503032300443"/>
    <s v="Zoe bala vibradora RETAIL - CXO"/>
    <s v="JUGUETE PROPIO"/>
    <s v="CXO"/>
    <n v="1"/>
    <n v="155.16999999999999"/>
  </r>
  <r>
    <x v="12"/>
    <s v="15/01/2026"/>
    <x v="1"/>
    <s v="7500464543059"/>
    <s v="Dildo Realista con Ventosa 15.5cms Domi CXO"/>
    <s v="JUGUETE PROPIO"/>
    <s v="CXO"/>
    <n v="1"/>
    <n v="818.97"/>
  </r>
  <r>
    <x v="12"/>
    <s v="15/01/2026"/>
    <x v="1"/>
    <s v="7503024256635"/>
    <s v="Olive  6.8&quot; rosa - CXO"/>
    <s v="JUGUETE PROPIO"/>
    <s v="CXO"/>
    <n v="1"/>
    <n v="603.45000000000005"/>
  </r>
  <r>
    <x v="12"/>
    <s v="15/01/2026"/>
    <x v="1"/>
    <s v="7503013378010"/>
    <s v="Rigidex 2 pzas - DUSA"/>
    <s v="CONSUMIBLE PROPIO"/>
    <s v="DUSA"/>
    <n v="2"/>
    <n v="862.06"/>
  </r>
  <r>
    <x v="12"/>
    <s v="15/01/2026"/>
    <x v="1"/>
    <s v="CBD"/>
    <s v="SUNNY SIDE UP CBD HIPOALERGENICO 10ml"/>
    <s v="CONSUMIBLE"/>
    <s v="SUNNY SIDE UP"/>
    <n v="1"/>
    <n v="301.72000000000003"/>
  </r>
  <r>
    <x v="12"/>
    <s v="15/01/2026"/>
    <x v="1"/>
    <s v="6959633104668"/>
    <s v="Vibrador Ava Neo Rosa Durazno - SVAKOM"/>
    <s v="JUGUETE"/>
    <s v="SVAKOM"/>
    <n v="1"/>
    <n v="1810.34"/>
  </r>
  <r>
    <x v="12"/>
    <s v="16/01/2026"/>
    <x v="1"/>
    <s v="7503013378409"/>
    <s v="Anillo de Acero Grueso - CXO"/>
    <s v="JUGUETE PROPIO"/>
    <s v="CXO"/>
    <n v="1"/>
    <n v="474.14"/>
  </r>
  <r>
    <x v="12"/>
    <s v="16/01/2026"/>
    <x v="1"/>
    <s v="7503014914002"/>
    <s v="CAPSULAS MULTIORGASMICO AMO O-GEN"/>
    <s v="CONSUMIBLE"/>
    <s v="POWER MAN"/>
    <n v="1"/>
    <n v="431.04"/>
  </r>
  <r>
    <x v="12"/>
    <s v="16/01/2026"/>
    <x v="1"/>
    <s v="7503043917012"/>
    <s v="Liquid Love Backdoor 30ml - DUSA"/>
    <s v="CONSUMIBLE PROPIO"/>
    <s v="DUSA"/>
    <n v="1"/>
    <n v="301.72000000000003"/>
  </r>
  <r>
    <x v="12"/>
    <s v="16/01/2026"/>
    <x v="1"/>
    <s v="7503043917005"/>
    <s v="Liquid Love Clear 30ml - DUSA"/>
    <s v="CONSUMIBLE PROPIO"/>
    <s v="DUSA"/>
    <n v="1"/>
    <n v="301.72000000000003"/>
  </r>
  <r>
    <x v="12"/>
    <s v="16/01/2026"/>
    <x v="1"/>
    <s v="7503023462907"/>
    <s v="ORAL SEX Moka 30ml  - DIAMANTE"/>
    <s v="CONSUMIBLE"/>
    <s v="DIAMANTE"/>
    <n v="1"/>
    <n v="310.35000000000002"/>
  </r>
  <r>
    <x v="12"/>
    <s v="16/01/2026"/>
    <x v="1"/>
    <s v="7503050226162"/>
    <s v="Plug Anal con Vibración y Control Roberto - CXO"/>
    <s v="JUGUETE PROPIO"/>
    <s v="CXO"/>
    <n v="1"/>
    <n v="1293.0999999999999"/>
  </r>
  <r>
    <x v="12"/>
    <s v="16/01/2026"/>
    <x v="1"/>
    <s v="7503013378010"/>
    <s v="Rigidex 2 pzas - DUSA"/>
    <s v="CONSUMIBLE PROPIO"/>
    <s v="DUSA"/>
    <n v="1"/>
    <n v="431.03"/>
  </r>
  <r>
    <x v="12"/>
    <s v="16/01/2026"/>
    <x v="1"/>
    <s v="7503024256192"/>
    <s v="Shot Shumatsu Fun Mujer - DUSA"/>
    <s v="CONSUMIBLE PROPIO"/>
    <s v="DUSA"/>
    <n v="1"/>
    <n v="172.41"/>
  </r>
  <r>
    <x v="12"/>
    <s v="16/01/2026"/>
    <x v="1"/>
    <s v="7503013378690"/>
    <s v="Shumatsu 3 pzas - DUSA"/>
    <s v="CONSUMIBLE PROPIO"/>
    <s v="DUSA"/>
    <n v="1"/>
    <n v="577.59"/>
  </r>
  <r>
    <x v="12"/>
    <s v="17/01/2026"/>
    <x v="5"/>
    <s v="7503043917081"/>
    <s v="Blade rosa anillo vibrador - CXO"/>
    <s v="JUGUETE PROPIO"/>
    <s v="CXO"/>
    <n v="1"/>
    <n v="81.900000000000006"/>
  </r>
  <r>
    <x v="12"/>
    <s v="17/01/2026"/>
    <x v="5"/>
    <s v="7503043917012"/>
    <s v="Liquid Love Backdoor 30ml - DUSA"/>
    <s v="CONSUMIBLE PROPIO"/>
    <s v="DUSA"/>
    <n v="1"/>
    <n v="301.72000000000003"/>
  </r>
  <r>
    <x v="12"/>
    <s v="17/01/2026"/>
    <x v="5"/>
    <s v="7503043917005"/>
    <s v="Liquid Love Clear 30ml - DUSA"/>
    <s v="CONSUMIBLE PROPIO"/>
    <s v="DUSA"/>
    <n v="1"/>
    <n v="301.72000000000003"/>
  </r>
  <r>
    <x v="12"/>
    <s v="17/01/2026"/>
    <x v="5"/>
    <s v="CZC-ZDB-004"/>
    <s v="Multiorgasmico con Lengua giratoria - CXO"/>
    <s v="JUGUETE PROPIO"/>
    <s v="CXO"/>
    <n v="1"/>
    <n v="2379.31"/>
  </r>
  <r>
    <x v="12"/>
    <s v="17/01/2026"/>
    <x v="5"/>
    <s v="6970556032074"/>
    <s v="Plug Anal con 10 modos de Vibracion de 11.5cm  Ramiro- CXO"/>
    <s v="JUGUETE PROPIO"/>
    <s v="CXO"/>
    <n v="1"/>
    <n v="1034.48"/>
  </r>
  <r>
    <x v="12"/>
    <s v="17/01/2026"/>
    <x v="5"/>
    <s v="7503050524258"/>
    <s v="Sensicool 30ml - DUSA"/>
    <s v="CONSUMIBLE PROPIO"/>
    <s v="DUSA"/>
    <n v="1"/>
    <n v="431.03"/>
  </r>
  <r>
    <x v="12"/>
    <s v="17/01/2026"/>
    <x v="5"/>
    <s v="7503020596957"/>
    <s v="Shot Shumatsu Fun Hombre - DUSA"/>
    <s v="CONSUMIBLE PROPIO"/>
    <s v="DUSA"/>
    <n v="1"/>
    <n v="172.41"/>
  </r>
  <r>
    <x v="12"/>
    <s v="17/01/2026"/>
    <x v="5"/>
    <s v="7503013378690"/>
    <s v="Shumatsu 3 pzas - DUSA"/>
    <s v="CONSUMIBLE PROPIO"/>
    <s v="DUSA"/>
    <n v="1"/>
    <n v="577.59"/>
  </r>
  <r>
    <x v="12"/>
    <s v="19/01/2026"/>
    <x v="5"/>
    <s v="7503043917012"/>
    <s v="Liquid Love Backdoor 30ml - DUSA"/>
    <s v="CONSUMIBLE PROPIO"/>
    <s v="DUSA"/>
    <n v="1"/>
    <n v="301.72000000000003"/>
  </r>
  <r>
    <x v="12"/>
    <s v="19/01/2026"/>
    <x v="5"/>
    <s v="7503020596513"/>
    <s v="Liquid Love Natural 20ml - DUSA"/>
    <s v="CONSUMIBLE PROPIO"/>
    <s v="DUSA"/>
    <n v="1"/>
    <n v="258.62"/>
  </r>
  <r>
    <x v="12"/>
    <s v="20/01/2026"/>
    <x v="1"/>
    <s v="7503043917081"/>
    <s v="Blade rosa anillo vibrador - CXO"/>
    <s v="JUGUETE PROPIO"/>
    <s v="CXO"/>
    <n v="1"/>
    <n v="81.900000000000006"/>
  </r>
  <r>
    <x v="12"/>
    <s v="20/01/2026"/>
    <x v="1"/>
    <s v="7503013378904"/>
    <s v="Dildo Mr. Hernandez - CXO"/>
    <s v="JUGUETE PROPIO"/>
    <s v="CXO"/>
    <n v="1"/>
    <n v="517.24"/>
  </r>
  <r>
    <x v="12"/>
    <s v="20/01/2026"/>
    <x v="1"/>
    <s v="7503030207201"/>
    <s v="Funda semi realista para pene Rodolfo - CXO"/>
    <s v="JUGUETE PROPIO"/>
    <s v="CXO"/>
    <n v="1"/>
    <n v="1137.93"/>
  </r>
  <r>
    <x v="12"/>
    <s v="20/01/2026"/>
    <x v="1"/>
    <s v="7503043917005"/>
    <s v="Liquid Love Clear 30ml - DUSA"/>
    <s v="CONSUMIBLE PROPIO"/>
    <s v="DUSA"/>
    <n v="1"/>
    <n v="301.72000000000003"/>
  </r>
  <r>
    <x v="12"/>
    <s v="20/01/2026"/>
    <x v="1"/>
    <s v="7503023462907"/>
    <s v="ORAL SEX Moka 30ml  - DIAMANTE"/>
    <s v="CONSUMIBLE"/>
    <s v="DIAMANTE"/>
    <n v="1"/>
    <n v="310.35000000000002"/>
  </r>
  <r>
    <x v="12"/>
    <s v="21/01/2026"/>
    <x v="1"/>
    <s v="7503043917548"/>
    <s v="Huevo masturbador silky - EGG"/>
    <s v="JUGUETE"/>
    <s v="EGG"/>
    <n v="1"/>
    <n v="159.47999999999999"/>
  </r>
  <r>
    <x v="12"/>
    <s v="22/01/2026"/>
    <x v="1"/>
    <s v="7503013378102"/>
    <s v="Anastasia Gema de Colores M - CXO"/>
    <s v="JUGUETE PROPIO"/>
    <s v="CXO"/>
    <n v="1"/>
    <n v="456.9"/>
  </r>
  <r>
    <x v="12"/>
    <s v="22/01/2026"/>
    <x v="1"/>
    <s v="CON01CH016003M"/>
    <s v="Conjunto Nancy M verde"/>
    <s v="LENCERIA PROPIA"/>
    <s v="OLA MOU"/>
    <n v="1"/>
    <n v="215.52"/>
  </r>
  <r>
    <x v="12"/>
    <s v="22/01/2026"/>
    <x v="1"/>
    <s v="7503030202167"/>
    <s v="Dildo hiper realista con ventosa Raul - CXO"/>
    <s v="JUGUETE PROPIO"/>
    <s v="CXO"/>
    <n v="1"/>
    <n v="1525.86"/>
  </r>
  <r>
    <x v="12"/>
    <s v="22/01/2026"/>
    <x v="1"/>
    <s v="7503020202214"/>
    <s v="Dildo realista con ventosa y testiculos Eddy - CXO"/>
    <s v="JUGUETE PROPIO"/>
    <s v="CXO"/>
    <n v="1"/>
    <n v="948.28"/>
  </r>
  <r>
    <x v="12"/>
    <s v="22/01/2026"/>
    <x v="1"/>
    <s v="7503050524265"/>
    <s v="He Plus 30ml - DUSA"/>
    <s v="CONSUMIBLE PROPIO"/>
    <s v="DUSA"/>
    <n v="1"/>
    <n v="431.03"/>
  </r>
  <r>
    <x v="12"/>
    <s v="22/01/2026"/>
    <x v="1"/>
    <s v="7503043917012"/>
    <s v="Liquid Love Backdoor 30ml - DUSA"/>
    <s v="CONSUMIBLE PROPIO"/>
    <s v="DUSA"/>
    <n v="2"/>
    <n v="603.44000000000005"/>
  </r>
  <r>
    <x v="12"/>
    <s v="22/01/2026"/>
    <x v="1"/>
    <s v="7503050524241"/>
    <s v="Orgasmik 30ml - DUSA"/>
    <s v="CONSUMIBLE PROPIO"/>
    <s v="DUSA"/>
    <n v="1"/>
    <n v="431.03"/>
  </r>
  <r>
    <x v="12"/>
    <s v="22/01/2026"/>
    <x v="1"/>
    <s v="7503013378010"/>
    <s v="Rigidex 2 pzas - DUSA"/>
    <s v="CONSUMIBLE PROPIO"/>
    <s v="DUSA"/>
    <n v="1"/>
    <n v="431.03"/>
  </r>
  <r>
    <x v="12"/>
    <s v="22/01/2026"/>
    <x v="1"/>
    <s v="7503026484050"/>
    <s v="SENSIBILIZADOR PARA PEZONES 15ML"/>
    <s v="CONSUMIBLE"/>
    <s v="FEEL LOVE"/>
    <n v="1"/>
    <n v="172.41"/>
  </r>
  <r>
    <x v="12"/>
    <s v="23/01/2026"/>
    <x v="1"/>
    <s v="PEROLA00267SS"/>
    <s v="Body corset Perla - OLA MOU"/>
    <s v="LENCERIA PROPIA"/>
    <s v="OLA MOU"/>
    <n v="1"/>
    <n v="301.72000000000003"/>
  </r>
  <r>
    <x v="12"/>
    <s v="23/01/2026"/>
    <x v="1"/>
    <s v="7503013378904"/>
    <s v="Dildo Mr. Hernandez - CXO"/>
    <s v="JUGUETE PROPIO"/>
    <s v="CXO"/>
    <n v="1"/>
    <n v="517.24"/>
  </r>
  <r>
    <x v="12"/>
    <s v="23/01/2026"/>
    <x v="1"/>
    <s v="7503043917012"/>
    <s v="Liquid Love Backdoor 30ml - DUSA"/>
    <s v="CONSUMIBLE PROPIO"/>
    <s v="DUSA"/>
    <n v="2"/>
    <n v="603.44000000000005"/>
  </r>
  <r>
    <x v="12"/>
    <s v="23/01/2026"/>
    <x v="1"/>
    <s v="7503043917005"/>
    <s v="Liquid Love Clear 30ml - DUSA"/>
    <s v="CONSUMIBLE PROPIO"/>
    <s v="DUSA"/>
    <n v="1"/>
    <n v="301.72000000000003"/>
  </r>
  <r>
    <x v="12"/>
    <s v="23/01/2026"/>
    <x v="1"/>
    <s v="7503024256635"/>
    <s v="Olive  6.8&quot; rosa - CXO"/>
    <s v="JUGUETE PROPIO"/>
    <s v="CXO"/>
    <n v="1"/>
    <n v="603.45000000000005"/>
  </r>
  <r>
    <x v="12"/>
    <s v="23/01/2026"/>
    <x v="1"/>
    <s v="7503013378690"/>
    <s v="Shumatsu 3 pzas - DUSA"/>
    <s v="CONSUMIBLE PROPIO"/>
    <s v="DUSA"/>
    <n v="1"/>
    <n v="577.59"/>
  </r>
  <r>
    <x v="12"/>
    <s v="24/01/2026"/>
    <x v="1"/>
    <s v="7503013378492"/>
    <s v="Clean Whisper 120ml - DUSA"/>
    <s v="CONSUMIBLE PROPIO"/>
    <s v="DUSA"/>
    <n v="1"/>
    <n v="301.72000000000003"/>
  </r>
  <r>
    <x v="12"/>
    <s v="24/01/2026"/>
    <x v="1"/>
    <s v="7503043917012"/>
    <s v="Liquid Love Backdoor 30ml - DUSA"/>
    <s v="CONSUMIBLE PROPIO"/>
    <s v="DUSA"/>
    <n v="1"/>
    <n v="301.72000000000003"/>
  </r>
  <r>
    <x v="12"/>
    <s v="24/01/2026"/>
    <x v="1"/>
    <s v="6959633146972"/>
    <s v="Masturbador Hedy X Experience – SVAKOM"/>
    <s v="JUGUETE"/>
    <s v="SVAKOM"/>
    <n v="1"/>
    <n v="181.03"/>
  </r>
  <r>
    <x v="12"/>
    <s v="24/01/2026"/>
    <x v="1"/>
    <s v="7503013378010"/>
    <s v="Rigidex 2 pzas - DUSA"/>
    <s v="CONSUMIBLE PROPIO"/>
    <s v="DUSA"/>
    <n v="1"/>
    <n v="431.03"/>
  </r>
  <r>
    <x v="12"/>
    <s v="24/01/2026"/>
    <x v="1"/>
    <s v="7503013378690"/>
    <s v="Shumatsu 3 pzas - DUSA"/>
    <s v="CONSUMIBLE PROPIO"/>
    <s v="DUSA"/>
    <n v="2"/>
    <n v="1155.18"/>
  </r>
  <r>
    <x v="12"/>
    <s v="24/01/2026"/>
    <x v="1"/>
    <s v="7503020104212"/>
    <s v="Vibrador multiorgasmico con aleta estimuladora Megan - CXO"/>
    <s v="JUGUETE PROPIO"/>
    <s v="CXO"/>
    <n v="1"/>
    <n v="2413.79"/>
  </r>
  <r>
    <x v="12"/>
    <s v="25/01/2026"/>
    <x v="1"/>
    <s v="7503043917081"/>
    <s v="Blade rosa anillo vibrador - CXO"/>
    <s v="JUGUETE PROPIO"/>
    <s v="CXO"/>
    <n v="1"/>
    <n v="81.900000000000006"/>
  </r>
  <r>
    <x v="12"/>
    <s v="25/01/2026"/>
    <x v="1"/>
    <s v="7503014914002"/>
    <s v="CAPSULAS MULTIORGASMICO AMO O-GEN"/>
    <s v="CONSUMIBLE"/>
    <s v="POWER MAN"/>
    <n v="1"/>
    <n v="431.04"/>
  </r>
  <r>
    <x v="12"/>
    <s v="25/01/2026"/>
    <x v="1"/>
    <s v="7503050524265"/>
    <s v="He Plus 30ml - DUSA"/>
    <s v="CONSUMIBLE PROPIO"/>
    <s v="DUSA"/>
    <n v="1"/>
    <n v="431.03"/>
  </r>
  <r>
    <x v="12"/>
    <s v="25/01/2026"/>
    <x v="1"/>
    <s v="7503043917012"/>
    <s v="Liquid Love Backdoor 30ml - DUSA"/>
    <s v="CONSUMIBLE PROPIO"/>
    <s v="DUSA"/>
    <n v="1"/>
    <n v="301.72000000000003"/>
  </r>
  <r>
    <x v="12"/>
    <s v="25/01/2026"/>
    <x v="1"/>
    <s v="7503013378652"/>
    <s v="Liquid Love Backdoor 100ml - DUSA"/>
    <s v="CONSUMIBLE PROPIO"/>
    <s v="DUSA"/>
    <n v="1"/>
    <n v="1077.5899999999999"/>
  </r>
  <r>
    <x v="12"/>
    <s v="25/01/2026"/>
    <x v="1"/>
    <s v="7503043917005"/>
    <s v="Liquid Love Clear 30ml - DUSA"/>
    <s v="CONSUMIBLE PROPIO"/>
    <s v="DUSA"/>
    <n v="1"/>
    <n v="301.72000000000003"/>
  </r>
  <r>
    <x v="12"/>
    <s v="25/01/2026"/>
    <x v="1"/>
    <s v="7502235091615"/>
    <s v="Miel Estimulante Mujer 18ml"/>
    <s v="CONSUMIBLE"/>
    <s v="SXO"/>
    <n v="1"/>
    <n v="301.72000000000003"/>
  </r>
  <r>
    <x v="12"/>
    <s v="25/01/2026"/>
    <x v="1"/>
    <s v="7503050524241"/>
    <s v="Orgasmik 30ml - DUSA"/>
    <s v="CONSUMIBLE PROPIO"/>
    <s v="DUSA"/>
    <n v="2"/>
    <n v="862.06"/>
  </r>
  <r>
    <x v="12"/>
    <s v="25/01/2026"/>
    <x v="1"/>
    <s v="LL-2340-C"/>
    <s v="Pinzas Vibradoras para Pezon Mod. C (Succionador) - CXO"/>
    <s v="JUGUETE PROPIO"/>
    <s v="CXO"/>
    <n v="1"/>
    <n v="301.72000000000003"/>
  </r>
  <r>
    <x v="12"/>
    <s v="25/01/2026"/>
    <x v="1"/>
    <s v="7503013378010"/>
    <s v="Rigidex 2 pzas - DUSA"/>
    <s v="CONSUMIBLE PROPIO"/>
    <s v="DUSA"/>
    <n v="1"/>
    <n v="431.03"/>
  </r>
  <r>
    <x v="12"/>
    <s v="25/01/2026"/>
    <x v="1"/>
    <s v="7503013378690"/>
    <s v="Shumatsu 3 pzas - DUSA"/>
    <s v="CONSUMIBLE PROPIO"/>
    <s v="DUSA"/>
    <n v="1"/>
    <n v="577.59"/>
  </r>
  <r>
    <x v="12"/>
    <s v="25/01/2026"/>
    <x v="1"/>
    <s v="7503030104190"/>
    <s v="Vibrador multiorgasmico con 10 modos de vibracion Norma - CXO"/>
    <s v="JUGUETE PROPIO"/>
    <s v="CXO"/>
    <n v="1"/>
    <n v="2396.5500000000002"/>
  </r>
  <r>
    <x v="12"/>
    <s v="26/01/2026"/>
    <x v="1"/>
    <s v="6959633185476"/>
    <s v="Masturbador Hedy X Confidence – SVAKOM"/>
    <s v="JUGUETE"/>
    <s v="SVAKOM"/>
    <n v="1"/>
    <n v="181.03"/>
  </r>
  <r>
    <x v="12"/>
    <s v="26/01/2026"/>
    <x v="1"/>
    <s v="7503050524241"/>
    <s v="Orgasmik 30ml - DUSA"/>
    <s v="CONSUMIBLE PROPIO"/>
    <s v="DUSA"/>
    <n v="1"/>
    <n v="431.03"/>
  </r>
  <r>
    <x v="12"/>
    <s v="26/01/2026"/>
    <x v="1"/>
    <s v="7503013378010"/>
    <s v="Rigidex 2 pzas - DUSA"/>
    <s v="CONSUMIBLE PROPIO"/>
    <s v="DUSA"/>
    <n v="1"/>
    <n v="431.03"/>
  </r>
  <r>
    <x v="12"/>
    <s v="26/01/2026"/>
    <x v="1"/>
    <s v="7503013378690"/>
    <s v="Shumatsu 3 pzas - DUSA"/>
    <s v="CONSUMIBLE PROPIO"/>
    <s v="DUSA"/>
    <n v="1"/>
    <n v="577.59"/>
  </r>
  <r>
    <x v="12"/>
    <s v="27/01/2026"/>
    <x v="3"/>
    <s v="7503014914002"/>
    <s v="CAPSULAS MULTIORGASMICO AMO O-GEN"/>
    <s v="CONSUMIBLE"/>
    <s v="POWER MAN"/>
    <n v="1"/>
    <n v="431.04"/>
  </r>
  <r>
    <x v="12"/>
    <s v="28/01/2026"/>
    <x v="3"/>
    <s v="7503043917081"/>
    <s v="Blade rosa anillo vibrador - CXO"/>
    <s v="JUGUETE PROPIO"/>
    <s v="CXO"/>
    <n v="2"/>
    <n v="163.80000000000001"/>
  </r>
  <r>
    <x v="12"/>
    <s v="28/01/2026"/>
    <x v="3"/>
    <s v="7503030102198"/>
    <s v="Dildo realista vibrador con ventosa Ulises - CXO"/>
    <s v="JUGUETE PROPIO"/>
    <s v="CXO"/>
    <n v="1"/>
    <n v="2000"/>
  </r>
  <r>
    <x v="12"/>
    <s v="28/01/2026"/>
    <x v="3"/>
    <s v="7503013378645"/>
    <s v="Liquid Love Pleasure 100ml - DUSA"/>
    <s v="CONSUMIBLE PROPIO"/>
    <s v="DUSA"/>
    <n v="1"/>
    <n v="775.86"/>
  </r>
  <r>
    <x v="12"/>
    <s v="28/01/2026"/>
    <x v="3"/>
    <s v="6959633146972"/>
    <s v="Masturbador Hedy X Experience – SVAKOM"/>
    <s v="JUGUETE"/>
    <s v="SVAKOM"/>
    <n v="1"/>
    <n v="181.03"/>
  </r>
  <r>
    <x v="12"/>
    <s v="28/01/2026"/>
    <x v="3"/>
    <s v="ER8158394000"/>
    <s v="SMART BALLS DUO MODELO OVALADO MUESTRA"/>
    <s v="JUGUETE"/>
    <s v="FUN FACTORY"/>
    <n v="1"/>
    <n v="948.28"/>
  </r>
  <r>
    <x v="12"/>
    <s v="28/01/2026"/>
    <x v="3"/>
    <s v="7503032300443"/>
    <s v="Zoe bala vibradora RETAIL - CXO"/>
    <s v="JUGUETE PROPIO"/>
    <s v="CXO"/>
    <n v="2"/>
    <n v="310.33999999999997"/>
  </r>
  <r>
    <x v="12"/>
    <s v="29/01/2026"/>
    <x v="3"/>
    <s v="7503043917081"/>
    <s v="Blade rosa anillo vibrador - CXO"/>
    <s v="JUGUETE PROPIO"/>
    <s v="CXO"/>
    <n v="1"/>
    <n v="81.900000000000006"/>
  </r>
  <r>
    <x v="12"/>
    <s v="29/01/2026"/>
    <x v="3"/>
    <s v="ER6699394000"/>
    <s v="SMART BALLS UNO MODELO OVALADO MUESTRA"/>
    <s v="JUGUETE"/>
    <s v="FUN FACTORY"/>
    <n v="1"/>
    <n v="784.48"/>
  </r>
  <r>
    <x v="12"/>
    <s v="30/01/2026"/>
    <x v="3"/>
    <s v="4630017970018"/>
    <s v="Alargador de Pene Titan Gel 50 ml"/>
    <s v="CONSUMIBLE"/>
    <s v="TITAN"/>
    <n v="1"/>
    <n v="594.83000000000004"/>
  </r>
  <r>
    <x v="12"/>
    <s v="30/01/2026"/>
    <x v="3"/>
    <s v="7503013378744"/>
    <s v="Anastasia silicon rosa - CXO"/>
    <s v="JUGUETE PROPIO"/>
    <s v="CXO"/>
    <n v="1"/>
    <n v="284.48"/>
  </r>
  <r>
    <x v="12"/>
    <s v="30/01/2026"/>
    <x v="3"/>
    <s v="7503030202035"/>
    <s v="Dildo con testiculos y ventosa Mr. Garcia - CXO"/>
    <s v="JUGUETE PROPIO"/>
    <s v="CXO"/>
    <n v="1"/>
    <n v="646.54999999999995"/>
  </r>
  <r>
    <x v="12"/>
    <s v="30/01/2026"/>
    <x v="3"/>
    <s v="7500464377302"/>
    <s v="Juego de Cartas Salto del Tigre"/>
    <s v="OTRO"/>
    <s v="SALTO DEL TIGRE"/>
    <n v="2"/>
    <n v="594.82000000000005"/>
  </r>
  <r>
    <x v="12"/>
    <s v="30/01/2026"/>
    <x v="3"/>
    <s v="7503043917012"/>
    <s v="Liquid Love Backdoor 30ml - DUSA"/>
    <s v="CONSUMIBLE PROPIO"/>
    <s v="DUSA"/>
    <n v="1"/>
    <n v="301.72000000000003"/>
  </r>
  <r>
    <x v="12"/>
    <s v="30/01/2026"/>
    <x v="3"/>
    <s v="7503043917005"/>
    <s v="Liquid Love Clear 30ml - DUSA"/>
    <s v="CONSUMIBLE PROPIO"/>
    <s v="DUSA"/>
    <n v="1"/>
    <n v="301.72000000000003"/>
  </r>
  <r>
    <x v="12"/>
    <s v="30/01/2026"/>
    <x v="3"/>
    <s v="7503020596513"/>
    <s v="Liquid Love Natural 20ml - DUSA"/>
    <s v="CONSUMIBLE PROPIO"/>
    <s v="DUSA"/>
    <n v="1"/>
    <n v="258.62"/>
  </r>
  <r>
    <x v="12"/>
    <s v="30/01/2026"/>
    <x v="3"/>
    <s v="7503023462921"/>
    <s v="ORAL SEX Beso Irlandes 30ml  - DIAMANTE"/>
    <s v="CONSUMIBLE"/>
    <s v="FEEL LOVE"/>
    <n v="1"/>
    <n v="310.35000000000002"/>
  </r>
  <r>
    <x v="12"/>
    <s v="30/01/2026"/>
    <x v="3"/>
    <s v="7503013378690"/>
    <s v="Shumatsu 3 pzas - DUSA"/>
    <s v="CONSUMIBLE PROPIO"/>
    <s v="DUSA"/>
    <n v="1"/>
    <n v="577.59"/>
  </r>
  <r>
    <x v="12"/>
    <s v="30/01/2026"/>
    <x v="3"/>
    <s v="CBD"/>
    <s v="SUNNY SIDE UP CBD HIPOALERGENICO 10ml"/>
    <s v="CONSUMIBLE"/>
    <s v="SUNNY SIDE UP"/>
    <n v="1"/>
    <n v="301.72000000000003"/>
  </r>
  <r>
    <x v="12"/>
    <s v="30/01/2026"/>
    <x v="3"/>
    <s v="ER10107394000"/>
    <s v="VIBRADOR G MOTION RABBIT WAND MUESTRA"/>
    <s v="JUGUETE"/>
    <s v="ADAM &amp; EVE"/>
    <n v="1"/>
    <n v="3017.24"/>
  </r>
  <r>
    <x v="12"/>
    <s v="31/01/2026"/>
    <x v="3"/>
    <s v="7503043917081"/>
    <s v="Blade rosa anillo vibrador - CXO"/>
    <s v="JUGUETE PROPIO"/>
    <s v="CXO"/>
    <n v="1"/>
    <n v="81.900000000000006"/>
  </r>
  <r>
    <x v="12"/>
    <s v="31/01/2026"/>
    <x v="3"/>
    <s v="7503013378492"/>
    <s v="Clean Whisper 120ml - DUSA"/>
    <s v="CONSUMIBLE PROPIO"/>
    <s v="DUSA"/>
    <n v="1"/>
    <n v="301.72000000000003"/>
  </r>
  <r>
    <x v="12"/>
    <s v="31/01/2026"/>
    <x v="3"/>
    <s v="7503043917012"/>
    <s v="Liquid Love Backdoor 30ml - DUSA"/>
    <s v="CONSUMIBLE PROPIO"/>
    <s v="DUSA"/>
    <n v="1"/>
    <n v="301.72000000000003"/>
  </r>
  <r>
    <x v="12"/>
    <s v="31/01/2026"/>
    <x v="3"/>
    <s v="7503013378645"/>
    <s v="Liquid Love Pleasure 100ml - DUSA"/>
    <s v="CONSUMIBLE PROPIO"/>
    <s v="DUSA"/>
    <n v="1"/>
    <n v="775.86"/>
  </r>
  <r>
    <x v="12"/>
    <s v="31/01/2026"/>
    <x v="3"/>
    <s v="7503050226162"/>
    <s v="Plug Anal con Vibración y Control Roberto - CXO"/>
    <s v="JUGUETE PROPIO"/>
    <s v="CXO"/>
    <n v="1"/>
    <n v="1293.0999999999999"/>
  </r>
  <r>
    <x v="12"/>
    <s v="31/01/2026"/>
    <x v="3"/>
    <s v="7503032300795"/>
    <s v="Sachet lubricante desensibilizador 2 ml - BANANA SHAKE"/>
    <s v="CONSUMIBLE"/>
    <s v="BANANA SHAKE"/>
    <n v="3"/>
    <n v="64.650000000000006"/>
  </r>
  <r>
    <x v="12"/>
    <s v="31/01/2026"/>
    <x v="3"/>
    <s v="7503032300856"/>
    <s v="Sachet vibrador liquido 2 ml - BANANA SHAKE"/>
    <s v="CONSUMIBLE"/>
    <s v="BANANA SHAKE"/>
    <n v="3"/>
    <n v="51.72"/>
  </r>
  <r>
    <x v="12"/>
    <s v="31/01/2026"/>
    <x v="3"/>
    <s v="7503013378690"/>
    <s v="Shumatsu 3 pzas - DUSA"/>
    <s v="CONSUMIBLE PROPIO"/>
    <s v="DUSA"/>
    <n v="2"/>
    <n v="1155.18"/>
  </r>
  <r>
    <x v="12"/>
    <s v="31/01/2026"/>
    <x v="3"/>
    <s v="7503020210517"/>
    <s v="Vibrador tipo c con control remoto rosa Maia - CXO"/>
    <s v="JUGUETE PROPIO"/>
    <s v="CXO"/>
    <n v="1"/>
    <n v="2672.41"/>
  </r>
  <r>
    <x v="13"/>
    <s v="02/01/2026"/>
    <x v="16"/>
    <s v="7503043917036"/>
    <s v="Arnes universal de argolla negro - CXO"/>
    <s v="JUGUETE PROPIO"/>
    <s v="CXO"/>
    <n v="1"/>
    <n v="474.14"/>
  </r>
  <r>
    <x v="13"/>
    <s v="02/01/2026"/>
    <x v="16"/>
    <s v="7503014914002"/>
    <s v="CAPSULAS MULTIORGASMICO AMO O-GEN"/>
    <s v="CONSUMIBLE"/>
    <s v="POWER MAN"/>
    <n v="2"/>
    <n v="862.08"/>
  </r>
  <r>
    <x v="13"/>
    <s v="02/01/2026"/>
    <x v="16"/>
    <s v="7500464543059"/>
    <s v="Dildo Realista con Ventosa 15.5cms Domi CXO"/>
    <s v="JUGUETE PROPIO"/>
    <s v="CXO"/>
    <n v="1"/>
    <n v="818.97"/>
  </r>
  <r>
    <x v="13"/>
    <s v="02/01/2026"/>
    <x v="16"/>
    <s v="7503032300627"/>
    <s v="Kevin - CXO"/>
    <s v="JUGUETE PROPIO"/>
    <s v="CXO"/>
    <n v="1"/>
    <n v="775.86"/>
  </r>
  <r>
    <x v="13"/>
    <s v="02/01/2026"/>
    <x v="16"/>
    <s v="7503026484050"/>
    <s v="SENSIBILIZADOR PARA PEZONES 15ML"/>
    <s v="CONSUMIBLE"/>
    <s v="FEEL LOVE"/>
    <n v="1"/>
    <n v="172.41"/>
  </r>
  <r>
    <x v="13"/>
    <s v="02/01/2026"/>
    <x v="16"/>
    <s v="7503020596957"/>
    <s v="Shot Shumatsu Fun Hombre - DUSA"/>
    <s v="CONSUMIBLE PROPIO"/>
    <s v="DUSA"/>
    <n v="1"/>
    <n v="172.41"/>
  </r>
  <r>
    <x v="13"/>
    <s v="02/01/2026"/>
    <x v="16"/>
    <s v="7503013378690"/>
    <s v="Shumatsu 3 pzas - DUSA"/>
    <s v="CONSUMIBLE PROPIO"/>
    <s v="DUSA"/>
    <n v="3"/>
    <n v="1732.77"/>
  </r>
  <r>
    <x v="13"/>
    <s v="02/01/2026"/>
    <x v="16"/>
    <s v="7503020105074"/>
    <s v="Vibrador para parejas con doble estimulación Hanna -  CXO"/>
    <s v="JUGUETE PROPIO"/>
    <s v="CXO"/>
    <n v="1"/>
    <n v="2163.79"/>
  </r>
  <r>
    <x v="13"/>
    <s v="03/01/2026"/>
    <x v="16"/>
    <s v="7503013378119"/>
    <s v="Anastasia gema de colores S - CXO"/>
    <s v="JUGUETE PROPIO"/>
    <s v="CXO"/>
    <n v="1"/>
    <n v="396.55"/>
  </r>
  <r>
    <x v="13"/>
    <s v="03/01/2026"/>
    <x v="16"/>
    <s v="7503043917081"/>
    <s v="Blade rosa anillo vibrador - CXO"/>
    <s v="JUGUETE PROPIO"/>
    <s v="CXO"/>
    <n v="2"/>
    <n v="163.80000000000001"/>
  </r>
  <r>
    <x v="13"/>
    <s v="03/01/2026"/>
    <x v="16"/>
    <s v="7502214985805"/>
    <s v="CONDON PRUDENCE VETE A LA VERSH  C/3"/>
    <s v="CONSUMIBLE"/>
    <s v="PRUDENCE"/>
    <n v="1"/>
    <n v="77.59"/>
  </r>
  <r>
    <x v="13"/>
    <s v="03/01/2026"/>
    <x v="16"/>
    <s v="7502214980060"/>
    <s v="CONDON TRUST SENSITIVO CON 3 MAQ - PRUDENCE"/>
    <s v="CONSUMIBLE"/>
    <s v="PRUDENCE"/>
    <n v="1"/>
    <n v="77.59"/>
  </r>
  <r>
    <x v="13"/>
    <s v="03/01/2026"/>
    <x v="16"/>
    <s v="6959633166963"/>
    <s v="Ella Neo rojo- SVAKOM"/>
    <s v="JUGUETE"/>
    <s v="SVAKOM"/>
    <n v="1"/>
    <n v="3017.24"/>
  </r>
  <r>
    <x v="13"/>
    <s v="03/01/2026"/>
    <x v="16"/>
    <s v="P07-00252"/>
    <s v="Huevito Vibrador con Lenguita Estimuladora de Clitoris Rosy - CXO"/>
    <s v="JUGUETE PROPIO"/>
    <s v="CXO"/>
    <n v="1"/>
    <n v="2672.41"/>
  </r>
  <r>
    <x v="13"/>
    <s v="03/01/2026"/>
    <x v="16"/>
    <s v="7503043917012"/>
    <s v="Liquid Love Backdoor 30ml - DUSA"/>
    <s v="CONSUMIBLE PROPIO"/>
    <s v="DUSA"/>
    <n v="2"/>
    <n v="603.44000000000005"/>
  </r>
  <r>
    <x v="13"/>
    <s v="03/01/2026"/>
    <x v="16"/>
    <s v="6959633185476"/>
    <s v="Masturbador Hedy X Confidence – SVAKOM"/>
    <s v="JUGUETE"/>
    <s v="SVAKOM"/>
    <n v="1"/>
    <n v="181.03"/>
  </r>
  <r>
    <x v="13"/>
    <s v="03/01/2026"/>
    <x v="16"/>
    <s v="8699415912859"/>
    <s v="Miel Vigorizante para Hombre  Miracle Honey  VIP 15g-  SECRET MIRACLE HONEY"/>
    <s v="CONSUMIBLE"/>
    <s v="SECRET MIRACLE HONEY"/>
    <n v="3"/>
    <n v="646.56000000000006"/>
  </r>
  <r>
    <x v="13"/>
    <s v="03/01/2026"/>
    <x v="16"/>
    <s v="7503032300443"/>
    <s v="Zoe bala vibradora RETAIL - CXO"/>
    <s v="JUGUETE PROPIO"/>
    <s v="CXO"/>
    <n v="1"/>
    <n v="155.16999999999999"/>
  </r>
  <r>
    <x v="13"/>
    <s v="04/01/2026"/>
    <x v="2"/>
    <s v="8699415912859"/>
    <s v="Miel Vigorizante para Hombre  Miracle Honey  VIP 15g-  SECRET MIRACLE HONEY"/>
    <s v="CONSUMIBLE"/>
    <s v="SECRET MIRACLE HONEY"/>
    <n v="1"/>
    <n v="215.52"/>
  </r>
  <r>
    <x v="13"/>
    <s v="04/01/2026"/>
    <x v="2"/>
    <s v="6970556030858"/>
    <s v="Multiorgasmico Reno - CXO"/>
    <s v="JUGUETE PROPIO"/>
    <s v="CXO"/>
    <n v="1"/>
    <n v="2327.59"/>
  </r>
  <r>
    <x v="13"/>
    <s v="05/01/2026"/>
    <x v="16"/>
    <s v="ACG0976SV0WB"/>
    <s v="Dildo Vibrador con Impulsor Estimulador de Clítoris Conny - CXO"/>
    <s v="JUGUETE PROPIO"/>
    <s v="CXO"/>
    <n v="1"/>
    <n v="2198.2800000000002"/>
  </r>
  <r>
    <x v="13"/>
    <s v="05/01/2026"/>
    <x v="16"/>
    <s v="7503043917142"/>
    <s v="Hank negro anillo vibrador - CXO"/>
    <s v="JUGUETE PROPIO"/>
    <s v="CXO"/>
    <n v="1"/>
    <n v="818.97"/>
  </r>
  <r>
    <x v="13"/>
    <s v="05/01/2026"/>
    <x v="16"/>
    <s v="7503020596513"/>
    <s v="Liquid Love Natural 20ml - DUSA"/>
    <s v="CONSUMIBLE PROPIO"/>
    <s v="DUSA"/>
    <n v="1"/>
    <n v="258.62"/>
  </r>
  <r>
    <x v="13"/>
    <s v="05/01/2026"/>
    <x v="16"/>
    <s v="7503013378126"/>
    <s v="Lubricante Body Surf Frio Natural DUSA 60ml"/>
    <s v="CONSUMIBLE PROPIO"/>
    <s v="DUSA"/>
    <n v="1"/>
    <n v="387.93"/>
  </r>
  <r>
    <x v="13"/>
    <s v="05/01/2026"/>
    <x v="16"/>
    <s v="6959633189726"/>
    <s v="Masturbador Hedy X Control – SVAKOM"/>
    <s v="JUGUETE"/>
    <s v="SVAKOM"/>
    <n v="1"/>
    <n v="181.03"/>
  </r>
  <r>
    <x v="13"/>
    <s v="06/01/2026"/>
    <x v="16"/>
    <s v="7503013378119"/>
    <s v="Anastasia gema de colores S - CXO"/>
    <s v="JUGUETE PROPIO"/>
    <s v="CXO"/>
    <n v="1"/>
    <n v="396.55"/>
  </r>
  <r>
    <x v="13"/>
    <s v="06/01/2026"/>
    <x v="16"/>
    <s v="7503043917005"/>
    <s v="Liquid Love Clear 30ml - DUSA"/>
    <s v="CONSUMIBLE PROPIO"/>
    <s v="DUSA"/>
    <n v="1"/>
    <n v="301.72000000000003"/>
  </r>
  <r>
    <x v="13"/>
    <s v="06/01/2026"/>
    <x v="16"/>
    <s v="7503013378256"/>
    <s v="Sammy - CXO"/>
    <s v="JUGUETE PROPIO"/>
    <s v="CXO"/>
    <n v="1"/>
    <n v="1551.72"/>
  </r>
  <r>
    <x v="13"/>
    <s v="06/01/2026"/>
    <x v="16"/>
    <s v="7503020596957"/>
    <s v="Shot Shumatsu Fun Hombre - DUSA"/>
    <s v="CONSUMIBLE PROPIO"/>
    <s v="DUSA"/>
    <n v="2"/>
    <n v="344.82"/>
  </r>
  <r>
    <x v="13"/>
    <s v="07/01/2026"/>
    <x v="5"/>
    <s v="7503024256154"/>
    <s v="Lubricante Body Surf Termico Cereza DUSA 60ml"/>
    <s v="CONSUMIBLE PROPIO"/>
    <s v="DUSA"/>
    <n v="1"/>
    <n v="387.93"/>
  </r>
  <r>
    <x v="13"/>
    <s v="08/01/2026"/>
    <x v="16"/>
    <s v="7503050524340"/>
    <s v="Ducha Felix S - CXO"/>
    <s v="JUGUETE PROPIO"/>
    <s v="CXO"/>
    <n v="1"/>
    <n v="612.07000000000005"/>
  </r>
  <r>
    <x v="13"/>
    <s v="08/01/2026"/>
    <x v="16"/>
    <s v="7503043917005"/>
    <s v="Liquid Love Clear 30ml - DUSA"/>
    <s v="CONSUMIBLE PROPIO"/>
    <s v="DUSA"/>
    <n v="1"/>
    <n v="301.72000000000003"/>
  </r>
  <r>
    <x v="13"/>
    <s v="08/01/2026"/>
    <x v="16"/>
    <s v="7503032300825"/>
    <s v="Lubricante Sachet natural 2 ml - BANANA SHAKE"/>
    <s v="CONSUMIBLE"/>
    <s v="BANANA SHAKE"/>
    <n v="1"/>
    <n v="17.239999999999998"/>
  </r>
  <r>
    <x v="13"/>
    <s v="08/01/2026"/>
    <x v="16"/>
    <s v="7503024256635"/>
    <s v="Olive  6.8&quot; rosa - CXO"/>
    <s v="JUGUETE PROPIO"/>
    <s v="CXO"/>
    <n v="1"/>
    <n v="603.45000000000005"/>
  </r>
  <r>
    <x v="13"/>
    <s v="08/01/2026"/>
    <x v="16"/>
    <s v="6970556032074"/>
    <s v="Plug Anal con 10 modos de Vibracion de 11.5cm  Ramiro- CXO"/>
    <s v="JUGUETE PROPIO"/>
    <s v="CXO"/>
    <n v="1"/>
    <n v="1034.48"/>
  </r>
  <r>
    <x v="13"/>
    <s v="09/01/2026"/>
    <x v="16"/>
    <s v="7503020112070"/>
    <s v="Bala vibradora recargable Ely – CXO"/>
    <s v="JUGUETE PROPIO"/>
    <s v="CXO"/>
    <n v="1"/>
    <n v="793.1"/>
  </r>
  <r>
    <x v="13"/>
    <s v="09/01/2026"/>
    <x v="16"/>
    <s v="7503050524401"/>
    <s v="Cuerda shibari rosa 10mts - CXO"/>
    <s v="JUGUETE PROPIO"/>
    <s v="CXO"/>
    <n v="1"/>
    <n v="379.31"/>
  </r>
  <r>
    <x v="13"/>
    <s v="09/01/2026"/>
    <x v="16"/>
    <s v="7503030102034"/>
    <s v="Dildo vibrador con control Anthony - CXO"/>
    <s v="JUGUETE PROPIO"/>
    <s v="CXO"/>
    <n v="1"/>
    <n v="2112.0700000000002"/>
  </r>
  <r>
    <x v="13"/>
    <s v="09/01/2026"/>
    <x v="16"/>
    <s v="603912120042"/>
    <s v="Happy Top Tickler funda - PIPEDREAM"/>
    <s v="JUGUETE"/>
    <s v="PIPEDREAM"/>
    <n v="1"/>
    <n v="344.83"/>
  </r>
  <r>
    <x v="13"/>
    <s v="09/01/2026"/>
    <x v="16"/>
    <s v="7503032300993"/>
    <s v="Liquid Love Pleasure 30ml - DUSA"/>
    <s v="CONSUMIBLE PROPIO"/>
    <s v="DUSA"/>
    <n v="1"/>
    <n v="301.72000000000003"/>
  </r>
  <r>
    <x v="13"/>
    <s v="09/01/2026"/>
    <x v="16"/>
    <s v="GWPS_BANANASHAKE_001"/>
    <s v="Lub de Regalo - Banana Shake"/>
    <s v="ACTIVACION"/>
    <s v="BANANA SHAKE"/>
    <n v="4"/>
    <n v="0.04"/>
  </r>
  <r>
    <x v="13"/>
    <s v="09/01/2026"/>
    <x v="16"/>
    <s v="8699415912859"/>
    <s v="Miel Vigorizante para Hombre  Miracle Honey  VIP 15g-  SECRET MIRACLE HONEY"/>
    <s v="CONSUMIBLE"/>
    <s v="SECRET MIRACLE HONEY"/>
    <n v="1"/>
    <n v="215.52"/>
  </r>
  <r>
    <x v="13"/>
    <s v="09/01/2026"/>
    <x v="16"/>
    <s v="7503050524241"/>
    <s v="Orgasmik 30ml - DUSA"/>
    <s v="CONSUMIBLE PROPIO"/>
    <s v="DUSA"/>
    <n v="1"/>
    <n v="431.03"/>
  </r>
  <r>
    <x v="13"/>
    <s v="09/01/2026"/>
    <x v="16"/>
    <s v="7503013378010"/>
    <s v="Rigidex 2 pzas - DUSA"/>
    <s v="CONSUMIBLE PROPIO"/>
    <s v="DUSA"/>
    <n v="1"/>
    <n v="431.03"/>
  </r>
  <r>
    <x v="13"/>
    <s v="09/01/2026"/>
    <x v="16"/>
    <s v="7503024256192"/>
    <s v="Shot Shumatsu Fun Mujer - DUSA"/>
    <s v="CONSUMIBLE PROPIO"/>
    <s v="DUSA"/>
    <n v="1"/>
    <n v="172.41"/>
  </r>
  <r>
    <x v="13"/>
    <s v="09/01/2026"/>
    <x v="16"/>
    <s v="4061504007533"/>
    <s v="Succionador con App Love Triangle - Satisfayer"/>
    <s v="JUGUETE"/>
    <s v="SATISFAYER"/>
    <n v="1"/>
    <n v="1465.52"/>
  </r>
  <r>
    <x v="13"/>
    <s v="09/01/2026"/>
    <x v="16"/>
    <s v="4061504060040"/>
    <s v="Succionados Pingüino Edición Navideña - Satisfayer"/>
    <s v="JUGUETE"/>
    <s v="SATISFAYER"/>
    <n v="1"/>
    <n v="1637.93"/>
  </r>
  <r>
    <x v="13"/>
    <s v="09/01/2026"/>
    <x v="16"/>
    <s v="7503032300443"/>
    <s v="Zoe bala vibradora RETAIL - CXO"/>
    <s v="JUGUETE PROPIO"/>
    <s v="CXO"/>
    <n v="1"/>
    <n v="155.16999999999999"/>
  </r>
  <r>
    <x v="13"/>
    <s v="10/01/2026"/>
    <x v="16"/>
    <s v="7503013378102"/>
    <s v="Anastasia Gema de Colores M - CXO"/>
    <s v="JUGUETE PROPIO"/>
    <s v="CXO"/>
    <n v="1"/>
    <n v="456.9"/>
  </r>
  <r>
    <x v="13"/>
    <s v="10/01/2026"/>
    <x v="16"/>
    <s v="7503043917012"/>
    <s v="Liquid Love Backdoor 30ml - DUSA"/>
    <s v="CONSUMIBLE PROPIO"/>
    <s v="DUSA"/>
    <n v="1"/>
    <n v="301.72000000000003"/>
  </r>
  <r>
    <x v="13"/>
    <s v="10/01/2026"/>
    <x v="16"/>
    <s v="7503024256635"/>
    <s v="Olive  6.8&quot; rosa - CXO"/>
    <s v="JUGUETE PROPIO"/>
    <s v="CXO"/>
    <n v="1"/>
    <n v="603.45000000000005"/>
  </r>
  <r>
    <x v="13"/>
    <s v="10/01/2026"/>
    <x v="16"/>
    <s v="782421067113"/>
    <s v="P-Curve prostatico OptiMALE - DOC JOHNSON"/>
    <s v="JUGUETE"/>
    <s v="DOC JOHNSON"/>
    <n v="1"/>
    <n v="1991.38"/>
  </r>
  <r>
    <x v="13"/>
    <s v="10/01/2026"/>
    <x v="16"/>
    <s v="LL-2340-C"/>
    <s v="Pinzas Vibradoras para Pezon Mod. C (Succionador) - CXO"/>
    <s v="JUGUETE PROPIO"/>
    <s v="CXO"/>
    <n v="1"/>
    <n v="301.72000000000003"/>
  </r>
  <r>
    <x v="13"/>
    <s v="10/01/2026"/>
    <x v="16"/>
    <s v="7503020596957"/>
    <s v="Shot Shumatsu Fun Hombre - DUSA"/>
    <s v="CONSUMIBLE PROPIO"/>
    <s v="DUSA"/>
    <n v="1"/>
    <n v="172.41"/>
  </r>
  <r>
    <x v="13"/>
    <s v="10/01/2026"/>
    <x v="16"/>
    <s v="7503024256192"/>
    <s v="Shot Shumatsu Fun Mujer - DUSA"/>
    <s v="CONSUMIBLE PROPIO"/>
    <s v="DUSA"/>
    <n v="1"/>
    <n v="172.41"/>
  </r>
  <r>
    <x v="13"/>
    <s v="10/01/2026"/>
    <x v="16"/>
    <s v="7503032300443"/>
    <s v="Zoe bala vibradora RETAIL - CXO"/>
    <s v="JUGUETE PROPIO"/>
    <s v="CXO"/>
    <n v="1"/>
    <n v="155.16999999999999"/>
  </r>
  <r>
    <x v="13"/>
    <s v="11/01/2026"/>
    <x v="16"/>
    <s v="7503013378119"/>
    <s v="Anastasia gema de colores S - CXO"/>
    <s v="JUGUETE PROPIO"/>
    <s v="CXO"/>
    <n v="1"/>
    <n v="396.55"/>
  </r>
  <r>
    <x v="13"/>
    <s v="12/01/2026"/>
    <x v="2"/>
    <s v="7503014914002"/>
    <s v="CAPSULAS MULTIORGASMICO AMO O-GEN"/>
    <s v="CONSUMIBLE"/>
    <s v="POWER MAN"/>
    <n v="1"/>
    <n v="431.04"/>
  </r>
  <r>
    <x v="13"/>
    <s v="12/01/2026"/>
    <x v="2"/>
    <s v="7503032300993"/>
    <s v="Liquid Love Pleasure 30ml - DUSA"/>
    <s v="CONSUMIBLE PROPIO"/>
    <s v="DUSA"/>
    <n v="1"/>
    <n v="301.72000000000003"/>
  </r>
  <r>
    <x v="13"/>
    <s v="12/01/2026"/>
    <x v="2"/>
    <s v="SE020"/>
    <s v="Masturbador 2 en 1 Vagina y Boca - CXO"/>
    <s v="JUGUETE PROPIO"/>
    <s v="CXO"/>
    <n v="1"/>
    <n v="1293.0999999999999"/>
  </r>
  <r>
    <x v="13"/>
    <s v="12/01/2026"/>
    <x v="2"/>
    <s v="4251460601283"/>
    <s v="Romp Jazz"/>
    <s v="JUGUETE"/>
    <s v="ROMP"/>
    <n v="1"/>
    <n v="2155.17"/>
  </r>
  <r>
    <x v="13"/>
    <s v="12/01/2026"/>
    <x v="2"/>
    <s v="6959633127964"/>
    <s v="Sam Neo - SVAKOM"/>
    <s v="JUGUETE"/>
    <s v="SVAKOM"/>
    <n v="1"/>
    <n v="3017.24"/>
  </r>
  <r>
    <x v="13"/>
    <s v="12/01/2026"/>
    <x v="2"/>
    <s v="7503020596957"/>
    <s v="Shot Shumatsu Fun Hombre - DUSA"/>
    <s v="CONSUMIBLE PROPIO"/>
    <s v="DUSA"/>
    <n v="1"/>
    <n v="172.41"/>
  </r>
  <r>
    <x v="13"/>
    <s v="12/01/2026"/>
    <x v="2"/>
    <s v="7503020596063"/>
    <s v="Stallion Regenerador - DUSA"/>
    <s v="CONSUMIBLE PROPIO"/>
    <s v="DUSA"/>
    <n v="1"/>
    <n v="1293.0999999999999"/>
  </r>
  <r>
    <x v="13"/>
    <s v="13/01/2026"/>
    <x v="16"/>
    <s v="7503013378102"/>
    <s v="Anastasia Gema de Colores M - CXO"/>
    <s v="JUGUETE PROPIO"/>
    <s v="CXO"/>
    <n v="1"/>
    <n v="456.9"/>
  </r>
  <r>
    <x v="13"/>
    <s v="13/01/2026"/>
    <x v="16"/>
    <s v="7503032300221"/>
    <s v="Cola de Zorro Arcoiris 38cm M - CXO"/>
    <s v="JUGUETE PROPIO"/>
    <s v="CXO"/>
    <n v="1"/>
    <n v="301.72000000000003"/>
  </r>
  <r>
    <x v="13"/>
    <s v="13/01/2026"/>
    <x v="16"/>
    <s v="7503030103028"/>
    <s v="Huevito vibrador con control a distancia Daniela - CXO"/>
    <s v="JUGUETE PROPIO"/>
    <s v="CXO"/>
    <n v="1"/>
    <n v="1500"/>
  </r>
  <r>
    <x v="13"/>
    <s v="13/01/2026"/>
    <x v="16"/>
    <s v="7503032300382"/>
    <s v="Mon - CXO"/>
    <s v="JUGUETE PROPIO"/>
    <s v="CXO"/>
    <n v="1"/>
    <n v="517.24"/>
  </r>
  <r>
    <x v="13"/>
    <s v="13/01/2026"/>
    <x v="16"/>
    <s v="7350075026157"/>
    <s v="Sona cerise - LELO"/>
    <s v="JUGUETE"/>
    <s v="LELO"/>
    <n v="1"/>
    <n v="2068.9699999999998"/>
  </r>
  <r>
    <x v="13"/>
    <s v="14/01/2026"/>
    <x v="16"/>
    <s v="7503013378102"/>
    <s v="Anastasia Gema de Colores M - CXO"/>
    <s v="JUGUETE PROPIO"/>
    <s v="CXO"/>
    <n v="1"/>
    <n v="456.9"/>
  </r>
  <r>
    <x v="13"/>
    <s v="14/01/2026"/>
    <x v="16"/>
    <s v="S146 AAT1002"/>
    <s v="Bomba para Pene Automatica - S146 AAT1002"/>
    <s v="JUGUETE PROPIO"/>
    <s v="CXO"/>
    <n v="1"/>
    <n v="1551.72"/>
  </r>
  <r>
    <x v="13"/>
    <s v="14/01/2026"/>
    <x v="16"/>
    <s v="7503030118033"/>
    <s v="Kit vibrador + estimulante para clitoris Lau - CXO"/>
    <s v="JUGUETE PROPIO"/>
    <s v="CXO"/>
    <n v="1"/>
    <n v="1706.9"/>
  </r>
  <r>
    <x v="13"/>
    <s v="14/01/2026"/>
    <x v="16"/>
    <s v="7503043917012"/>
    <s v="Liquid Love Backdoor 30ml - DUSA"/>
    <s v="CONSUMIBLE PROPIO"/>
    <s v="DUSA"/>
    <n v="1"/>
    <n v="301.72000000000003"/>
  </r>
  <r>
    <x v="13"/>
    <s v="14/01/2026"/>
    <x v="16"/>
    <s v="7503032300993"/>
    <s v="Liquid Love Pleasure 30ml - DUSA"/>
    <s v="CONSUMIBLE PROPIO"/>
    <s v="DUSA"/>
    <n v="1"/>
    <n v="301.72000000000003"/>
  </r>
  <r>
    <x v="13"/>
    <s v="14/01/2026"/>
    <x v="16"/>
    <s v="7503013378010"/>
    <s v="Rigidex 2 pzas - DUSA"/>
    <s v="CONSUMIBLE PROPIO"/>
    <s v="DUSA"/>
    <n v="1"/>
    <n v="431.03"/>
  </r>
  <r>
    <x v="13"/>
    <s v="14/01/2026"/>
    <x v="16"/>
    <s v="7503024256192"/>
    <s v="Shot Shumatsu Fun Mujer - DUSA"/>
    <s v="CONSUMIBLE PROPIO"/>
    <s v="DUSA"/>
    <n v="1"/>
    <n v="172.41"/>
  </r>
  <r>
    <x v="13"/>
    <s v="14/01/2026"/>
    <x v="16"/>
    <s v="4630017971008"/>
    <s v="Titan gel original - TITAN"/>
    <s v="CONSUMIBLE"/>
    <s v="TITAN"/>
    <n v="1"/>
    <n v="517.24"/>
  </r>
  <r>
    <x v="13"/>
    <s v="14/01/2026"/>
    <x v="16"/>
    <s v="7503020105074"/>
    <s v="Vibrador para parejas con doble estimulación Hanna -  CXO"/>
    <s v="JUGUETE PROPIO"/>
    <s v="CXO"/>
    <n v="1"/>
    <n v="2163.79"/>
  </r>
  <r>
    <x v="13"/>
    <s v="15/01/2026"/>
    <x v="16"/>
    <s v="7503013378393"/>
    <s v="Anillo de Acero con bola - CXO"/>
    <s v="JUGUETE PROPIO"/>
    <s v="CXO"/>
    <n v="1"/>
    <n v="137.93"/>
  </r>
  <r>
    <x v="13"/>
    <s v="15/01/2026"/>
    <x v="16"/>
    <s v="FM1001"/>
    <s v="FEROMONAS DIAMANTE CONCENTRADO MUJER"/>
    <s v="CONSUMIBLE"/>
    <s v="DIAMANTE"/>
    <n v="1"/>
    <n v="413.79"/>
  </r>
  <r>
    <x v="13"/>
    <s v="15/01/2026"/>
    <x v="16"/>
    <s v="7503013378126"/>
    <s v="Lubricante Body Surf Frio Natural DUSA 60ml"/>
    <s v="CONSUMIBLE PROPIO"/>
    <s v="DUSA"/>
    <n v="1"/>
    <n v="387.93"/>
  </r>
  <r>
    <x v="13"/>
    <s v="15/01/2026"/>
    <x v="16"/>
    <s v="7503050524241"/>
    <s v="Orgasmik 30ml - DUSA"/>
    <s v="CONSUMIBLE PROPIO"/>
    <s v="DUSA"/>
    <n v="1"/>
    <n v="431.03"/>
  </r>
  <r>
    <x v="13"/>
    <s v="15/01/2026"/>
    <x v="16"/>
    <s v="7503050226162"/>
    <s v="Plug Anal con Vibración y Control Roberto - CXO"/>
    <s v="JUGUETE PROPIO"/>
    <s v="CXO"/>
    <n v="1"/>
    <n v="1293.0999999999999"/>
  </r>
  <r>
    <x v="13"/>
    <s v="15/01/2026"/>
    <x v="16"/>
    <s v="7350075026157"/>
    <s v="Sona cerise - LELO"/>
    <s v="JUGUETE"/>
    <s v="LELO"/>
    <n v="1"/>
    <n v="2068.9699999999998"/>
  </r>
  <r>
    <x v="13"/>
    <s v="15/01/2026"/>
    <x v="16"/>
    <s v="7503032300443"/>
    <s v="Zoe bala vibradora RETAIL - CXO"/>
    <s v="JUGUETE PROPIO"/>
    <s v="CXO"/>
    <n v="1"/>
    <n v="155.16999999999999"/>
  </r>
  <r>
    <x v="13"/>
    <s v="16/01/2026"/>
    <x v="2"/>
    <s v="7503013378102"/>
    <s v="Anastasia Gema de Colores M - CXO"/>
    <s v="JUGUETE PROPIO"/>
    <s v="CXO"/>
    <n v="1"/>
    <n v="456.9"/>
  </r>
  <r>
    <x v="13"/>
    <s v="16/01/2026"/>
    <x v="2"/>
    <s v="7502214980053"/>
    <s v="CONDON TRUST NATURAL CON 3 MAQ - PRUDENCE"/>
    <s v="CONSUMIBLE"/>
    <s v="PRUDENCE"/>
    <n v="2"/>
    <n v="155.18"/>
  </r>
  <r>
    <x v="13"/>
    <s v="16/01/2026"/>
    <x v="2"/>
    <s v="7503032300627"/>
    <s v="Kevin - CXO"/>
    <s v="JUGUETE PROPIO"/>
    <s v="CXO"/>
    <n v="1"/>
    <n v="775.86"/>
  </r>
  <r>
    <x v="13"/>
    <s v="16/01/2026"/>
    <x v="2"/>
    <s v="7503032300993"/>
    <s v="Liquid Love Pleasure 30ml - DUSA"/>
    <s v="CONSUMIBLE PROPIO"/>
    <s v="DUSA"/>
    <n v="1"/>
    <n v="301.72000000000003"/>
  </r>
  <r>
    <x v="13"/>
    <s v="16/01/2026"/>
    <x v="2"/>
    <s v="7503050524241"/>
    <s v="Orgasmik 30ml - DUSA"/>
    <s v="CONSUMIBLE PROPIO"/>
    <s v="DUSA"/>
    <n v="1"/>
    <n v="431.03"/>
  </r>
  <r>
    <x v="13"/>
    <s v="16/01/2026"/>
    <x v="2"/>
    <s v="7503013378010"/>
    <s v="Rigidex 2 pzas - DUSA"/>
    <s v="CONSUMIBLE PROPIO"/>
    <s v="DUSA"/>
    <n v="1"/>
    <n v="431.03"/>
  </r>
  <r>
    <x v="13"/>
    <s v="17/01/2026"/>
    <x v="16"/>
    <s v="7503043917081"/>
    <s v="Blade rosa anillo vibrador - CXO"/>
    <s v="JUGUETE PROPIO"/>
    <s v="CXO"/>
    <n v="1"/>
    <n v="81.900000000000006"/>
  </r>
  <r>
    <x v="13"/>
    <s v="17/01/2026"/>
    <x v="16"/>
    <s v="7503032300993"/>
    <s v="Liquid Love Pleasure 30ml - DUSA"/>
    <s v="CONSUMIBLE PROPIO"/>
    <s v="DUSA"/>
    <n v="1"/>
    <n v="301.72000000000003"/>
  </r>
  <r>
    <x v="13"/>
    <s v="17/01/2026"/>
    <x v="16"/>
    <s v="7503023462235"/>
    <s v="Lubricante Masaje Térmico Comestible Piña Colada FEEL LOVE 4 en 1 - 60ml"/>
    <s v="LUBRICANTE"/>
    <s v="FEEL LOVE"/>
    <n v="1"/>
    <n v="344.83"/>
  </r>
  <r>
    <x v="13"/>
    <s v="17/01/2026"/>
    <x v="16"/>
    <s v="7503020596957"/>
    <s v="Shot Shumatsu Fun Hombre - DUSA"/>
    <s v="CONSUMIBLE PROPIO"/>
    <s v="DUSA"/>
    <n v="1"/>
    <n v="172.41"/>
  </r>
  <r>
    <x v="13"/>
    <s v="17/01/2026"/>
    <x v="16"/>
    <s v="7503024256192"/>
    <s v="Shot Shumatsu Fun Mujer - DUSA"/>
    <s v="CONSUMIBLE PROPIO"/>
    <s v="DUSA"/>
    <n v="1"/>
    <n v="172.41"/>
  </r>
  <r>
    <x v="13"/>
    <s v="17/01/2026"/>
    <x v="16"/>
    <s v="7503013378690"/>
    <s v="Shumatsu 3 pzas - DUSA"/>
    <s v="CONSUMIBLE PROPIO"/>
    <s v="DUSA"/>
    <n v="1"/>
    <n v="577.59"/>
  </r>
  <r>
    <x v="13"/>
    <s v="18/01/2026"/>
    <x v="16"/>
    <s v="7503030211021"/>
    <s v="Anillo desechable para pene Donut - CXO"/>
    <s v="JUGUETE PROPIO"/>
    <s v="CXO"/>
    <n v="2"/>
    <n v="68.97"/>
  </r>
  <r>
    <x v="13"/>
    <s v="18/01/2026"/>
    <x v="16"/>
    <s v="7503014914002"/>
    <s v="CAPSULAS MULTIORGASMICO AMO O-GEN"/>
    <s v="CONSUMIBLE"/>
    <s v="POWER MAN"/>
    <n v="1"/>
    <n v="431.04"/>
  </r>
  <r>
    <x v="13"/>
    <s v="18/01/2026"/>
    <x v="16"/>
    <s v="7503013378492"/>
    <s v="Clean Whisper 120ml - DUSA"/>
    <s v="CONSUMIBLE PROPIO"/>
    <s v="DUSA"/>
    <n v="1"/>
    <n v="301.72000000000003"/>
  </r>
  <r>
    <x v="13"/>
    <s v="18/01/2026"/>
    <x v="16"/>
    <s v="7503032300993"/>
    <s v="Liquid Love Pleasure 30ml - DUSA"/>
    <s v="CONSUMIBLE PROPIO"/>
    <s v="DUSA"/>
    <n v="1"/>
    <n v="301.72000000000003"/>
  </r>
  <r>
    <x v="13"/>
    <s v="18/01/2026"/>
    <x v="16"/>
    <s v="7503013378126"/>
    <s v="Lubricante Body Surf Frio Natural DUSA 60ml"/>
    <s v="CONSUMIBLE PROPIO"/>
    <s v="DUSA"/>
    <n v="1"/>
    <n v="387.93"/>
  </r>
  <r>
    <x v="13"/>
    <s v="18/01/2026"/>
    <x v="16"/>
    <s v="7503013378799"/>
    <s v="Lubricante Body Surf Termico Citricos DUSA 60ml"/>
    <s v="CONSUMIBLE PROPIO"/>
    <s v="DUSA"/>
    <n v="1"/>
    <n v="387.93"/>
  </r>
  <r>
    <x v="13"/>
    <s v="18/01/2026"/>
    <x v="16"/>
    <s v="7503024256635"/>
    <s v="Olive  6.8&quot; rosa - CXO"/>
    <s v="JUGUETE PROPIO"/>
    <s v="CXO"/>
    <n v="1"/>
    <n v="603.45000000000005"/>
  </r>
  <r>
    <x v="13"/>
    <s v="18/01/2026"/>
    <x v="16"/>
    <s v="7503024256192"/>
    <s v="Shot Shumatsu Fun Mujer - DUSA"/>
    <s v="CONSUMIBLE PROPIO"/>
    <s v="DUSA"/>
    <n v="1"/>
    <n v="172.41"/>
  </r>
  <r>
    <x v="13"/>
    <s v="18/01/2026"/>
    <x v="16"/>
    <s v="7503030104190"/>
    <s v="Vibrador multiorgasmico con 10 modos de vibracion Norma - CXO"/>
    <s v="JUGUETE PROPIO"/>
    <s v="CXO"/>
    <n v="1"/>
    <n v="2396.5500000000002"/>
  </r>
  <r>
    <x v="13"/>
    <s v="19/01/2026"/>
    <x v="16"/>
    <s v="7503024256932"/>
    <s v="Cinthia - CXO"/>
    <s v="JUGUETE PROPIO"/>
    <s v="CXO"/>
    <n v="2"/>
    <n v="2258.62"/>
  </r>
  <r>
    <x v="13"/>
    <s v="19/01/2026"/>
    <x v="16"/>
    <s v="7503043917005"/>
    <s v="Liquid Love Clear 30ml - DUSA"/>
    <s v="CONSUMIBLE PROPIO"/>
    <s v="DUSA"/>
    <n v="1"/>
    <n v="301.72000000000003"/>
  </r>
  <r>
    <x v="13"/>
    <s v="19/01/2026"/>
    <x v="16"/>
    <s v="7503032300993"/>
    <s v="Liquid Love Pleasure 30ml - DUSA"/>
    <s v="CONSUMIBLE PROPIO"/>
    <s v="DUSA"/>
    <n v="1"/>
    <n v="301.72000000000003"/>
  </r>
  <r>
    <x v="13"/>
    <s v="19/01/2026"/>
    <x v="16"/>
    <s v="7503032300382"/>
    <s v="Mon - CXO"/>
    <s v="JUGUETE PROPIO"/>
    <s v="CXO"/>
    <n v="1"/>
    <n v="517.24"/>
  </r>
  <r>
    <x v="13"/>
    <s v="19/01/2026"/>
    <x v="16"/>
    <s v="7503020596957"/>
    <s v="Shot Shumatsu Fun Hombre - DUSA"/>
    <s v="CONSUMIBLE PROPIO"/>
    <s v="DUSA"/>
    <n v="1"/>
    <n v="172.41"/>
  </r>
  <r>
    <x v="13"/>
    <s v="20/01/2026"/>
    <x v="16"/>
    <s v="7502214982576"/>
    <s v="CONDON PRUDENCE SABOR Y AROMA EXTRA FUERTE"/>
    <s v="CONSUMIBLE"/>
    <s v="PRUDENCE"/>
    <n v="1"/>
    <n v="77.59"/>
  </r>
  <r>
    <x v="13"/>
    <s v="20/01/2026"/>
    <x v="16"/>
    <s v="7503043917005"/>
    <s v="Liquid Love Clear 30ml - DUSA"/>
    <s v="CONSUMIBLE PROPIO"/>
    <s v="DUSA"/>
    <n v="2"/>
    <n v="603.44000000000005"/>
  </r>
  <r>
    <x v="13"/>
    <s v="20/01/2026"/>
    <x v="16"/>
    <s v="4061504007533"/>
    <s v="Succionador con App Love Triangle - Satisfayer"/>
    <s v="JUGUETE"/>
    <s v="SATISFAYER"/>
    <n v="1"/>
    <n v="1465.52"/>
  </r>
  <r>
    <x v="13"/>
    <s v="21/01/2026"/>
    <x v="2"/>
    <s v="7503013378102"/>
    <s v="Anastasia Gema de Colores M - CXO"/>
    <s v="JUGUETE PROPIO"/>
    <s v="CXO"/>
    <n v="1"/>
    <n v="456.9"/>
  </r>
  <r>
    <x v="13"/>
    <s v="21/01/2026"/>
    <x v="2"/>
    <s v="6959633103500"/>
    <s v="Chika multiorgasmico turqueza - SVAKOM"/>
    <s v="JUGUETE"/>
    <s v="SVAKOM"/>
    <n v="1"/>
    <n v="2155.17"/>
  </r>
  <r>
    <x v="13"/>
    <s v="21/01/2026"/>
    <x v="2"/>
    <s v="7503013378492"/>
    <s v="Clean Whisper 120ml - DUSA"/>
    <s v="CONSUMIBLE PROPIO"/>
    <s v="DUSA"/>
    <n v="1"/>
    <n v="301.72000000000003"/>
  </r>
  <r>
    <x v="13"/>
    <s v="21/01/2026"/>
    <x v="2"/>
    <s v="603912307924"/>
    <s v="COLUMPIO DELUXE FANTASY DOOR SWING"/>
    <s v="OTRO"/>
    <s v="PIPEDREAM"/>
    <n v="1"/>
    <n v="1047.4100000000001"/>
  </r>
  <r>
    <x v="13"/>
    <s v="21/01/2026"/>
    <x v="2"/>
    <s v="7503013378645"/>
    <s v="Liquid Love Pleasure 100ml - DUSA"/>
    <s v="CONSUMIBLE PROPIO"/>
    <s v="DUSA"/>
    <n v="2"/>
    <n v="1551.72"/>
  </r>
  <r>
    <x v="13"/>
    <s v="21/01/2026"/>
    <x v="2"/>
    <s v="7503013378799"/>
    <s v="Lubricante Body Surf Termico Citricos DUSA 60ml"/>
    <s v="CONSUMIBLE PROPIO"/>
    <s v="DUSA"/>
    <n v="1"/>
    <n v="387.93"/>
  </r>
  <r>
    <x v="13"/>
    <s v="21/01/2026"/>
    <x v="2"/>
    <s v="7503050524258"/>
    <s v="Sensicool 30ml - DUSA"/>
    <s v="CONSUMIBLE PROPIO"/>
    <s v="DUSA"/>
    <n v="1"/>
    <n v="431.03"/>
  </r>
  <r>
    <x v="13"/>
    <s v="21/01/2026"/>
    <x v="2"/>
    <s v="7503020596957"/>
    <s v="Shot Shumatsu Fun Hombre - DUSA"/>
    <s v="CONSUMIBLE PROPIO"/>
    <s v="DUSA"/>
    <n v="1"/>
    <n v="172.41"/>
  </r>
  <r>
    <x v="13"/>
    <s v="22/01/2026"/>
    <x v="16"/>
    <s v="7503043917081"/>
    <s v="Blade rosa anillo vibrador - CXO"/>
    <s v="JUGUETE PROPIO"/>
    <s v="CXO"/>
    <n v="1"/>
    <n v="81.900000000000006"/>
  </r>
  <r>
    <x v="13"/>
    <s v="22/01/2026"/>
    <x v="16"/>
    <s v="7503032300993"/>
    <s v="Liquid Love Pleasure 30ml - DUSA"/>
    <s v="CONSUMIBLE PROPIO"/>
    <s v="DUSA"/>
    <n v="1"/>
    <n v="301.72000000000003"/>
  </r>
  <r>
    <x v="13"/>
    <s v="22/01/2026"/>
    <x v="16"/>
    <s v="7503013378799"/>
    <s v="Lubricante Body Surf Termico Citricos DUSA 60ml"/>
    <s v="CONSUMIBLE PROPIO"/>
    <s v="DUSA"/>
    <n v="1"/>
    <n v="387.93"/>
  </r>
  <r>
    <x v="13"/>
    <s v="22/01/2026"/>
    <x v="16"/>
    <s v="7503050524241"/>
    <s v="Orgasmik 30ml - DUSA"/>
    <s v="CONSUMIBLE PROPIO"/>
    <s v="DUSA"/>
    <n v="1"/>
    <n v="431.03"/>
  </r>
  <r>
    <x v="13"/>
    <s v="23/01/2026"/>
    <x v="2"/>
    <s v="7503050226132"/>
    <s v="Body Carla - OLA MOU"/>
    <s v="LENCERIA PROPIA"/>
    <s v="OLA MOU"/>
    <n v="1"/>
    <n v="431.03"/>
  </r>
  <r>
    <x v="13"/>
    <s v="23/01/2026"/>
    <x v="2"/>
    <s v="CON01CH009005M"/>
    <s v="Conjunto Brenda M amarillo"/>
    <s v="LENCERIA PROPIA"/>
    <s v="OLA MOU"/>
    <n v="1"/>
    <n v="435.34"/>
  </r>
  <r>
    <x v="13"/>
    <s v="24/01/2026"/>
    <x v="16"/>
    <s v="7503030115025"/>
    <s v="Arnes straple con doble estimulacion violeta Karen - CXO"/>
    <s v="JUGUETE"/>
    <s v="ADRIEN LASTIC"/>
    <n v="1"/>
    <n v="2586.21"/>
  </r>
  <r>
    <x v="13"/>
    <s v="24/01/2026"/>
    <x v="16"/>
    <s v="MBS0530"/>
    <s v="Esposas de broche - CXO"/>
    <s v="JUGUETE PROPIO"/>
    <s v="CXO"/>
    <n v="1"/>
    <n v="172.41"/>
  </r>
  <r>
    <x v="13"/>
    <s v="24/01/2026"/>
    <x v="16"/>
    <s v="7503020596001"/>
    <s v="Liquid Love Clear 100ml - DUSA"/>
    <s v="CONSUMIBLE PROPIO"/>
    <s v="DUSA"/>
    <n v="2"/>
    <n v="1551.72"/>
  </r>
  <r>
    <x v="13"/>
    <s v="24/01/2026"/>
    <x v="16"/>
    <s v="7503024256154"/>
    <s v="Lubricante Body Surf Termico Cereza DUSA 60ml"/>
    <s v="CONSUMIBLE PROPIO"/>
    <s v="DUSA"/>
    <n v="1"/>
    <n v="387.93"/>
  </r>
  <r>
    <x v="13"/>
    <s v="24/01/2026"/>
    <x v="16"/>
    <s v="7503020596957"/>
    <s v="Shot Shumatsu Fun Hombre - DUSA"/>
    <s v="CONSUMIBLE PROPIO"/>
    <s v="DUSA"/>
    <n v="1"/>
    <n v="172.41"/>
  </r>
  <r>
    <x v="13"/>
    <s v="24/01/2026"/>
    <x v="16"/>
    <s v="7503024256192"/>
    <s v="Shot Shumatsu Fun Mujer - DUSA"/>
    <s v="CONSUMIBLE PROPIO"/>
    <s v="DUSA"/>
    <n v="1"/>
    <n v="172.41"/>
  </r>
  <r>
    <x v="13"/>
    <s v="24/01/2026"/>
    <x v="16"/>
    <s v="7350075026164"/>
    <s v="Sona rosa - LELO"/>
    <s v="JUGUETE"/>
    <s v="LELO"/>
    <n v="1"/>
    <n v="2068.9699999999998"/>
  </r>
  <r>
    <x v="13"/>
    <s v="25/01/2026"/>
    <x v="16"/>
    <s v="7503024256741"/>
    <s v="Cola de Zorro 45cm café S - CXO"/>
    <s v="JUGUETE PROPIO"/>
    <s v="CXO"/>
    <n v="1"/>
    <n v="258.62"/>
  </r>
  <r>
    <x v="13"/>
    <s v="25/01/2026"/>
    <x v="16"/>
    <s v="ZEBOLA00265VW"/>
    <s v="Conjunto Zebra - OLA MOU"/>
    <s v="LENCERIA PROPIA"/>
    <s v="OLA MOU"/>
    <n v="1"/>
    <n v="301.72000000000003"/>
  </r>
  <r>
    <x v="13"/>
    <s v="25/01/2026"/>
    <x v="16"/>
    <s v="7503030102198"/>
    <s v="Dildo realista vibrador con ventosa Ulises - CXO"/>
    <s v="JUGUETE PROPIO"/>
    <s v="CXO"/>
    <n v="1"/>
    <n v="2000"/>
  </r>
  <r>
    <x v="13"/>
    <s v="25/01/2026"/>
    <x v="16"/>
    <s v="7503030102034"/>
    <s v="Dildo vibrador con control Anthony - CXO"/>
    <s v="JUGUETE PROPIO"/>
    <s v="CXO"/>
    <n v="1"/>
    <n v="2112.0700000000002"/>
  </r>
  <r>
    <x v="13"/>
    <s v="25/01/2026"/>
    <x v="16"/>
    <s v="7503043917012"/>
    <s v="Liquid Love Backdoor 30ml - DUSA"/>
    <s v="CONSUMIBLE PROPIO"/>
    <s v="DUSA"/>
    <n v="1"/>
    <n v="301.72000000000003"/>
  </r>
  <r>
    <x v="13"/>
    <s v="25/01/2026"/>
    <x v="16"/>
    <s v="7503020596513"/>
    <s v="Liquid Love Natural 20ml - DUSA"/>
    <s v="CONSUMIBLE PROPIO"/>
    <s v="DUSA"/>
    <n v="1"/>
    <n v="258.62"/>
  </r>
  <r>
    <x v="13"/>
    <s v="25/01/2026"/>
    <x v="16"/>
    <s v="7503032300993"/>
    <s v="Liquid Love Pleasure 30ml - DUSA"/>
    <s v="CONSUMIBLE PROPIO"/>
    <s v="DUSA"/>
    <n v="1"/>
    <n v="301.72000000000003"/>
  </r>
  <r>
    <x v="13"/>
    <s v="25/01/2026"/>
    <x v="16"/>
    <s v="7503013378799"/>
    <s v="Lubricante Body Surf Termico Citricos DUSA 60ml"/>
    <s v="CONSUMIBLE PROPIO"/>
    <s v="DUSA"/>
    <n v="1"/>
    <n v="387.93"/>
  </r>
  <r>
    <x v="13"/>
    <s v="25/01/2026"/>
    <x v="16"/>
    <s v="7503050226162"/>
    <s v="Plug Anal con Vibración y Control Roberto - CXO"/>
    <s v="JUGUETE PROPIO"/>
    <s v="CXO"/>
    <n v="1"/>
    <n v="1293.0999999999999"/>
  </r>
  <r>
    <x v="13"/>
    <s v="25/01/2026"/>
    <x v="16"/>
    <s v="7503032300443"/>
    <s v="Zoe bala vibradora RETAIL - CXO"/>
    <s v="JUGUETE PROPIO"/>
    <s v="CXO"/>
    <n v="1"/>
    <n v="155.16999999999999"/>
  </r>
  <r>
    <x v="13"/>
    <s v="26/01/2026"/>
    <x v="16"/>
    <s v="7503013378492"/>
    <s v="Clean Whisper 120ml - DUSA"/>
    <s v="CONSUMIBLE PROPIO"/>
    <s v="DUSA"/>
    <n v="1"/>
    <n v="301.72000000000003"/>
  </r>
  <r>
    <x v="13"/>
    <s v="26/01/2026"/>
    <x v="16"/>
    <s v="7503043917012"/>
    <s v="Liquid Love Backdoor 30ml - DUSA"/>
    <s v="CONSUMIBLE PROPIO"/>
    <s v="DUSA"/>
    <n v="1"/>
    <n v="301.72000000000003"/>
  </r>
  <r>
    <x v="13"/>
    <s v="26/01/2026"/>
    <x v="16"/>
    <s v="7503050524258"/>
    <s v="Sensicool 30ml - DUSA"/>
    <s v="CONSUMIBLE PROPIO"/>
    <s v="DUSA"/>
    <n v="1"/>
    <n v="431.03"/>
  </r>
  <r>
    <x v="13"/>
    <s v="26/01/2026"/>
    <x v="16"/>
    <s v="6974122611892"/>
    <s v="Succionador con 7 modos Esther - CXO"/>
    <s v="JUGUETE PROPIO"/>
    <s v="CXO"/>
    <n v="1"/>
    <n v="1853.45"/>
  </r>
  <r>
    <x v="13"/>
    <s v="26/01/2026"/>
    <x v="16"/>
    <s v="7503032300443"/>
    <s v="Zoe bala vibradora RETAIL - CXO"/>
    <s v="JUGUETE PROPIO"/>
    <s v="CXO"/>
    <n v="1"/>
    <n v="155.16999999999999"/>
  </r>
  <r>
    <x v="13"/>
    <s v="27/01/2026"/>
    <x v="16"/>
    <s v="7503013378010"/>
    <s v="Rigidex 2 pzas - DUSA"/>
    <s v="CONSUMIBLE PROPIO"/>
    <s v="DUSA"/>
    <n v="1"/>
    <n v="431.03"/>
  </r>
  <r>
    <x v="13"/>
    <s v="28/01/2026"/>
    <x v="16"/>
    <s v="7503013378386"/>
    <s v="Anillo de Acero Plano - CXO"/>
    <s v="JUGUETE PROPIO"/>
    <s v="CXO"/>
    <n v="1"/>
    <n v="168.1"/>
  </r>
  <r>
    <x v="13"/>
    <s v="28/01/2026"/>
    <x v="16"/>
    <s v="7502214980077"/>
    <s v="CONDON TRUST FRESA CON 3 MAQ - PRUDENCE"/>
    <s v="CONSUMIBLE"/>
    <s v="PRUDENCE"/>
    <n v="2"/>
    <n v="155.16999999999999"/>
  </r>
  <r>
    <x v="13"/>
    <s v="28/01/2026"/>
    <x v="16"/>
    <s v="7502214982811"/>
    <s v="Condones Mix Sabor y Aroma 5 pzs - PRUDENCE"/>
    <s v="CONSUMIBLE"/>
    <s v="PRUDENCE"/>
    <n v="1"/>
    <n v="77.59"/>
  </r>
  <r>
    <x v="13"/>
    <s v="28/01/2026"/>
    <x v="16"/>
    <s v="7503024256154"/>
    <s v="Lubricante Body Surf Termico Cereza DUSA 60ml"/>
    <s v="CONSUMIBLE PROPIO"/>
    <s v="DUSA"/>
    <n v="1"/>
    <n v="387.93"/>
  </r>
  <r>
    <x v="13"/>
    <s v="28/01/2026"/>
    <x v="16"/>
    <s v="7503013378799"/>
    <s v="Lubricante Body Surf Termico Citricos DUSA 60ml"/>
    <s v="CONSUMIBLE PROPIO"/>
    <s v="DUSA"/>
    <n v="1"/>
    <n v="387.93"/>
  </r>
  <r>
    <x v="13"/>
    <s v="29/01/2026"/>
    <x v="16"/>
    <s v="7502214982576"/>
    <s v="CONDON PRUDENCE SABOR Y AROMA EXTRA FUERTE"/>
    <s v="CONSUMIBLE"/>
    <s v="PRUDENCE"/>
    <n v="1"/>
    <n v="77.59"/>
  </r>
  <r>
    <x v="13"/>
    <s v="29/01/2026"/>
    <x v="16"/>
    <s v="7503013378690"/>
    <s v="Shumatsu 3 pzas - DUSA"/>
    <s v="CONSUMIBLE PROPIO"/>
    <s v="DUSA"/>
    <n v="3"/>
    <n v="1732.77"/>
  </r>
  <r>
    <x v="13"/>
    <s v="29/01/2026"/>
    <x v="16"/>
    <s v="7503032300443"/>
    <s v="Zoe bala vibradora RETAIL - CXO"/>
    <s v="JUGUETE PROPIO"/>
    <s v="CXO"/>
    <n v="1"/>
    <n v="155.16999999999999"/>
  </r>
  <r>
    <x v="13"/>
    <s v="30/01/2026"/>
    <x v="16"/>
    <s v="7503020111071"/>
    <s v="Anillo vibrador Hank gris con 10 velocidades – CXO"/>
    <s v="JUGUETE PROPIO"/>
    <s v="CXO"/>
    <n v="1"/>
    <n v="1267.24"/>
  </r>
  <r>
    <x v="13"/>
    <s v="30/01/2026"/>
    <x v="16"/>
    <s v="7503013378492"/>
    <s v="Clean Whisper 120ml - DUSA"/>
    <s v="CONSUMIBLE PROPIO"/>
    <s v="DUSA"/>
    <n v="1"/>
    <n v="301.72000000000003"/>
  </r>
  <r>
    <x v="13"/>
    <s v="30/01/2026"/>
    <x v="16"/>
    <s v="7503030102034"/>
    <s v="Dildo vibrador con control Anthony - CXO"/>
    <s v="JUGUETE PROPIO"/>
    <s v="CXO"/>
    <n v="1"/>
    <n v="2112.0700000000002"/>
  </r>
  <r>
    <x v="13"/>
    <s v="30/01/2026"/>
    <x v="16"/>
    <s v="MBS0530"/>
    <s v="Esposas de broche - CXO"/>
    <s v="JUGUETE PROPIO"/>
    <s v="CXO"/>
    <n v="1"/>
    <n v="172.41"/>
  </r>
  <r>
    <x v="13"/>
    <s v="30/01/2026"/>
    <x v="16"/>
    <s v="7503043917005"/>
    <s v="Liquid Love Clear 30ml - DUSA"/>
    <s v="CONSUMIBLE PROPIO"/>
    <s v="DUSA"/>
    <n v="1"/>
    <n v="301.72000000000003"/>
  </r>
  <r>
    <x v="13"/>
    <s v="30/01/2026"/>
    <x v="16"/>
    <s v="75079413"/>
    <s v="Mini Kit Hombre 3 piezas - SXO"/>
    <s v="CONSUMIBLE"/>
    <s v="SXO"/>
    <n v="1"/>
    <n v="284.48"/>
  </r>
  <r>
    <x v="13"/>
    <s v="30/01/2026"/>
    <x v="16"/>
    <s v="75079390"/>
    <s v="Mini Kit Mujer 3 piezas- SXO"/>
    <s v="CONSUMIBLE"/>
    <s v="SXO"/>
    <n v="1"/>
    <n v="284.48"/>
  </r>
  <r>
    <x v="13"/>
    <s v="30/01/2026"/>
    <x v="16"/>
    <s v="7503050524241"/>
    <s v="Orgasmik 30ml - DUSA"/>
    <s v="CONSUMIBLE PROPIO"/>
    <s v="DUSA"/>
    <n v="1"/>
    <n v="431.03"/>
  </r>
  <r>
    <x v="13"/>
    <s v="30/01/2026"/>
    <x v="16"/>
    <s v="7503013378690"/>
    <s v="Shumatsu 3 pzas - DUSA"/>
    <s v="CONSUMIBLE PROPIO"/>
    <s v="DUSA"/>
    <n v="1"/>
    <n v="577.59"/>
  </r>
  <r>
    <x v="13"/>
    <s v="30/01/2026"/>
    <x v="16"/>
    <s v="7503032300443"/>
    <s v="Zoe bala vibradora RETAIL - CXO"/>
    <s v="JUGUETE PROPIO"/>
    <s v="CXO"/>
    <n v="1"/>
    <n v="155.16999999999999"/>
  </r>
  <r>
    <x v="13"/>
    <s v="31/01/2026"/>
    <x v="16"/>
    <s v="7503043917081"/>
    <s v="Blade rosa anillo vibrador - CXO"/>
    <s v="JUGUETE PROPIO"/>
    <s v="CXO"/>
    <n v="1"/>
    <n v="81.900000000000006"/>
  </r>
  <r>
    <x v="13"/>
    <s v="31/01/2026"/>
    <x v="16"/>
    <s v="7503043917012"/>
    <s v="Liquid Love Backdoor 30ml - DUSA"/>
    <s v="CONSUMIBLE PROPIO"/>
    <s v="DUSA"/>
    <n v="1"/>
    <n v="301.72000000000003"/>
  </r>
  <r>
    <x v="13"/>
    <s v="31/01/2026"/>
    <x v="16"/>
    <s v="7503032300856"/>
    <s v="Sachet vibrador liquido 2 ml - BANANA SHAKE"/>
    <s v="CONSUMIBLE"/>
    <s v="BANANA SHAKE"/>
    <n v="3"/>
    <n v="51.72"/>
  </r>
  <r>
    <x v="13"/>
    <s v="31/01/2026"/>
    <x v="16"/>
    <s v="7503032300443"/>
    <s v="Zoe bala vibradora RETAIL - CXO"/>
    <s v="JUGUETE PROPIO"/>
    <s v="CXO"/>
    <n v="4"/>
    <n v="620.67999999999995"/>
  </r>
  <r>
    <x v="14"/>
    <s v="02/01/2026"/>
    <x v="17"/>
    <s v="7503014914002"/>
    <s v="CAPSULAS MULTIORGASMICO AMO O-GEN"/>
    <s v="CONSUMIBLE"/>
    <s v="POWER MAN"/>
    <n v="1"/>
    <n v="431.04"/>
  </r>
  <r>
    <x v="14"/>
    <s v="02/01/2026"/>
    <x v="17"/>
    <s v="7503024256741"/>
    <s v="Cola de Zorro 45cm café S - CXO"/>
    <s v="JUGUETE PROPIO"/>
    <s v="CXO"/>
    <n v="1"/>
    <n v="258.62"/>
  </r>
  <r>
    <x v="14"/>
    <s v="02/01/2026"/>
    <x v="17"/>
    <s v="75037420"/>
    <s v="Dulce Estimulante Sexual Sabor Menta 2 piezas - SXO"/>
    <s v="CONSUMIBLE"/>
    <s v="SXO"/>
    <n v="1"/>
    <n v="120.69"/>
  </r>
  <r>
    <x v="14"/>
    <s v="02/01/2026"/>
    <x v="17"/>
    <s v="7350075029332"/>
    <s v="Enigma wave morado - LELO"/>
    <s v="JUGUETE"/>
    <s v="LELO"/>
    <n v="1"/>
    <n v="5862.07"/>
  </r>
  <r>
    <x v="14"/>
    <s v="02/01/2026"/>
    <x v="17"/>
    <s v="7503013378652"/>
    <s v="Liquid Love Backdoor 100ml - DUSA"/>
    <s v="CONSUMIBLE PROPIO"/>
    <s v="DUSA"/>
    <n v="1"/>
    <n v="1077.5899999999999"/>
  </r>
  <r>
    <x v="14"/>
    <s v="02/01/2026"/>
    <x v="17"/>
    <s v="7503032300993"/>
    <s v="Liquid Love Pleasure 30ml - DUSA"/>
    <s v="CONSUMIBLE PROPIO"/>
    <s v="DUSA"/>
    <n v="2"/>
    <n v="603.44000000000005"/>
  </r>
  <r>
    <x v="14"/>
    <s v="02/01/2026"/>
    <x v="17"/>
    <s v="7503013378645"/>
    <s v="Liquid Love Pleasure 100ml - DUSA"/>
    <s v="CONSUMIBLE PROPIO"/>
    <s v="DUSA"/>
    <n v="1"/>
    <n v="775.86"/>
  </r>
  <r>
    <x v="14"/>
    <s v="02/01/2026"/>
    <x v="17"/>
    <s v="7503023462242"/>
    <s v="Lubricante Masaje Termico Comestible Uva Dulce FEEL LOVE 4 en 1 60ml"/>
    <s v="LUBRICANTE"/>
    <s v="FEEL LOVE"/>
    <n v="1"/>
    <n v="344.83"/>
  </r>
  <r>
    <x v="14"/>
    <s v="02/01/2026"/>
    <x v="17"/>
    <s v="6959633103494"/>
    <s v="Mora Neo multiorgasmico rosa - SVAKOM"/>
    <s v="JUGUETE"/>
    <s v="SVAKOM"/>
    <n v="1"/>
    <n v="1637.93"/>
  </r>
  <r>
    <x v="14"/>
    <s v="02/01/2026"/>
    <x v="17"/>
    <s v="7503043917593"/>
    <s v="Nora dildo vibrador - CXO"/>
    <s v="JUGUETE PROPIO"/>
    <s v="CXO"/>
    <n v="1"/>
    <n v="474.14"/>
  </r>
  <r>
    <x v="14"/>
    <s v="02/01/2026"/>
    <x v="17"/>
    <s v="7503050524258"/>
    <s v="Sensicool 30ml - DUSA"/>
    <s v="CONSUMIBLE PROPIO"/>
    <s v="DUSA"/>
    <n v="1"/>
    <n v="431.03"/>
  </r>
  <r>
    <x v="14"/>
    <s v="02/01/2026"/>
    <x v="17"/>
    <s v="7503013378690"/>
    <s v="Shumatsu 3 pzas - DUSA"/>
    <s v="CONSUMIBLE PROPIO"/>
    <s v="DUSA"/>
    <n v="1"/>
    <n v="577.59"/>
  </r>
  <r>
    <x v="14"/>
    <s v="02/01/2026"/>
    <x v="17"/>
    <s v="4032498331652"/>
    <s v="Smartballs Uno  uva/blanco - FUN FACTORY"/>
    <s v="JUGUETE"/>
    <s v="FUN FACTORY"/>
    <n v="1"/>
    <n v="456.9"/>
  </r>
  <r>
    <x v="14"/>
    <s v="03/01/2026"/>
    <x v="5"/>
    <s v="7502214980275"/>
    <s v="Condones sabor y aroma soda c/ 3 pzs - PRUDENCE"/>
    <s v="CONSUMIBLE"/>
    <s v="PRUDENCE"/>
    <n v="1"/>
    <n v="60.34"/>
  </r>
  <r>
    <x v="14"/>
    <s v="03/01/2026"/>
    <x v="5"/>
    <s v="7503043917586"/>
    <s v="Huevo masturbador wavy - EGG"/>
    <s v="JUGUETE"/>
    <s v="EGG"/>
    <n v="1"/>
    <n v="159.47999999999999"/>
  </r>
  <r>
    <x v="14"/>
    <s v="03/01/2026"/>
    <x v="5"/>
    <s v="7503032300993"/>
    <s v="Liquid Love Pleasure 30ml - DUSA"/>
    <s v="CONSUMIBLE PROPIO"/>
    <s v="DUSA"/>
    <n v="1"/>
    <n v="301.72000000000003"/>
  </r>
  <r>
    <x v="14"/>
    <s v="03/01/2026"/>
    <x v="5"/>
    <s v="7503013378799"/>
    <s v="Lubricante Body Surf Termico Citricos DUSA 60ml"/>
    <s v="CONSUMIBLE PROPIO"/>
    <s v="DUSA"/>
    <n v="1"/>
    <n v="387.93"/>
  </r>
  <r>
    <x v="14"/>
    <s v="03/01/2026"/>
    <x v="5"/>
    <s v="7503013378010"/>
    <s v="Rigidex 2 pzas - DUSA"/>
    <s v="CONSUMIBLE PROPIO"/>
    <s v="DUSA"/>
    <n v="1"/>
    <n v="431.03"/>
  </r>
  <r>
    <x v="14"/>
    <s v="03/01/2026"/>
    <x v="5"/>
    <s v="7503024256192"/>
    <s v="Shot Shumatsu Fun Mujer - DUSA"/>
    <s v="CONSUMIBLE PROPIO"/>
    <s v="DUSA"/>
    <n v="1"/>
    <n v="172.41"/>
  </r>
  <r>
    <x v="14"/>
    <s v="03/01/2026"/>
    <x v="5"/>
    <s v="7503013378690"/>
    <s v="Shumatsu 3 pzas - DUSA"/>
    <s v="CONSUMIBLE PROPIO"/>
    <s v="DUSA"/>
    <n v="1"/>
    <n v="577.59"/>
  </r>
  <r>
    <x v="14"/>
    <s v="04/01/2026"/>
    <x v="17"/>
    <s v="7503020111072"/>
    <s v="Anillo vibrador recargable con textura negra Hank - CXO"/>
    <s v="JUGUETE PROPIO"/>
    <s v="CXO"/>
    <n v="1"/>
    <n v="1267.24"/>
  </r>
  <r>
    <x v="14"/>
    <s v="04/01/2026"/>
    <x v="17"/>
    <s v="7503014914002"/>
    <s v="CAPSULAS MULTIORGASMICO AMO O-GEN"/>
    <s v="CONSUMIBLE"/>
    <s v="POWER MAN"/>
    <n v="1"/>
    <n v="431.04"/>
  </r>
  <r>
    <x v="14"/>
    <s v="04/01/2026"/>
    <x v="17"/>
    <s v="7503030102034"/>
    <s v="Dildo vibrador con control Anthony - CXO"/>
    <s v="JUGUETE PROPIO"/>
    <s v="CXO"/>
    <n v="1"/>
    <n v="2112.0700000000002"/>
  </r>
  <r>
    <x v="14"/>
    <s v="04/01/2026"/>
    <x v="17"/>
    <s v="7503032300993"/>
    <s v="Liquid Love Pleasure 30ml - DUSA"/>
    <s v="CONSUMIBLE PROPIO"/>
    <s v="DUSA"/>
    <n v="3"/>
    <n v="905.16000000000008"/>
  </r>
  <r>
    <x v="14"/>
    <s v="04/01/2026"/>
    <x v="17"/>
    <s v="6959633103494"/>
    <s v="Mora Neo multiorgasmico rosa - SVAKOM"/>
    <s v="JUGUETE"/>
    <s v="SVAKOM"/>
    <n v="1"/>
    <n v="1637.93"/>
  </r>
  <r>
    <x v="14"/>
    <s v="04/01/2026"/>
    <x v="17"/>
    <s v="6959633127964"/>
    <s v="Sam Neo - SVAKOM"/>
    <s v="JUGUETE"/>
    <s v="SVAKOM"/>
    <n v="1"/>
    <n v="3017.24"/>
  </r>
  <r>
    <x v="14"/>
    <s v="04/01/2026"/>
    <x v="17"/>
    <s v="7503020596957"/>
    <s v="Shot Shumatsu Fun Hombre - DUSA"/>
    <s v="CONSUMIBLE PROPIO"/>
    <s v="DUSA"/>
    <n v="1"/>
    <n v="172.41"/>
  </r>
  <r>
    <x v="14"/>
    <s v="04/01/2026"/>
    <x v="17"/>
    <s v="7503013378690"/>
    <s v="Shumatsu 3 pzas - DUSA"/>
    <s v="CONSUMIBLE PROPIO"/>
    <s v="DUSA"/>
    <n v="2"/>
    <n v="1155.18"/>
  </r>
  <r>
    <x v="14"/>
    <s v="04/01/2026"/>
    <x v="17"/>
    <s v="7503020596063"/>
    <s v="Stallion Regenerador - DUSA"/>
    <s v="CONSUMIBLE PROPIO"/>
    <s v="DUSA"/>
    <n v="1"/>
    <n v="1293.0999999999999"/>
  </r>
  <r>
    <x v="14"/>
    <s v="05/01/2026"/>
    <x v="17"/>
    <s v="7508304288887"/>
    <s v="Aceite Fruta de la pasion 60ml - FEEL LOVE"/>
    <s v="CONSUMIBLE"/>
    <s v="FEEL LOVE"/>
    <n v="1"/>
    <n v="327.58999999999997"/>
  </r>
  <r>
    <x v="14"/>
    <s v="05/01/2026"/>
    <x v="17"/>
    <s v="7503013378645"/>
    <s v="Liquid Love Pleasure 100ml - DUSA"/>
    <s v="CONSUMIBLE PROPIO"/>
    <s v="DUSA"/>
    <n v="1"/>
    <n v="775.86"/>
  </r>
  <r>
    <x v="14"/>
    <s v="05/01/2026"/>
    <x v="17"/>
    <s v="7503024256154"/>
    <s v="Lubricante Body Surf Termico Cereza DUSA 60ml"/>
    <s v="CONSUMIBLE PROPIO"/>
    <s v="DUSA"/>
    <n v="1"/>
    <n v="387.93"/>
  </r>
  <r>
    <x v="14"/>
    <s v="05/01/2026"/>
    <x v="17"/>
    <s v="7503023462235"/>
    <s v="Lubricante Masaje Térmico Comestible Piña Colada FEEL LOVE 4 en 1 - 60ml"/>
    <s v="LUBRICANTE"/>
    <s v="FEEL LOVE"/>
    <n v="1"/>
    <n v="344.83"/>
  </r>
  <r>
    <x v="14"/>
    <s v="05/01/2026"/>
    <x v="17"/>
    <s v="8699415912859"/>
    <s v="Miel Vigorizante para Hombre  Miracle Honey  VIP 15g-  SECRET MIRACLE HONEY"/>
    <s v="CONSUMIBLE"/>
    <s v="SECRET MIRACLE HONEY"/>
    <n v="1"/>
    <n v="215.52"/>
  </r>
  <r>
    <x v="14"/>
    <s v="05/01/2026"/>
    <x v="17"/>
    <s v="75079413"/>
    <s v="Mini Kit Hombre 3 piezas - SXO"/>
    <s v="CONSUMIBLE"/>
    <s v="SXO"/>
    <n v="1"/>
    <n v="284.48"/>
  </r>
  <r>
    <x v="14"/>
    <s v="05/01/2026"/>
    <x v="17"/>
    <s v="7503050524241"/>
    <s v="Orgasmik 30ml - DUSA"/>
    <s v="CONSUMIBLE PROPIO"/>
    <s v="DUSA"/>
    <n v="2"/>
    <n v="862.06"/>
  </r>
  <r>
    <x v="14"/>
    <s v="05/01/2026"/>
    <x v="17"/>
    <s v="7503013378690"/>
    <s v="Shumatsu 3 pzas - DUSA"/>
    <s v="CONSUMIBLE PROPIO"/>
    <s v="DUSA"/>
    <n v="3"/>
    <n v="1732.77"/>
  </r>
  <r>
    <x v="14"/>
    <s v="05/01/2026"/>
    <x v="17"/>
    <s v="7503020104080"/>
    <s v="Vibrador multiorgásmico con doble motor y estimulador de conejito Ara – CXO"/>
    <s v="JUGUETE PROPIO"/>
    <s v="CXO"/>
    <n v="1"/>
    <n v="2163.79"/>
  </r>
  <r>
    <x v="14"/>
    <s v="06/01/2026"/>
    <x v="17"/>
    <s v="6959633102800"/>
    <s v="Ava neo vibrador azul - SVAKOM"/>
    <s v="JUGUETE"/>
    <s v="SVAKOM"/>
    <n v="1"/>
    <n v="1810.34"/>
  </r>
  <r>
    <x v="14"/>
    <s v="06/01/2026"/>
    <x v="17"/>
    <s v="LL-A2216"/>
    <s v="Huevito con 10 modos de Vibración  Gina - CXO"/>
    <s v="JUGUETE PROPIO"/>
    <s v="CXO"/>
    <n v="1"/>
    <n v="1500"/>
  </r>
  <r>
    <x v="14"/>
    <s v="06/01/2026"/>
    <x v="17"/>
    <s v="7503013378645"/>
    <s v="Liquid Love Pleasure 100ml - DUSA"/>
    <s v="CONSUMIBLE PROPIO"/>
    <s v="DUSA"/>
    <n v="1"/>
    <n v="775.86"/>
  </r>
  <r>
    <x v="14"/>
    <s v="06/01/2026"/>
    <x v="17"/>
    <s v="7503024256154"/>
    <s v="Lubricante Body Surf Termico Cereza DUSA 60ml"/>
    <s v="CONSUMIBLE PROPIO"/>
    <s v="DUSA"/>
    <n v="1"/>
    <n v="387.93"/>
  </r>
  <r>
    <x v="14"/>
    <s v="06/01/2026"/>
    <x v="17"/>
    <s v="7503024256635"/>
    <s v="Olive  6.8&quot; rosa - CXO"/>
    <s v="JUGUETE PROPIO"/>
    <s v="CXO"/>
    <n v="1"/>
    <n v="603.45000000000005"/>
  </r>
  <r>
    <x v="14"/>
    <s v="06/01/2026"/>
    <x v="17"/>
    <s v="6959633127964"/>
    <s v="Sam Neo - SVAKOM"/>
    <s v="JUGUETE"/>
    <s v="SVAKOM"/>
    <n v="1"/>
    <n v="3017.24"/>
  </r>
  <r>
    <x v="14"/>
    <s v="06/01/2026"/>
    <x v="17"/>
    <s v="7503013378690"/>
    <s v="Shumatsu 3 pzas - DUSA"/>
    <s v="CONSUMIBLE PROPIO"/>
    <s v="DUSA"/>
    <n v="1"/>
    <n v="577.59"/>
  </r>
  <r>
    <x v="14"/>
    <s v="06/01/2026"/>
    <x v="17"/>
    <s v="7503020104082"/>
    <s v="Vibrador multiorgásmico con succionador y perlas Andy – CXO"/>
    <s v="JUGUETE PROPIO"/>
    <s v="CXO"/>
    <n v="1"/>
    <n v="2258.62"/>
  </r>
  <r>
    <x v="14"/>
    <s v="07/01/2026"/>
    <x v="17"/>
    <s v="7503014914002"/>
    <s v="CAPSULAS MULTIORGASMICO AMO O-GEN"/>
    <s v="CONSUMIBLE"/>
    <s v="POWER MAN"/>
    <n v="1"/>
    <n v="431.04"/>
  </r>
  <r>
    <x v="14"/>
    <s v="07/01/2026"/>
    <x v="17"/>
    <s v="7503024256154"/>
    <s v="Lubricante Body Surf Termico Cereza DUSA 60ml"/>
    <s v="CONSUMIBLE PROPIO"/>
    <s v="DUSA"/>
    <n v="1"/>
    <n v="387.93"/>
  </r>
  <r>
    <x v="14"/>
    <s v="07/01/2026"/>
    <x v="17"/>
    <s v="7503050524241"/>
    <s v="Orgasmik 30ml - DUSA"/>
    <s v="CONSUMIBLE PROPIO"/>
    <s v="DUSA"/>
    <n v="1"/>
    <n v="431.03"/>
  </r>
  <r>
    <x v="14"/>
    <s v="08/01/2026"/>
    <x v="17"/>
    <s v="7503013378102"/>
    <s v="Anastasia Gema de Colores M - CXO"/>
    <s v="JUGUETE PROPIO"/>
    <s v="CXO"/>
    <n v="1"/>
    <n v="456.9"/>
  </r>
  <r>
    <x v="14"/>
    <s v="08/01/2026"/>
    <x v="17"/>
    <s v="7503043917081"/>
    <s v="Blade rosa anillo vibrador - CXO"/>
    <s v="JUGUETE PROPIO"/>
    <s v="CXO"/>
    <n v="1"/>
    <n v="81.900000000000006"/>
  </r>
  <r>
    <x v="14"/>
    <s v="08/01/2026"/>
    <x v="17"/>
    <s v="7503032300474"/>
    <s v="Cola de Zorro 45cm blanco S - CXO"/>
    <s v="JUGUETE PROPIO"/>
    <s v="CXO"/>
    <n v="1"/>
    <n v="258.62"/>
  </r>
  <r>
    <x v="14"/>
    <s v="08/01/2026"/>
    <x v="17"/>
    <s v="7503032300634"/>
    <s v="Kevin violeta - CXO"/>
    <s v="JUGUETE PROPIO"/>
    <s v="CXO"/>
    <n v="1"/>
    <n v="775.86"/>
  </r>
  <r>
    <x v="14"/>
    <s v="08/01/2026"/>
    <x v="17"/>
    <s v="7503032300993"/>
    <s v="Liquid Love Pleasure 30ml - DUSA"/>
    <s v="CONSUMIBLE PROPIO"/>
    <s v="DUSA"/>
    <n v="1"/>
    <n v="301.72000000000003"/>
  </r>
  <r>
    <x v="14"/>
    <s v="08/01/2026"/>
    <x v="17"/>
    <s v="GWPS_BANANASHAKE_001"/>
    <s v="Lub de Regalo - Banana Shake"/>
    <s v="ACTIVACION"/>
    <s v="BANANA SHAKE"/>
    <n v="7"/>
    <n v="7.0000000000000007E-2"/>
  </r>
  <r>
    <x v="14"/>
    <s v="08/01/2026"/>
    <x v="17"/>
    <s v="7503013378126"/>
    <s v="Lubricante Body Surf Frio Natural DUSA 60ml"/>
    <s v="CONSUMIBLE PROPIO"/>
    <s v="DUSA"/>
    <n v="1"/>
    <n v="387.93"/>
  </r>
  <r>
    <x v="14"/>
    <s v="08/01/2026"/>
    <x v="17"/>
    <s v="7503024256154"/>
    <s v="Lubricante Body Surf Termico Cereza DUSA 60ml"/>
    <s v="CONSUMIBLE PROPIO"/>
    <s v="DUSA"/>
    <n v="1"/>
    <n v="387.93"/>
  </r>
  <r>
    <x v="14"/>
    <s v="08/01/2026"/>
    <x v="17"/>
    <s v="7503013378799"/>
    <s v="Lubricante Body Surf Termico Citricos DUSA 60ml"/>
    <s v="CONSUMIBLE PROPIO"/>
    <s v="DUSA"/>
    <n v="1"/>
    <n v="387.93"/>
  </r>
  <r>
    <x v="14"/>
    <s v="08/01/2026"/>
    <x v="17"/>
    <s v="7503013378010"/>
    <s v="Rigidex 2 pzas - DUSA"/>
    <s v="CONSUMIBLE PROPIO"/>
    <s v="DUSA"/>
    <n v="3"/>
    <n v="1293.0999999999999"/>
  </r>
  <r>
    <x v="14"/>
    <s v="08/01/2026"/>
    <x v="17"/>
    <s v="7503020596957"/>
    <s v="Shot Shumatsu Fun Hombre - DUSA"/>
    <s v="CONSUMIBLE PROPIO"/>
    <s v="DUSA"/>
    <n v="1"/>
    <n v="172.41"/>
  </r>
  <r>
    <x v="14"/>
    <s v="08/01/2026"/>
    <x v="17"/>
    <s v="7503024256192"/>
    <s v="Shot Shumatsu Fun Mujer - DUSA"/>
    <s v="CONSUMIBLE PROPIO"/>
    <s v="DUSA"/>
    <n v="1"/>
    <n v="172.41"/>
  </r>
  <r>
    <x v="14"/>
    <s v="09/01/2026"/>
    <x v="5"/>
    <s v="7503020111072"/>
    <s v="Anillo vibrador recargable con textura negra Hank - CXO"/>
    <s v="JUGUETE PROPIO"/>
    <s v="CXO"/>
    <n v="1"/>
    <n v="1267.24"/>
  </r>
  <r>
    <x v="14"/>
    <s v="09/01/2026"/>
    <x v="5"/>
    <s v="7503038654007"/>
    <s v="Fragancia con Feromonas Body Breeze Sugar Baby DIAMANTE Dulce 125ml"/>
    <s v="CONSUMIBLE"/>
    <s v="DIAMANTE"/>
    <n v="1"/>
    <n v="413.79"/>
  </r>
  <r>
    <x v="14"/>
    <s v="09/01/2026"/>
    <x v="5"/>
    <s v="7503050524265"/>
    <s v="He Plus 30ml - DUSA"/>
    <s v="CONSUMIBLE PROPIO"/>
    <s v="DUSA"/>
    <n v="1"/>
    <n v="431.03"/>
  </r>
  <r>
    <x v="14"/>
    <s v="09/01/2026"/>
    <x v="5"/>
    <s v="7503032300634"/>
    <s v="Kevin violeta - CXO"/>
    <s v="JUGUETE PROPIO"/>
    <s v="CXO"/>
    <n v="1"/>
    <n v="775.86"/>
  </r>
  <r>
    <x v="14"/>
    <s v="09/01/2026"/>
    <x v="5"/>
    <s v="7503013378645"/>
    <s v="Liquid Love Pleasure 100ml - DUSA"/>
    <s v="CONSUMIBLE PROPIO"/>
    <s v="DUSA"/>
    <n v="1"/>
    <n v="775.86"/>
  </r>
  <r>
    <x v="14"/>
    <s v="09/01/2026"/>
    <x v="5"/>
    <s v="SE018"/>
    <s v="Masturbador Jarrón - CXO"/>
    <s v="JUGUETE PROPIO"/>
    <s v="CXO"/>
    <n v="1"/>
    <n v="1034.48"/>
  </r>
  <r>
    <x v="14"/>
    <s v="09/01/2026"/>
    <x v="5"/>
    <s v="8699415912859"/>
    <s v="Miel Vigorizante para Hombre  Miracle Honey  VIP 15g-  SECRET MIRACLE HONEY"/>
    <s v="CONSUMIBLE"/>
    <s v="SECRET MIRACLE HONEY"/>
    <n v="1"/>
    <n v="215.52"/>
  </r>
  <r>
    <x v="14"/>
    <s v="09/01/2026"/>
    <x v="5"/>
    <s v="7503013378010"/>
    <s v="Rigidex 2 pzas - DUSA"/>
    <s v="CONSUMIBLE PROPIO"/>
    <s v="DUSA"/>
    <n v="1"/>
    <n v="431.03"/>
  </r>
  <r>
    <x v="14"/>
    <s v="09/01/2026"/>
    <x v="5"/>
    <s v="7503032300795"/>
    <s v="Sachet lubricante desensibilizador 2 ml - BANANA SHAKE"/>
    <s v="CONSUMIBLE"/>
    <s v="BANANA SHAKE"/>
    <n v="2"/>
    <n v="43.1"/>
  </r>
  <r>
    <x v="14"/>
    <s v="09/01/2026"/>
    <x v="5"/>
    <s v="7503032300856"/>
    <s v="Sachet vibrador liquido 2 ml - BANANA SHAKE"/>
    <s v="CONSUMIBLE"/>
    <s v="BANANA SHAKE"/>
    <n v="2"/>
    <n v="34.479999999999997"/>
  </r>
  <r>
    <x v="14"/>
    <s v="09/01/2026"/>
    <x v="5"/>
    <s v="7503020596063"/>
    <s v="Stallion Regenerador - DUSA"/>
    <s v="CONSUMIBLE PROPIO"/>
    <s v="DUSA"/>
    <n v="1"/>
    <n v="1293.0999999999999"/>
  </r>
  <r>
    <x v="14"/>
    <s v="10/01/2026"/>
    <x v="17"/>
    <s v="7503043917081"/>
    <s v="Blade rosa anillo vibrador - CXO"/>
    <s v="JUGUETE PROPIO"/>
    <s v="CXO"/>
    <n v="1"/>
    <n v="81.900000000000006"/>
  </r>
  <r>
    <x v="14"/>
    <s v="10/01/2026"/>
    <x v="17"/>
    <s v="7503014914002"/>
    <s v="CAPSULAS MULTIORGASMICO AMO O-GEN"/>
    <s v="CONSUMIBLE"/>
    <s v="POWER MAN"/>
    <n v="1"/>
    <n v="431.04"/>
  </r>
  <r>
    <x v="14"/>
    <s v="10/01/2026"/>
    <x v="17"/>
    <s v="7503032300993"/>
    <s v="Liquid Love Pleasure 30ml - DUSA"/>
    <s v="CONSUMIBLE PROPIO"/>
    <s v="DUSA"/>
    <n v="1"/>
    <n v="301.72000000000003"/>
  </r>
  <r>
    <x v="14"/>
    <s v="10/01/2026"/>
    <x v="17"/>
    <s v="7503013378980"/>
    <s v="Lubricante Body Surf Termico Chicle DUSA 60ml"/>
    <s v="CONSUMIBLE PROPIO"/>
    <s v="DUSA"/>
    <n v="1"/>
    <n v="387.93"/>
  </r>
  <r>
    <x v="14"/>
    <s v="10/01/2026"/>
    <x v="17"/>
    <s v="7508304289037"/>
    <s v="LUBRICANTE C/FEROMONAS -LUJO- 40ML  RETARDADOR"/>
    <s v="CONSUMIBLE"/>
    <s v="DIAMANTE"/>
    <n v="1"/>
    <n v="508.62"/>
  </r>
  <r>
    <x v="14"/>
    <s v="10/01/2026"/>
    <x v="17"/>
    <s v="8699415912859"/>
    <s v="Miel Vigorizante para Hombre  Miracle Honey  VIP 15g-  SECRET MIRACLE HONEY"/>
    <s v="CONSUMIBLE"/>
    <s v="SECRET MIRACLE HONEY"/>
    <n v="1"/>
    <n v="215.52"/>
  </r>
  <r>
    <x v="14"/>
    <s v="10/01/2026"/>
    <x v="17"/>
    <s v="7503050524241"/>
    <s v="Orgasmik 30ml - DUSA"/>
    <s v="CONSUMIBLE PROPIO"/>
    <s v="DUSA"/>
    <n v="1"/>
    <n v="431.03"/>
  </r>
  <r>
    <x v="14"/>
    <s v="10/01/2026"/>
    <x v="17"/>
    <s v="7503013378010"/>
    <s v="Rigidex 2 pzas - DUSA"/>
    <s v="CONSUMIBLE PROPIO"/>
    <s v="DUSA"/>
    <n v="3"/>
    <n v="1293.0899999999999"/>
  </r>
  <r>
    <x v="14"/>
    <s v="10/01/2026"/>
    <x v="17"/>
    <s v="4061504007373"/>
    <s v="Succionador Number Two - Satisfayer"/>
    <s v="JUGUETE"/>
    <s v="SATISFAYER"/>
    <n v="1"/>
    <n v="1637.93"/>
  </r>
  <r>
    <x v="14"/>
    <s v="10/01/2026"/>
    <x v="17"/>
    <s v="CBD"/>
    <s v="SUNNY SIDE UP CBD HIPOALERGENICO 10ml"/>
    <s v="CONSUMIBLE"/>
    <s v="SUNNY SIDE UP"/>
    <n v="1"/>
    <n v="301.72000000000003"/>
  </r>
  <r>
    <x v="14"/>
    <s v="11/01/2026"/>
    <x v="17"/>
    <s v="7503013378492"/>
    <s v="Clean Whisper 120ml - DUSA"/>
    <s v="CONSUMIBLE PROPIO"/>
    <s v="DUSA"/>
    <n v="1"/>
    <n v="301.72000000000003"/>
  </r>
  <r>
    <x v="14"/>
    <s v="11/01/2026"/>
    <x v="17"/>
    <s v="LL-A2216"/>
    <s v="Huevito con 10 modos de Vibración  Gina - CXO"/>
    <s v="JUGUETE PROPIO"/>
    <s v="CXO"/>
    <n v="1"/>
    <n v="1500"/>
  </r>
  <r>
    <x v="14"/>
    <s v="11/01/2026"/>
    <x v="17"/>
    <s v="7503050524241"/>
    <s v="Orgasmik 30ml - DUSA"/>
    <s v="CONSUMIBLE PROPIO"/>
    <s v="DUSA"/>
    <n v="1"/>
    <n v="431.03"/>
  </r>
  <r>
    <x v="14"/>
    <s v="11/01/2026"/>
    <x v="17"/>
    <s v="7503050524289"/>
    <s v="Oxi bomba de vacio manual - CXO"/>
    <s v="JUGUETE PROPIO"/>
    <s v="CXO"/>
    <n v="1"/>
    <n v="853.45"/>
  </r>
  <r>
    <x v="14"/>
    <s v="13/01/2026"/>
    <x v="17"/>
    <s v="7503014914002"/>
    <s v="CAPSULAS MULTIORGASMICO AMO O-GEN"/>
    <s v="CONSUMIBLE"/>
    <s v="POWER MAN"/>
    <n v="1"/>
    <n v="431.04"/>
  </r>
  <r>
    <x v="14"/>
    <s v="13/01/2026"/>
    <x v="17"/>
    <s v="6959633103500"/>
    <s v="Chika multiorgasmico turqueza - SVAKOM"/>
    <s v="JUGUETE"/>
    <s v="SVAKOM"/>
    <n v="1"/>
    <n v="2155.17"/>
  </r>
  <r>
    <x v="14"/>
    <s v="13/01/2026"/>
    <x v="17"/>
    <s v="7503032300993"/>
    <s v="Liquid Love Pleasure 30ml - DUSA"/>
    <s v="CONSUMIBLE PROPIO"/>
    <s v="DUSA"/>
    <n v="1"/>
    <n v="301.72000000000003"/>
  </r>
  <r>
    <x v="14"/>
    <s v="13/01/2026"/>
    <x v="17"/>
    <s v="7503013378010"/>
    <s v="Rigidex 2 pzas - DUSA"/>
    <s v="CONSUMIBLE PROPIO"/>
    <s v="DUSA"/>
    <n v="1"/>
    <n v="431.03"/>
  </r>
  <r>
    <x v="14"/>
    <s v="13/01/2026"/>
    <x v="17"/>
    <s v="7503024256192"/>
    <s v="Shot Shumatsu Fun Mujer - DUSA"/>
    <s v="CONSUMIBLE PROPIO"/>
    <s v="DUSA"/>
    <n v="1"/>
    <n v="172.41"/>
  </r>
  <r>
    <x v="14"/>
    <s v="14/01/2026"/>
    <x v="17"/>
    <s v="7503020112070"/>
    <s v="Bala vibradora recargable Ely – CXO"/>
    <s v="JUGUETE PROPIO"/>
    <s v="CXO"/>
    <n v="1"/>
    <n v="793.1"/>
  </r>
  <r>
    <x v="14"/>
    <s v="14/01/2026"/>
    <x v="17"/>
    <s v="7503013378492"/>
    <s v="Clean Whisper 120ml - DUSA"/>
    <s v="CONSUMIBLE PROPIO"/>
    <s v="DUSA"/>
    <n v="2"/>
    <n v="603.44000000000005"/>
  </r>
  <r>
    <x v="14"/>
    <s v="14/01/2026"/>
    <x v="17"/>
    <s v="GWPS_BANANASHAKE_001"/>
    <s v="Lub de Regalo - Banana Shake"/>
    <s v="ACTIVACION"/>
    <s v="BANANA SHAKE"/>
    <n v="3"/>
    <n v="0.03"/>
  </r>
  <r>
    <x v="14"/>
    <s v="14/01/2026"/>
    <x v="17"/>
    <s v="7503013378980"/>
    <s v="Lubricante Body Surf Termico Chicle DUSA 60ml"/>
    <s v="CONSUMIBLE PROPIO"/>
    <s v="DUSA"/>
    <n v="1"/>
    <n v="387.93"/>
  </r>
  <r>
    <x v="14"/>
    <s v="14/01/2026"/>
    <x v="17"/>
    <s v="7503013378799"/>
    <s v="Lubricante Body Surf Termico Citricos DUSA 60ml"/>
    <s v="CONSUMIBLE PROPIO"/>
    <s v="DUSA"/>
    <n v="1"/>
    <n v="387.93"/>
  </r>
  <r>
    <x v="14"/>
    <s v="14/01/2026"/>
    <x v="17"/>
    <s v="7503013378010"/>
    <s v="Rigidex 2 pzas - DUSA"/>
    <s v="CONSUMIBLE PROPIO"/>
    <s v="DUSA"/>
    <n v="2"/>
    <n v="862.06"/>
  </r>
  <r>
    <x v="14"/>
    <s v="14/01/2026"/>
    <x v="17"/>
    <s v="4061504007359"/>
    <s v="Succionador Pingüino - Satisfayer"/>
    <s v="JUGUETE"/>
    <s v="SATISFAYER"/>
    <n v="1"/>
    <n v="1379.31"/>
  </r>
  <r>
    <x v="14"/>
    <s v="14/01/2026"/>
    <x v="17"/>
    <s v="LL-B2224"/>
    <s v="Vibrador Recargable con 10 modos Liry - CXO"/>
    <s v="JUGUETE PROPIO"/>
    <s v="CXO"/>
    <n v="1"/>
    <n v="1508.62"/>
  </r>
  <r>
    <x v="14"/>
    <s v="15/01/2026"/>
    <x v="17"/>
    <s v="7503026484678"/>
    <s v="Aceite térmico fresa 60ml - FEEL LOVE"/>
    <s v="CONSUMIBLE"/>
    <s v="FEEL LOVE"/>
    <n v="1"/>
    <n v="327.58999999999997"/>
  </r>
  <r>
    <x v="14"/>
    <s v="15/01/2026"/>
    <x v="17"/>
    <s v="6959633103500"/>
    <s v="Chika multiorgasmico turqueza - SVAKOM"/>
    <s v="JUGUETE"/>
    <s v="SVAKOM"/>
    <n v="1"/>
    <n v="2155.17"/>
  </r>
  <r>
    <x v="14"/>
    <s v="15/01/2026"/>
    <x v="17"/>
    <s v="ENFOLA0027719"/>
    <s v="Disfraz Enfermera - OLA MOU"/>
    <s v="LENCERIA PROPIA"/>
    <s v="OLA MOU"/>
    <n v="1"/>
    <n v="508.62"/>
  </r>
  <r>
    <x v="14"/>
    <s v="15/01/2026"/>
    <x v="17"/>
    <s v="7503032300993"/>
    <s v="Liquid Love Pleasure 30ml - DUSA"/>
    <s v="CONSUMIBLE PROPIO"/>
    <s v="DUSA"/>
    <n v="1"/>
    <n v="301.72000000000003"/>
  </r>
  <r>
    <x v="14"/>
    <s v="15/01/2026"/>
    <x v="17"/>
    <s v="7503013378980"/>
    <s v="Lubricante Body Surf Termico Chicle DUSA 60ml"/>
    <s v="CONSUMIBLE PROPIO"/>
    <s v="DUSA"/>
    <n v="1"/>
    <n v="387.93"/>
  </r>
  <r>
    <x v="14"/>
    <s v="16/01/2026"/>
    <x v="17"/>
    <s v="FM1002"/>
    <s v="FEROMONAS DIAMANTE CONCENTRADO HOMBRE"/>
    <s v="CONSUMIBLE"/>
    <s v="DIAMANTE"/>
    <n v="1"/>
    <n v="413.79"/>
  </r>
  <r>
    <x v="14"/>
    <s v="16/01/2026"/>
    <x v="17"/>
    <s v="GWPS_BANANASHAKE_001"/>
    <s v="Lub de Regalo - Banana Shake"/>
    <s v="ACTIVACION"/>
    <s v="BANANA SHAKE"/>
    <n v="3"/>
    <n v="0.03"/>
  </r>
  <r>
    <x v="14"/>
    <s v="16/01/2026"/>
    <x v="17"/>
    <s v="7503013378799"/>
    <s v="Lubricante Body Surf Termico Citricos DUSA 60ml"/>
    <s v="CONSUMIBLE PROPIO"/>
    <s v="DUSA"/>
    <n v="1"/>
    <n v="387.93"/>
  </r>
  <r>
    <x v="14"/>
    <s v="16/01/2026"/>
    <x v="17"/>
    <s v="7503023462242"/>
    <s v="Lubricante Masaje Termico Comestible Uva Dulce FEEL LOVE 4 en 1 60ml"/>
    <s v="LUBRICANTE"/>
    <s v="FEEL LOVE"/>
    <n v="1"/>
    <n v="344.83"/>
  </r>
  <r>
    <x v="14"/>
    <s v="16/01/2026"/>
    <x v="17"/>
    <s v="7503050524241"/>
    <s v="Orgasmik 30ml - DUSA"/>
    <s v="CONSUMIBLE PROPIO"/>
    <s v="DUSA"/>
    <n v="1"/>
    <n v="431.03"/>
  </r>
  <r>
    <x v="14"/>
    <s v="16/01/2026"/>
    <x v="17"/>
    <s v="7503013378010"/>
    <s v="Rigidex 2 pzas - DUSA"/>
    <s v="CONSUMIBLE PROPIO"/>
    <s v="DUSA"/>
    <n v="1"/>
    <n v="431.03"/>
  </r>
  <r>
    <x v="14"/>
    <s v="17/01/2026"/>
    <x v="3"/>
    <s v="7503030215199"/>
    <s v="Arnes para doble penetracion - CXO"/>
    <s v="JUGUETE PROPIO"/>
    <s v="CXO"/>
    <n v="1"/>
    <n v="1422.41"/>
  </r>
  <r>
    <x v="14"/>
    <s v="17/01/2026"/>
    <x v="3"/>
    <s v="7503043917081"/>
    <s v="Blade rosa anillo vibrador - CXO"/>
    <s v="JUGUETE PROPIO"/>
    <s v="CXO"/>
    <n v="1"/>
    <n v="81.900000000000006"/>
  </r>
  <r>
    <x v="14"/>
    <s v="17/01/2026"/>
    <x v="3"/>
    <s v="7503050226135"/>
    <s v="Body Julia - OLA MOU"/>
    <s v="LENCERIA PROPIA"/>
    <s v="OLA MOU"/>
    <n v="1"/>
    <n v="517.24"/>
  </r>
  <r>
    <x v="14"/>
    <s v="17/01/2026"/>
    <x v="3"/>
    <s v="7502214982811"/>
    <s v="Condones Mix Sabor y Aroma 5 pzs - PRUDENCE"/>
    <s v="CONSUMIBLE"/>
    <s v="PRUDENCE"/>
    <n v="1"/>
    <n v="77.59"/>
  </r>
  <r>
    <x v="14"/>
    <s v="17/01/2026"/>
    <x v="3"/>
    <s v="7503032300993"/>
    <s v="Liquid Love Pleasure 30ml - DUSA"/>
    <s v="CONSUMIBLE PROPIO"/>
    <s v="DUSA"/>
    <n v="1"/>
    <n v="301.72000000000003"/>
  </r>
  <r>
    <x v="14"/>
    <s v="17/01/2026"/>
    <x v="3"/>
    <s v="7503032300825"/>
    <s v="Lubricante Sachet natural 2 ml - BANANA SHAKE"/>
    <s v="CONSUMIBLE"/>
    <s v="BANANA SHAKE"/>
    <n v="1"/>
    <n v="17.239999999999998"/>
  </r>
  <r>
    <x v="14"/>
    <s v="17/01/2026"/>
    <x v="3"/>
    <s v="8699415912859"/>
    <s v="Miel Vigorizante para Hombre  Miracle Honey  VIP 15g-  SECRET MIRACLE HONEY"/>
    <s v="CONSUMIBLE"/>
    <s v="SECRET MIRACLE HONEY"/>
    <n v="2"/>
    <n v="431.03"/>
  </r>
  <r>
    <x v="14"/>
    <s v="17/01/2026"/>
    <x v="3"/>
    <s v="7503032300795"/>
    <s v="Sachet lubricante desensibilizador 2 ml - BANANA SHAKE"/>
    <s v="CONSUMIBLE"/>
    <s v="BANANA SHAKE"/>
    <n v="2"/>
    <n v="43.1"/>
  </r>
  <r>
    <x v="14"/>
    <s v="17/01/2026"/>
    <x v="3"/>
    <s v="7503020596957"/>
    <s v="Shot Shumatsu Fun Hombre - DUSA"/>
    <s v="CONSUMIBLE PROPIO"/>
    <s v="DUSA"/>
    <n v="1"/>
    <n v="172.41"/>
  </r>
  <r>
    <x v="14"/>
    <s v="17/01/2026"/>
    <x v="3"/>
    <s v="7503013378690"/>
    <s v="Shumatsu 3 pzas - DUSA"/>
    <s v="CONSUMIBLE PROPIO"/>
    <s v="DUSA"/>
    <n v="3"/>
    <n v="1732.77"/>
  </r>
  <r>
    <x v="14"/>
    <s v="18/01/2026"/>
    <x v="3"/>
    <s v="7503043917005"/>
    <s v="Liquid Love Clear 30ml - DUSA"/>
    <s v="CONSUMIBLE PROPIO"/>
    <s v="DUSA"/>
    <n v="1"/>
    <n v="301.72000000000003"/>
  </r>
  <r>
    <x v="14"/>
    <s v="18/01/2026"/>
    <x v="3"/>
    <s v="7503020596957"/>
    <s v="Shot Shumatsu Fun Hombre - DUSA"/>
    <s v="CONSUMIBLE PROPIO"/>
    <s v="DUSA"/>
    <n v="1"/>
    <n v="172.41"/>
  </r>
  <r>
    <x v="14"/>
    <s v="18/01/2026"/>
    <x v="3"/>
    <s v="848518049926"/>
    <s v="Teardrop collar vibrador - CHARMED"/>
    <s v="JUGUETE"/>
    <s v="CHARMED"/>
    <n v="1"/>
    <n v="1293.0999999999999"/>
  </r>
  <r>
    <x v="14"/>
    <s v="19/01/2026"/>
    <x v="17"/>
    <s v="7503013378492"/>
    <s v="Clean Whisper 120ml - DUSA"/>
    <s v="CONSUMIBLE PROPIO"/>
    <s v="DUSA"/>
    <n v="1"/>
    <n v="301.72000000000003"/>
  </r>
  <r>
    <x v="14"/>
    <s v="19/01/2026"/>
    <x v="17"/>
    <s v="7503043917012"/>
    <s v="Liquid Love Backdoor 30ml - DUSA"/>
    <s v="CONSUMIBLE PROPIO"/>
    <s v="DUSA"/>
    <n v="1"/>
    <n v="301.72000000000003"/>
  </r>
  <r>
    <x v="14"/>
    <s v="19/01/2026"/>
    <x v="17"/>
    <s v="7503032300993"/>
    <s v="Liquid Love Pleasure 30ml - DUSA"/>
    <s v="CONSUMIBLE PROPIO"/>
    <s v="DUSA"/>
    <n v="1"/>
    <n v="301.72000000000003"/>
  </r>
  <r>
    <x v="14"/>
    <s v="19/01/2026"/>
    <x v="17"/>
    <s v="7503023462242"/>
    <s v="Lubricante Masaje Termico Comestible Uva Dulce FEEL LOVE 4 en 1 60ml"/>
    <s v="LUBRICANTE"/>
    <s v="FEEL LOVE"/>
    <n v="1"/>
    <n v="344.83"/>
  </r>
  <r>
    <x v="14"/>
    <s v="19/01/2026"/>
    <x v="17"/>
    <s v="7503032300825"/>
    <s v="Lubricante Sachet natural 2 ml - BANANA SHAKE"/>
    <s v="CONSUMIBLE"/>
    <s v="BANANA SHAKE"/>
    <n v="2"/>
    <n v="34.479999999999997"/>
  </r>
  <r>
    <x v="14"/>
    <s v="19/01/2026"/>
    <x v="17"/>
    <s v="6959633103494"/>
    <s v="Mora Neo multiorgasmico rosa - SVAKOM"/>
    <s v="JUGUETE"/>
    <s v="SVAKOM"/>
    <n v="1"/>
    <n v="1637.93"/>
  </r>
  <r>
    <x v="14"/>
    <s v="19/01/2026"/>
    <x v="17"/>
    <s v="6959633127964"/>
    <s v="Sam Neo - SVAKOM"/>
    <s v="JUGUETE"/>
    <s v="SVAKOM"/>
    <n v="1"/>
    <n v="3017.24"/>
  </r>
  <r>
    <x v="14"/>
    <s v="19/01/2026"/>
    <x v="17"/>
    <s v="7503013378690"/>
    <s v="Shumatsu 3 pzas - DUSA"/>
    <s v="CONSUMIBLE PROPIO"/>
    <s v="DUSA"/>
    <n v="1"/>
    <n v="577.59"/>
  </r>
  <r>
    <x v="14"/>
    <s v="19/01/2026"/>
    <x v="17"/>
    <s v="7503032300443"/>
    <s v="Zoe bala vibradora RETAIL - CXO"/>
    <s v="JUGUETE PROPIO"/>
    <s v="CXO"/>
    <n v="1"/>
    <n v="155.16999999999999"/>
  </r>
  <r>
    <x v="14"/>
    <s v="20/01/2026"/>
    <x v="17"/>
    <s v="FM1001"/>
    <s v="FEROMONAS DIAMANTE CONCENTRADO MUJER"/>
    <s v="CONSUMIBLE"/>
    <s v="DIAMANTE"/>
    <n v="1"/>
    <n v="413.79"/>
  </r>
  <r>
    <x v="14"/>
    <s v="20/01/2026"/>
    <x v="17"/>
    <s v="603912120042"/>
    <s v="Happy Top Tickler funda - PIPEDREAM"/>
    <s v="JUGUETE"/>
    <s v="PIPEDREAM"/>
    <n v="2"/>
    <n v="689.66"/>
  </r>
  <r>
    <x v="14"/>
    <s v="21/01/2026"/>
    <x v="17"/>
    <s v="7503013378492"/>
    <s v="Clean Whisper 120ml - DUSA"/>
    <s v="CONSUMIBLE PROPIO"/>
    <s v="DUSA"/>
    <n v="1"/>
    <n v="301.72000000000003"/>
  </r>
  <r>
    <x v="14"/>
    <s v="21/01/2026"/>
    <x v="17"/>
    <s v="MBS0530"/>
    <s v="Esposas de broche - CXO"/>
    <s v="JUGUETE PROPIO"/>
    <s v="CXO"/>
    <n v="3"/>
    <n v="517.24"/>
  </r>
  <r>
    <x v="14"/>
    <s v="21/01/2026"/>
    <x v="17"/>
    <s v="7503032300634"/>
    <s v="Kevin violeta - CXO"/>
    <s v="JUGUETE PROPIO"/>
    <s v="CXO"/>
    <n v="1"/>
    <n v="775.86"/>
  </r>
  <r>
    <x v="14"/>
    <s v="21/01/2026"/>
    <x v="17"/>
    <s v="7503043917524"/>
    <s v="Kit Lisboa 8 pzs - CXO"/>
    <s v="JUGUETE PROPIO"/>
    <s v="CXO"/>
    <n v="1"/>
    <n v="465.52"/>
  </r>
  <r>
    <x v="14"/>
    <s v="21/01/2026"/>
    <x v="17"/>
    <s v="7503043917012"/>
    <s v="Liquid Love Backdoor 30ml - DUSA"/>
    <s v="CONSUMIBLE PROPIO"/>
    <s v="DUSA"/>
    <n v="1"/>
    <n v="301.72000000000003"/>
  </r>
  <r>
    <x v="14"/>
    <s v="21/01/2026"/>
    <x v="17"/>
    <s v="7503032300856"/>
    <s v="Sachet vibrador liquido 2 ml - BANANA SHAKE"/>
    <s v="CONSUMIBLE"/>
    <s v="BANANA SHAKE"/>
    <n v="4"/>
    <n v="68.959999999999994"/>
  </r>
  <r>
    <x v="14"/>
    <s v="21/01/2026"/>
    <x v="17"/>
    <s v="7503024256192"/>
    <s v="Shot Shumatsu Fun Mujer - DUSA"/>
    <s v="CONSUMIBLE PROPIO"/>
    <s v="DUSA"/>
    <n v="1"/>
    <n v="172.41"/>
  </r>
  <r>
    <x v="14"/>
    <s v="21/01/2026"/>
    <x v="17"/>
    <s v="7503013378690"/>
    <s v="Shumatsu 3 pzas - DUSA"/>
    <s v="CONSUMIBLE PROPIO"/>
    <s v="DUSA"/>
    <n v="1"/>
    <n v="577.59"/>
  </r>
  <r>
    <x v="14"/>
    <s v="22/01/2026"/>
    <x v="17"/>
    <s v="7508304288887"/>
    <s v="Aceite Fruta de la pasion 60ml - FEEL LOVE"/>
    <s v="CONSUMIBLE"/>
    <s v="FEEL LOVE"/>
    <n v="1"/>
    <n v="327.58999999999997"/>
  </r>
  <r>
    <x v="14"/>
    <s v="22/01/2026"/>
    <x v="17"/>
    <s v="7503013378102"/>
    <s v="Anastasia Gema de Colores M - CXO"/>
    <s v="JUGUETE PROPIO"/>
    <s v="CXO"/>
    <n v="1"/>
    <n v="456.9"/>
  </r>
  <r>
    <x v="14"/>
    <s v="22/01/2026"/>
    <x v="17"/>
    <s v="7503013378492"/>
    <s v="Clean Whisper 120ml - DUSA"/>
    <s v="CONSUMIBLE PROPIO"/>
    <s v="DUSA"/>
    <n v="1"/>
    <n v="301.72000000000003"/>
  </r>
  <r>
    <x v="14"/>
    <s v="22/01/2026"/>
    <x v="17"/>
    <s v="7503013378904"/>
    <s v="Dildo Mr. Hernandez - CXO"/>
    <s v="JUGUETE PROPIO"/>
    <s v="CXO"/>
    <n v="1"/>
    <n v="517.24"/>
  </r>
  <r>
    <x v="14"/>
    <s v="22/01/2026"/>
    <x v="17"/>
    <s v="7503024256222"/>
    <s v="Jones - CXO"/>
    <s v="JUGUETE PROPIO"/>
    <s v="CXO"/>
    <n v="1"/>
    <n v="1329.11"/>
  </r>
  <r>
    <x v="14"/>
    <s v="22/01/2026"/>
    <x v="17"/>
    <s v="7503032300634"/>
    <s v="Kevin violeta - CXO"/>
    <s v="JUGUETE PROPIO"/>
    <s v="CXO"/>
    <n v="1"/>
    <n v="775.86"/>
  </r>
  <r>
    <x v="14"/>
    <s v="22/01/2026"/>
    <x v="17"/>
    <s v="7500633010269"/>
    <s v="LIGUERO EN ENCAJE ROJO MEDIANO 01026"/>
    <s v="LENCERIA"/>
    <s v="CHRISLIFERBRA"/>
    <n v="1"/>
    <n v="198.28"/>
  </r>
  <r>
    <x v="14"/>
    <s v="22/01/2026"/>
    <x v="17"/>
    <s v="7503043917012"/>
    <s v="Liquid Love Backdoor 30ml - DUSA"/>
    <s v="CONSUMIBLE PROPIO"/>
    <s v="DUSA"/>
    <n v="1"/>
    <n v="301.72000000000003"/>
  </r>
  <r>
    <x v="14"/>
    <s v="22/01/2026"/>
    <x v="17"/>
    <s v="7503013378645"/>
    <s v="Liquid Love Pleasure 100ml - DUSA"/>
    <s v="CONSUMIBLE PROPIO"/>
    <s v="DUSA"/>
    <n v="1"/>
    <n v="775.86"/>
  </r>
  <r>
    <x v="14"/>
    <s v="22/01/2026"/>
    <x v="17"/>
    <s v="7503013378126"/>
    <s v="Lubricante Body Surf Frio Natural DUSA 60ml"/>
    <s v="CONSUMIBLE PROPIO"/>
    <s v="DUSA"/>
    <n v="1"/>
    <n v="387.93"/>
  </r>
  <r>
    <x v="14"/>
    <s v="22/01/2026"/>
    <x v="17"/>
    <s v="7502243030349"/>
    <s v="NR PANTY SUPERCUL  M M"/>
    <s v="LENCERIA"/>
    <s v="CARNIVAL"/>
    <n v="1"/>
    <n v="172.41"/>
  </r>
  <r>
    <x v="14"/>
    <s v="22/01/2026"/>
    <x v="17"/>
    <s v="7503050524241"/>
    <s v="Orgasmik 30ml - DUSA"/>
    <s v="CONSUMIBLE PROPIO"/>
    <s v="DUSA"/>
    <n v="1"/>
    <n v="431.03"/>
  </r>
  <r>
    <x v="14"/>
    <s v="22/01/2026"/>
    <x v="17"/>
    <s v="7503050524258"/>
    <s v="Sensicool 30ml - DUSA"/>
    <s v="CONSUMIBLE PROPIO"/>
    <s v="DUSA"/>
    <n v="2"/>
    <n v="862.06"/>
  </r>
  <r>
    <x v="14"/>
    <s v="22/01/2026"/>
    <x v="17"/>
    <s v="7503024256192"/>
    <s v="Shot Shumatsu Fun Mujer - DUSA"/>
    <s v="CONSUMIBLE PROPIO"/>
    <s v="DUSA"/>
    <n v="1"/>
    <n v="172.41"/>
  </r>
  <r>
    <x v="14"/>
    <s v="22/01/2026"/>
    <x v="17"/>
    <s v="7503013378690"/>
    <s v="Shumatsu 3 pzas - DUSA"/>
    <s v="CONSUMIBLE PROPIO"/>
    <s v="DUSA"/>
    <n v="2"/>
    <n v="1155.18"/>
  </r>
  <r>
    <x v="14"/>
    <s v="23/01/2026"/>
    <x v="5"/>
    <s v="7503013378492"/>
    <s v="Clean Whisper 120ml - DUSA"/>
    <s v="CONSUMIBLE PROPIO"/>
    <s v="DUSA"/>
    <n v="1"/>
    <n v="301.72000000000003"/>
  </r>
  <r>
    <x v="14"/>
    <s v="23/01/2026"/>
    <x v="5"/>
    <s v="7503030202035"/>
    <s v="Dildo con testiculos y ventosa Mr. Garcia - CXO"/>
    <s v="JUGUETE PROPIO"/>
    <s v="CXO"/>
    <n v="1"/>
    <n v="646.54999999999995"/>
  </r>
  <r>
    <x v="14"/>
    <s v="23/01/2026"/>
    <x v="5"/>
    <s v="7503030102198"/>
    <s v="Dildo realista vibrador con ventosa Ulises - CXO"/>
    <s v="JUGUETE PROPIO"/>
    <s v="CXO"/>
    <n v="1"/>
    <n v="2000"/>
  </r>
  <r>
    <x v="14"/>
    <s v="23/01/2026"/>
    <x v="5"/>
    <s v="7503032300993"/>
    <s v="Liquid Love Pleasure 30ml - DUSA"/>
    <s v="CONSUMIBLE PROPIO"/>
    <s v="DUSA"/>
    <n v="1"/>
    <n v="301.72000000000003"/>
  </r>
  <r>
    <x v="14"/>
    <s v="23/01/2026"/>
    <x v="5"/>
    <s v="7503013378645"/>
    <s v="Liquid Love Pleasure 100ml - DUSA"/>
    <s v="CONSUMIBLE PROPIO"/>
    <s v="DUSA"/>
    <n v="1"/>
    <n v="775.86"/>
  </r>
  <r>
    <x v="14"/>
    <s v="23/01/2026"/>
    <x v="5"/>
    <s v="7503013378690"/>
    <s v="Shumatsu 3 pzas - DUSA"/>
    <s v="CONSUMIBLE PROPIO"/>
    <s v="DUSA"/>
    <n v="1"/>
    <n v="577.59"/>
  </r>
  <r>
    <x v="14"/>
    <s v="24/01/2026"/>
    <x v="17"/>
    <s v="7503020111072"/>
    <s v="Anillo vibrador recargable con textura negra Hank - CXO"/>
    <s v="JUGUETE PROPIO"/>
    <s v="CXO"/>
    <n v="1"/>
    <n v="1267.24"/>
  </r>
  <r>
    <x v="14"/>
    <s v="24/01/2026"/>
    <x v="17"/>
    <s v="7503043917081"/>
    <s v="Blade rosa anillo vibrador - CXO"/>
    <s v="JUGUETE PROPIO"/>
    <s v="CXO"/>
    <n v="2"/>
    <n v="163.80000000000001"/>
  </r>
  <r>
    <x v="14"/>
    <s v="24/01/2026"/>
    <x v="17"/>
    <s v="7503050226135"/>
    <s v="Body Julia - OLA MOU"/>
    <s v="LENCERIA PROPIA"/>
    <s v="OLA MOU"/>
    <n v="1"/>
    <n v="517.24"/>
  </r>
  <r>
    <x v="14"/>
    <s v="24/01/2026"/>
    <x v="17"/>
    <s v="7503020596056"/>
    <s v="He Plus - DUSA"/>
    <s v="CONSUMIBLE PROPIO"/>
    <s v="DUSA"/>
    <n v="1"/>
    <n v="431.03"/>
  </r>
  <r>
    <x v="14"/>
    <s v="24/01/2026"/>
    <x v="17"/>
    <s v="7503043917005"/>
    <s v="Liquid Love Clear 30ml - DUSA"/>
    <s v="CONSUMIBLE PROPIO"/>
    <s v="DUSA"/>
    <n v="1"/>
    <n v="301.72000000000003"/>
  </r>
  <r>
    <x v="14"/>
    <s v="24/01/2026"/>
    <x v="17"/>
    <s v="7503032300993"/>
    <s v="Liquid Love Pleasure 30ml - DUSA"/>
    <s v="CONSUMIBLE PROPIO"/>
    <s v="DUSA"/>
    <n v="1"/>
    <n v="301.72000000000003"/>
  </r>
  <r>
    <x v="14"/>
    <s v="25/01/2026"/>
    <x v="17"/>
    <s v="7503043917005"/>
    <s v="Liquid Love Clear 30ml - DUSA"/>
    <s v="CONSUMIBLE PROPIO"/>
    <s v="DUSA"/>
    <n v="1"/>
    <n v="301.72000000000003"/>
  </r>
  <r>
    <x v="14"/>
    <s v="25/01/2026"/>
    <x v="17"/>
    <s v="7503013378690"/>
    <s v="Shumatsu 3 pzas - DUSA"/>
    <s v="CONSUMIBLE PROPIO"/>
    <s v="DUSA"/>
    <n v="1"/>
    <n v="577.59"/>
  </r>
  <r>
    <x v="14"/>
    <s v="26/01/2026"/>
    <x v="17"/>
    <s v="7503024256734"/>
    <s v="Cola de Zorro 45cm blanco M - CXO"/>
    <s v="JUGUETE PROPIO"/>
    <s v="CXO"/>
    <n v="1"/>
    <n v="301.72000000000003"/>
  </r>
  <r>
    <x v="14"/>
    <s v="26/01/2026"/>
    <x v="17"/>
    <s v="GWPS_BANANASHAKE_001"/>
    <s v="Lub de Regalo - Banana Shake"/>
    <s v="ACTIVACION"/>
    <s v="BANANA SHAKE"/>
    <n v="2"/>
    <n v="0.02"/>
  </r>
  <r>
    <x v="14"/>
    <s v="26/01/2026"/>
    <x v="17"/>
    <s v="7503032300825"/>
    <s v="Lubricante Sachet natural 2 ml - BANANA SHAKE"/>
    <s v="CONSUMIBLE"/>
    <s v="BANANA SHAKE"/>
    <n v="1"/>
    <n v="17.239999999999998"/>
  </r>
  <r>
    <x v="14"/>
    <s v="26/01/2026"/>
    <x v="17"/>
    <s v="7503032300795"/>
    <s v="Sachet lubricante desensibilizador 2 ml - BANANA SHAKE"/>
    <s v="CONSUMIBLE"/>
    <s v="BANANA SHAKE"/>
    <n v="1"/>
    <n v="21.55"/>
  </r>
  <r>
    <x v="14"/>
    <s v="26/01/2026"/>
    <x v="17"/>
    <s v="7503013378690"/>
    <s v="Shumatsu 3 pzas - DUSA"/>
    <s v="CONSUMIBLE PROPIO"/>
    <s v="DUSA"/>
    <n v="4"/>
    <n v="2310.36"/>
  </r>
  <r>
    <x v="14"/>
    <s v="27/01/2026"/>
    <x v="17"/>
    <s v="7508304288917"/>
    <s v="Aceite de Almendras 130ml EROTICA -DIAMANTE"/>
    <s v="CONSUMIBLE"/>
    <s v="DIAMANTE"/>
    <n v="1"/>
    <n v="448.28"/>
  </r>
  <r>
    <x v="14"/>
    <s v="27/01/2026"/>
    <x v="17"/>
    <s v="7503043917081"/>
    <s v="Blade rosa anillo vibrador - CXO"/>
    <s v="JUGUETE PROPIO"/>
    <s v="CXO"/>
    <n v="1"/>
    <n v="81.900000000000006"/>
  </r>
  <r>
    <x v="14"/>
    <s v="27/01/2026"/>
    <x v="17"/>
    <s v="7503043917012"/>
    <s v="Liquid Love Backdoor 30ml - DUSA"/>
    <s v="CONSUMIBLE PROPIO"/>
    <s v="DUSA"/>
    <n v="1"/>
    <n v="301.72000000000003"/>
  </r>
  <r>
    <x v="14"/>
    <s v="27/01/2026"/>
    <x v="17"/>
    <s v="7503013378645"/>
    <s v="Liquid Love Pleasure 100ml - DUSA"/>
    <s v="CONSUMIBLE PROPIO"/>
    <s v="DUSA"/>
    <n v="1"/>
    <n v="775.86"/>
  </r>
  <r>
    <x v="14"/>
    <s v="27/01/2026"/>
    <x v="17"/>
    <s v="GWPS_BANANASHAKE_001"/>
    <s v="Lub de Regalo - Banana Shake"/>
    <s v="ACTIVACION"/>
    <s v="BANANA SHAKE"/>
    <n v="1"/>
    <n v="0.01"/>
  </r>
  <r>
    <x v="14"/>
    <s v="27/01/2026"/>
    <x v="17"/>
    <s v="7503023462235"/>
    <s v="Lubricante Masaje Térmico Comestible Piña Colada FEEL LOVE 4 en 1 - 60ml"/>
    <s v="LUBRICANTE"/>
    <s v="FEEL LOVE"/>
    <n v="1"/>
    <n v="344.83"/>
  </r>
  <r>
    <x v="14"/>
    <s v="27/01/2026"/>
    <x v="17"/>
    <s v="7503020596957"/>
    <s v="Shot Shumatsu Fun Hombre - DUSA"/>
    <s v="CONSUMIBLE PROPIO"/>
    <s v="DUSA"/>
    <n v="1"/>
    <n v="172.41"/>
  </r>
  <r>
    <x v="14"/>
    <s v="27/01/2026"/>
    <x v="17"/>
    <s v="7503013378690"/>
    <s v="Shumatsu 3 pzas - DUSA"/>
    <s v="CONSUMIBLE PROPIO"/>
    <s v="DUSA"/>
    <n v="2"/>
    <n v="1155.18"/>
  </r>
  <r>
    <x v="14"/>
    <s v="27/01/2026"/>
    <x v="17"/>
    <s v="7503020104212"/>
    <s v="Vibrador multiorgasmico con aleta estimuladora Megan - CXO"/>
    <s v="JUGUETE PROPIO"/>
    <s v="CXO"/>
    <n v="1"/>
    <n v="2413.79"/>
  </r>
  <r>
    <x v="14"/>
    <s v="28/01/2026"/>
    <x v="17"/>
    <s v="7503032300511"/>
    <s v="Cola de Zorro 45cm rosa M - CXO"/>
    <s v="JUGUETE PROPIO"/>
    <s v="CXO"/>
    <n v="1"/>
    <n v="301.72000000000003"/>
  </r>
  <r>
    <x v="14"/>
    <s v="28/01/2026"/>
    <x v="17"/>
    <s v="7503043917005"/>
    <s v="Liquid Love Clear 30ml - DUSA"/>
    <s v="CONSUMIBLE PROPIO"/>
    <s v="DUSA"/>
    <n v="1"/>
    <n v="301.72000000000003"/>
  </r>
  <r>
    <x v="14"/>
    <s v="28/01/2026"/>
    <x v="17"/>
    <s v="7503013378645"/>
    <s v="Liquid Love Pleasure 100ml - DUSA"/>
    <s v="CONSUMIBLE PROPIO"/>
    <s v="DUSA"/>
    <n v="2"/>
    <n v="1551.72"/>
  </r>
  <r>
    <x v="14"/>
    <s v="28/01/2026"/>
    <x v="17"/>
    <s v="7503023462204"/>
    <s v="Lubricante Masaje Térmico Comestible Manzana del Edén FEEL LOVE 4 en 1 - 60ml"/>
    <s v="LUBRICANTE"/>
    <s v="FEEL LOVE"/>
    <n v="1"/>
    <n v="344.83"/>
  </r>
  <r>
    <x v="14"/>
    <s v="28/01/2026"/>
    <x v="17"/>
    <s v="7503013378010"/>
    <s v="Rigidex 2 pzas - DUSA"/>
    <s v="CONSUMIBLE PROPIO"/>
    <s v="DUSA"/>
    <n v="1"/>
    <n v="431.03"/>
  </r>
  <r>
    <x v="14"/>
    <s v="28/01/2026"/>
    <x v="17"/>
    <s v="7503032300856"/>
    <s v="Sachet vibrador liquido 2 ml - BANANA SHAKE"/>
    <s v="CONSUMIBLE"/>
    <s v="BANANA SHAKE"/>
    <n v="1"/>
    <n v="17.239999999999998"/>
  </r>
  <r>
    <x v="14"/>
    <s v="28/01/2026"/>
    <x v="17"/>
    <s v="7503013378690"/>
    <s v="Shumatsu 3 pzas - DUSA"/>
    <s v="CONSUMIBLE PROPIO"/>
    <s v="DUSA"/>
    <n v="1"/>
    <n v="577.59"/>
  </r>
  <r>
    <x v="14"/>
    <s v="29/01/2026"/>
    <x v="17"/>
    <s v="7503013378409"/>
    <s v="Anillo de Acero Grueso - CXO"/>
    <s v="JUGUETE PROPIO"/>
    <s v="CXO"/>
    <n v="1"/>
    <n v="474.14"/>
  </r>
  <r>
    <x v="14"/>
    <s v="29/01/2026"/>
    <x v="17"/>
    <s v="7503043917036"/>
    <s v="Arnes universal de argolla negro - CXO"/>
    <s v="JUGUETE PROPIO"/>
    <s v="CXO"/>
    <n v="1"/>
    <n v="474.14"/>
  </r>
  <r>
    <x v="14"/>
    <s v="29/01/2026"/>
    <x v="17"/>
    <s v="7502214982514"/>
    <s v="Condon Chocolate 3 pzs - PRUDENCE"/>
    <s v="CONSUMIBLE"/>
    <s v="PRUDENCE"/>
    <n v="1"/>
    <n v="60.34"/>
  </r>
  <r>
    <x v="14"/>
    <s v="29/01/2026"/>
    <x v="17"/>
    <s v="7503020202214"/>
    <s v="Dildo realista con ventosa y testiculos Eddy - CXO"/>
    <s v="JUGUETE PROPIO"/>
    <s v="CXO"/>
    <n v="1"/>
    <n v="948.28"/>
  </r>
  <r>
    <x v="14"/>
    <s v="29/01/2026"/>
    <x v="17"/>
    <s v="7503030103028"/>
    <s v="Huevito vibrador con control a distancia Daniela - CXO"/>
    <s v="JUGUETE PROPIO"/>
    <s v="CXO"/>
    <n v="1"/>
    <n v="1500"/>
  </r>
  <r>
    <x v="14"/>
    <s v="29/01/2026"/>
    <x v="17"/>
    <s v="GWPS_BANANASHAKE_001"/>
    <s v="Lub de Regalo - Banana Shake"/>
    <s v="ACTIVACION"/>
    <s v="BANANA SHAKE"/>
    <n v="3"/>
    <n v="0.03"/>
  </r>
  <r>
    <x v="14"/>
    <s v="29/01/2026"/>
    <x v="17"/>
    <s v="7503023462198"/>
    <s v="Lubricante Masaje Térmico Comestible Plátano Excitante FEEL LOVE 4 en 1 - 60ml"/>
    <s v="LUBRICANTE"/>
    <s v="FEEL LOVE"/>
    <n v="1"/>
    <n v="344.83"/>
  </r>
  <r>
    <x v="14"/>
    <s v="29/01/2026"/>
    <x v="17"/>
    <s v="7503032300856"/>
    <s v="Sachet vibrador liquido 2 ml - BANANA SHAKE"/>
    <s v="CONSUMIBLE"/>
    <s v="BANANA SHAKE"/>
    <n v="1"/>
    <n v="17.239999999999998"/>
  </r>
  <r>
    <x v="14"/>
    <s v="29/01/2026"/>
    <x v="17"/>
    <s v="7503024256192"/>
    <s v="Shot Shumatsu Fun Mujer - DUSA"/>
    <s v="CONSUMIBLE PROPIO"/>
    <s v="DUSA"/>
    <n v="1"/>
    <n v="172.41"/>
  </r>
  <r>
    <x v="14"/>
    <s v="30/01/2026"/>
    <x v="17"/>
    <s v="7503050226138"/>
    <s v="Body Abri - OLA MOU"/>
    <s v="LENCERIA PROPIA"/>
    <s v="OLA MOU"/>
    <n v="1"/>
    <n v="465.52"/>
  </r>
  <r>
    <x v="14"/>
    <s v="30/01/2026"/>
    <x v="17"/>
    <s v="7503013378645"/>
    <s v="Liquid Love Pleasure 100ml - DUSA"/>
    <s v="CONSUMIBLE PROPIO"/>
    <s v="DUSA"/>
    <n v="1"/>
    <n v="775.86"/>
  </r>
  <r>
    <x v="14"/>
    <s v="30/01/2026"/>
    <x v="17"/>
    <s v="7503023462235"/>
    <s v="Lubricante Masaje Térmico Comestible Piña Colada FEEL LOVE 4 en 1 - 60ml"/>
    <s v="LUBRICANTE"/>
    <s v="FEEL LOVE"/>
    <n v="1"/>
    <n v="344.83"/>
  </r>
  <r>
    <x v="14"/>
    <s v="30/01/2026"/>
    <x v="17"/>
    <s v="7503020596957"/>
    <s v="Shot Shumatsu Fun Hombre - DUSA"/>
    <s v="CONSUMIBLE PROPIO"/>
    <s v="DUSA"/>
    <n v="7"/>
    <n v="1206.8700000000001"/>
  </r>
  <r>
    <x v="14"/>
    <s v="30/01/2026"/>
    <x v="17"/>
    <s v="7503024256192"/>
    <s v="Shot Shumatsu Fun Mujer - DUSA"/>
    <s v="CONSUMIBLE PROPIO"/>
    <s v="DUSA"/>
    <n v="1"/>
    <n v="172.41"/>
  </r>
  <r>
    <x v="14"/>
    <s v="30/01/2026"/>
    <x v="17"/>
    <s v="7503013378690"/>
    <s v="Shumatsu 3 pzas - DUSA"/>
    <s v="CONSUMIBLE PROPIO"/>
    <s v="DUSA"/>
    <n v="1"/>
    <n v="577.59"/>
  </r>
  <r>
    <x v="14"/>
    <s v="31/01/2026"/>
    <x v="5"/>
    <s v="7503020596056"/>
    <s v="He Plus - DUSA"/>
    <s v="CONSUMIBLE PROPIO"/>
    <s v="DUSA"/>
    <n v="1"/>
    <n v="431.03"/>
  </r>
  <r>
    <x v="14"/>
    <s v="31/01/2026"/>
    <x v="5"/>
    <s v="6959633156094"/>
    <s v="Robin - SVAKOM"/>
    <s v="JUGUETE"/>
    <s v="SVAKOM"/>
    <n v="1"/>
    <n v="1318.97"/>
  </r>
  <r>
    <x v="14"/>
    <s v="31/01/2026"/>
    <x v="5"/>
    <s v="7503013378690"/>
    <s v="Shumatsu 3 pzas - DUSA"/>
    <s v="CONSUMIBLE PROPIO"/>
    <s v="DUSA"/>
    <n v="1"/>
    <n v="577.59"/>
  </r>
  <r>
    <x v="15"/>
    <s v="02/01/2026"/>
    <x v="18"/>
    <s v="7503043917081"/>
    <s v="Blade rosa anillo vibrador - CXO"/>
    <s v="JUGUETE PROPIO"/>
    <s v="CXO"/>
    <n v="2"/>
    <n v="163.80000000000001"/>
  </r>
  <r>
    <x v="15"/>
    <s v="02/01/2026"/>
    <x v="18"/>
    <s v="7503013378492"/>
    <s v="Clean Whisper 120ml - DUSA"/>
    <s v="CONSUMIBLE PROPIO"/>
    <s v="DUSA"/>
    <n v="1"/>
    <n v="301.72000000000003"/>
  </r>
  <r>
    <x v="15"/>
    <s v="02/01/2026"/>
    <x v="18"/>
    <s v="603912120042"/>
    <s v="Happy Top Tickler funda - PIPEDREAM"/>
    <s v="JUGUETE"/>
    <s v="PIPEDREAM"/>
    <n v="1"/>
    <n v="344.83"/>
  </r>
  <r>
    <x v="15"/>
    <s v="02/01/2026"/>
    <x v="18"/>
    <s v="7503043917012"/>
    <s v="Liquid Love Backdoor 30ml - DUSA"/>
    <s v="CONSUMIBLE PROPIO"/>
    <s v="DUSA"/>
    <n v="1"/>
    <n v="301.72000000000003"/>
  </r>
  <r>
    <x v="15"/>
    <s v="02/01/2026"/>
    <x v="18"/>
    <s v="7503020596001"/>
    <s v="Liquid Love Clear 100ml - DUSA"/>
    <s v="CONSUMIBLE PROPIO"/>
    <s v="DUSA"/>
    <n v="1"/>
    <n v="775.86"/>
  </r>
  <r>
    <x v="15"/>
    <s v="02/01/2026"/>
    <x v="18"/>
    <s v="7503013378645"/>
    <s v="Liquid Love Pleasure 100ml - DUSA"/>
    <s v="CONSUMIBLE PROPIO"/>
    <s v="DUSA"/>
    <n v="1"/>
    <n v="775.86"/>
  </r>
  <r>
    <x v="15"/>
    <s v="02/01/2026"/>
    <x v="18"/>
    <s v="7503013378126"/>
    <s v="Lubricante Body Surf Frio Natural DUSA 60ml"/>
    <s v="CONSUMIBLE PROPIO"/>
    <s v="DUSA"/>
    <n v="1"/>
    <n v="387.93"/>
  </r>
  <r>
    <x v="15"/>
    <s v="02/01/2026"/>
    <x v="18"/>
    <s v="713001200104"/>
    <s v="Multiorgasmico con estimulador de clitoris de aleteo Marisol - CXO"/>
    <s v="JUGUETE PROPIO"/>
    <s v="CXO"/>
    <n v="1"/>
    <n v="2500"/>
  </r>
  <r>
    <x v="15"/>
    <s v="02/01/2026"/>
    <x v="18"/>
    <s v="7503024256635"/>
    <s v="Olive  6.8&quot; rosa - CXO"/>
    <s v="JUGUETE PROPIO"/>
    <s v="CXO"/>
    <n v="1"/>
    <n v="603.45000000000005"/>
  </r>
  <r>
    <x v="15"/>
    <s v="02/01/2026"/>
    <x v="18"/>
    <s v="7503013378010"/>
    <s v="Rigidex 2 pzas - DUSA"/>
    <s v="CONSUMIBLE PROPIO"/>
    <s v="DUSA"/>
    <n v="1"/>
    <n v="431.03"/>
  </r>
  <r>
    <x v="15"/>
    <s v="02/01/2026"/>
    <x v="18"/>
    <s v="7503020596957"/>
    <s v="Shot Shumatsu Fun Hombre - DUSA"/>
    <s v="CONSUMIBLE PROPIO"/>
    <s v="DUSA"/>
    <n v="1"/>
    <n v="172.41"/>
  </r>
  <r>
    <x v="15"/>
    <s v="02/01/2026"/>
    <x v="18"/>
    <s v="7503024256192"/>
    <s v="Shot Shumatsu Fun Mujer - DUSA"/>
    <s v="CONSUMIBLE PROPIO"/>
    <s v="DUSA"/>
    <n v="1"/>
    <n v="172.41"/>
  </r>
  <r>
    <x v="15"/>
    <s v="02/01/2026"/>
    <x v="18"/>
    <s v="7503020105084"/>
    <s v="Vibrador para parejas tipo C Trinity – CXO"/>
    <s v="JUGUETE PROPIO"/>
    <s v="CXO"/>
    <n v="1"/>
    <n v="2465.52"/>
  </r>
  <r>
    <x v="15"/>
    <s v="03/01/2026"/>
    <x v="18"/>
    <s v="6959633101278"/>
    <s v="Alex Neo 2 azul oscuro - SVAKOM"/>
    <s v="JUGUETE"/>
    <s v="SVAKOM"/>
    <n v="1"/>
    <n v="4482.76"/>
  </r>
  <r>
    <x v="15"/>
    <s v="03/01/2026"/>
    <x v="18"/>
    <s v="7503043917081"/>
    <s v="Blade rosa anillo vibrador - CXO"/>
    <s v="JUGUETE PROPIO"/>
    <s v="CXO"/>
    <n v="1"/>
    <n v="81.900000000000006"/>
  </r>
  <r>
    <x v="15"/>
    <s v="03/01/2026"/>
    <x v="18"/>
    <s v="7503020310205"/>
    <s v="Dildo Vibrador Termico Realista 3 en 1 con movimiento Hades-CXO"/>
    <s v="JUGUETE PROPIO"/>
    <s v="CXO"/>
    <n v="1"/>
    <n v="2500"/>
  </r>
  <r>
    <x v="15"/>
    <s v="03/01/2026"/>
    <x v="18"/>
    <s v="844477014296"/>
    <s v="Eves Rechargeable Pulsating Dual Massager - ADAM AND EVE"/>
    <s v="JUGUETE"/>
    <s v="ADAM &amp; EVE"/>
    <n v="1"/>
    <n v="2482.7600000000002"/>
  </r>
  <r>
    <x v="15"/>
    <s v="03/01/2026"/>
    <x v="18"/>
    <s v="7500633010269"/>
    <s v="LIGUERO EN ENCAJE ROJO MEDIANO 01026"/>
    <s v="LENCERIA"/>
    <s v="CHRISLIFERBRA"/>
    <n v="1"/>
    <n v="198.28"/>
  </r>
  <r>
    <x v="15"/>
    <s v="03/01/2026"/>
    <x v="18"/>
    <s v="7503043917005"/>
    <s v="Liquid Love Clear 30ml - DUSA"/>
    <s v="CONSUMIBLE PROPIO"/>
    <s v="DUSA"/>
    <n v="1"/>
    <n v="301.72000000000003"/>
  </r>
  <r>
    <x v="15"/>
    <s v="03/01/2026"/>
    <x v="18"/>
    <s v="827160112141"/>
    <s v="Lubricante Backdoor 100ml - PJUR"/>
    <s v="CONSUMIBLE"/>
    <s v="PJUR"/>
    <n v="1"/>
    <n v="784.48"/>
  </r>
  <r>
    <x v="15"/>
    <s v="03/01/2026"/>
    <x v="18"/>
    <s v="7503024256154"/>
    <s v="Lubricante Body Surf Termico Cereza DUSA 60ml"/>
    <s v="CONSUMIBLE PROPIO"/>
    <s v="DUSA"/>
    <n v="1"/>
    <n v="387.93"/>
  </r>
  <r>
    <x v="15"/>
    <s v="03/01/2026"/>
    <x v="18"/>
    <s v="7503013378980"/>
    <s v="Lubricante Body Surf Termico Chicle DUSA 60ml"/>
    <s v="CONSUMIBLE PROPIO"/>
    <s v="DUSA"/>
    <n v="1"/>
    <n v="387.93"/>
  </r>
  <r>
    <x v="15"/>
    <s v="03/01/2026"/>
    <x v="18"/>
    <s v="7503032300825"/>
    <s v="Lubricante Sachet natural 2 ml - BANANA SHAKE"/>
    <s v="CONSUMIBLE"/>
    <s v="BANANA SHAKE"/>
    <n v="1"/>
    <n v="17.239999999999998"/>
  </r>
  <r>
    <x v="15"/>
    <s v="03/01/2026"/>
    <x v="18"/>
    <s v="7503024256635"/>
    <s v="Olive  6.8&quot; rosa - CXO"/>
    <s v="JUGUETE PROPIO"/>
    <s v="CXO"/>
    <n v="1"/>
    <n v="603.45000000000005"/>
  </r>
  <r>
    <x v="15"/>
    <s v="03/01/2026"/>
    <x v="18"/>
    <s v="7503013378010"/>
    <s v="Rigidex 2 pzas - DUSA"/>
    <s v="CONSUMIBLE PROPIO"/>
    <s v="DUSA"/>
    <n v="2"/>
    <n v="862.06"/>
  </r>
  <r>
    <x v="15"/>
    <s v="03/01/2026"/>
    <x v="18"/>
    <s v="7503020596957"/>
    <s v="Shot Shumatsu Fun Hombre - DUSA"/>
    <s v="CONSUMIBLE PROPIO"/>
    <s v="DUSA"/>
    <n v="4"/>
    <n v="689.64"/>
  </r>
  <r>
    <x v="15"/>
    <s v="03/01/2026"/>
    <x v="18"/>
    <s v="7503024256192"/>
    <s v="Shot Shumatsu Fun Mujer - DUSA"/>
    <s v="CONSUMIBLE PROPIO"/>
    <s v="DUSA"/>
    <n v="1"/>
    <n v="172.41"/>
  </r>
  <r>
    <x v="15"/>
    <s v="03/01/2026"/>
    <x v="18"/>
    <s v="4061504007373"/>
    <s v="Succionador Number Two - Satisfayer"/>
    <s v="JUGUETE"/>
    <s v="SATISFAYER"/>
    <n v="1"/>
    <n v="1637.93"/>
  </r>
  <r>
    <x v="15"/>
    <s v="03/01/2026"/>
    <x v="18"/>
    <s v="7503032300443"/>
    <s v="Zoe bala vibradora RETAIL - CXO"/>
    <s v="JUGUETE PROPIO"/>
    <s v="CXO"/>
    <n v="2"/>
    <n v="310.33999999999997"/>
  </r>
  <r>
    <x v="15"/>
    <s v="04/01/2026"/>
    <x v="5"/>
    <s v="7503050226138"/>
    <s v="Body Abri - OLA MOU"/>
    <s v="LENCERIA PROPIA"/>
    <s v="OLA MOU"/>
    <n v="1"/>
    <n v="465.52"/>
  </r>
  <r>
    <x v="15"/>
    <s v="04/01/2026"/>
    <x v="5"/>
    <s v="7503050226139"/>
    <s v="Body Alma - OLA MOU"/>
    <s v="LENCERIA PROPIA"/>
    <s v="OLA MOU"/>
    <n v="1"/>
    <n v="387.93"/>
  </r>
  <r>
    <x v="15"/>
    <s v="04/01/2026"/>
    <x v="5"/>
    <s v="7503013378492"/>
    <s v="Clean Whisper 120ml - DUSA"/>
    <s v="CONSUMIBLE PROPIO"/>
    <s v="DUSA"/>
    <n v="1"/>
    <n v="301.72000000000003"/>
  </r>
  <r>
    <x v="15"/>
    <s v="04/01/2026"/>
    <x v="5"/>
    <s v="7503013378652"/>
    <s v="Liquid Love Backdoor 100ml - DUSA"/>
    <s v="CONSUMIBLE PROPIO"/>
    <s v="DUSA"/>
    <n v="1"/>
    <n v="1077.5899999999999"/>
  </r>
  <r>
    <x v="15"/>
    <s v="04/01/2026"/>
    <x v="5"/>
    <s v="7503050524241"/>
    <s v="Orgasmik 30ml - DUSA"/>
    <s v="CONSUMIBLE PROPIO"/>
    <s v="DUSA"/>
    <n v="1"/>
    <n v="431.03"/>
  </r>
  <r>
    <x v="15"/>
    <s v="04/01/2026"/>
    <x v="5"/>
    <s v="6970556032074"/>
    <s v="Plug Anal con 10 modos de Vibracion de 11.5cm  Ramiro- CXO"/>
    <s v="JUGUETE PROPIO"/>
    <s v="CXO"/>
    <n v="1"/>
    <n v="1034.48"/>
  </r>
  <r>
    <x v="15"/>
    <s v="04/01/2026"/>
    <x v="5"/>
    <s v="7503020104086"/>
    <s v="Vibrador y pulsador multiorgásmico con estimulador para clítoris Carola – CXO"/>
    <s v="JUGUETE PROPIO"/>
    <s v="CXO"/>
    <n v="1"/>
    <n v="2577.59"/>
  </r>
  <r>
    <x v="15"/>
    <s v="04/01/2026"/>
    <x v="5"/>
    <s v="7503032300443"/>
    <s v="Zoe bala vibradora RETAIL - CXO"/>
    <s v="JUGUETE PROPIO"/>
    <s v="CXO"/>
    <n v="2"/>
    <n v="310.33999999999997"/>
  </r>
  <r>
    <x v="15"/>
    <s v="05/01/2026"/>
    <x v="18"/>
    <s v="7503013378102"/>
    <s v="Anastasia Gema de Colores M - CXO"/>
    <s v="JUGUETE PROPIO"/>
    <s v="CXO"/>
    <n v="1"/>
    <n v="456.9"/>
  </r>
  <r>
    <x v="15"/>
    <s v="05/01/2026"/>
    <x v="18"/>
    <s v="7503030211021"/>
    <s v="Anillo desechable para pene Donut - CXO"/>
    <s v="JUGUETE PROPIO"/>
    <s v="CXO"/>
    <n v="1"/>
    <n v="34.479999999999997"/>
  </r>
  <r>
    <x v="15"/>
    <s v="05/01/2026"/>
    <x v="18"/>
    <s v="7503014914002"/>
    <s v="CAPSULAS MULTIORGASMICO AMO O-GEN"/>
    <s v="CONSUMIBLE"/>
    <s v="POWER MAN"/>
    <n v="1"/>
    <n v="431.04"/>
  </r>
  <r>
    <x v="15"/>
    <s v="05/01/2026"/>
    <x v="18"/>
    <s v="7503013378492"/>
    <s v="Clean Whisper 120ml - DUSA"/>
    <s v="CONSUMIBLE PROPIO"/>
    <s v="DUSA"/>
    <n v="1"/>
    <n v="301.72000000000003"/>
  </r>
  <r>
    <x v="15"/>
    <s v="05/01/2026"/>
    <x v="18"/>
    <s v="7503020310205"/>
    <s v="Dildo Vibrador Termico Realista 3 en 1 con movimiento Hades-CXO"/>
    <s v="JUGUETE PROPIO"/>
    <s v="CXO"/>
    <n v="1"/>
    <n v="2500"/>
  </r>
  <r>
    <x v="15"/>
    <s v="05/01/2026"/>
    <x v="18"/>
    <s v="7503050524265"/>
    <s v="He Plus 30ml - DUSA"/>
    <s v="CONSUMIBLE PROPIO"/>
    <s v="DUSA"/>
    <n v="1"/>
    <n v="431.03"/>
  </r>
  <r>
    <x v="15"/>
    <s v="05/01/2026"/>
    <x v="18"/>
    <s v="7503043917012"/>
    <s v="Liquid Love Backdoor 30ml - DUSA"/>
    <s v="CONSUMIBLE PROPIO"/>
    <s v="DUSA"/>
    <n v="1"/>
    <n v="301.72000000000003"/>
  </r>
  <r>
    <x v="15"/>
    <s v="05/01/2026"/>
    <x v="18"/>
    <s v="7503050524241"/>
    <s v="Orgasmik 30ml - DUSA"/>
    <s v="CONSUMIBLE PROPIO"/>
    <s v="DUSA"/>
    <n v="1"/>
    <n v="431.03"/>
  </r>
  <r>
    <x v="15"/>
    <s v="05/01/2026"/>
    <x v="18"/>
    <s v="7503013378010"/>
    <s v="Rigidex 2 pzas - DUSA"/>
    <s v="CONSUMIBLE PROPIO"/>
    <s v="DUSA"/>
    <n v="1"/>
    <n v="431.03"/>
  </r>
  <r>
    <x v="15"/>
    <s v="05/01/2026"/>
    <x v="18"/>
    <s v="7503020596063"/>
    <s v="Stallion Regenerador - DUSA"/>
    <s v="CONSUMIBLE PROPIO"/>
    <s v="DUSA"/>
    <n v="1"/>
    <n v="1293.0999999999999"/>
  </r>
  <r>
    <x v="15"/>
    <s v="05/01/2026"/>
    <x v="18"/>
    <s v="7503020104085"/>
    <s v="Vibrador e impulsor con ventosa Mafer – CXO"/>
    <s v="JUGUETE PROPIO"/>
    <s v="CXO"/>
    <n v="1"/>
    <n v="2413.79"/>
  </r>
  <r>
    <x v="15"/>
    <s v="06/01/2026"/>
    <x v="18"/>
    <s v="7503043917081"/>
    <s v="Blade rosa anillo vibrador - CXO"/>
    <s v="JUGUETE PROPIO"/>
    <s v="CXO"/>
    <n v="1"/>
    <n v="81.900000000000006"/>
  </r>
  <r>
    <x v="15"/>
    <s v="06/01/2026"/>
    <x v="18"/>
    <s v="7503032300498"/>
    <s v="Cola de Zorro 45cm cafe M - CXO"/>
    <s v="JUGUETE PROPIO"/>
    <s v="CXO"/>
    <n v="1"/>
    <n v="301.72000000000003"/>
  </r>
  <r>
    <x v="15"/>
    <s v="06/01/2026"/>
    <x v="18"/>
    <s v="603912320213"/>
    <s v="FETISH FANTASY SERIES LIMITED EDITIONRUBBER PADDLE BLACK"/>
    <s v="JUGUETE"/>
    <s v="PIPEDREAM"/>
    <n v="1"/>
    <n v="275.86"/>
  </r>
  <r>
    <x v="15"/>
    <s v="06/01/2026"/>
    <x v="18"/>
    <s v="7503024256154"/>
    <s v="Lubricante Body Surf Termico Cereza DUSA 60ml"/>
    <s v="CONSUMIBLE PROPIO"/>
    <s v="DUSA"/>
    <n v="1"/>
    <n v="387.93"/>
  </r>
  <r>
    <x v="15"/>
    <s v="06/01/2026"/>
    <x v="18"/>
    <s v="7503013378010"/>
    <s v="Rigidex 2 pzas - DUSA"/>
    <s v="CONSUMIBLE PROPIO"/>
    <s v="DUSA"/>
    <n v="1"/>
    <n v="431.03"/>
  </r>
  <r>
    <x v="15"/>
    <s v="06/01/2026"/>
    <x v="18"/>
    <s v="7503032300443"/>
    <s v="Zoe bala vibradora RETAIL - CXO"/>
    <s v="JUGUETE PROPIO"/>
    <s v="CXO"/>
    <n v="1"/>
    <n v="155.16999999999999"/>
  </r>
  <r>
    <x v="15"/>
    <s v="07/01/2026"/>
    <x v="18"/>
    <s v="6959633101278"/>
    <s v="Alex Neo 2 azul oscuro - SVAKOM"/>
    <s v="JUGUETE"/>
    <s v="SVAKOM"/>
    <n v="1"/>
    <n v="4482.76"/>
  </r>
  <r>
    <x v="15"/>
    <s v="07/01/2026"/>
    <x v="18"/>
    <s v="7503050226138"/>
    <s v="Body Abri - OLA MOU"/>
    <s v="LENCERIA PROPIA"/>
    <s v="OLA MOU"/>
    <n v="1"/>
    <n v="465.52"/>
  </r>
  <r>
    <x v="15"/>
    <s v="07/01/2026"/>
    <x v="18"/>
    <s v="7503013378492"/>
    <s v="Clean Whisper 120ml - DUSA"/>
    <s v="CONSUMIBLE PROPIO"/>
    <s v="DUSA"/>
    <n v="2"/>
    <n v="603.44000000000005"/>
  </r>
  <r>
    <x v="15"/>
    <s v="07/01/2026"/>
    <x v="18"/>
    <s v="7503032300498"/>
    <s v="Cola de Zorro 45cm cafe M - CXO"/>
    <s v="JUGUETE PROPIO"/>
    <s v="CXO"/>
    <n v="1"/>
    <n v="301.72000000000003"/>
  </r>
  <r>
    <x v="15"/>
    <s v="07/01/2026"/>
    <x v="18"/>
    <s v="7503030102034"/>
    <s v="Dildo vibrador con control Anthony - CXO"/>
    <s v="JUGUETE PROPIO"/>
    <s v="CXO"/>
    <n v="1"/>
    <n v="2112.0700000000002"/>
  </r>
  <r>
    <x v="15"/>
    <s v="07/01/2026"/>
    <x v="18"/>
    <s v="YULOLA002760I"/>
    <s v="Disfraz de Servicio Yuli - OLA MU"/>
    <s v="LENCERIA PROPIA"/>
    <s v="OLA MOU"/>
    <n v="2"/>
    <n v="862.06"/>
  </r>
  <r>
    <x v="15"/>
    <s v="07/01/2026"/>
    <x v="18"/>
    <s v="KUNESPEJOPED"/>
    <s v="Espejo de pedestal - KUNI"/>
    <s v="SKINCARE"/>
    <s v="KUNI"/>
    <n v="1"/>
    <n v="86.21"/>
  </r>
  <r>
    <x v="15"/>
    <s v="07/01/2026"/>
    <x v="18"/>
    <s v="7503038654083"/>
    <s v="Garganta profunda 60ml - FEEL LOVE"/>
    <s v="CONSUMIBLE"/>
    <s v="FEEL LOVE"/>
    <n v="1"/>
    <n v="603.45000000000005"/>
  </r>
  <r>
    <x v="15"/>
    <s v="07/01/2026"/>
    <x v="18"/>
    <s v="7503013378645"/>
    <s v="Liquid Love Pleasure 100ml - DUSA"/>
    <s v="CONSUMIBLE PROPIO"/>
    <s v="DUSA"/>
    <n v="1"/>
    <n v="775.86"/>
  </r>
  <r>
    <x v="15"/>
    <s v="07/01/2026"/>
    <x v="18"/>
    <s v="7503013378010"/>
    <s v="Rigidex 2 pzas - DUSA"/>
    <s v="CONSUMIBLE PROPIO"/>
    <s v="DUSA"/>
    <n v="2"/>
    <n v="862.06"/>
  </r>
  <r>
    <x v="15"/>
    <s v="07/01/2026"/>
    <x v="18"/>
    <s v="7503020596063"/>
    <s v="Stallion Regenerador - DUSA"/>
    <s v="CONSUMIBLE PROPIO"/>
    <s v="DUSA"/>
    <n v="1"/>
    <n v="1293.0999999999999"/>
  </r>
  <r>
    <x v="15"/>
    <s v="07/01/2026"/>
    <x v="18"/>
    <s v="7503020310409"/>
    <s v="Vibrador estimulador triple rosa Tania  - CXO"/>
    <s v="JUGUETE PROPIO"/>
    <s v="CXO"/>
    <n v="1"/>
    <n v="2801.72"/>
  </r>
  <r>
    <x v="15"/>
    <s v="08/01/2026"/>
    <x v="1"/>
    <s v="7503014914002"/>
    <s v="CAPSULAS MULTIORGASMICO AMO O-GEN"/>
    <s v="CONSUMIBLE"/>
    <s v="POWER MAN"/>
    <n v="1"/>
    <n v="431.04"/>
  </r>
  <r>
    <x v="15"/>
    <s v="08/01/2026"/>
    <x v="1"/>
    <s v="7503050226130"/>
    <s v="Disfraz Maid - OLA MOU"/>
    <s v="LENCERIA PROPIA"/>
    <s v="OLA MOU"/>
    <n v="1"/>
    <n v="646.54999999999995"/>
  </r>
  <r>
    <x v="15"/>
    <s v="08/01/2026"/>
    <x v="1"/>
    <s v="7508304288436"/>
    <s v="FEROMONAS DIAMANTE EXCLUSIVE SPRAY 25 ML ELLA"/>
    <s v="CONSUMIBLE"/>
    <s v="DIAMANTE"/>
    <n v="1"/>
    <n v="387.93"/>
  </r>
  <r>
    <x v="15"/>
    <s v="08/01/2026"/>
    <x v="1"/>
    <s v="DL-ZZ-YJPT-BJ-20250327"/>
    <s v="Funda de Silicon para Pene con 10 modos de Vibración  Raul- CXO"/>
    <s v="JUGUETE PROPIO"/>
    <s v="CXO"/>
    <n v="1"/>
    <n v="1810.34"/>
  </r>
  <r>
    <x v="15"/>
    <s v="08/01/2026"/>
    <x v="1"/>
    <s v="7503024256154"/>
    <s v="Lubricante Body Surf Termico Cereza DUSA 60ml"/>
    <s v="CONSUMIBLE PROPIO"/>
    <s v="DUSA"/>
    <n v="1"/>
    <n v="387.93"/>
  </r>
  <r>
    <x v="15"/>
    <s v="08/01/2026"/>
    <x v="1"/>
    <s v="6959633185476"/>
    <s v="Masturbador Hedy X Confidence – SVAKOM"/>
    <s v="JUGUETE"/>
    <s v="SVAKOM"/>
    <n v="1"/>
    <n v="181.03"/>
  </r>
  <r>
    <x v="15"/>
    <s v="08/01/2026"/>
    <x v="1"/>
    <s v="6959633189726"/>
    <s v="Masturbador Hedy X Control – SVAKOM"/>
    <s v="JUGUETE"/>
    <s v="SVAKOM"/>
    <n v="1"/>
    <n v="181.03"/>
  </r>
  <r>
    <x v="15"/>
    <s v="08/01/2026"/>
    <x v="1"/>
    <s v="7503020596971"/>
    <s v="Orgasmik - DUSA"/>
    <s v="CONSUMIBLE PROPIO"/>
    <s v="DUSA"/>
    <n v="1"/>
    <n v="431.03"/>
  </r>
  <r>
    <x v="15"/>
    <s v="08/01/2026"/>
    <x v="1"/>
    <s v="7503050524289"/>
    <s v="Oxi bomba de vacio manual - CXO"/>
    <s v="JUGUETE PROPIO"/>
    <s v="CXO"/>
    <n v="1"/>
    <n v="853.45"/>
  </r>
  <r>
    <x v="15"/>
    <s v="08/01/2026"/>
    <x v="1"/>
    <s v="7503013378010"/>
    <s v="Rigidex 2 pzas - DUSA"/>
    <s v="CONSUMIBLE PROPIO"/>
    <s v="DUSA"/>
    <n v="2"/>
    <n v="862.06"/>
  </r>
  <r>
    <x v="15"/>
    <s v="08/01/2026"/>
    <x v="1"/>
    <s v="6959633105313"/>
    <s v="Vibrador de Prostata con Pulsaciones Iker Neo - SVAKOM"/>
    <s v="JUGUETE"/>
    <s v="SVAKOM"/>
    <n v="1"/>
    <n v="3879.31"/>
  </r>
  <r>
    <x v="15"/>
    <s v="08/01/2026"/>
    <x v="18"/>
    <s v="7500464543059"/>
    <s v="Dildo Realista con Ventosa 15.5cms Domi CXO"/>
    <s v="JUGUETE PROPIO"/>
    <s v="CXO"/>
    <n v="1"/>
    <n v="818.97"/>
  </r>
  <r>
    <x v="15"/>
    <s v="08/01/2026"/>
    <x v="18"/>
    <s v="6959633118795"/>
    <s v="Edeny - SVAKOM"/>
    <s v="JUGUETE"/>
    <s v="SVAKOM"/>
    <n v="1"/>
    <n v="3275.86"/>
  </r>
  <r>
    <x v="15"/>
    <s v="08/01/2026"/>
    <x v="18"/>
    <s v="7503013378645"/>
    <s v="Liquid Love Pleasure 100ml - DUSA"/>
    <s v="CONSUMIBLE PROPIO"/>
    <s v="DUSA"/>
    <n v="1"/>
    <n v="775.86"/>
  </r>
  <r>
    <x v="15"/>
    <s v="08/01/2026"/>
    <x v="18"/>
    <s v="7503020104073"/>
    <s v="Vibrador multiorgásmico con textura y estimulación doble Lidia - CXO"/>
    <s v="JUGUETE PROPIO"/>
    <s v="CXO"/>
    <n v="1"/>
    <n v="2008.62"/>
  </r>
  <r>
    <x v="15"/>
    <s v="09/01/2026"/>
    <x v="18"/>
    <s v="MAROLA00279IF"/>
    <s v="Disfraz Marinera - OLA MOU"/>
    <s v="LENCERIA PROPIA"/>
    <s v="OLA MOU"/>
    <n v="1"/>
    <n v="560.34"/>
  </r>
  <r>
    <x v="15"/>
    <s v="09/01/2026"/>
    <x v="18"/>
    <s v="7503013378652"/>
    <s v="Liquid Love Backdoor 100ml - DUSA"/>
    <s v="CONSUMIBLE PROPIO"/>
    <s v="DUSA"/>
    <n v="1"/>
    <n v="1077.5899999999999"/>
  </r>
  <r>
    <x v="15"/>
    <s v="09/01/2026"/>
    <x v="18"/>
    <s v="7503013378645"/>
    <s v="Liquid Love Pleasure 100ml - DUSA"/>
    <s v="CONSUMIBLE PROPIO"/>
    <s v="DUSA"/>
    <n v="1"/>
    <n v="775.86"/>
  </r>
  <r>
    <x v="15"/>
    <s v="09/01/2026"/>
    <x v="18"/>
    <s v="LIZOLA00261ME"/>
    <s v="Media arriba de la rodilla Liz - OLA MOU"/>
    <s v="LENCERIA PROPIA"/>
    <s v="OLA MOU"/>
    <n v="1"/>
    <n v="250"/>
  </r>
  <r>
    <x v="15"/>
    <s v="09/01/2026"/>
    <x v="18"/>
    <s v="JICD91222"/>
    <s v="Plug Anal Vibrador con Textura y Control con 10 modos Ricardo- CXO"/>
    <s v="JUGUETE PROPIO"/>
    <s v="CXO"/>
    <n v="1"/>
    <n v="1508.62"/>
  </r>
  <r>
    <x v="15"/>
    <s v="09/01/2026"/>
    <x v="18"/>
    <s v="7503032300856"/>
    <s v="Sachet vibrador liquido 2 ml - BANANA SHAKE"/>
    <s v="CONSUMIBLE"/>
    <s v="BANANA SHAKE"/>
    <n v="5"/>
    <n v="86.2"/>
  </r>
  <r>
    <x v="15"/>
    <s v="09/01/2026"/>
    <x v="18"/>
    <s v="7503050524258"/>
    <s v="Sensicool 30ml - DUSA"/>
    <s v="CONSUMIBLE PROPIO"/>
    <s v="DUSA"/>
    <n v="1"/>
    <n v="431.03"/>
  </r>
  <r>
    <x v="15"/>
    <s v="09/01/2026"/>
    <x v="18"/>
    <s v="7503024256192"/>
    <s v="Shot Shumatsu Fun Mujer - DUSA"/>
    <s v="CONSUMIBLE PROPIO"/>
    <s v="DUSA"/>
    <n v="1"/>
    <n v="172.41"/>
  </r>
  <r>
    <x v="15"/>
    <s v="10/01/2026"/>
    <x v="18"/>
    <s v="7503043917036"/>
    <s v="Arnes universal de argolla negro - CXO"/>
    <s v="JUGUETE PROPIO"/>
    <s v="CXO"/>
    <n v="1"/>
    <n v="474.14"/>
  </r>
  <r>
    <x v="15"/>
    <s v="10/01/2026"/>
    <x v="18"/>
    <s v="7707167956333"/>
    <s v="Body Mod 507198 XL - EA"/>
    <s v="LENCERIA"/>
    <s v="EA"/>
    <n v="1"/>
    <n v="444"/>
  </r>
  <r>
    <x v="15"/>
    <s v="10/01/2026"/>
    <x v="18"/>
    <s v="7503013378492"/>
    <s v="Clean Whisper 120ml - DUSA"/>
    <s v="CONSUMIBLE PROPIO"/>
    <s v="DUSA"/>
    <n v="2"/>
    <n v="603.44000000000005"/>
  </r>
  <r>
    <x v="15"/>
    <s v="10/01/2026"/>
    <x v="18"/>
    <s v="7503030102034"/>
    <s v="Dildo vibrador con control Anthony - CXO"/>
    <s v="JUGUETE PROPIO"/>
    <s v="CXO"/>
    <n v="1"/>
    <n v="2112.0700000000002"/>
  </r>
  <r>
    <x v="15"/>
    <s v="10/01/2026"/>
    <x v="18"/>
    <s v="7350075029332"/>
    <s v="Enigma wave morado - LELO"/>
    <s v="JUGUETE"/>
    <s v="LELO"/>
    <n v="1"/>
    <n v="5862.07"/>
  </r>
  <r>
    <x v="15"/>
    <s v="10/01/2026"/>
    <x v="18"/>
    <s v="7503050524265"/>
    <s v="He Plus 30ml - DUSA"/>
    <s v="CONSUMIBLE PROPIO"/>
    <s v="DUSA"/>
    <n v="1"/>
    <n v="431.03"/>
  </r>
  <r>
    <x v="15"/>
    <s v="10/01/2026"/>
    <x v="18"/>
    <s v="7503013378652"/>
    <s v="Liquid Love Backdoor 100ml - DUSA"/>
    <s v="CONSUMIBLE PROPIO"/>
    <s v="DUSA"/>
    <n v="1"/>
    <n v="1077.5899999999999"/>
  </r>
  <r>
    <x v="15"/>
    <s v="10/01/2026"/>
    <x v="18"/>
    <s v="7503020596001"/>
    <s v="Liquid Love Clear 100ml - DUSA"/>
    <s v="CONSUMIBLE PROPIO"/>
    <s v="DUSA"/>
    <n v="1"/>
    <n v="775.86"/>
  </r>
  <r>
    <x v="15"/>
    <s v="10/01/2026"/>
    <x v="18"/>
    <s v="7503013378645"/>
    <s v="Liquid Love Pleasure 100ml - DUSA"/>
    <s v="CONSUMIBLE PROPIO"/>
    <s v="DUSA"/>
    <n v="3"/>
    <n v="2327.58"/>
  </r>
  <r>
    <x v="15"/>
    <s v="10/01/2026"/>
    <x v="18"/>
    <s v="7503013378799"/>
    <s v="Lubricante Body Surf Termico Citricos DUSA 60ml"/>
    <s v="CONSUMIBLE PROPIO"/>
    <s v="DUSA"/>
    <n v="1"/>
    <n v="387.93"/>
  </r>
  <r>
    <x v="15"/>
    <s v="10/01/2026"/>
    <x v="18"/>
    <s v="6959633185476"/>
    <s v="Masturbador Hedy X Confidence – SVAKOM"/>
    <s v="JUGUETE"/>
    <s v="SVAKOM"/>
    <n v="1"/>
    <n v="181.03"/>
  </r>
  <r>
    <x v="15"/>
    <s v="10/01/2026"/>
    <x v="18"/>
    <s v="6959633189726"/>
    <s v="Masturbador Hedy X Control – SVAKOM"/>
    <s v="JUGUETE"/>
    <s v="SVAKOM"/>
    <n v="1"/>
    <n v="181.03"/>
  </r>
  <r>
    <x v="15"/>
    <s v="10/01/2026"/>
    <x v="18"/>
    <s v="7503024256635"/>
    <s v="Olive  6.8&quot; rosa - CXO"/>
    <s v="JUGUETE PROPIO"/>
    <s v="CXO"/>
    <n v="1"/>
    <n v="603.45000000000005"/>
  </r>
  <r>
    <x v="15"/>
    <s v="10/01/2026"/>
    <x v="18"/>
    <s v="7503023462921"/>
    <s v="ORAL SEX Beso Irlandes 30ml  - DIAMANTE"/>
    <s v="CONSUMIBLE"/>
    <s v="FEEL LOVE"/>
    <n v="1"/>
    <n v="310.35000000000002"/>
  </r>
  <r>
    <x v="15"/>
    <s v="10/01/2026"/>
    <x v="18"/>
    <s v="7503013378010"/>
    <s v="Rigidex 2 pzas - DUSA"/>
    <s v="CONSUMIBLE PROPIO"/>
    <s v="DUSA"/>
    <n v="1"/>
    <n v="431.03"/>
  </r>
  <r>
    <x v="15"/>
    <s v="10/01/2026"/>
    <x v="18"/>
    <s v="7503050524258"/>
    <s v="Sensicool 30ml - DUSA"/>
    <s v="CONSUMIBLE PROPIO"/>
    <s v="DUSA"/>
    <n v="1"/>
    <n v="431.03"/>
  </r>
  <r>
    <x v="15"/>
    <s v="11/01/2026"/>
    <x v="5"/>
    <s v="7503013378492"/>
    <s v="Clean Whisper 120ml - DUSA"/>
    <s v="CONSUMIBLE PROPIO"/>
    <s v="DUSA"/>
    <n v="1"/>
    <n v="301.72000000000003"/>
  </r>
  <r>
    <x v="15"/>
    <s v="11/01/2026"/>
    <x v="5"/>
    <s v="7502214980053"/>
    <s v="CONDON TRUST NATURAL CON 3 MAQ - PRUDENCE"/>
    <s v="CONSUMIBLE"/>
    <s v="PRUDENCE"/>
    <n v="1"/>
    <n v="77.59"/>
  </r>
  <r>
    <x v="15"/>
    <s v="11/01/2026"/>
    <x v="5"/>
    <s v="7503050524265"/>
    <s v="He Plus 30ml - DUSA"/>
    <s v="CONSUMIBLE PROPIO"/>
    <s v="DUSA"/>
    <n v="2"/>
    <n v="862.06"/>
  </r>
  <r>
    <x v="15"/>
    <s v="11/01/2026"/>
    <x v="5"/>
    <s v="7503013378645"/>
    <s v="Liquid Love Pleasure 100ml - DUSA"/>
    <s v="CONSUMIBLE PROPIO"/>
    <s v="DUSA"/>
    <n v="2"/>
    <n v="1551.72"/>
  </r>
  <r>
    <x v="15"/>
    <s v="11/01/2026"/>
    <x v="5"/>
    <s v="7503024256154"/>
    <s v="Lubricante Body Surf Termico Cereza DUSA 60ml"/>
    <s v="CONSUMIBLE PROPIO"/>
    <s v="DUSA"/>
    <n v="1"/>
    <n v="387.93"/>
  </r>
  <r>
    <x v="15"/>
    <s v="11/01/2026"/>
    <x v="5"/>
    <s v="7503013378010"/>
    <s v="Rigidex 2 pzas - DUSA"/>
    <s v="CONSUMIBLE PROPIO"/>
    <s v="DUSA"/>
    <n v="4"/>
    <n v="1724.1299999999999"/>
  </r>
  <r>
    <x v="15"/>
    <s v="11/01/2026"/>
    <x v="5"/>
    <s v="819835020677"/>
    <s v="Sin City D5 - AVANT"/>
    <s v="JUGUETE"/>
    <s v="BLUSH"/>
    <n v="1"/>
    <n v="1448.28"/>
  </r>
  <r>
    <x v="15"/>
    <s v="11/01/2026"/>
    <x v="5"/>
    <s v="7503010217048"/>
    <s v="Vela para masaje rose - DUSA"/>
    <s v="CONSUMIBLE PROPIO"/>
    <s v="DUSA"/>
    <n v="1"/>
    <n v="241.38"/>
  </r>
  <r>
    <x v="15"/>
    <s v="11/01/2026"/>
    <x v="5"/>
    <s v="603912332117"/>
    <s v="VIBRADOR ANAL FANTASY VIBRATING THRUSTER"/>
    <s v="JUGUETE"/>
    <s v="PIPEDREAM"/>
    <n v="1"/>
    <n v="2038.79"/>
  </r>
  <r>
    <x v="15"/>
    <s v="12/01/2026"/>
    <x v="18"/>
    <s v="7350075029332"/>
    <s v="Enigma wave morado - LELO"/>
    <s v="JUGUETE"/>
    <s v="LELO"/>
    <n v="1"/>
    <n v="5862.07"/>
  </r>
  <r>
    <x v="15"/>
    <s v="12/01/2026"/>
    <x v="18"/>
    <s v="7503013378645"/>
    <s v="Liquid Love Pleasure 100ml - DUSA"/>
    <s v="CONSUMIBLE PROPIO"/>
    <s v="DUSA"/>
    <n v="1"/>
    <n v="775.86"/>
  </r>
  <r>
    <x v="15"/>
    <s v="12/01/2026"/>
    <x v="18"/>
    <s v="7503024256154"/>
    <s v="Lubricante Body Surf Termico Cereza DUSA 60ml"/>
    <s v="CONSUMIBLE PROPIO"/>
    <s v="DUSA"/>
    <n v="1"/>
    <n v="387.93"/>
  </r>
  <r>
    <x v="15"/>
    <s v="12/01/2026"/>
    <x v="18"/>
    <s v="827160100773"/>
    <s v="Lubricante original super concentrated 100 ml - PJUR"/>
    <s v="CONSUMIBLE"/>
    <s v="PJUR"/>
    <n v="1"/>
    <n v="775.86"/>
  </r>
  <r>
    <x v="15"/>
    <s v="12/01/2026"/>
    <x v="18"/>
    <s v="7503020596971"/>
    <s v="Orgasmik - DUSA"/>
    <s v="CONSUMIBLE PROPIO"/>
    <s v="DUSA"/>
    <n v="1"/>
    <n v="431.03"/>
  </r>
  <r>
    <x v="15"/>
    <s v="12/01/2026"/>
    <x v="18"/>
    <s v="7503050524258"/>
    <s v="Sensicool 30ml - DUSA"/>
    <s v="CONSUMIBLE PROPIO"/>
    <s v="DUSA"/>
    <n v="1"/>
    <n v="431.03"/>
  </r>
  <r>
    <x v="15"/>
    <s v="13/01/2026"/>
    <x v="18"/>
    <s v="7503030211021"/>
    <s v="Anillo desechable para pene Donut - CXO"/>
    <s v="JUGUETE PROPIO"/>
    <s v="CXO"/>
    <n v="1"/>
    <n v="34.479999999999997"/>
  </r>
  <r>
    <x v="15"/>
    <s v="13/01/2026"/>
    <x v="18"/>
    <s v="7503020420814"/>
    <s v="Bomba de vacio manual Noah - CXO"/>
    <s v="JUGUETE PROPIO"/>
    <s v="CXO"/>
    <n v="1"/>
    <n v="818.97"/>
  </r>
  <r>
    <x v="15"/>
    <s v="13/01/2026"/>
    <x v="18"/>
    <s v="7503032300993"/>
    <s v="Liquid Love Pleasure 30ml - DUSA"/>
    <s v="CONSUMIBLE PROPIO"/>
    <s v="DUSA"/>
    <n v="1"/>
    <n v="301.72000000000003"/>
  </r>
  <r>
    <x v="15"/>
    <s v="13/01/2026"/>
    <x v="18"/>
    <s v="7503013378645"/>
    <s v="Liquid Love Pleasure 100ml - DUSA"/>
    <s v="CONSUMIBLE PROPIO"/>
    <s v="DUSA"/>
    <n v="1"/>
    <n v="775.86"/>
  </r>
  <r>
    <x v="15"/>
    <s v="13/01/2026"/>
    <x v="18"/>
    <s v="827160112073"/>
    <s v="Lubricante Basic Silicone  100ml - PJUR"/>
    <s v="CONSUMIBLE"/>
    <s v="PJUR"/>
    <n v="1"/>
    <n v="620.69000000000005"/>
  </r>
  <r>
    <x v="15"/>
    <s v="13/01/2026"/>
    <x v="18"/>
    <s v="7503013378980"/>
    <s v="Lubricante Body Surf Termico Chicle DUSA 60ml"/>
    <s v="CONSUMIBLE PROPIO"/>
    <s v="DUSA"/>
    <n v="1"/>
    <n v="387.93"/>
  </r>
  <r>
    <x v="15"/>
    <s v="13/01/2026"/>
    <x v="18"/>
    <s v="SC258C01"/>
    <s v="Multiorgasmico dual con estimulador de clitoris 360 con 10 modos Dany - CXO"/>
    <s v="JUGUETE PROPIO"/>
    <s v="CXO"/>
    <n v="1"/>
    <n v="3017.24"/>
  </r>
  <r>
    <x v="15"/>
    <s v="13/01/2026"/>
    <x v="18"/>
    <s v="683609866521"/>
    <s v="Pinzas Para Cejas Rosa Pastel - BEAUTY CREATIONS"/>
    <s v="MODA"/>
    <s v="BEAUTY CREATIONS"/>
    <n v="1"/>
    <n v="43.1"/>
  </r>
  <r>
    <x v="15"/>
    <s v="13/01/2026"/>
    <x v="18"/>
    <s v="839289006904"/>
    <s v="Pivot - WE VIBE"/>
    <s v="JUGUETE"/>
    <s v="WE VIBE"/>
    <n v="1"/>
    <n v="3448.28"/>
  </r>
  <r>
    <x v="15"/>
    <s v="13/01/2026"/>
    <x v="18"/>
    <s v="4061504007496"/>
    <s v="Succionado con App Curvy 1+ - Satisfayer"/>
    <s v="JUGUETE"/>
    <s v="SATISFAYER"/>
    <n v="1"/>
    <n v="1810.34"/>
  </r>
  <r>
    <x v="15"/>
    <s v="13/01/2026"/>
    <x v="18"/>
    <s v="4251460622905"/>
    <s v="Sync O morado - WE VIBE"/>
    <s v="JUGUETE"/>
    <s v="WE VIBE"/>
    <n v="1"/>
    <n v="5172.41"/>
  </r>
  <r>
    <x v="15"/>
    <s v="13/01/2026"/>
    <x v="18"/>
    <s v="7503032300443"/>
    <s v="Zoe bala vibradora RETAIL - CXO"/>
    <s v="JUGUETE PROPIO"/>
    <s v="CXO"/>
    <n v="2"/>
    <n v="310.33999999999997"/>
  </r>
  <r>
    <x v="15"/>
    <s v="14/01/2026"/>
    <x v="18"/>
    <s v="7503043917142"/>
    <s v="Hank negro anillo vibrador - CXO"/>
    <s v="JUGUETE PROPIO"/>
    <s v="CXO"/>
    <n v="1"/>
    <n v="818.97"/>
  </r>
  <r>
    <x v="15"/>
    <s v="14/01/2026"/>
    <x v="18"/>
    <s v="7503043917012"/>
    <s v="Liquid Love Backdoor 30ml - DUSA"/>
    <s v="CONSUMIBLE PROPIO"/>
    <s v="DUSA"/>
    <n v="1"/>
    <n v="301.72000000000003"/>
  </r>
  <r>
    <x v="15"/>
    <s v="14/01/2026"/>
    <x v="18"/>
    <s v="7503013378652"/>
    <s v="Liquid Love Backdoor 100ml - DUSA"/>
    <s v="CONSUMIBLE PROPIO"/>
    <s v="DUSA"/>
    <n v="1"/>
    <n v="1077.5899999999999"/>
  </r>
  <r>
    <x v="15"/>
    <s v="14/01/2026"/>
    <x v="18"/>
    <s v="7503032300993"/>
    <s v="Liquid Love Pleasure 30ml - DUSA"/>
    <s v="CONSUMIBLE PROPIO"/>
    <s v="DUSA"/>
    <n v="2"/>
    <n v="603.44000000000005"/>
  </r>
  <r>
    <x v="15"/>
    <s v="14/01/2026"/>
    <x v="18"/>
    <s v="7503013378645"/>
    <s v="Liquid Love Pleasure 100ml - DUSA"/>
    <s v="CONSUMIBLE PROPIO"/>
    <s v="DUSA"/>
    <n v="2"/>
    <n v="1551.72"/>
  </r>
  <r>
    <x v="15"/>
    <s v="14/01/2026"/>
    <x v="18"/>
    <s v="7503023462914"/>
    <s v="ORAL SEX CREAM´S LIPS NUT 30 ML"/>
    <s v="CONSUMIBLE"/>
    <s v="FEEL LOVE"/>
    <n v="1"/>
    <n v="310.35000000000002"/>
  </r>
  <r>
    <x v="15"/>
    <s v="14/01/2026"/>
    <x v="18"/>
    <s v="7503050524258"/>
    <s v="Sensicool 30ml - DUSA"/>
    <s v="CONSUMIBLE PROPIO"/>
    <s v="DUSA"/>
    <n v="1"/>
    <n v="431.03"/>
  </r>
  <r>
    <x v="15"/>
    <s v="14/01/2026"/>
    <x v="18"/>
    <s v="7350075028571"/>
    <s v="Sila Cruise aqua - LELO"/>
    <s v="JUGUETE"/>
    <s v="LELO"/>
    <n v="1"/>
    <n v="4396.55"/>
  </r>
  <r>
    <x v="15"/>
    <s v="14/01/2026"/>
    <x v="18"/>
    <s v="7350075028564"/>
    <s v="Sila Cruise pink - LELO"/>
    <s v="JUGUETE"/>
    <s v="LELO"/>
    <n v="1"/>
    <n v="4396.55"/>
  </r>
  <r>
    <x v="15"/>
    <s v="14/01/2026"/>
    <x v="18"/>
    <s v="6959633105313"/>
    <s v="Vibrador de Prostata con Pulsaciones Iker Neo - SVAKOM"/>
    <s v="JUGUETE"/>
    <s v="SVAKOM"/>
    <n v="1"/>
    <n v="3879.31"/>
  </r>
  <r>
    <x v="15"/>
    <s v="14/01/2026"/>
    <x v="18"/>
    <s v="7503020104086"/>
    <s v="Vibrador y pulsador multiorgásmico con estimulador para clítoris Carola – CXO"/>
    <s v="JUGUETE PROPIO"/>
    <s v="CXO"/>
    <n v="1"/>
    <n v="2577.59"/>
  </r>
  <r>
    <x v="15"/>
    <s v="15/01/2026"/>
    <x v="18"/>
    <s v="7503013378102"/>
    <s v="Anastasia Gema de Colores M - CXO"/>
    <s v="JUGUETE PROPIO"/>
    <s v="CXO"/>
    <n v="1"/>
    <n v="456.9"/>
  </r>
  <r>
    <x v="15"/>
    <s v="15/01/2026"/>
    <x v="18"/>
    <s v="7503014914002"/>
    <s v="CAPSULAS MULTIORGASMICO AMO O-GEN"/>
    <s v="CONSUMIBLE"/>
    <s v="POWER MAN"/>
    <n v="1"/>
    <n v="431.04"/>
  </r>
  <r>
    <x v="15"/>
    <s v="15/01/2026"/>
    <x v="18"/>
    <s v="7503050226133"/>
    <s v="Conjunto Olivia con liguero - OLA MOU"/>
    <s v="LENCERIA PROPIA"/>
    <s v="OLA MOU"/>
    <n v="1"/>
    <n v="534.48"/>
  </r>
  <r>
    <x v="15"/>
    <s v="15/01/2026"/>
    <x v="18"/>
    <s v="6959633118795"/>
    <s v="Edeny - SVAKOM"/>
    <s v="JUGUETE"/>
    <s v="SVAKOM"/>
    <n v="1"/>
    <n v="3275.86"/>
  </r>
  <r>
    <x v="15"/>
    <s v="15/01/2026"/>
    <x v="18"/>
    <s v="7350075029288"/>
    <s v="HUGO 2 Remote Green - LELO"/>
    <s v="JUGUETE"/>
    <s v="LELO"/>
    <n v="1"/>
    <n v="5172.41"/>
  </r>
  <r>
    <x v="15"/>
    <s v="15/01/2026"/>
    <x v="18"/>
    <s v="7503032300993"/>
    <s v="Liquid Love Pleasure 30ml - DUSA"/>
    <s v="CONSUMIBLE PROPIO"/>
    <s v="DUSA"/>
    <n v="1"/>
    <n v="301.72000000000003"/>
  </r>
  <r>
    <x v="15"/>
    <s v="15/01/2026"/>
    <x v="18"/>
    <s v="7503013378645"/>
    <s v="Liquid Love Pleasure 100ml - DUSA"/>
    <s v="CONSUMIBLE PROPIO"/>
    <s v="DUSA"/>
    <n v="1"/>
    <n v="775.86"/>
  </r>
  <r>
    <x v="15"/>
    <s v="15/01/2026"/>
    <x v="18"/>
    <s v="7503013378010"/>
    <s v="Rigidex 2 pzas - DUSA"/>
    <s v="CONSUMIBLE PROPIO"/>
    <s v="DUSA"/>
    <n v="2"/>
    <n v="862.06"/>
  </r>
  <r>
    <x v="15"/>
    <s v="16/01/2026"/>
    <x v="5"/>
    <s v="7503013378102"/>
    <s v="Anastasia Gema de Colores M - CXO"/>
    <s v="JUGUETE PROPIO"/>
    <s v="CXO"/>
    <n v="1"/>
    <n v="456.9"/>
  </r>
  <r>
    <x v="15"/>
    <s v="16/01/2026"/>
    <x v="5"/>
    <s v="75030205968724"/>
    <s v="Funda texturizada transparente con bala vibradora  - CXO"/>
    <s v="JUGUETE PROPIO"/>
    <s v="CXO"/>
    <n v="1"/>
    <n v="474.14"/>
  </r>
  <r>
    <x v="15"/>
    <s v="16/01/2026"/>
    <x v="5"/>
    <s v="7503013378652"/>
    <s v="Liquid Love Backdoor 100ml - DUSA"/>
    <s v="CONSUMIBLE PROPIO"/>
    <s v="DUSA"/>
    <n v="1"/>
    <n v="1077.5899999999999"/>
  </r>
  <r>
    <x v="15"/>
    <s v="16/01/2026"/>
    <x v="5"/>
    <s v="7503013378645"/>
    <s v="Liquid Love Pleasure 100ml - DUSA"/>
    <s v="CONSUMIBLE PROPIO"/>
    <s v="DUSA"/>
    <n v="1"/>
    <n v="775.86"/>
  </r>
  <r>
    <x v="15"/>
    <s v="16/01/2026"/>
    <x v="5"/>
    <s v="7503013378980"/>
    <s v="Lubricante Body Surf Termico Chicle DUSA 60ml"/>
    <s v="CONSUMIBLE PROPIO"/>
    <s v="DUSA"/>
    <n v="1"/>
    <n v="387.93"/>
  </r>
  <r>
    <x v="15"/>
    <s v="16/01/2026"/>
    <x v="5"/>
    <s v="7503013378010"/>
    <s v="Rigidex 2 pzas - DUSA"/>
    <s v="CONSUMIBLE PROPIO"/>
    <s v="DUSA"/>
    <n v="1"/>
    <n v="431.03"/>
  </r>
  <r>
    <x v="15"/>
    <s v="17/01/2026"/>
    <x v="18"/>
    <s v="7503020111072"/>
    <s v="Anillo vibrador recargable con textura negra Hank - CXO"/>
    <s v="JUGUETE PROPIO"/>
    <s v="CXO"/>
    <n v="1"/>
    <n v="1267.24"/>
  </r>
  <r>
    <x v="15"/>
    <s v="17/01/2026"/>
    <x v="18"/>
    <s v="7503013378492"/>
    <s v="Clean Whisper 120ml - DUSA"/>
    <s v="CONSUMIBLE PROPIO"/>
    <s v="DUSA"/>
    <n v="1"/>
    <n v="301.72000000000003"/>
  </r>
  <r>
    <x v="15"/>
    <s v="17/01/2026"/>
    <x v="18"/>
    <s v="7503030207201"/>
    <s v="Funda semi realista para pene Rodolfo - CXO"/>
    <s v="JUGUETE PROPIO"/>
    <s v="CXO"/>
    <n v="1"/>
    <n v="1137.93"/>
  </r>
  <r>
    <x v="15"/>
    <s v="17/01/2026"/>
    <x v="18"/>
    <s v="6959633185476"/>
    <s v="Masturbador Hedy X Confidence – SVAKOM"/>
    <s v="JUGUETE"/>
    <s v="SVAKOM"/>
    <n v="1"/>
    <n v="181.03"/>
  </r>
  <r>
    <x v="15"/>
    <s v="17/01/2026"/>
    <x v="18"/>
    <s v="6959633189726"/>
    <s v="Masturbador Hedy X Control – SVAKOM"/>
    <s v="JUGUETE"/>
    <s v="SVAKOM"/>
    <n v="1"/>
    <n v="181.03"/>
  </r>
  <r>
    <x v="15"/>
    <s v="17/01/2026"/>
    <x v="18"/>
    <s v="7503030128202"/>
    <s v="Plug Anal con 10 modos de vibracion y rotacion 360 Beto - CXO"/>
    <s v="JUGUETE PROPIO"/>
    <s v="CXO"/>
    <n v="1"/>
    <n v="1577.59"/>
  </r>
  <r>
    <x v="15"/>
    <s v="18/01/2026"/>
    <x v="5"/>
    <s v="7502214980275"/>
    <s v="Condones sabor y aroma soda c/ 3 pzs - PRUDENCE"/>
    <s v="CONSUMIBLE"/>
    <s v="PRUDENCE"/>
    <n v="1"/>
    <n v="60.34"/>
  </r>
  <r>
    <x v="15"/>
    <s v="18/01/2026"/>
    <x v="5"/>
    <s v="7503013378652"/>
    <s v="Liquid Love Backdoor 100ml - DUSA"/>
    <s v="CONSUMIBLE PROPIO"/>
    <s v="DUSA"/>
    <n v="1"/>
    <n v="1077.5899999999999"/>
  </r>
  <r>
    <x v="15"/>
    <s v="18/01/2026"/>
    <x v="5"/>
    <s v="7503020596971"/>
    <s v="Orgasmik - DUSA"/>
    <s v="CONSUMIBLE PROPIO"/>
    <s v="DUSA"/>
    <n v="1"/>
    <n v="431.03"/>
  </r>
  <r>
    <x v="15"/>
    <s v="18/01/2026"/>
    <x v="5"/>
    <s v="7503013378690"/>
    <s v="Shumatsu 3 pzas - DUSA"/>
    <s v="CONSUMIBLE PROPIO"/>
    <s v="DUSA"/>
    <n v="2"/>
    <n v="1155.18"/>
  </r>
  <r>
    <x v="15"/>
    <s v="19/01/2026"/>
    <x v="18"/>
    <s v="7503013378652"/>
    <s v="Liquid Love Backdoor 100ml - DUSA"/>
    <s v="CONSUMIBLE PROPIO"/>
    <s v="DUSA"/>
    <n v="1"/>
    <n v="1077.5899999999999"/>
  </r>
  <r>
    <x v="15"/>
    <s v="19/01/2026"/>
    <x v="18"/>
    <s v="7503013378645"/>
    <s v="Liquid Love Pleasure 100ml - DUSA"/>
    <s v="CONSUMIBLE PROPIO"/>
    <s v="DUSA"/>
    <n v="1"/>
    <n v="775.86"/>
  </r>
  <r>
    <x v="15"/>
    <s v="19/01/2026"/>
    <x v="18"/>
    <s v="6970784913893"/>
    <s v="Multiorgasmico don doble estimulacion del punto G Lena - CXO"/>
    <s v="JUGUETE PROPIO"/>
    <s v="CXO"/>
    <n v="1"/>
    <n v="2672.41"/>
  </r>
  <r>
    <x v="15"/>
    <s v="19/01/2026"/>
    <x v="18"/>
    <s v="7503020310116"/>
    <s v="Panty vibrador con control remoto rosa Celi - CXO"/>
    <s v="JUGUETE PROPIO"/>
    <s v="CXO"/>
    <n v="1"/>
    <n v="1681.03"/>
  </r>
  <r>
    <x v="15"/>
    <s v="19/01/2026"/>
    <x v="18"/>
    <s v="7503050524258"/>
    <s v="Sensicool 30ml - DUSA"/>
    <s v="CONSUMIBLE PROPIO"/>
    <s v="DUSA"/>
    <n v="1"/>
    <n v="431.03"/>
  </r>
  <r>
    <x v="15"/>
    <s v="19/01/2026"/>
    <x v="18"/>
    <s v="7503020596063"/>
    <s v="Stallion Regenerador - DUSA"/>
    <s v="CONSUMIBLE PROPIO"/>
    <s v="DUSA"/>
    <n v="1"/>
    <n v="1293.0999999999999"/>
  </r>
  <r>
    <x v="15"/>
    <s v="19/01/2026"/>
    <x v="18"/>
    <s v="7503032300443"/>
    <s v="Zoe bala vibradora RETAIL - CXO"/>
    <s v="JUGUETE PROPIO"/>
    <s v="CXO"/>
    <n v="1"/>
    <n v="155.16999999999999"/>
  </r>
  <r>
    <x v="15"/>
    <s v="20/01/2026"/>
    <x v="2"/>
    <s v="7503043917036"/>
    <s v="Arnes universal de argolla negro - CXO"/>
    <s v="JUGUETE PROPIO"/>
    <s v="CXO"/>
    <n v="1"/>
    <n v="474.14"/>
  </r>
  <r>
    <x v="15"/>
    <s v="20/01/2026"/>
    <x v="2"/>
    <s v="7503020202213"/>
    <s v="Dildo realista con ventosa Nick - CXO"/>
    <s v="JUGUETE PROPIO"/>
    <s v="CXO"/>
    <n v="1"/>
    <n v="818.97"/>
  </r>
  <r>
    <x v="15"/>
    <s v="20/01/2026"/>
    <x v="2"/>
    <s v="7503013378645"/>
    <s v="Liquid Love Pleasure 100ml - DUSA"/>
    <s v="CONSUMIBLE PROPIO"/>
    <s v="DUSA"/>
    <n v="1"/>
    <n v="775.86"/>
  </r>
  <r>
    <x v="15"/>
    <s v="20/01/2026"/>
    <x v="2"/>
    <s v="7503013378980"/>
    <s v="Lubricante Body Surf Termico Chicle DUSA 60ml"/>
    <s v="CONSUMIBLE PROPIO"/>
    <s v="DUSA"/>
    <n v="1"/>
    <n v="387.93"/>
  </r>
  <r>
    <x v="15"/>
    <s v="20/01/2026"/>
    <x v="18"/>
    <s v="7503013378980"/>
    <s v="Lubricante Body Surf Termico Chicle DUSA 60ml"/>
    <s v="CONSUMIBLE PROPIO"/>
    <s v="DUSA"/>
    <n v="1"/>
    <n v="387.93"/>
  </r>
  <r>
    <x v="15"/>
    <s v="20/01/2026"/>
    <x v="18"/>
    <s v="7503013378690"/>
    <s v="Shumatsu 3 pzas - DUSA"/>
    <s v="CONSUMIBLE PROPIO"/>
    <s v="DUSA"/>
    <n v="2"/>
    <n v="1155.18"/>
  </r>
  <r>
    <x v="15"/>
    <s v="21/01/2026"/>
    <x v="18"/>
    <s v="7503020596971"/>
    <s v="Orgasmik - DUSA"/>
    <s v="CONSUMIBLE PROPIO"/>
    <s v="DUSA"/>
    <n v="1"/>
    <n v="431.03"/>
  </r>
  <r>
    <x v="15"/>
    <s v="21/01/2026"/>
    <x v="18"/>
    <s v="7503013378010"/>
    <s v="Rigidex 2 pzas - DUSA"/>
    <s v="CONSUMIBLE PROPIO"/>
    <s v="DUSA"/>
    <n v="1"/>
    <n v="431.03"/>
  </r>
  <r>
    <x v="15"/>
    <s v="21/01/2026"/>
    <x v="18"/>
    <s v="7503013378690"/>
    <s v="Shumatsu 3 pzas - DUSA"/>
    <s v="CONSUMIBLE PROPIO"/>
    <s v="DUSA"/>
    <n v="1"/>
    <n v="577.59"/>
  </r>
  <r>
    <x v="15"/>
    <s v="21/01/2026"/>
    <x v="18"/>
    <s v="7503032300443"/>
    <s v="Zoe bala vibradora RETAIL - CXO"/>
    <s v="JUGUETE PROPIO"/>
    <s v="CXO"/>
    <n v="3"/>
    <n v="465.52"/>
  </r>
  <r>
    <x v="15"/>
    <s v="22/01/2026"/>
    <x v="18"/>
    <s v="7503043917142"/>
    <s v="Hank negro anillo vibrador - CXO"/>
    <s v="JUGUETE PROPIO"/>
    <s v="CXO"/>
    <n v="1"/>
    <n v="818.97"/>
  </r>
  <r>
    <x v="15"/>
    <s v="22/01/2026"/>
    <x v="18"/>
    <s v="7503020596971"/>
    <s v="Orgasmik - DUSA"/>
    <s v="CONSUMIBLE PROPIO"/>
    <s v="DUSA"/>
    <n v="1"/>
    <n v="431.03"/>
  </r>
  <r>
    <x v="15"/>
    <s v="22/01/2026"/>
    <x v="18"/>
    <s v="7503013378690"/>
    <s v="Shumatsu 3 pzas - DUSA"/>
    <s v="CONSUMIBLE PROPIO"/>
    <s v="DUSA"/>
    <n v="2"/>
    <n v="1155.18"/>
  </r>
  <r>
    <x v="15"/>
    <s v="23/01/2026"/>
    <x v="18"/>
    <s v="7503030202035"/>
    <s v="Dildo con testiculos y ventosa Mr. Garcia - CXO"/>
    <s v="JUGUETE PROPIO"/>
    <s v="CXO"/>
    <n v="1"/>
    <n v="646.54999999999995"/>
  </r>
  <r>
    <x v="15"/>
    <s v="23/01/2026"/>
    <x v="18"/>
    <s v="7503013378645"/>
    <s v="Liquid Love Pleasure 100ml - DUSA"/>
    <s v="CONSUMIBLE PROPIO"/>
    <s v="DUSA"/>
    <n v="3"/>
    <n v="2327.58"/>
  </r>
  <r>
    <x v="15"/>
    <s v="23/01/2026"/>
    <x v="18"/>
    <s v="7503013378980"/>
    <s v="Lubricante Body Surf Termico Chicle DUSA 60ml"/>
    <s v="CONSUMIBLE PROPIO"/>
    <s v="DUSA"/>
    <n v="1"/>
    <n v="387.93"/>
  </r>
  <r>
    <x v="15"/>
    <s v="23/01/2026"/>
    <x v="18"/>
    <s v="6959633127964"/>
    <s v="Sam Neo - SVAKOM"/>
    <s v="JUGUETE"/>
    <s v="SVAKOM"/>
    <n v="1"/>
    <n v="3017.24"/>
  </r>
  <r>
    <x v="15"/>
    <s v="23/01/2026"/>
    <x v="18"/>
    <s v="7503013378690"/>
    <s v="Shumatsu 3 pzas - DUSA"/>
    <s v="CONSUMIBLE PROPIO"/>
    <s v="DUSA"/>
    <n v="1"/>
    <n v="577.59"/>
  </r>
  <r>
    <x v="15"/>
    <s v="23/01/2026"/>
    <x v="18"/>
    <s v="7503020596063"/>
    <s v="Stallion Regenerador - DUSA"/>
    <s v="CONSUMIBLE PROPIO"/>
    <s v="DUSA"/>
    <n v="1"/>
    <n v="1293.0999999999999"/>
  </r>
  <r>
    <x v="15"/>
    <s v="23/01/2026"/>
    <x v="18"/>
    <s v="7503020104212"/>
    <s v="Vibrador multiorgasmico con aleta estimuladora Megan - CXO"/>
    <s v="JUGUETE PROPIO"/>
    <s v="CXO"/>
    <n v="1"/>
    <n v="2413.79"/>
  </r>
  <r>
    <x v="15"/>
    <s v="24/01/2026"/>
    <x v="18"/>
    <s v="7503020111072"/>
    <s v="Anillo vibrador recargable con textura negra Hank - CXO"/>
    <s v="JUGUETE PROPIO"/>
    <s v="CXO"/>
    <n v="1"/>
    <n v="1267.24"/>
  </r>
  <r>
    <x v="15"/>
    <s v="24/01/2026"/>
    <x v="18"/>
    <s v="7503030215199"/>
    <s v="Arnes para doble penetracion - CXO"/>
    <s v="JUGUETE PROPIO"/>
    <s v="CXO"/>
    <n v="1"/>
    <n v="1422.41"/>
  </r>
  <r>
    <x v="15"/>
    <s v="24/01/2026"/>
    <x v="18"/>
    <s v="BARSKN001"/>
    <s v="Bombas de baño olor cereza - BARBIE"/>
    <s v="SKINCARE"/>
    <s v="BARBIE"/>
    <n v="1"/>
    <n v="413.79"/>
  </r>
  <r>
    <x v="15"/>
    <s v="24/01/2026"/>
    <x v="18"/>
    <s v="7503014914002"/>
    <s v="CAPSULAS MULTIORGASMICO AMO O-GEN"/>
    <s v="CONSUMIBLE"/>
    <s v="POWER MAN"/>
    <n v="1"/>
    <n v="431.04"/>
  </r>
  <r>
    <x v="15"/>
    <s v="24/01/2026"/>
    <x v="18"/>
    <s v="7503013378492"/>
    <s v="Clean Whisper 120ml - DUSA"/>
    <s v="CONSUMIBLE PROPIO"/>
    <s v="DUSA"/>
    <n v="1"/>
    <n v="301.72000000000003"/>
  </r>
  <r>
    <x v="15"/>
    <s v="24/01/2026"/>
    <x v="18"/>
    <s v="75080471"/>
    <s v="Dulces Garganta Profunda 2 piezas Sabor Uva - SXO"/>
    <s v="CONSUMIBLE"/>
    <s v="SXO"/>
    <n v="1"/>
    <n v="120.69"/>
  </r>
  <r>
    <x v="15"/>
    <s v="24/01/2026"/>
    <x v="18"/>
    <s v="603912120042"/>
    <s v="Happy Top Tickler funda - PIPEDREAM"/>
    <s v="JUGUETE"/>
    <s v="PIPEDREAM"/>
    <n v="2"/>
    <n v="689.66"/>
  </r>
  <r>
    <x v="15"/>
    <s v="24/01/2026"/>
    <x v="18"/>
    <s v="7503013378652"/>
    <s v="Liquid Love Backdoor 100ml - DUSA"/>
    <s v="CONSUMIBLE PROPIO"/>
    <s v="DUSA"/>
    <n v="1"/>
    <n v="1077.5899999999999"/>
  </r>
  <r>
    <x v="15"/>
    <s v="24/01/2026"/>
    <x v="18"/>
    <s v="7503013378645"/>
    <s v="Liquid Love Pleasure 100ml - DUSA"/>
    <s v="CONSUMIBLE PROPIO"/>
    <s v="DUSA"/>
    <n v="1"/>
    <n v="775.86"/>
  </r>
  <r>
    <x v="15"/>
    <s v="24/01/2026"/>
    <x v="18"/>
    <s v="7503013378980"/>
    <s v="Lubricante Body Surf Termico Chicle DUSA 60ml"/>
    <s v="CONSUMIBLE PROPIO"/>
    <s v="DUSA"/>
    <n v="2"/>
    <n v="775.86"/>
  </r>
  <r>
    <x v="15"/>
    <s v="24/01/2026"/>
    <x v="18"/>
    <s v="7503020596957"/>
    <s v="Shot Shumatsu Fun Hombre - DUSA"/>
    <s v="CONSUMIBLE PROPIO"/>
    <s v="DUSA"/>
    <n v="1"/>
    <n v="172.41"/>
  </r>
  <r>
    <x v="15"/>
    <s v="24/01/2026"/>
    <x v="18"/>
    <s v="7503024256192"/>
    <s v="Shot Shumatsu Fun Mujer - DUSA"/>
    <s v="CONSUMIBLE PROPIO"/>
    <s v="DUSA"/>
    <n v="1"/>
    <n v="172.41"/>
  </r>
  <r>
    <x v="15"/>
    <s v="24/01/2026"/>
    <x v="18"/>
    <s v="7503013378690"/>
    <s v="Shumatsu 3 pzas - DUSA"/>
    <s v="CONSUMIBLE PROPIO"/>
    <s v="DUSA"/>
    <n v="2"/>
    <n v="1155.18"/>
  </r>
  <r>
    <x v="15"/>
    <s v="24/01/2026"/>
    <x v="18"/>
    <s v="4630017971008"/>
    <s v="Titan gel original - TITAN"/>
    <s v="CONSUMIBLE"/>
    <s v="TITAN"/>
    <n v="2"/>
    <n v="1034.48"/>
  </r>
  <r>
    <x v="15"/>
    <s v="24/01/2026"/>
    <x v="18"/>
    <s v="7503020104076"/>
    <s v="Vibrador multiorgásmico con succión y estimulación de punto G Lulu - CXO"/>
    <s v="JUGUETE PROPIO"/>
    <s v="CXO"/>
    <n v="1"/>
    <n v="2120.69"/>
  </r>
  <r>
    <x v="15"/>
    <s v="25/01/2026"/>
    <x v="5"/>
    <s v="7503020420814"/>
    <s v="Bomba de vacio manual Noah - CXO"/>
    <s v="JUGUETE PROPIO"/>
    <s v="CXO"/>
    <n v="1"/>
    <n v="818.97"/>
  </r>
  <r>
    <x v="15"/>
    <s v="25/01/2026"/>
    <x v="5"/>
    <s v="813686021326"/>
    <s v="Com azul - DAME"/>
    <s v="JUGUETE"/>
    <s v="DAME"/>
    <n v="1"/>
    <n v="1810.34"/>
  </r>
  <r>
    <x v="15"/>
    <s v="25/01/2026"/>
    <x v="5"/>
    <s v="7503013378904"/>
    <s v="Dildo Mr. Hernandez - CXO"/>
    <s v="JUGUETE PROPIO"/>
    <s v="CXO"/>
    <n v="1"/>
    <n v="517.24"/>
  </r>
  <r>
    <x v="15"/>
    <s v="25/01/2026"/>
    <x v="5"/>
    <s v="7503013378645"/>
    <s v="Liquid Love Pleasure 100ml - DUSA"/>
    <s v="CONSUMIBLE PROPIO"/>
    <s v="DUSA"/>
    <n v="1"/>
    <n v="775.86"/>
  </r>
  <r>
    <x v="15"/>
    <s v="25/01/2026"/>
    <x v="5"/>
    <s v="7503020310116"/>
    <s v="Panty vibrador con control remoto rosa Celi - CXO"/>
    <s v="JUGUETE PROPIO"/>
    <s v="CXO"/>
    <n v="1"/>
    <n v="1681.03"/>
  </r>
  <r>
    <x v="15"/>
    <s v="25/01/2026"/>
    <x v="5"/>
    <s v="7503030128202"/>
    <s v="Plug Anal con 10 modos de vibracion y rotacion 360 Beto - CXO"/>
    <s v="JUGUETE PROPIO"/>
    <s v="CXO"/>
    <n v="1"/>
    <n v="1577.59"/>
  </r>
  <r>
    <x v="15"/>
    <s v="25/01/2026"/>
    <x v="5"/>
    <s v="782421083922"/>
    <s v="Sol pulsador beige - RITUAL"/>
    <s v="JUGUETE"/>
    <s v="RITUAL"/>
    <n v="1"/>
    <n v="1637.93"/>
  </r>
  <r>
    <x v="15"/>
    <s v="26/01/2026"/>
    <x v="18"/>
    <s v="7503043917081"/>
    <s v="Blade rosa anillo vibrador - CXO"/>
    <s v="JUGUETE PROPIO"/>
    <s v="CXO"/>
    <n v="2"/>
    <n v="163.80000000000001"/>
  </r>
  <r>
    <x v="15"/>
    <s v="26/01/2026"/>
    <x v="18"/>
    <s v="7503050226138"/>
    <s v="Body Abri - OLA MOU"/>
    <s v="LENCERIA PROPIA"/>
    <s v="OLA MOU"/>
    <n v="1"/>
    <n v="465.52"/>
  </r>
  <r>
    <x v="15"/>
    <s v="26/01/2026"/>
    <x v="18"/>
    <s v="7503030202035"/>
    <s v="Dildo con testiculos y ventosa Mr. Garcia - CXO"/>
    <s v="JUGUETE PROPIO"/>
    <s v="CXO"/>
    <n v="1"/>
    <n v="646.54999999999995"/>
  </r>
  <r>
    <x v="15"/>
    <s v="26/01/2026"/>
    <x v="18"/>
    <s v="7503032300993"/>
    <s v="Liquid Love Pleasure 30ml - DUSA"/>
    <s v="CONSUMIBLE PROPIO"/>
    <s v="DUSA"/>
    <n v="1"/>
    <n v="301.72000000000003"/>
  </r>
  <r>
    <x v="15"/>
    <s v="27/01/2026"/>
    <x v="5"/>
    <s v="7503013378645"/>
    <s v="Liquid Love Pleasure 100ml - DUSA"/>
    <s v="CONSUMIBLE PROPIO"/>
    <s v="DUSA"/>
    <n v="1"/>
    <n v="775.86"/>
  </r>
  <r>
    <x v="15"/>
    <s v="27/01/2026"/>
    <x v="5"/>
    <s v="7503050524241"/>
    <s v="Orgasmik 30ml - DUSA"/>
    <s v="CONSUMIBLE PROPIO"/>
    <s v="DUSA"/>
    <n v="1"/>
    <n v="431.03"/>
  </r>
  <r>
    <x v="15"/>
    <s v="27/01/2026"/>
    <x v="5"/>
    <s v="7503013378690"/>
    <s v="Shumatsu 3 pzas - DUSA"/>
    <s v="CONSUMIBLE PROPIO"/>
    <s v="DUSA"/>
    <n v="1"/>
    <n v="577.59"/>
  </r>
  <r>
    <x v="15"/>
    <s v="28/01/2026"/>
    <x v="18"/>
    <s v="ENFOLA0027719"/>
    <s v="Disfraz Enfermera - OLA MOU"/>
    <s v="LENCERIA PROPIA"/>
    <s v="OLA MOU"/>
    <n v="1"/>
    <n v="508.62"/>
  </r>
  <r>
    <x v="15"/>
    <s v="29/01/2026"/>
    <x v="1"/>
    <s v="4251460615655"/>
    <s v="Bond Charcoal Black - WE VIBE"/>
    <s v="JUGUETE"/>
    <s v="WE VIBE"/>
    <n v="1"/>
    <n v="4137.93"/>
  </r>
  <r>
    <x v="15"/>
    <s v="29/01/2026"/>
    <x v="1"/>
    <s v="7503014914002"/>
    <s v="CAPSULAS MULTIORGASMICO AMO O-GEN"/>
    <s v="CONSUMIBLE"/>
    <s v="POWER MAN"/>
    <n v="2"/>
    <n v="862.08"/>
  </r>
  <r>
    <x v="15"/>
    <s v="29/01/2026"/>
    <x v="1"/>
    <s v="7503043917012"/>
    <s v="Liquid Love Backdoor 30ml - DUSA"/>
    <s v="CONSUMIBLE PROPIO"/>
    <s v="DUSA"/>
    <n v="1"/>
    <n v="301.72000000000003"/>
  </r>
  <r>
    <x v="15"/>
    <s v="29/01/2026"/>
    <x v="1"/>
    <s v="7503013378645"/>
    <s v="Liquid Love Pleasure 100ml - DUSA"/>
    <s v="CONSUMIBLE PROPIO"/>
    <s v="DUSA"/>
    <n v="1"/>
    <n v="775.86"/>
  </r>
  <r>
    <x v="15"/>
    <s v="29/01/2026"/>
    <x v="1"/>
    <s v="6959633185476"/>
    <s v="Masturbador Hedy X Confidence – SVAKOM"/>
    <s v="JUGUETE"/>
    <s v="SVAKOM"/>
    <n v="1"/>
    <n v="181.03"/>
  </r>
  <r>
    <x v="15"/>
    <s v="29/01/2026"/>
    <x v="1"/>
    <s v="6959633189726"/>
    <s v="Masturbador Hedy X Control – SVAKOM"/>
    <s v="JUGUETE"/>
    <s v="SVAKOM"/>
    <n v="1"/>
    <n v="181.03"/>
  </r>
  <r>
    <x v="15"/>
    <s v="29/01/2026"/>
    <x v="1"/>
    <s v="6959633146972"/>
    <s v="Masturbador Hedy X Experience – SVAKOM"/>
    <s v="JUGUETE"/>
    <s v="SVAKOM"/>
    <n v="1"/>
    <n v="181.03"/>
  </r>
  <r>
    <x v="15"/>
    <s v="29/01/2026"/>
    <x v="1"/>
    <s v="6959633185940"/>
    <s v="Masturbador Hedy X Reaction – SVAKOM"/>
    <s v="JUGUETE"/>
    <s v="SVAKOM"/>
    <n v="1"/>
    <n v="181.03"/>
  </r>
  <r>
    <x v="15"/>
    <s v="29/01/2026"/>
    <x v="1"/>
    <s v="6959633183120"/>
    <s v="Masturbador Hedy X Speed – SVAKOM"/>
    <s v="JUGUETE"/>
    <s v="SVAKOM"/>
    <n v="1"/>
    <n v="181.03"/>
  </r>
  <r>
    <x v="15"/>
    <s v="29/01/2026"/>
    <x v="1"/>
    <s v="7503013378690"/>
    <s v="Shumatsu 3 pzas - DUSA"/>
    <s v="CONSUMIBLE PROPIO"/>
    <s v="DUSA"/>
    <n v="1"/>
    <n v="577.59"/>
  </r>
  <r>
    <x v="15"/>
    <s v="29/01/2026"/>
    <x v="1"/>
    <s v="7350075028632"/>
    <s v="Tiani Harmony Black -LELO"/>
    <s v="JUGUETE"/>
    <s v="LELO"/>
    <n v="1"/>
    <n v="5172.41"/>
  </r>
  <r>
    <x v="15"/>
    <s v="29/01/2026"/>
    <x v="1"/>
    <s v="4630017971008"/>
    <s v="Titan gel original - TITAN"/>
    <s v="CONSUMIBLE"/>
    <s v="TITAN"/>
    <n v="1"/>
    <n v="517.24"/>
  </r>
  <r>
    <x v="15"/>
    <s v="29/01/2026"/>
    <x v="1"/>
    <s v="7503010217048"/>
    <s v="Vela para masaje rose - DUSA"/>
    <s v="CONSUMIBLE PROPIO"/>
    <s v="DUSA"/>
    <n v="1"/>
    <n v="241.38"/>
  </r>
  <r>
    <x v="15"/>
    <s v="30/01/2026"/>
    <x v="18"/>
    <s v="7503043917081"/>
    <s v="Blade rosa anillo vibrador - CXO"/>
    <s v="JUGUETE PROPIO"/>
    <s v="CXO"/>
    <n v="2"/>
    <n v="163.80000000000001"/>
  </r>
  <r>
    <x v="15"/>
    <s v="30/01/2026"/>
    <x v="18"/>
    <s v="7503013378652"/>
    <s v="Liquid Love Backdoor 100ml - DUSA"/>
    <s v="CONSUMIBLE PROPIO"/>
    <s v="DUSA"/>
    <n v="1"/>
    <n v="1077.5899999999999"/>
  </r>
  <r>
    <x v="15"/>
    <s v="30/01/2026"/>
    <x v="18"/>
    <s v="827160112073"/>
    <s v="Lubricante Basic Silicone  100ml - PJUR"/>
    <s v="CONSUMIBLE"/>
    <s v="PJUR"/>
    <n v="1"/>
    <n v="620.69000000000005"/>
  </r>
  <r>
    <x v="15"/>
    <s v="30/01/2026"/>
    <x v="18"/>
    <s v="7503032300443"/>
    <s v="Zoe bala vibradora RETAIL - CXO"/>
    <s v="JUGUETE PROPIO"/>
    <s v="CXO"/>
    <n v="2"/>
    <n v="310.33999999999997"/>
  </r>
  <r>
    <x v="15"/>
    <s v="31/01/2026"/>
    <x v="18"/>
    <s v="7503043917081"/>
    <s v="Blade rosa anillo vibrador - CXO"/>
    <s v="JUGUETE PROPIO"/>
    <s v="CXO"/>
    <n v="1"/>
    <n v="81.900000000000006"/>
  </r>
  <r>
    <x v="15"/>
    <s v="31/01/2026"/>
    <x v="18"/>
    <s v="7503050226135"/>
    <s v="Body Julia - OLA MOU"/>
    <s v="LENCERIA PROPIA"/>
    <s v="OLA MOU"/>
    <n v="1"/>
    <n v="517.24"/>
  </r>
  <r>
    <x v="15"/>
    <s v="31/01/2026"/>
    <x v="18"/>
    <s v="7503014914002"/>
    <s v="CAPSULAS MULTIORGASMICO AMO O-GEN"/>
    <s v="CONSUMIBLE"/>
    <s v="POWER MAN"/>
    <n v="2"/>
    <n v="862.08"/>
  </r>
  <r>
    <x v="15"/>
    <s v="31/01/2026"/>
    <x v="18"/>
    <s v="ROMOLA00262FY"/>
    <s v="Conjunto Romi - OLA MOU"/>
    <s v="LENCERIA PROPIA"/>
    <s v="OLA MOU"/>
    <n v="1"/>
    <n v="560.34"/>
  </r>
  <r>
    <x v="15"/>
    <s v="31/01/2026"/>
    <x v="18"/>
    <s v="7503020202213"/>
    <s v="Dildo realista con ventosa Nick - CXO"/>
    <s v="JUGUETE PROPIO"/>
    <s v="CXO"/>
    <n v="1"/>
    <n v="818.97"/>
  </r>
  <r>
    <x v="15"/>
    <s v="31/01/2026"/>
    <x v="18"/>
    <s v="6959633166963"/>
    <s v="Ella Neo rojo- SVAKOM"/>
    <s v="JUGUETE"/>
    <s v="SVAKOM"/>
    <n v="1"/>
    <n v="3017.24"/>
  </r>
  <r>
    <x v="15"/>
    <s v="31/01/2026"/>
    <x v="18"/>
    <s v="7503043917012"/>
    <s v="Liquid Love Backdoor 30ml - DUSA"/>
    <s v="CONSUMIBLE PROPIO"/>
    <s v="DUSA"/>
    <n v="1"/>
    <n v="301.72000000000003"/>
  </r>
  <r>
    <x v="15"/>
    <s v="31/01/2026"/>
    <x v="18"/>
    <s v="7503032300993"/>
    <s v="Liquid Love Pleasure 30ml - DUSA"/>
    <s v="CONSUMIBLE PROPIO"/>
    <s v="DUSA"/>
    <n v="1"/>
    <n v="301.72000000000003"/>
  </r>
  <r>
    <x v="15"/>
    <s v="31/01/2026"/>
    <x v="18"/>
    <s v="827160112073"/>
    <s v="Lubricante Basic Silicone  100ml - PJUR"/>
    <s v="CONSUMIBLE"/>
    <s v="PJUR"/>
    <n v="1"/>
    <n v="620.69000000000005"/>
  </r>
  <r>
    <x v="15"/>
    <s v="31/01/2026"/>
    <x v="18"/>
    <s v="7503050524241"/>
    <s v="Orgasmik 30ml - DUSA"/>
    <s v="CONSUMIBLE PROPIO"/>
    <s v="DUSA"/>
    <n v="2"/>
    <n v="862.06"/>
  </r>
  <r>
    <x v="15"/>
    <s v="31/01/2026"/>
    <x v="18"/>
    <s v="7503013378690"/>
    <s v="Shumatsu 3 pzas - DUSA"/>
    <s v="CONSUMIBLE PROPIO"/>
    <s v="DUSA"/>
    <n v="4"/>
    <n v="2310.36"/>
  </r>
  <r>
    <x v="15"/>
    <s v="31/01/2026"/>
    <x v="18"/>
    <s v="7350075028571"/>
    <s v="Sila Cruise aqua - LELO"/>
    <s v="JUGUETE"/>
    <s v="LELO"/>
    <n v="1"/>
    <n v="4396.55"/>
  </r>
  <r>
    <x v="15"/>
    <s v="31/01/2026"/>
    <x v="18"/>
    <s v="7350075028588"/>
    <s v="Sila Cruise lilac - LELO"/>
    <s v="JUGUETE"/>
    <s v="LELO"/>
    <n v="1"/>
    <n v="5086.21"/>
  </r>
  <r>
    <x v="15"/>
    <s v="31/01/2026"/>
    <x v="18"/>
    <s v="7503020596063"/>
    <s v="Stallion Regenerador - DUSA"/>
    <s v="CONSUMIBLE PROPIO"/>
    <s v="DUSA"/>
    <n v="1"/>
    <n v="1293.0999999999999"/>
  </r>
  <r>
    <x v="15"/>
    <s v="31/01/2026"/>
    <x v="18"/>
    <s v="4061504007533"/>
    <s v="Succionador con App Love Triangle - Satisfayer"/>
    <s v="JUGUETE"/>
    <s v="SATISFAYER"/>
    <n v="1"/>
    <n v="1465.52"/>
  </r>
  <r>
    <x v="15"/>
    <s v="31/01/2026"/>
    <x v="18"/>
    <s v="4061504001197"/>
    <s v="Vibrador Secret Affair - Satisfayer"/>
    <s v="JUGUETE"/>
    <s v="SATISFAYER"/>
    <n v="1"/>
    <n v="1120.69"/>
  </r>
  <r>
    <x v="15"/>
    <s v="31/01/2026"/>
    <x v="18"/>
    <s v="7503032300443"/>
    <s v="Zoe bala vibradora RETAIL - CXO"/>
    <s v="JUGUETE PROPIO"/>
    <s v="CXO"/>
    <n v="1"/>
    <n v="155.16999999999999"/>
  </r>
  <r>
    <x v="16"/>
    <s v="02/01/2026"/>
    <x v="19"/>
    <s v="7503026484685"/>
    <s v="Aceite térmico vainilla 60ml - FEEL LOVE"/>
    <s v="CONSUMIBLE"/>
    <s v="FEEL LOVE"/>
    <n v="1"/>
    <n v="327.58999999999997"/>
  </r>
  <r>
    <x v="16"/>
    <s v="02/01/2026"/>
    <x v="19"/>
    <s v="7503014914002"/>
    <s v="CAPSULAS MULTIORGASMICO AMO O-GEN"/>
    <s v="CONSUMIBLE"/>
    <s v="POWER MAN"/>
    <n v="1"/>
    <n v="431.04"/>
  </r>
  <r>
    <x v="16"/>
    <s v="02/01/2026"/>
    <x v="19"/>
    <s v="7500464543059"/>
    <s v="Dildo Realista con Ventosa 15.5cms Domi CXO"/>
    <s v="JUGUETE PROPIO"/>
    <s v="CXO"/>
    <n v="1"/>
    <n v="818.97"/>
  </r>
  <r>
    <x v="16"/>
    <s v="02/01/2026"/>
    <x v="19"/>
    <s v="7503050524265"/>
    <s v="He Plus 30ml - DUSA"/>
    <s v="CONSUMIBLE PROPIO"/>
    <s v="DUSA"/>
    <n v="1"/>
    <n v="431.03"/>
  </r>
  <r>
    <x v="16"/>
    <s v="02/01/2026"/>
    <x v="19"/>
    <s v="7503043917005"/>
    <s v="Liquid Love Clear 30ml - DUSA"/>
    <s v="CONSUMIBLE PROPIO"/>
    <s v="DUSA"/>
    <n v="2"/>
    <n v="603.44000000000005"/>
  </r>
  <r>
    <x v="16"/>
    <s v="02/01/2026"/>
    <x v="19"/>
    <s v="7503032300993"/>
    <s v="Liquid Love Pleasure 30ml - DUSA"/>
    <s v="CONSUMIBLE PROPIO"/>
    <s v="DUSA"/>
    <n v="1"/>
    <n v="301.72000000000003"/>
  </r>
  <r>
    <x v="16"/>
    <s v="02/01/2026"/>
    <x v="19"/>
    <s v="7503013378980"/>
    <s v="Lubricante Body Surf Termico Chicle DUSA 60ml"/>
    <s v="CONSUMIBLE PROPIO"/>
    <s v="DUSA"/>
    <n v="1"/>
    <n v="387.93"/>
  </r>
  <r>
    <x v="16"/>
    <s v="02/01/2026"/>
    <x v="19"/>
    <s v="7503013378010"/>
    <s v="Rigidex 2 pzas - DUSA"/>
    <s v="CONSUMIBLE PROPIO"/>
    <s v="DUSA"/>
    <n v="3"/>
    <n v="1293.0899999999999"/>
  </r>
  <r>
    <x v="16"/>
    <s v="03/01/2026"/>
    <x v="1"/>
    <s v="7503030102034"/>
    <s v="Dildo vibrador con control Anthony - CXO"/>
    <s v="JUGUETE PROPIO"/>
    <s v="CXO"/>
    <n v="1"/>
    <n v="2112.0700000000002"/>
  </r>
  <r>
    <x v="16"/>
    <s v="03/01/2026"/>
    <x v="1"/>
    <s v="7503013378645"/>
    <s v="Liquid Love Pleasure 100ml - DUSA"/>
    <s v="CONSUMIBLE PROPIO"/>
    <s v="DUSA"/>
    <n v="1"/>
    <n v="775.86"/>
  </r>
  <r>
    <x v="16"/>
    <s v="03/01/2026"/>
    <x v="1"/>
    <s v="7503013378980"/>
    <s v="Lubricante Body Surf Termico Chicle DUSA 60ml"/>
    <s v="CONSUMIBLE PROPIO"/>
    <s v="DUSA"/>
    <n v="1"/>
    <n v="387.93"/>
  </r>
  <r>
    <x v="16"/>
    <s v="03/01/2026"/>
    <x v="1"/>
    <s v="6959633185940"/>
    <s v="Masturbador Hedy X Reaction – SVAKOM"/>
    <s v="JUGUETE"/>
    <s v="SVAKOM"/>
    <n v="1"/>
    <n v="181.03"/>
  </r>
  <r>
    <x v="16"/>
    <s v="03/01/2026"/>
    <x v="1"/>
    <s v="4061504007496"/>
    <s v="Succionado con App Curvy 1+ - Satisfayer"/>
    <s v="JUGUETE"/>
    <s v="SATISFAYER"/>
    <n v="1"/>
    <n v="1810.34"/>
  </r>
  <r>
    <x v="16"/>
    <s v="04/01/2026"/>
    <x v="19"/>
    <s v="7503032300887"/>
    <s v="Anahi L - CXO"/>
    <s v="JUGUETE PROPIO"/>
    <s v="CXO"/>
    <n v="1"/>
    <n v="521.54999999999995"/>
  </r>
  <r>
    <x v="16"/>
    <s v="04/01/2026"/>
    <x v="19"/>
    <s v="7503043917081"/>
    <s v="Blade rosa anillo vibrador - CXO"/>
    <s v="JUGUETE PROPIO"/>
    <s v="CXO"/>
    <n v="1"/>
    <n v="81.900000000000006"/>
  </r>
  <r>
    <x v="16"/>
    <s v="04/01/2026"/>
    <x v="19"/>
    <s v="ACG0976SV0WB"/>
    <s v="Dildo Vibrador con Impulsor Estimulador de Clítoris Conny - CXO"/>
    <s v="JUGUETE PROPIO"/>
    <s v="CXO"/>
    <n v="1"/>
    <n v="2198.2800000000002"/>
  </r>
  <r>
    <x v="16"/>
    <s v="04/01/2026"/>
    <x v="19"/>
    <s v="7503050524340"/>
    <s v="Ducha Felix S - CXO"/>
    <s v="JUGUETE PROPIO"/>
    <s v="CXO"/>
    <n v="1"/>
    <n v="612.07000000000005"/>
  </r>
  <r>
    <x v="16"/>
    <s v="04/01/2026"/>
    <x v="19"/>
    <s v="7503043917005"/>
    <s v="Liquid Love Clear 30ml - DUSA"/>
    <s v="CONSUMIBLE PROPIO"/>
    <s v="DUSA"/>
    <n v="2"/>
    <n v="603.44000000000005"/>
  </r>
  <r>
    <x v="16"/>
    <s v="04/01/2026"/>
    <x v="19"/>
    <s v="7503024256635"/>
    <s v="Olive  6.8&quot; rosa - CXO"/>
    <s v="JUGUETE PROPIO"/>
    <s v="CXO"/>
    <n v="1"/>
    <n v="603.45000000000005"/>
  </r>
  <r>
    <x v="16"/>
    <s v="04/01/2026"/>
    <x v="19"/>
    <s v="6959633156094"/>
    <s v="Robin - SVAKOM"/>
    <s v="JUGUETE"/>
    <s v="SVAKOM"/>
    <n v="1"/>
    <n v="1318.97"/>
  </r>
  <r>
    <x v="16"/>
    <s v="05/01/2026"/>
    <x v="19"/>
    <s v="7503030118033"/>
    <s v="Kit vibrador + estimulante para clitoris Lau - CXO"/>
    <s v="JUGUETE PROPIO"/>
    <s v="CXO"/>
    <n v="1"/>
    <n v="1706.9"/>
  </r>
  <r>
    <x v="16"/>
    <s v="05/01/2026"/>
    <x v="19"/>
    <s v="7503032300993"/>
    <s v="Liquid Love Pleasure 30ml - DUSA"/>
    <s v="CONSUMIBLE PROPIO"/>
    <s v="DUSA"/>
    <n v="1"/>
    <n v="301.72000000000003"/>
  </r>
  <r>
    <x v="16"/>
    <s v="05/01/2026"/>
    <x v="19"/>
    <s v="7503024256635"/>
    <s v="Olive  6.8&quot; rosa - CXO"/>
    <s v="JUGUETE PROPIO"/>
    <s v="CXO"/>
    <n v="1"/>
    <n v="603.45000000000005"/>
  </r>
  <r>
    <x v="16"/>
    <s v="05/01/2026"/>
    <x v="19"/>
    <s v="7503020596957"/>
    <s v="Shot Shumatsu Fun Hombre - DUSA"/>
    <s v="CONSUMIBLE PROPIO"/>
    <s v="DUSA"/>
    <n v="1"/>
    <n v="172.41"/>
  </r>
  <r>
    <x v="16"/>
    <s v="05/01/2026"/>
    <x v="19"/>
    <s v="7503024256192"/>
    <s v="Shot Shumatsu Fun Mujer - DUSA"/>
    <s v="CONSUMIBLE PROPIO"/>
    <s v="DUSA"/>
    <n v="1"/>
    <n v="172.41"/>
  </r>
  <r>
    <x v="16"/>
    <s v="05/01/2026"/>
    <x v="19"/>
    <s v="7503020596063"/>
    <s v="Stallion Regenerador - DUSA"/>
    <s v="CONSUMIBLE PROPIO"/>
    <s v="DUSA"/>
    <n v="1"/>
    <n v="1293.0999999999999"/>
  </r>
  <r>
    <x v="16"/>
    <s v="05/01/2026"/>
    <x v="19"/>
    <s v="7503032300443"/>
    <s v="Zoe bala vibradora RETAIL - CXO"/>
    <s v="JUGUETE PROPIO"/>
    <s v="CXO"/>
    <n v="3"/>
    <n v="465.52"/>
  </r>
  <r>
    <x v="16"/>
    <s v="06/01/2026"/>
    <x v="19"/>
    <s v="667940006051"/>
    <s v="ACEITE TOUCHE HOMME 60 ML PASION"/>
    <s v="CONSUMIBLE"/>
    <s v="TOUCHE"/>
    <n v="1"/>
    <n v="215.52"/>
  </r>
  <r>
    <x v="16"/>
    <s v="06/01/2026"/>
    <x v="19"/>
    <s v="7503013378416"/>
    <s v="Angie - CXO"/>
    <s v="JUGUETE PROPIO"/>
    <s v="CXO"/>
    <n v="1"/>
    <n v="689.66"/>
  </r>
  <r>
    <x v="16"/>
    <s v="06/01/2026"/>
    <x v="19"/>
    <s v="6959633103500"/>
    <s v="Chika multiorgasmico turqueza - SVAKOM"/>
    <s v="JUGUETE"/>
    <s v="SVAKOM"/>
    <n v="1"/>
    <n v="2155.17"/>
  </r>
  <r>
    <x v="16"/>
    <s v="06/01/2026"/>
    <x v="19"/>
    <s v="7502214985805"/>
    <s v="CONDON PRUDENCE VETE A LA VERSH  C/3"/>
    <s v="CONSUMIBLE"/>
    <s v="PRUDENCE"/>
    <n v="1"/>
    <n v="77.59"/>
  </r>
  <r>
    <x v="16"/>
    <s v="06/01/2026"/>
    <x v="19"/>
    <s v="7502214982811"/>
    <s v="Condones Mix Sabor y Aroma 5 pzs - PRUDENCE"/>
    <s v="CONSUMIBLE"/>
    <s v="PRUDENCE"/>
    <n v="1"/>
    <n v="77.59"/>
  </r>
  <r>
    <x v="16"/>
    <s v="06/01/2026"/>
    <x v="19"/>
    <s v="7503032300856"/>
    <s v="Sachet vibrador liquido 2 ml - BANANA SHAKE"/>
    <s v="CONSUMIBLE"/>
    <s v="BANANA SHAKE"/>
    <n v="5"/>
    <n v="86.2"/>
  </r>
  <r>
    <x v="16"/>
    <s v="06/01/2026"/>
    <x v="19"/>
    <s v="7503020596957"/>
    <s v="Shot Shumatsu Fun Hombre - DUSA"/>
    <s v="CONSUMIBLE PROPIO"/>
    <s v="DUSA"/>
    <n v="1"/>
    <n v="172.41"/>
  </r>
  <r>
    <x v="16"/>
    <s v="06/01/2026"/>
    <x v="19"/>
    <s v="7503020104082"/>
    <s v="Vibrador multiorgásmico con succionador y perlas Andy – CXO"/>
    <s v="JUGUETE PROPIO"/>
    <s v="CXO"/>
    <n v="1"/>
    <n v="2258.62"/>
  </r>
  <r>
    <x v="16"/>
    <s v="07/01/2026"/>
    <x v="19"/>
    <s v="7503013378980"/>
    <s v="Lubricante Body Surf Termico Chicle DUSA 60ml"/>
    <s v="CONSUMIBLE PROPIO"/>
    <s v="DUSA"/>
    <n v="2"/>
    <n v="775.86"/>
  </r>
  <r>
    <x v="16"/>
    <s v="07/01/2026"/>
    <x v="19"/>
    <s v="SE016"/>
    <s v="Masturbador Vagina -  CXO"/>
    <s v="JUGUETE PROPIO"/>
    <s v="CXO"/>
    <n v="1"/>
    <n v="948.28"/>
  </r>
  <r>
    <x v="16"/>
    <s v="07/01/2026"/>
    <x v="19"/>
    <s v="7503050524241"/>
    <s v="Orgasmik 30ml - DUSA"/>
    <s v="CONSUMIBLE PROPIO"/>
    <s v="DUSA"/>
    <n v="2"/>
    <n v="862.06"/>
  </r>
  <r>
    <x v="16"/>
    <s v="07/01/2026"/>
    <x v="19"/>
    <s v="7503024256192"/>
    <s v="Shot Shumatsu Fun Mujer - DUSA"/>
    <s v="CONSUMIBLE PROPIO"/>
    <s v="DUSA"/>
    <n v="1"/>
    <n v="172.41"/>
  </r>
  <r>
    <x v="16"/>
    <s v="08/01/2026"/>
    <x v="19"/>
    <s v="7503014914002"/>
    <s v="CAPSULAS MULTIORGASMICO AMO O-GEN"/>
    <s v="CONSUMIBLE"/>
    <s v="POWER MAN"/>
    <n v="1"/>
    <n v="431.04"/>
  </r>
  <r>
    <x v="16"/>
    <s v="08/01/2026"/>
    <x v="19"/>
    <s v="713001200104"/>
    <s v="Multiorgasmico con estimulador de clitoris de aleteo Marisol - CXO"/>
    <s v="JUGUETE PROPIO"/>
    <s v="CXO"/>
    <n v="1"/>
    <n v="2500"/>
  </r>
  <r>
    <x v="16"/>
    <s v="08/01/2026"/>
    <x v="19"/>
    <s v="7503013378010"/>
    <s v="Rigidex 2 pzas - DUSA"/>
    <s v="CONSUMIBLE PROPIO"/>
    <s v="DUSA"/>
    <n v="5"/>
    <n v="2155.16"/>
  </r>
  <r>
    <x v="16"/>
    <s v="08/01/2026"/>
    <x v="19"/>
    <s v="7503020596063"/>
    <s v="Stallion Regenerador - DUSA"/>
    <s v="CONSUMIBLE PROPIO"/>
    <s v="DUSA"/>
    <n v="1"/>
    <n v="1293.0999999999999"/>
  </r>
  <r>
    <x v="16"/>
    <s v="09/01/2026"/>
    <x v="19"/>
    <s v="7503043917081"/>
    <s v="Blade rosa anillo vibrador - CXO"/>
    <s v="JUGUETE PROPIO"/>
    <s v="CXO"/>
    <n v="1"/>
    <n v="81.900000000000006"/>
  </r>
  <r>
    <x v="16"/>
    <s v="09/01/2026"/>
    <x v="19"/>
    <s v="7502214982491"/>
    <s v="CONDON PRUDENCE EXTRA TIME UVA"/>
    <s v="CONSUMIBLE"/>
    <s v="PRUDENCE"/>
    <n v="1"/>
    <n v="60.34"/>
  </r>
  <r>
    <x v="16"/>
    <s v="09/01/2026"/>
    <x v="19"/>
    <s v="7503030118033"/>
    <s v="Kit vibrador + estimulante para clitoris Lau - CXO"/>
    <s v="JUGUETE PROPIO"/>
    <s v="CXO"/>
    <n v="1"/>
    <n v="1706.9"/>
  </r>
  <r>
    <x v="16"/>
    <s v="09/01/2026"/>
    <x v="19"/>
    <s v="7503032300993"/>
    <s v="Liquid Love Pleasure 30ml - DUSA"/>
    <s v="CONSUMIBLE PROPIO"/>
    <s v="DUSA"/>
    <n v="1"/>
    <n v="301.72000000000003"/>
  </r>
  <r>
    <x v="16"/>
    <s v="09/01/2026"/>
    <x v="19"/>
    <s v="7503013378645"/>
    <s v="Liquid Love Pleasure 100ml - DUSA"/>
    <s v="CONSUMIBLE PROPIO"/>
    <s v="DUSA"/>
    <n v="1"/>
    <n v="775.86"/>
  </r>
  <r>
    <x v="16"/>
    <s v="09/01/2026"/>
    <x v="19"/>
    <s v="6970784913251"/>
    <s v="Multiorgasmico con Conejito con 10 modos Nika - CXO"/>
    <s v="JUGUETE PROPIO"/>
    <s v="CXO"/>
    <n v="1"/>
    <n v="2672.41"/>
  </r>
  <r>
    <x v="16"/>
    <s v="10/01/2026"/>
    <x v="1"/>
    <s v="7503043917081"/>
    <s v="Blade rosa anillo vibrador - CXO"/>
    <s v="JUGUETE PROPIO"/>
    <s v="CXO"/>
    <n v="1"/>
    <n v="81.900000000000006"/>
  </r>
  <r>
    <x v="16"/>
    <s v="10/01/2026"/>
    <x v="1"/>
    <s v="7503050524265"/>
    <s v="He Plus 30ml - DUSA"/>
    <s v="CONSUMIBLE PROPIO"/>
    <s v="DUSA"/>
    <n v="1"/>
    <n v="431.03"/>
  </r>
  <r>
    <x v="16"/>
    <s v="10/01/2026"/>
    <x v="1"/>
    <s v="7503043917012"/>
    <s v="Liquid Love Backdoor 30ml - DUSA"/>
    <s v="CONSUMIBLE PROPIO"/>
    <s v="DUSA"/>
    <n v="1"/>
    <n v="301.72000000000003"/>
  </r>
  <r>
    <x v="16"/>
    <s v="10/01/2026"/>
    <x v="1"/>
    <s v="7503032300993"/>
    <s v="Liquid Love Pleasure 30ml - DUSA"/>
    <s v="CONSUMIBLE PROPIO"/>
    <s v="DUSA"/>
    <n v="1"/>
    <n v="301.72000000000003"/>
  </r>
  <r>
    <x v="16"/>
    <s v="11/01/2026"/>
    <x v="19"/>
    <s v="7503030211021"/>
    <s v="Anillo desechable para pene Donut - CXO"/>
    <s v="JUGUETE PROPIO"/>
    <s v="CXO"/>
    <n v="2"/>
    <n v="68.97"/>
  </r>
  <r>
    <x v="16"/>
    <s v="11/01/2026"/>
    <x v="19"/>
    <s v="7503043917081"/>
    <s v="Blade rosa anillo vibrador - CXO"/>
    <s v="JUGUETE PROPIO"/>
    <s v="CXO"/>
    <n v="1"/>
    <n v="81.900000000000006"/>
  </r>
  <r>
    <x v="16"/>
    <s v="11/01/2026"/>
    <x v="19"/>
    <s v="7503043917012"/>
    <s v="Liquid Love Backdoor 30ml - DUSA"/>
    <s v="CONSUMIBLE PROPIO"/>
    <s v="DUSA"/>
    <n v="1"/>
    <n v="301.72000000000003"/>
  </r>
  <r>
    <x v="16"/>
    <s v="12/01/2026"/>
    <x v="19"/>
    <s v="7503032300214"/>
    <s v="Cola de Zorro Arcoiris 38cm S - CXO"/>
    <s v="JUGUETE PROPIO"/>
    <s v="CXO"/>
    <n v="1"/>
    <n v="258.62"/>
  </r>
  <r>
    <x v="16"/>
    <s v="12/01/2026"/>
    <x v="19"/>
    <s v="7503043917524"/>
    <s v="Kit Lisboa 8 pzs - CXO"/>
    <s v="JUGUETE PROPIO"/>
    <s v="CXO"/>
    <n v="1"/>
    <n v="465.52"/>
  </r>
  <r>
    <x v="16"/>
    <s v="12/01/2026"/>
    <x v="19"/>
    <s v="7503024256154"/>
    <s v="Lubricante Body Surf Termico Cereza DUSA 60ml"/>
    <s v="CONSUMIBLE PROPIO"/>
    <s v="DUSA"/>
    <n v="1"/>
    <n v="387.93"/>
  </r>
  <r>
    <x v="16"/>
    <s v="12/01/2026"/>
    <x v="19"/>
    <s v="6959633103494"/>
    <s v="Mora Neo multiorgasmico rosa - SVAKOM"/>
    <s v="JUGUETE"/>
    <s v="SVAKOM"/>
    <n v="1"/>
    <n v="1637.93"/>
  </r>
  <r>
    <x v="16"/>
    <s v="12/01/2026"/>
    <x v="19"/>
    <s v="7503024256192"/>
    <s v="Shot Shumatsu Fun Mujer - DUSA"/>
    <s v="CONSUMIBLE PROPIO"/>
    <s v="DUSA"/>
    <n v="1"/>
    <n v="172.41"/>
  </r>
  <r>
    <x v="16"/>
    <s v="13/01/2026"/>
    <x v="19"/>
    <s v="7503032300382"/>
    <s v="Mon - CXO"/>
    <s v="JUGUETE PROPIO"/>
    <s v="CXO"/>
    <n v="1"/>
    <n v="517.24"/>
  </r>
  <r>
    <x v="16"/>
    <s v="13/01/2026"/>
    <x v="19"/>
    <s v="6959633156094"/>
    <s v="Robin - SVAKOM"/>
    <s v="JUGUETE"/>
    <s v="SVAKOM"/>
    <n v="1"/>
    <n v="1318.97"/>
  </r>
  <r>
    <x v="16"/>
    <s v="14/01/2026"/>
    <x v="19"/>
    <s v="7503043917081"/>
    <s v="Blade rosa anillo vibrador - CXO"/>
    <s v="JUGUETE PROPIO"/>
    <s v="CXO"/>
    <n v="1"/>
    <n v="81.900000000000006"/>
  </r>
  <r>
    <x v="16"/>
    <s v="14/01/2026"/>
    <x v="19"/>
    <s v="7503013378010"/>
    <s v="Rigidex 2 pzas - DUSA"/>
    <s v="CONSUMIBLE PROPIO"/>
    <s v="DUSA"/>
    <n v="2"/>
    <n v="862.06"/>
  </r>
  <r>
    <x v="16"/>
    <s v="14/01/2026"/>
    <x v="19"/>
    <s v="7503020596957"/>
    <s v="Shot Shumatsu Fun Hombre - DUSA"/>
    <s v="CONSUMIBLE PROPIO"/>
    <s v="DUSA"/>
    <n v="1"/>
    <n v="172.41"/>
  </r>
  <r>
    <x v="16"/>
    <s v="14/01/2026"/>
    <x v="19"/>
    <s v="7503020596063"/>
    <s v="Stallion Regenerador - DUSA"/>
    <s v="CONSUMIBLE PROPIO"/>
    <s v="DUSA"/>
    <n v="1"/>
    <n v="1293.0999999999999"/>
  </r>
  <r>
    <x v="16"/>
    <s v="14/01/2026"/>
    <x v="19"/>
    <s v="7503032300443"/>
    <s v="Zoe bala vibradora RETAIL - CXO"/>
    <s v="JUGUETE PROPIO"/>
    <s v="CXO"/>
    <n v="1"/>
    <n v="155.16999999999999"/>
  </r>
  <r>
    <x v="16"/>
    <s v="15/01/2026"/>
    <x v="19"/>
    <s v="7503014914002"/>
    <s v="CAPSULAS MULTIORGASMICO AMO O-GEN"/>
    <s v="CONSUMIBLE"/>
    <s v="POWER MAN"/>
    <n v="1"/>
    <n v="431.04"/>
  </r>
  <r>
    <x v="16"/>
    <s v="15/01/2026"/>
    <x v="19"/>
    <s v="7503050524241"/>
    <s v="Orgasmik 30ml - DUSA"/>
    <s v="CONSUMIBLE PROPIO"/>
    <s v="DUSA"/>
    <n v="1"/>
    <n v="431.03"/>
  </r>
  <r>
    <x v="16"/>
    <s v="15/01/2026"/>
    <x v="19"/>
    <s v="7350075026157"/>
    <s v="Sona cerise - LELO"/>
    <s v="JUGUETE"/>
    <s v="LELO"/>
    <n v="1"/>
    <n v="2068.9699999999998"/>
  </r>
  <r>
    <x v="16"/>
    <s v="16/01/2026"/>
    <x v="19"/>
    <s v="7503043917005"/>
    <s v="Liquid Love Clear 30ml - DUSA"/>
    <s v="CONSUMIBLE PROPIO"/>
    <s v="DUSA"/>
    <n v="1"/>
    <n v="301.72000000000003"/>
  </r>
  <r>
    <x v="16"/>
    <s v="16/01/2026"/>
    <x v="19"/>
    <s v="SE020"/>
    <s v="Masturbador 2 en 1 Vagina y Boca - CXO"/>
    <s v="JUGUETE PROPIO"/>
    <s v="CXO"/>
    <n v="1"/>
    <n v="1293.0999999999999"/>
  </r>
  <r>
    <x v="16"/>
    <s v="16/01/2026"/>
    <x v="19"/>
    <s v="7503013378010"/>
    <s v="Rigidex 2 pzas - DUSA"/>
    <s v="CONSUMIBLE PROPIO"/>
    <s v="DUSA"/>
    <n v="1"/>
    <n v="431.03"/>
  </r>
  <r>
    <x v="16"/>
    <s v="17/01/2026"/>
    <x v="1"/>
    <s v="7713042311883"/>
    <s v="Aceite de almendras sensual 130ml - DIAMANTE"/>
    <s v="CONSUMIBLE"/>
    <s v="DIAMANTE"/>
    <n v="1"/>
    <n v="448.28"/>
  </r>
  <r>
    <x v="16"/>
    <s v="17/01/2026"/>
    <x v="1"/>
    <s v="7503013378416"/>
    <s v="Angie - CXO"/>
    <s v="JUGUETE PROPIO"/>
    <s v="CXO"/>
    <n v="1"/>
    <n v="689.66"/>
  </r>
  <r>
    <x v="16"/>
    <s v="17/01/2026"/>
    <x v="1"/>
    <s v="7503030211021"/>
    <s v="Anillo desechable para pene Donut - CXO"/>
    <s v="JUGUETE PROPIO"/>
    <s v="CXO"/>
    <n v="1"/>
    <n v="34.479999999999997"/>
  </r>
  <r>
    <x v="16"/>
    <s v="17/01/2026"/>
    <x v="1"/>
    <s v="7503043917081"/>
    <s v="Blade rosa anillo vibrador - CXO"/>
    <s v="JUGUETE PROPIO"/>
    <s v="CXO"/>
    <n v="1"/>
    <n v="81.900000000000006"/>
  </r>
  <r>
    <x v="16"/>
    <s v="17/01/2026"/>
    <x v="1"/>
    <s v="7503014914002"/>
    <s v="CAPSULAS MULTIORGASMICO AMO O-GEN"/>
    <s v="CONSUMIBLE"/>
    <s v="POWER MAN"/>
    <n v="1"/>
    <n v="431.04"/>
  </r>
  <r>
    <x v="16"/>
    <s v="17/01/2026"/>
    <x v="1"/>
    <s v="7503032300535"/>
    <s v="Cola de Zorro 45cm blanco L - CXO"/>
    <s v="JUGUETE PROPIO"/>
    <s v="CXO"/>
    <n v="1"/>
    <n v="344.83"/>
  </r>
  <r>
    <x v="16"/>
    <s v="17/01/2026"/>
    <x v="1"/>
    <s v="7502214985362"/>
    <s v="CONDON MUTUAL SENSATION C/3 - PRUDENCE"/>
    <s v="CONSUMIBLE"/>
    <s v="PRUDENCE"/>
    <n v="1"/>
    <n v="77.59"/>
  </r>
  <r>
    <x v="16"/>
    <s v="17/01/2026"/>
    <x v="1"/>
    <s v="7503030102034"/>
    <s v="Dildo vibrador con control Anthony - CXO"/>
    <s v="JUGUETE PROPIO"/>
    <s v="CXO"/>
    <n v="1"/>
    <n v="2112.0700000000002"/>
  </r>
  <r>
    <x v="16"/>
    <s v="17/01/2026"/>
    <x v="1"/>
    <s v="7503038654083"/>
    <s v="Garganta profunda 60ml - FEEL LOVE"/>
    <s v="CONSUMIBLE"/>
    <s v="FEEL LOVE"/>
    <n v="1"/>
    <n v="603.45000000000005"/>
  </r>
  <r>
    <x v="16"/>
    <s v="17/01/2026"/>
    <x v="1"/>
    <s v="782421083076"/>
    <s v="Hydrate gel 56gr - INTIMATE ENHANCEMENTS"/>
    <s v="CONSUMIBLE"/>
    <s v="DOC JOHNSON"/>
    <n v="1"/>
    <n v="396.55"/>
  </r>
  <r>
    <x v="16"/>
    <s v="17/01/2026"/>
    <x v="1"/>
    <s v="7946000265472"/>
    <s v="JUEGO DE MESA EL JUEGO DE LA OCA SENSUAL"/>
    <s v="JUGUETE"/>
    <s v="VARIAS"/>
    <n v="1"/>
    <n v="224.14"/>
  </r>
  <r>
    <x v="16"/>
    <s v="17/01/2026"/>
    <x v="1"/>
    <s v="7503043917012"/>
    <s v="Liquid Love Backdoor 30ml - DUSA"/>
    <s v="CONSUMIBLE PROPIO"/>
    <s v="DUSA"/>
    <n v="2"/>
    <n v="603.44000000000005"/>
  </r>
  <r>
    <x v="16"/>
    <s v="17/01/2026"/>
    <x v="1"/>
    <s v="7503013378645"/>
    <s v="Liquid Love Pleasure 100ml - DUSA"/>
    <s v="CONSUMIBLE PROPIO"/>
    <s v="DUSA"/>
    <n v="1"/>
    <n v="775.86"/>
  </r>
  <r>
    <x v="16"/>
    <s v="17/01/2026"/>
    <x v="1"/>
    <s v="7503023462891"/>
    <s v="ORAL SEX Exotic Nut 30ml - DIAMANTE"/>
    <s v="CONSUMIBLE"/>
    <s v="DIAMANTE"/>
    <n v="1"/>
    <n v="310.33999999999997"/>
  </r>
  <r>
    <x v="16"/>
    <s v="17/01/2026"/>
    <x v="1"/>
    <s v="7503023462907"/>
    <s v="ORAL SEX Moka 30ml  - DIAMANTE"/>
    <s v="CONSUMIBLE"/>
    <s v="DIAMANTE"/>
    <n v="1"/>
    <n v="310.35000000000002"/>
  </r>
  <r>
    <x v="16"/>
    <s v="17/01/2026"/>
    <x v="1"/>
    <s v="6959633134559"/>
    <s v="Phoenix Neo 2 rojo - SVAKOM"/>
    <s v="JUGUETE"/>
    <s v="SVAKOM"/>
    <n v="1"/>
    <n v="3534.48"/>
  </r>
  <r>
    <x v="16"/>
    <s v="17/01/2026"/>
    <x v="1"/>
    <s v="7503013378690"/>
    <s v="Shumatsu 3 pzas - DUSA"/>
    <s v="CONSUMIBLE PROPIO"/>
    <s v="DUSA"/>
    <n v="1"/>
    <n v="577.59"/>
  </r>
  <r>
    <x v="16"/>
    <s v="17/01/2026"/>
    <x v="1"/>
    <s v="CBD"/>
    <s v="SUNNY SIDE UP CBD HIPOALERGENICO 10ml"/>
    <s v="CONSUMIBLE"/>
    <s v="SUNNY SIDE UP"/>
    <n v="1"/>
    <n v="301.72000000000003"/>
  </r>
  <r>
    <x v="16"/>
    <s v="18/01/2026"/>
    <x v="19"/>
    <s v="7503030211021"/>
    <s v="Anillo desechable para pene Donut - CXO"/>
    <s v="JUGUETE PROPIO"/>
    <s v="CXO"/>
    <n v="1"/>
    <n v="34.479999999999997"/>
  </r>
  <r>
    <x v="16"/>
    <s v="18/01/2026"/>
    <x v="19"/>
    <s v="7503014914002"/>
    <s v="CAPSULAS MULTIORGASMICO AMO O-GEN"/>
    <s v="CONSUMIBLE"/>
    <s v="POWER MAN"/>
    <n v="1"/>
    <n v="431.04"/>
  </r>
  <r>
    <x v="16"/>
    <s v="18/01/2026"/>
    <x v="19"/>
    <s v="7503032300740"/>
    <s v="Colette azul - CXO"/>
    <s v="JUGUETE PROPIO"/>
    <s v="CXO"/>
    <n v="1"/>
    <n v="1293.0999999999999"/>
  </r>
  <r>
    <x v="16"/>
    <s v="18/01/2026"/>
    <x v="19"/>
    <s v="7503032300993"/>
    <s v="Liquid Love Pleasure 30ml - DUSA"/>
    <s v="CONSUMIBLE PROPIO"/>
    <s v="DUSA"/>
    <n v="1"/>
    <n v="301.72000000000003"/>
  </r>
  <r>
    <x v="16"/>
    <s v="18/01/2026"/>
    <x v="19"/>
    <s v="7503032300825"/>
    <s v="Lubricante Sachet natural 2 ml - BANANA SHAKE"/>
    <s v="CONSUMIBLE"/>
    <s v="BANANA SHAKE"/>
    <n v="2"/>
    <n v="34.479999999999997"/>
  </r>
  <r>
    <x v="16"/>
    <s v="18/01/2026"/>
    <x v="19"/>
    <s v="7503050226162"/>
    <s v="Plug Anal con Vibración y Control Roberto - CXO"/>
    <s v="JUGUETE PROPIO"/>
    <s v="CXO"/>
    <n v="1"/>
    <n v="1293.0999999999999"/>
  </r>
  <r>
    <x v="16"/>
    <s v="18/01/2026"/>
    <x v="19"/>
    <s v="7503032300795"/>
    <s v="Sachet lubricante desensibilizador 2 ml - BANANA SHAKE"/>
    <s v="CONSUMIBLE"/>
    <s v="BANANA SHAKE"/>
    <n v="2"/>
    <n v="43.1"/>
  </r>
  <r>
    <x v="16"/>
    <s v="18/01/2026"/>
    <x v="19"/>
    <s v="7503024256192"/>
    <s v="Shot Shumatsu Fun Mujer - DUSA"/>
    <s v="CONSUMIBLE PROPIO"/>
    <s v="DUSA"/>
    <n v="1"/>
    <n v="172.41"/>
  </r>
  <r>
    <x v="16"/>
    <s v="18/01/2026"/>
    <x v="19"/>
    <s v="7350075026157"/>
    <s v="Sona cerise - LELO"/>
    <s v="JUGUETE"/>
    <s v="LELO"/>
    <n v="1"/>
    <n v="2068.9699999999998"/>
  </r>
  <r>
    <x v="16"/>
    <s v="19/01/2026"/>
    <x v="19"/>
    <s v="75078737"/>
    <s v="Mini Kit Dulces 2 piezas - SXO"/>
    <s v="CONSUMIBLE"/>
    <s v="SXO"/>
    <n v="1"/>
    <n v="120.69"/>
  </r>
  <r>
    <x v="16"/>
    <s v="19/01/2026"/>
    <x v="19"/>
    <s v="7503050524241"/>
    <s v="Orgasmik 30ml - DUSA"/>
    <s v="CONSUMIBLE PROPIO"/>
    <s v="DUSA"/>
    <n v="1"/>
    <n v="431.03"/>
  </r>
  <r>
    <x v="16"/>
    <s v="19/01/2026"/>
    <x v="19"/>
    <s v="7503050226162"/>
    <s v="Plug Anal con Vibración y Control Roberto - CXO"/>
    <s v="JUGUETE PROPIO"/>
    <s v="CXO"/>
    <n v="1"/>
    <n v="1293.0999999999999"/>
  </r>
  <r>
    <x v="16"/>
    <s v="19/01/2026"/>
    <x v="19"/>
    <s v="7503013378010"/>
    <s v="Rigidex 2 pzas - DUSA"/>
    <s v="CONSUMIBLE PROPIO"/>
    <s v="DUSA"/>
    <n v="1"/>
    <n v="431.03"/>
  </r>
  <r>
    <x v="16"/>
    <s v="19/01/2026"/>
    <x v="19"/>
    <s v="7503024256192"/>
    <s v="Shot Shumatsu Fun Mujer - DUSA"/>
    <s v="CONSUMIBLE PROPIO"/>
    <s v="DUSA"/>
    <n v="1"/>
    <n v="172.41"/>
  </r>
  <r>
    <x v="16"/>
    <s v="20/01/2026"/>
    <x v="19"/>
    <s v="7503030211021"/>
    <s v="Anillo desechable para pene Donut - CXO"/>
    <s v="JUGUETE PROPIO"/>
    <s v="CXO"/>
    <n v="1"/>
    <n v="34.479999999999997"/>
  </r>
  <r>
    <x v="16"/>
    <s v="20/01/2026"/>
    <x v="19"/>
    <s v="7503020310116"/>
    <s v="Panty vibrador con control remoto rosa Celi - CXO"/>
    <s v="JUGUETE PROPIO"/>
    <s v="CXO"/>
    <n v="1"/>
    <n v="1681.03"/>
  </r>
  <r>
    <x v="16"/>
    <s v="20/01/2026"/>
    <x v="19"/>
    <s v="LL-2340-C"/>
    <s v="Pinzas Vibradoras para Pezon Mod. C (Succionador) - CXO"/>
    <s v="JUGUETE PROPIO"/>
    <s v="CXO"/>
    <n v="1"/>
    <n v="301.72000000000003"/>
  </r>
  <r>
    <x v="16"/>
    <s v="20/01/2026"/>
    <x v="19"/>
    <s v="7503032300795"/>
    <s v="Sachet lubricante desensibilizador 2 ml - BANANA SHAKE"/>
    <s v="CONSUMIBLE"/>
    <s v="BANANA SHAKE"/>
    <n v="1"/>
    <n v="21.55"/>
  </r>
  <r>
    <x v="16"/>
    <s v="20/01/2026"/>
    <x v="19"/>
    <s v="7503020596957"/>
    <s v="Shot Shumatsu Fun Hombre - DUSA"/>
    <s v="CONSUMIBLE PROPIO"/>
    <s v="DUSA"/>
    <n v="1"/>
    <n v="172.41"/>
  </r>
  <r>
    <x v="16"/>
    <s v="21/01/2026"/>
    <x v="19"/>
    <s v="7503043917081"/>
    <s v="Blade rosa anillo vibrador - CXO"/>
    <s v="JUGUETE PROPIO"/>
    <s v="CXO"/>
    <n v="1"/>
    <n v="81.900000000000006"/>
  </r>
  <r>
    <x v="16"/>
    <s v="21/01/2026"/>
    <x v="19"/>
    <s v="7503043917005"/>
    <s v="Liquid Love Clear 30ml - DUSA"/>
    <s v="CONSUMIBLE PROPIO"/>
    <s v="DUSA"/>
    <n v="1"/>
    <n v="301.72000000000003"/>
  </r>
  <r>
    <x v="16"/>
    <s v="21/01/2026"/>
    <x v="19"/>
    <s v="7503032300993"/>
    <s v="Liquid Love Pleasure 30ml - DUSA"/>
    <s v="CONSUMIBLE PROPIO"/>
    <s v="DUSA"/>
    <n v="1"/>
    <n v="301.72000000000003"/>
  </r>
  <r>
    <x v="16"/>
    <s v="21/01/2026"/>
    <x v="19"/>
    <s v="7503013378010"/>
    <s v="Rigidex 2 pzas - DUSA"/>
    <s v="CONSUMIBLE PROPIO"/>
    <s v="DUSA"/>
    <n v="1"/>
    <n v="431.03"/>
  </r>
  <r>
    <x v="16"/>
    <s v="21/01/2026"/>
    <x v="19"/>
    <s v="7503024256192"/>
    <s v="Shot Shumatsu Fun Mujer - DUSA"/>
    <s v="CONSUMIBLE PROPIO"/>
    <s v="DUSA"/>
    <n v="1"/>
    <n v="172.41"/>
  </r>
  <r>
    <x v="16"/>
    <s v="21/01/2026"/>
    <x v="19"/>
    <s v="7503013378690"/>
    <s v="Shumatsu 3 pzas - DUSA"/>
    <s v="CONSUMIBLE PROPIO"/>
    <s v="DUSA"/>
    <n v="2"/>
    <n v="1155.18"/>
  </r>
  <r>
    <x v="16"/>
    <s v="21/01/2026"/>
    <x v="19"/>
    <s v="7503032300443"/>
    <s v="Zoe bala vibradora RETAIL - CXO"/>
    <s v="JUGUETE PROPIO"/>
    <s v="CXO"/>
    <n v="1"/>
    <n v="155.16999999999999"/>
  </r>
  <r>
    <x v="16"/>
    <s v="22/01/2026"/>
    <x v="19"/>
    <s v="716222287500"/>
    <s v="ACEITE AROMATHERAPY MASSAGE OIL 4 ROMANCE"/>
    <s v="CONSUMIBLE"/>
    <s v="WET"/>
    <n v="1"/>
    <n v="926.72"/>
  </r>
  <r>
    <x v="16"/>
    <s v="22/01/2026"/>
    <x v="19"/>
    <s v="7502214982514"/>
    <s v="Condon Chocolate 3 pzs - PRUDENCE"/>
    <s v="CONSUMIBLE"/>
    <s v="PRUDENCE"/>
    <n v="1"/>
    <n v="60.34"/>
  </r>
  <r>
    <x v="16"/>
    <s v="22/01/2026"/>
    <x v="19"/>
    <s v="7502214982811"/>
    <s v="Condones Mix Sabor y Aroma 5 pzs - PRUDENCE"/>
    <s v="CONSUMIBLE"/>
    <s v="PRUDENCE"/>
    <n v="1"/>
    <n v="77.59"/>
  </r>
  <r>
    <x v="16"/>
    <s v="22/01/2026"/>
    <x v="19"/>
    <s v="7503026484142"/>
    <s v="LIKE A VIRGIN 40ml - DIAMANTE"/>
    <s v="CONSUMIBLE"/>
    <s v="DIAMANTE"/>
    <n v="1"/>
    <n v="491.38"/>
  </r>
  <r>
    <x v="16"/>
    <s v="22/01/2026"/>
    <x v="19"/>
    <s v="7503032300993"/>
    <s v="Liquid Love Pleasure 30ml - DUSA"/>
    <s v="CONSUMIBLE PROPIO"/>
    <s v="DUSA"/>
    <n v="1"/>
    <n v="301.72000000000003"/>
  </r>
  <r>
    <x v="16"/>
    <s v="22/01/2026"/>
    <x v="19"/>
    <s v="7503050524241"/>
    <s v="Orgasmik 30ml - DUSA"/>
    <s v="CONSUMIBLE PROPIO"/>
    <s v="DUSA"/>
    <n v="1"/>
    <n v="431.03"/>
  </r>
  <r>
    <x v="16"/>
    <s v="22/01/2026"/>
    <x v="19"/>
    <s v="7503020596957"/>
    <s v="Shot Shumatsu Fun Hombre - DUSA"/>
    <s v="CONSUMIBLE PROPIO"/>
    <s v="DUSA"/>
    <n v="3"/>
    <n v="517.23"/>
  </r>
  <r>
    <x v="16"/>
    <s v="22/01/2026"/>
    <x v="19"/>
    <s v="7503024256192"/>
    <s v="Shot Shumatsu Fun Mujer - DUSA"/>
    <s v="CONSUMIBLE PROPIO"/>
    <s v="DUSA"/>
    <n v="2"/>
    <n v="344.82"/>
  </r>
  <r>
    <x v="16"/>
    <s v="22/01/2026"/>
    <x v="19"/>
    <s v="7503013378690"/>
    <s v="Shumatsu 3 pzas - DUSA"/>
    <s v="CONSUMIBLE PROPIO"/>
    <s v="DUSA"/>
    <n v="1"/>
    <n v="577.59"/>
  </r>
  <r>
    <x v="16"/>
    <s v="23/01/2026"/>
    <x v="19"/>
    <s v="7503020596957"/>
    <s v="Shot Shumatsu Fun Hombre - DUSA"/>
    <s v="CONSUMIBLE PROPIO"/>
    <s v="DUSA"/>
    <n v="1"/>
    <n v="172.41"/>
  </r>
  <r>
    <x v="16"/>
    <s v="23/01/2026"/>
    <x v="19"/>
    <s v="7503024256192"/>
    <s v="Shot Shumatsu Fun Mujer - DUSA"/>
    <s v="CONSUMIBLE PROPIO"/>
    <s v="DUSA"/>
    <n v="1"/>
    <n v="172.41"/>
  </r>
  <r>
    <x v="16"/>
    <s v="23/01/2026"/>
    <x v="19"/>
    <s v="7503013378690"/>
    <s v="Shumatsu 3 pzas - DUSA"/>
    <s v="CONSUMIBLE PROPIO"/>
    <s v="DUSA"/>
    <n v="1"/>
    <n v="577.59"/>
  </r>
  <r>
    <x v="16"/>
    <s v="23/01/2026"/>
    <x v="19"/>
    <s v="7503032300443"/>
    <s v="Zoe bala vibradora RETAIL - CXO"/>
    <s v="JUGUETE PROPIO"/>
    <s v="CXO"/>
    <n v="1"/>
    <n v="155.16999999999999"/>
  </r>
  <r>
    <x v="16"/>
    <s v="24/01/2026"/>
    <x v="5"/>
    <s v="7503043917081"/>
    <s v="Blade rosa anillo vibrador - CXO"/>
    <s v="JUGUETE PROPIO"/>
    <s v="CXO"/>
    <n v="1"/>
    <n v="81.900000000000006"/>
  </r>
  <r>
    <x v="16"/>
    <s v="24/01/2026"/>
    <x v="5"/>
    <s v="7503030128202"/>
    <s v="Plug Anal con 10 modos de vibracion y rotacion 360 Beto - CXO"/>
    <s v="JUGUETE PROPIO"/>
    <s v="CXO"/>
    <n v="1"/>
    <n v="1577.59"/>
  </r>
  <r>
    <x v="16"/>
    <s v="24/01/2026"/>
    <x v="5"/>
    <s v="7503020596957"/>
    <s v="Shot Shumatsu Fun Hombre - DUSA"/>
    <s v="CONSUMIBLE PROPIO"/>
    <s v="DUSA"/>
    <n v="2"/>
    <n v="344.82"/>
  </r>
  <r>
    <x v="16"/>
    <s v="24/01/2026"/>
    <x v="5"/>
    <s v="7503024256192"/>
    <s v="Shot Shumatsu Fun Mujer - DUSA"/>
    <s v="CONSUMIBLE PROPIO"/>
    <s v="DUSA"/>
    <n v="5"/>
    <n v="862.05"/>
  </r>
  <r>
    <x v="16"/>
    <s v="25/01/2026"/>
    <x v="19"/>
    <s v="7503043917081"/>
    <s v="Blade rosa anillo vibrador - CXO"/>
    <s v="JUGUETE PROPIO"/>
    <s v="CXO"/>
    <n v="1"/>
    <n v="81.900000000000006"/>
  </r>
  <r>
    <x v="16"/>
    <s v="25/01/2026"/>
    <x v="19"/>
    <s v="7503032300993"/>
    <s v="Liquid Love Pleasure 30ml - DUSA"/>
    <s v="CONSUMIBLE PROPIO"/>
    <s v="DUSA"/>
    <n v="1"/>
    <n v="301.72000000000003"/>
  </r>
  <r>
    <x v="16"/>
    <s v="25/01/2026"/>
    <x v="19"/>
    <s v="7503024256154"/>
    <s v="Lubricante Body Surf Termico Cereza DUSA 60ml"/>
    <s v="CONSUMIBLE PROPIO"/>
    <s v="DUSA"/>
    <n v="1"/>
    <n v="387.93"/>
  </r>
  <r>
    <x v="16"/>
    <s v="25/01/2026"/>
    <x v="19"/>
    <s v="7503013378690"/>
    <s v="Shumatsu 3 pzas - DUSA"/>
    <s v="CONSUMIBLE PROPIO"/>
    <s v="DUSA"/>
    <n v="1"/>
    <n v="577.59"/>
  </r>
  <r>
    <x v="16"/>
    <s v="25/01/2026"/>
    <x v="19"/>
    <s v="7503032300443"/>
    <s v="Zoe bala vibradora RETAIL - CXO"/>
    <s v="JUGUETE PROPIO"/>
    <s v="CXO"/>
    <n v="2"/>
    <n v="310.33999999999997"/>
  </r>
  <r>
    <x v="16"/>
    <s v="26/01/2026"/>
    <x v="19"/>
    <s v="MAROLA00279IF"/>
    <s v="Disfraz Marinera - OLA MOU"/>
    <s v="LENCERIA PROPIA"/>
    <s v="OLA MOU"/>
    <n v="1"/>
    <n v="560.34"/>
  </r>
  <r>
    <x v="16"/>
    <s v="26/01/2026"/>
    <x v="19"/>
    <s v="GWPS_BANANASHAKE_001"/>
    <s v="Lub de Regalo - Banana Shake"/>
    <s v="ACTIVACION"/>
    <s v="BANANA SHAKE"/>
    <n v="1"/>
    <n v="0.01"/>
  </r>
  <r>
    <x v="16"/>
    <s v="26/01/2026"/>
    <x v="19"/>
    <s v="7503013378690"/>
    <s v="Shumatsu 3 pzas - DUSA"/>
    <s v="CONSUMIBLE PROPIO"/>
    <s v="DUSA"/>
    <n v="3"/>
    <n v="1732.77"/>
  </r>
  <r>
    <x v="16"/>
    <s v="27/01/2026"/>
    <x v="19"/>
    <s v="7503043917005"/>
    <s v="Liquid Love Clear 30ml - DUSA"/>
    <s v="CONSUMIBLE PROPIO"/>
    <s v="DUSA"/>
    <n v="2"/>
    <n v="603.44000000000005"/>
  </r>
  <r>
    <x v="16"/>
    <s v="27/01/2026"/>
    <x v="19"/>
    <s v="7503013378980"/>
    <s v="Lubricante Body Surf Termico Chicle DUSA 60ml"/>
    <s v="CONSUMIBLE PROPIO"/>
    <s v="DUSA"/>
    <n v="1"/>
    <n v="387.93"/>
  </r>
  <r>
    <x v="16"/>
    <s v="27/01/2026"/>
    <x v="19"/>
    <s v="SC258C01"/>
    <s v="Multiorgasmico dual con estimulador de clitoris 360 con 10 modos Dany - CXO"/>
    <s v="JUGUETE PROPIO"/>
    <s v="CXO"/>
    <n v="1"/>
    <n v="3017.24"/>
  </r>
  <r>
    <x v="16"/>
    <s v="27/01/2026"/>
    <x v="19"/>
    <s v="7503024256635"/>
    <s v="Olive  6.8&quot; rosa - CXO"/>
    <s v="JUGUETE PROPIO"/>
    <s v="CXO"/>
    <n v="1"/>
    <n v="603.45000000000005"/>
  </r>
  <r>
    <x v="16"/>
    <s v="27/01/2026"/>
    <x v="19"/>
    <s v="7503043917395"/>
    <s v="Vibrador multiorgásmico Krista Mod. 02  - CXO"/>
    <s v="JUGUETE PROPIO"/>
    <s v="CXO"/>
    <n v="1"/>
    <n v="2060.9299999999998"/>
  </r>
  <r>
    <x v="16"/>
    <s v="28/01/2026"/>
    <x v="19"/>
    <s v="7503043917081"/>
    <s v="Blade rosa anillo vibrador - CXO"/>
    <s v="JUGUETE PROPIO"/>
    <s v="CXO"/>
    <n v="1"/>
    <n v="81.900000000000006"/>
  </r>
  <r>
    <x v="16"/>
    <s v="28/01/2026"/>
    <x v="19"/>
    <s v="7503043917012"/>
    <s v="Liquid Love Backdoor 30ml - DUSA"/>
    <s v="CONSUMIBLE PROPIO"/>
    <s v="DUSA"/>
    <n v="1"/>
    <n v="301.72000000000003"/>
  </r>
  <r>
    <x v="16"/>
    <s v="28/01/2026"/>
    <x v="19"/>
    <s v="6959633185476"/>
    <s v="Masturbador Hedy X Confidence – SVAKOM"/>
    <s v="JUGUETE"/>
    <s v="SVAKOM"/>
    <n v="1"/>
    <n v="181.03"/>
  </r>
  <r>
    <x v="16"/>
    <s v="28/01/2026"/>
    <x v="19"/>
    <s v="6959633189726"/>
    <s v="Masturbador Hedy X Control – SVAKOM"/>
    <s v="JUGUETE"/>
    <s v="SVAKOM"/>
    <n v="1"/>
    <n v="181.03"/>
  </r>
  <r>
    <x v="16"/>
    <s v="28/01/2026"/>
    <x v="19"/>
    <s v="6959633146972"/>
    <s v="Masturbador Hedy X Experience – SVAKOM"/>
    <s v="JUGUETE"/>
    <s v="SVAKOM"/>
    <n v="1"/>
    <n v="181.03"/>
  </r>
  <r>
    <x v="16"/>
    <s v="28/01/2026"/>
    <x v="19"/>
    <s v="6959633185940"/>
    <s v="Masturbador Hedy X Reaction – SVAKOM"/>
    <s v="JUGUETE"/>
    <s v="SVAKOM"/>
    <n v="1"/>
    <n v="181.03"/>
  </r>
  <r>
    <x v="16"/>
    <s v="28/01/2026"/>
    <x v="19"/>
    <s v="6959633183120"/>
    <s v="Masturbador Hedy X Speed – SVAKOM"/>
    <s v="JUGUETE"/>
    <s v="SVAKOM"/>
    <n v="1"/>
    <n v="181.03"/>
  </r>
  <r>
    <x v="16"/>
    <s v="28/01/2026"/>
    <x v="19"/>
    <s v="7503050524258"/>
    <s v="Sensicool 30ml - DUSA"/>
    <s v="CONSUMIBLE PROPIO"/>
    <s v="DUSA"/>
    <n v="1"/>
    <n v="431.03"/>
  </r>
  <r>
    <x v="16"/>
    <s v="28/01/2026"/>
    <x v="19"/>
    <s v="7503020596957"/>
    <s v="Shot Shumatsu Fun Hombre - DUSA"/>
    <s v="CONSUMIBLE PROPIO"/>
    <s v="DUSA"/>
    <n v="2"/>
    <n v="344.82"/>
  </r>
  <r>
    <x v="16"/>
    <s v="28/01/2026"/>
    <x v="19"/>
    <s v="7503013378690"/>
    <s v="Shumatsu 3 pzas - DUSA"/>
    <s v="CONSUMIBLE PROPIO"/>
    <s v="DUSA"/>
    <n v="1"/>
    <n v="577.59"/>
  </r>
  <r>
    <x v="16"/>
    <s v="28/01/2026"/>
    <x v="19"/>
    <s v="4061504007359"/>
    <s v="Succionador Pingüino - Satisfayer"/>
    <s v="JUGUETE"/>
    <s v="SATISFAYER"/>
    <n v="1"/>
    <n v="1379.31"/>
  </r>
  <r>
    <x v="16"/>
    <s v="29/01/2026"/>
    <x v="19"/>
    <s v="7503020111072"/>
    <s v="Anillo vibrador recargable con textura negra Hank - CXO"/>
    <s v="JUGUETE PROPIO"/>
    <s v="CXO"/>
    <n v="2"/>
    <n v="2534.48"/>
  </r>
  <r>
    <x v="16"/>
    <s v="29/01/2026"/>
    <x v="19"/>
    <s v="7503043917012"/>
    <s v="Liquid Love Backdoor 30ml - DUSA"/>
    <s v="CONSUMIBLE PROPIO"/>
    <s v="DUSA"/>
    <n v="1"/>
    <n v="301.72000000000003"/>
  </r>
  <r>
    <x v="16"/>
    <s v="29/01/2026"/>
    <x v="19"/>
    <s v="7503013378652"/>
    <s v="Liquid Love Backdoor 100ml - DUSA"/>
    <s v="CONSUMIBLE PROPIO"/>
    <s v="DUSA"/>
    <n v="1"/>
    <n v="1077.5899999999999"/>
  </r>
  <r>
    <x v="16"/>
    <s v="29/01/2026"/>
    <x v="19"/>
    <s v="7503020596001"/>
    <s v="Liquid Love Clear 100ml - DUSA"/>
    <s v="CONSUMIBLE PROPIO"/>
    <s v="DUSA"/>
    <n v="1"/>
    <n v="775.86"/>
  </r>
  <r>
    <x v="16"/>
    <s v="29/01/2026"/>
    <x v="19"/>
    <s v="7503050524241"/>
    <s v="Orgasmik 30ml - DUSA"/>
    <s v="CONSUMIBLE PROPIO"/>
    <s v="DUSA"/>
    <n v="1"/>
    <n v="431.03"/>
  </r>
  <r>
    <x v="16"/>
    <s v="29/01/2026"/>
    <x v="19"/>
    <s v="7503050524258"/>
    <s v="Sensicool 30ml - DUSA"/>
    <s v="CONSUMIBLE PROPIO"/>
    <s v="DUSA"/>
    <n v="1"/>
    <n v="431.03"/>
  </r>
  <r>
    <x v="16"/>
    <s v="29/01/2026"/>
    <x v="19"/>
    <s v="7503020596957"/>
    <s v="Shot Shumatsu Fun Hombre - DUSA"/>
    <s v="CONSUMIBLE PROPIO"/>
    <s v="DUSA"/>
    <n v="3"/>
    <n v="517.23"/>
  </r>
  <r>
    <x v="16"/>
    <s v="29/01/2026"/>
    <x v="19"/>
    <s v="7503024256192"/>
    <s v="Shot Shumatsu Fun Mujer - DUSA"/>
    <s v="CONSUMIBLE PROPIO"/>
    <s v="DUSA"/>
    <n v="5"/>
    <n v="862.05"/>
  </r>
  <r>
    <x v="16"/>
    <s v="29/01/2026"/>
    <x v="19"/>
    <s v="7503013378690"/>
    <s v="Shumatsu 3 pzas - DUSA"/>
    <s v="CONSUMIBLE PROPIO"/>
    <s v="DUSA"/>
    <n v="1"/>
    <n v="577.59"/>
  </r>
  <r>
    <x v="16"/>
    <s v="29/01/2026"/>
    <x v="19"/>
    <s v="7503020596063"/>
    <s v="Stallion Regenerador - DUSA"/>
    <s v="CONSUMIBLE PROPIO"/>
    <s v="DUSA"/>
    <n v="1"/>
    <n v="1293.0999999999999"/>
  </r>
  <r>
    <x v="16"/>
    <s v="29/01/2026"/>
    <x v="19"/>
    <s v="7350075028632"/>
    <s v="Tiani Harmony Black -LELO"/>
    <s v="JUGUETE"/>
    <s v="LELO"/>
    <n v="1"/>
    <n v="5172.41"/>
  </r>
  <r>
    <x v="16"/>
    <s v="29/01/2026"/>
    <x v="19"/>
    <s v="7503030104190"/>
    <s v="Vibrador multiorgasmico con 10 modos de vibracion Norma - CXO"/>
    <s v="JUGUETE PROPIO"/>
    <s v="CXO"/>
    <n v="1"/>
    <n v="2396.5500000000002"/>
  </r>
  <r>
    <x v="16"/>
    <s v="29/01/2026"/>
    <x v="19"/>
    <s v="7503032300443"/>
    <s v="Zoe bala vibradora RETAIL - CXO"/>
    <s v="JUGUETE PROPIO"/>
    <s v="CXO"/>
    <n v="1"/>
    <n v="155.16999999999999"/>
  </r>
  <r>
    <x v="16"/>
    <s v="30/01/2026"/>
    <x v="19"/>
    <s v="7503050226139"/>
    <s v="Body Alma - OLA MOU"/>
    <s v="LENCERIA PROPIA"/>
    <s v="OLA MOU"/>
    <n v="1"/>
    <n v="387.93"/>
  </r>
  <r>
    <x v="16"/>
    <s v="30/01/2026"/>
    <x v="19"/>
    <s v="7503020596001"/>
    <s v="Liquid Love Clear 100ml - DUSA"/>
    <s v="CONSUMIBLE PROPIO"/>
    <s v="DUSA"/>
    <n v="1"/>
    <n v="775.86"/>
  </r>
  <r>
    <x v="16"/>
    <s v="30/01/2026"/>
    <x v="19"/>
    <s v="7503013378980"/>
    <s v="Lubricante Body Surf Termico Chicle DUSA 60ml"/>
    <s v="CONSUMIBLE PROPIO"/>
    <s v="DUSA"/>
    <n v="1"/>
    <n v="387.93"/>
  </r>
  <r>
    <x v="16"/>
    <s v="30/01/2026"/>
    <x v="19"/>
    <s v="7503050524241"/>
    <s v="Orgasmik 30ml - DUSA"/>
    <s v="CONSUMIBLE PROPIO"/>
    <s v="DUSA"/>
    <n v="1"/>
    <n v="431.03"/>
  </r>
  <r>
    <x v="16"/>
    <s v="30/01/2026"/>
    <x v="19"/>
    <s v="7503013378010"/>
    <s v="Rigidex 2 pzas - DUSA"/>
    <s v="CONSUMIBLE PROPIO"/>
    <s v="DUSA"/>
    <n v="1"/>
    <n v="431.03"/>
  </r>
  <r>
    <x v="16"/>
    <s v="30/01/2026"/>
    <x v="19"/>
    <s v="7503024256192"/>
    <s v="Shot Shumatsu Fun Mujer - DUSA"/>
    <s v="CONSUMIBLE PROPIO"/>
    <s v="DUSA"/>
    <n v="1"/>
    <n v="172.41"/>
  </r>
  <r>
    <x v="16"/>
    <s v="30/01/2026"/>
    <x v="19"/>
    <s v="7503013378690"/>
    <s v="Shumatsu 3 pzas - DUSA"/>
    <s v="CONSUMIBLE PROPIO"/>
    <s v="DUSA"/>
    <n v="1"/>
    <n v="577.59"/>
  </r>
  <r>
    <x v="16"/>
    <s v="30/01/2026"/>
    <x v="19"/>
    <s v="4061504007496"/>
    <s v="Succionado con App Curvy 1+ - Satisfayer"/>
    <s v="JUGUETE"/>
    <s v="SATISFAYER"/>
    <n v="1"/>
    <n v="1810.34"/>
  </r>
  <r>
    <x v="16"/>
    <s v="30/01/2026"/>
    <x v="19"/>
    <s v="6974122611892"/>
    <s v="Succionador con 7 modos Esther - CXO"/>
    <s v="JUGUETE PROPIO"/>
    <s v="CXO"/>
    <n v="1"/>
    <n v="1853.45"/>
  </r>
  <r>
    <x v="16"/>
    <s v="30/01/2026"/>
    <x v="19"/>
    <s v="6920437903153"/>
    <s v="Vibrador con motor Dual con 8 modos Fany - CXO"/>
    <s v="JUGUETE PROPIO"/>
    <s v="CXO"/>
    <n v="1"/>
    <n v="2284.48"/>
  </r>
  <r>
    <x v="16"/>
    <s v="31/01/2026"/>
    <x v="1"/>
    <s v="7503043917081"/>
    <s v="Blade rosa anillo vibrador - CXO"/>
    <s v="JUGUETE PROPIO"/>
    <s v="CXO"/>
    <n v="1"/>
    <n v="81.900000000000006"/>
  </r>
  <r>
    <x v="16"/>
    <s v="31/01/2026"/>
    <x v="1"/>
    <s v="7503043917012"/>
    <s v="Liquid Love Backdoor 30ml - DUSA"/>
    <s v="CONSUMIBLE PROPIO"/>
    <s v="DUSA"/>
    <n v="1"/>
    <n v="301.72000000000003"/>
  </r>
  <r>
    <x v="16"/>
    <s v="31/01/2026"/>
    <x v="1"/>
    <s v="75078737"/>
    <s v="Mini Kit Dulces 2 piezas - SXO"/>
    <s v="CONSUMIBLE"/>
    <s v="SXO"/>
    <n v="1"/>
    <n v="120.69"/>
  </r>
  <r>
    <x v="16"/>
    <s v="31/01/2026"/>
    <x v="1"/>
    <s v="7503026484845"/>
    <s v="Oral Sex Erotic Nut 5g - Feel Love"/>
    <s v="CONSUMIBLE"/>
    <s v="DIAMANTE"/>
    <n v="1"/>
    <n v="51.72"/>
  </r>
  <r>
    <x v="16"/>
    <s v="31/01/2026"/>
    <x v="1"/>
    <s v="7503032300443"/>
    <s v="Zoe bala vibradora RETAIL - CXO"/>
    <s v="JUGUETE PROPIO"/>
    <s v="CXO"/>
    <n v="1"/>
    <n v="155.1699999999999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s v="Arcos-C"/>
    <s v="02/01/2026"/>
    <x v="0"/>
    <s v="7503013378690"/>
    <s v="Shumatsu 3 pzas - DUSA"/>
    <s v="CONSUMIBLE PROPIO"/>
    <s v="DUSA"/>
    <n v="1"/>
    <n v="577.59"/>
  </r>
  <r>
    <s v="Arcos-C"/>
    <s v="16/01/2026"/>
    <x v="0"/>
    <s v="7503013378690"/>
    <s v="Shumatsu 3 pzas - DUSA"/>
    <s v="CONSUMIBLE PROPIO"/>
    <s v="DUSA"/>
    <n v="1"/>
    <n v="577.59"/>
  </r>
  <r>
    <s v="Arcos-C"/>
    <s v="17/01/2026"/>
    <x v="0"/>
    <s v="7503013378690"/>
    <s v="Shumatsu 3 pzas - DUSA"/>
    <s v="CONSUMIBLE PROPIO"/>
    <s v="DUSA"/>
    <n v="3"/>
    <n v="1732.77"/>
  </r>
  <r>
    <s v="Arcos-C"/>
    <s v="23/01/2026"/>
    <x v="0"/>
    <s v="7503013378690"/>
    <s v="Shumatsu 3 pzas - DUSA"/>
    <s v="CONSUMIBLE PROPIO"/>
    <s v="DUSA"/>
    <n v="5"/>
    <n v="2887.9500000000003"/>
  </r>
  <r>
    <s v="Arcos-C"/>
    <s v="24/01/2026"/>
    <x v="0"/>
    <s v="7503013378690"/>
    <s v="Shumatsu 3 pzas - DUSA"/>
    <s v="CONSUMIBLE PROPIO"/>
    <s v="DUSA"/>
    <n v="1"/>
    <n v="577.59"/>
  </r>
  <r>
    <s v="Arcos-C"/>
    <s v="30/01/2026"/>
    <x v="0"/>
    <s v="7503013378690"/>
    <s v="Shumatsu 3 pzas - DUSA"/>
    <s v="CONSUMIBLE PROPIO"/>
    <s v="DUSA"/>
    <n v="1"/>
    <n v="577.59"/>
  </r>
  <r>
    <s v="Camino Real -C"/>
    <s v="02/01/2026"/>
    <x v="1"/>
    <s v="7503013378690"/>
    <s v="Shumatsu 3 pzas - DUSA"/>
    <s v="CONSUMIBLE PROPIO"/>
    <s v="DUSA"/>
    <n v="1"/>
    <n v="577.59"/>
  </r>
  <r>
    <s v="Camino Real -C"/>
    <s v="03/01/2026"/>
    <x v="1"/>
    <s v="7503013378690"/>
    <s v="Shumatsu 3 pzas - DUSA"/>
    <s v="CONSUMIBLE PROPIO"/>
    <s v="DUSA"/>
    <n v="1"/>
    <n v="577.59"/>
  </r>
  <r>
    <s v="Camino Real -C"/>
    <s v="05/01/2026"/>
    <x v="2"/>
    <s v="7503013378690"/>
    <s v="Shumatsu 3 pzas - DUSA"/>
    <s v="CONSUMIBLE PROPIO"/>
    <s v="DUSA"/>
    <n v="1"/>
    <n v="577.59"/>
  </r>
  <r>
    <s v="Camino Real -C"/>
    <s v="06/01/2026"/>
    <x v="1"/>
    <s v="7503013378690"/>
    <s v="Shumatsu 3 pzas - DUSA"/>
    <s v="CONSUMIBLE PROPIO"/>
    <s v="DUSA"/>
    <n v="2"/>
    <n v="1155.18"/>
  </r>
  <r>
    <s v="Camino Real -C"/>
    <s v="17/01/2026"/>
    <x v="1"/>
    <s v="7503013378690"/>
    <s v="Shumatsu 3 pzas - DUSA"/>
    <s v="CONSUMIBLE PROPIO"/>
    <s v="DUSA"/>
    <n v="5"/>
    <n v="2887.95"/>
  </r>
  <r>
    <s v="Camino Real -C"/>
    <s v="21/01/2026"/>
    <x v="1"/>
    <s v="7503013378690"/>
    <s v="Shumatsu 3 pzas - DUSA"/>
    <s v="CONSUMIBLE PROPIO"/>
    <s v="DUSA"/>
    <n v="4"/>
    <n v="2310.36"/>
  </r>
  <r>
    <s v="Camino Real -C"/>
    <s v="22/01/2026"/>
    <x v="1"/>
    <s v="7503013378690"/>
    <s v="Shumatsu 3 pzas - DUSA"/>
    <s v="CONSUMIBLE PROPIO"/>
    <s v="DUSA"/>
    <n v="1"/>
    <n v="577.59"/>
  </r>
  <r>
    <s v="Camino Real -C"/>
    <s v="23/01/2026"/>
    <x v="1"/>
    <s v="7503013378690"/>
    <s v="Shumatsu 3 pzas - DUSA"/>
    <s v="CONSUMIBLE PROPIO"/>
    <s v="DUSA"/>
    <n v="1"/>
    <n v="577.59"/>
  </r>
  <r>
    <s v="Camino Real -C"/>
    <s v="24/01/2026"/>
    <x v="1"/>
    <s v="7503013378690"/>
    <s v="Shumatsu 3 pzas - DUSA"/>
    <s v="CONSUMIBLE PROPIO"/>
    <s v="DUSA"/>
    <n v="1"/>
    <n v="577.59"/>
  </r>
  <r>
    <s v="Camino Real -C"/>
    <s v="25/01/2026"/>
    <x v="1"/>
    <s v="7503013378690"/>
    <s v="Shumatsu 3 pzas - DUSA"/>
    <s v="CONSUMIBLE PROPIO"/>
    <s v="DUSA"/>
    <n v="1"/>
    <n v="577.59"/>
  </r>
  <r>
    <s v="Camino Real -C"/>
    <s v="26/01/2026"/>
    <x v="1"/>
    <s v="7503013378690"/>
    <s v="Shumatsu 3 pzas - DUSA"/>
    <s v="CONSUMIBLE PROPIO"/>
    <s v="DUSA"/>
    <n v="1"/>
    <n v="577.59"/>
  </r>
  <r>
    <s v="Camino Real -C"/>
    <s v="27/01/2026"/>
    <x v="1"/>
    <s v="7503013378690"/>
    <s v="Shumatsu 3 pzas - DUSA"/>
    <s v="CONSUMIBLE PROPIO"/>
    <s v="DUSA"/>
    <n v="3"/>
    <n v="1732.77"/>
  </r>
  <r>
    <s v="Camino Real -C"/>
    <s v="30/01/2026"/>
    <x v="1"/>
    <s v="7503013378690"/>
    <s v="Shumatsu 3 pzas - DUSA"/>
    <s v="CONSUMIBLE PROPIO"/>
    <s v="DUSA"/>
    <n v="2"/>
    <n v="1155.18"/>
  </r>
  <r>
    <s v="Circunvalación CELESTERRA"/>
    <s v="02/01/2026"/>
    <x v="3"/>
    <s v="7503013378690"/>
    <s v="Shumatsu 3 pzas - DUSA"/>
    <s v="CONSUMIBLE PROPIO"/>
    <s v="DUSA"/>
    <n v="3"/>
    <n v="1732.77"/>
  </r>
  <r>
    <s v="Circunvalación CELESTERRA"/>
    <s v="03/01/2026"/>
    <x v="4"/>
    <s v="7503013378690"/>
    <s v="Shumatsu 3 pzas - DUSA"/>
    <s v="CONSUMIBLE PROPIO"/>
    <s v="DUSA"/>
    <n v="1"/>
    <n v="577.59"/>
  </r>
  <r>
    <s v="Circunvalación CELESTERRA"/>
    <s v="19/01/2026"/>
    <x v="4"/>
    <s v="7503013378690"/>
    <s v="Shumatsu 3 pzas - DUSA"/>
    <s v="CONSUMIBLE PROPIO"/>
    <s v="DUSA"/>
    <n v="1"/>
    <n v="577.59"/>
  </r>
  <r>
    <s v="Circunvalación CELESTERRA"/>
    <s v="20/01/2026"/>
    <x v="4"/>
    <s v="7503013378690"/>
    <s v="Shumatsu 3 pzas - DUSA"/>
    <s v="CONSUMIBLE PROPIO"/>
    <s v="DUSA"/>
    <n v="1"/>
    <n v="577.59"/>
  </r>
  <r>
    <s v="Circunvalación CELESTERRA"/>
    <s v="22/01/2026"/>
    <x v="4"/>
    <s v="7503013378690"/>
    <s v="Shumatsu 3 pzas - DUSA"/>
    <s v="CONSUMIBLE PROPIO"/>
    <s v="DUSA"/>
    <n v="2"/>
    <n v="1155.18"/>
  </r>
  <r>
    <s v="Circunvalación CELESTERRA"/>
    <s v="23/01/2026"/>
    <x v="4"/>
    <s v="7503013378690"/>
    <s v="Shumatsu 3 pzas - DUSA"/>
    <s v="CONSUMIBLE PROPIO"/>
    <s v="DUSA"/>
    <n v="2"/>
    <n v="1155.18"/>
  </r>
  <r>
    <s v="Circunvalación CELESTERRA"/>
    <s v="24/01/2026"/>
    <x v="5"/>
    <s v="7503013378690"/>
    <s v="Shumatsu 3 pzas - DUSA"/>
    <s v="CONSUMIBLE PROPIO"/>
    <s v="DUSA"/>
    <n v="2"/>
    <n v="1155.18"/>
  </r>
  <r>
    <s v="Circunvalación CELESTERRA"/>
    <s v="26/01/2026"/>
    <x v="6"/>
    <s v="7503013378690"/>
    <s v="Shumatsu 3 pzas - DUSA"/>
    <s v="CONSUMIBLE PROPIO"/>
    <s v="DUSA"/>
    <n v="1"/>
    <n v="577.59"/>
  </r>
  <r>
    <s v="Circunvalación CELESTERRA"/>
    <s v="28/01/2026"/>
    <x v="4"/>
    <s v="7503013378690"/>
    <s v="Shumatsu 3 pzas - DUSA"/>
    <s v="CONSUMIBLE PROPIO"/>
    <s v="DUSA"/>
    <n v="1"/>
    <n v="577.59"/>
  </r>
  <r>
    <s v="Circunvalación CELESTERRA"/>
    <s v="29/01/2026"/>
    <x v="4"/>
    <s v="7503013378690"/>
    <s v="Shumatsu 3 pzas - DUSA"/>
    <s v="CONSUMIBLE PROPIO"/>
    <s v="DUSA"/>
    <n v="1"/>
    <n v="577.59"/>
  </r>
  <r>
    <s v="Circunvalación CELESTERRA"/>
    <s v="31/01/2026"/>
    <x v="4"/>
    <s v="7503013378690"/>
    <s v="Shumatsu 3 pzas - DUSA"/>
    <s v="CONSUMIBLE PROPIO"/>
    <s v="DUSA"/>
    <n v="3"/>
    <n v="1732.77"/>
  </r>
  <r>
    <s v="Conchitas CEL"/>
    <s v="02/01/2026"/>
    <x v="2"/>
    <s v="7503013378690"/>
    <s v="Shumatsu 3 pzas - DUSA"/>
    <s v="CONSUMIBLE PROPIO"/>
    <s v="DUSA"/>
    <n v="4"/>
    <n v="2310.36"/>
  </r>
  <r>
    <s v="Conchitas CEL"/>
    <s v="04/01/2026"/>
    <x v="7"/>
    <s v="7503013378690"/>
    <s v="Shumatsu 3 pzas - DUSA"/>
    <s v="CONSUMIBLE PROPIO"/>
    <s v="DUSA"/>
    <n v="4"/>
    <n v="2310.36"/>
  </r>
  <r>
    <s v="Conchitas CEL"/>
    <s v="05/01/2026"/>
    <x v="7"/>
    <s v="7503013378690"/>
    <s v="Shumatsu 3 pzas - DUSA"/>
    <s v="CONSUMIBLE PROPIO"/>
    <s v="DUSA"/>
    <n v="2"/>
    <n v="1155.18"/>
  </r>
  <r>
    <s v="Conchitas CEL"/>
    <s v="06/01/2026"/>
    <x v="7"/>
    <s v="7503013378690"/>
    <s v="Shumatsu 3 pzas - DUSA"/>
    <s v="CONSUMIBLE PROPIO"/>
    <s v="DUSA"/>
    <n v="1"/>
    <n v="577.59"/>
  </r>
  <r>
    <s v="Conchitas CEL"/>
    <s v="09/01/2026"/>
    <x v="7"/>
    <s v="7503013378690"/>
    <s v="Shumatsu 3 pzas - DUSA"/>
    <s v="CONSUMIBLE PROPIO"/>
    <s v="DUSA"/>
    <n v="1"/>
    <n v="577.59"/>
  </r>
  <r>
    <s v="Conchitas CEL"/>
    <s v="16/01/2026"/>
    <x v="7"/>
    <s v="7503013378690"/>
    <s v="Shumatsu 3 pzas - DUSA"/>
    <s v="CONSUMIBLE PROPIO"/>
    <s v="DUSA"/>
    <n v="3"/>
    <n v="1732.77"/>
  </r>
  <r>
    <s v="Conchitas CEL"/>
    <s v="17/01/2026"/>
    <x v="7"/>
    <s v="7503013378690"/>
    <s v="Shumatsu 3 pzas - DUSA"/>
    <s v="CONSUMIBLE PROPIO"/>
    <s v="DUSA"/>
    <n v="1"/>
    <n v="577.59"/>
  </r>
  <r>
    <s v="Conchitas CEL"/>
    <s v="19/01/2026"/>
    <x v="7"/>
    <s v="7503013378690"/>
    <s v="Shumatsu 3 pzas - DUSA"/>
    <s v="CONSUMIBLE PROPIO"/>
    <s v="DUSA"/>
    <n v="1"/>
    <n v="577.59"/>
  </r>
  <r>
    <s v="Conchitas CEL"/>
    <s v="22/01/2026"/>
    <x v="7"/>
    <s v="7503013378690"/>
    <s v="Shumatsu 3 pzas - DUSA"/>
    <s v="CONSUMIBLE PROPIO"/>
    <s v="DUSA"/>
    <n v="2"/>
    <n v="1155.18"/>
  </r>
  <r>
    <s v="Conchitas CEL"/>
    <s v="23/01/2026"/>
    <x v="7"/>
    <s v="7503013378690"/>
    <s v="Shumatsu 3 pzas - DUSA"/>
    <s v="CONSUMIBLE PROPIO"/>
    <s v="DUSA"/>
    <n v="1"/>
    <n v="577.59"/>
  </r>
  <r>
    <s v="Conchitas CEL"/>
    <s v="24/01/2026"/>
    <x v="7"/>
    <s v="7503013378690"/>
    <s v="Shumatsu 3 pzas - DUSA"/>
    <s v="CONSUMIBLE PROPIO"/>
    <s v="DUSA"/>
    <n v="2"/>
    <n v="1155.18"/>
  </r>
  <r>
    <s v="Conchitas CEL"/>
    <s v="25/01/2026"/>
    <x v="6"/>
    <s v="7503013378690"/>
    <s v="Shumatsu 3 pzas - DUSA"/>
    <s v="CONSUMIBLE PROPIO"/>
    <s v="DUSA"/>
    <n v="2"/>
    <n v="1155.18"/>
  </r>
  <r>
    <s v="Conchitas CEL"/>
    <s v="26/01/2026"/>
    <x v="7"/>
    <s v="7503013378690"/>
    <s v="Shumatsu 3 pzas - DUSA"/>
    <s v="CONSUMIBLE PROPIO"/>
    <s v="DUSA"/>
    <n v="1"/>
    <n v="577.59"/>
  </r>
  <r>
    <s v="Conchitas CEL"/>
    <s v="27/01/2026"/>
    <x v="7"/>
    <s v="7503013378690"/>
    <s v="Shumatsu 3 pzas - DUSA"/>
    <s v="CONSUMIBLE PROPIO"/>
    <s v="DUSA"/>
    <n v="3"/>
    <n v="1732.77"/>
  </r>
  <r>
    <s v="Conchitas CEL"/>
    <s v="28/01/2026"/>
    <x v="6"/>
    <s v="7503013378690"/>
    <s v="Shumatsu 3 pzas - DUSA"/>
    <s v="CONSUMIBLE PROPIO"/>
    <s v="DUSA"/>
    <n v="2"/>
    <n v="1155.18"/>
  </r>
  <r>
    <s v="Federalismo CEL"/>
    <s v="06/01/2026"/>
    <x v="3"/>
    <s v="7503013378690"/>
    <s v="Shumatsu 3 pzas - DUSA"/>
    <s v="CONSUMIBLE PROPIO"/>
    <s v="DUSA"/>
    <n v="1"/>
    <n v="577.59"/>
  </r>
  <r>
    <s v="Federalismo CEL"/>
    <s v="08/01/2026"/>
    <x v="8"/>
    <s v="7503013378690"/>
    <s v="Shumatsu 3 pzas - DUSA"/>
    <s v="CONSUMIBLE PROPIO"/>
    <s v="DUSA"/>
    <n v="1"/>
    <n v="577.59"/>
  </r>
  <r>
    <s v="Federalismo CEL"/>
    <s v="09/01/2026"/>
    <x v="8"/>
    <s v="7503013378690"/>
    <s v="Shumatsu 3 pzas - DUSA"/>
    <s v="CONSUMIBLE PROPIO"/>
    <s v="DUSA"/>
    <n v="1"/>
    <n v="577.59"/>
  </r>
  <r>
    <s v="Federalismo CEL"/>
    <s v="12/01/2026"/>
    <x v="8"/>
    <s v="7503013378690"/>
    <s v="Shumatsu 3 pzas - DUSA"/>
    <s v="CONSUMIBLE PROPIO"/>
    <s v="DUSA"/>
    <n v="1"/>
    <n v="577.59"/>
  </r>
  <r>
    <s v="Federalismo CEL"/>
    <s v="13/01/2026"/>
    <x v="8"/>
    <s v="7503013378690"/>
    <s v="Shumatsu 3 pzas - DUSA"/>
    <s v="CONSUMIBLE PROPIO"/>
    <s v="DUSA"/>
    <n v="1"/>
    <n v="577.59"/>
  </r>
  <r>
    <s v="Federalismo CEL"/>
    <s v="15/01/2026"/>
    <x v="8"/>
    <s v="7503013378690"/>
    <s v="Shumatsu 3 pzas - DUSA"/>
    <s v="CONSUMIBLE PROPIO"/>
    <s v="DUSA"/>
    <n v="5"/>
    <n v="2887.9500000000003"/>
  </r>
  <r>
    <s v="Federalismo CEL"/>
    <s v="18/01/2026"/>
    <x v="8"/>
    <s v="7503013378690"/>
    <s v="Shumatsu 3 pzas - DUSA"/>
    <s v="CONSUMIBLE PROPIO"/>
    <s v="DUSA"/>
    <n v="1"/>
    <n v="577.59"/>
  </r>
  <r>
    <s v="Federalismo CEL"/>
    <s v="29/01/2026"/>
    <x v="8"/>
    <s v="7503013378690"/>
    <s v="Shumatsu 3 pzas - DUSA"/>
    <s v="CONSUMIBLE PROPIO"/>
    <s v="DUSA"/>
    <n v="2"/>
    <n v="1155.18"/>
  </r>
  <r>
    <s v="Federalismo CEL"/>
    <s v="31/01/2026"/>
    <x v="8"/>
    <s v="7503013378690"/>
    <s v="Shumatsu 3 pzas - DUSA"/>
    <s v="CONSUMIBLE PROPIO"/>
    <s v="DUSA"/>
    <n v="2"/>
    <n v="1155.18"/>
  </r>
  <r>
    <s v="Hidalgo CEL"/>
    <s v="06/01/2026"/>
    <x v="9"/>
    <s v="7503013378690"/>
    <s v="Shumatsu 3 pzas - DUSA"/>
    <s v="CONSUMIBLE PROPIO"/>
    <s v="DUSA"/>
    <n v="1"/>
    <n v="577.59"/>
  </r>
  <r>
    <s v="Hidalgo CEL"/>
    <s v="10/01/2026"/>
    <x v="9"/>
    <s v="7503013378690"/>
    <s v="Shumatsu 3 pzas - DUSA"/>
    <s v="CONSUMIBLE PROPIO"/>
    <s v="DUSA"/>
    <n v="1"/>
    <n v="577.59"/>
  </r>
  <r>
    <s v="Hidalgo CEL"/>
    <s v="16/01/2026"/>
    <x v="9"/>
    <s v="7503013378690"/>
    <s v="Shumatsu 3 pzas - DUSA"/>
    <s v="CONSUMIBLE PROPIO"/>
    <s v="DUSA"/>
    <n v="2"/>
    <n v="1155.18"/>
  </r>
  <r>
    <s v="Hidalgo CEL"/>
    <s v="17/01/2026"/>
    <x v="9"/>
    <s v="7503013378690"/>
    <s v="Shumatsu 3 pzas - DUSA"/>
    <s v="CONSUMIBLE PROPIO"/>
    <s v="DUSA"/>
    <n v="1"/>
    <n v="577.59"/>
  </r>
  <r>
    <s v="Hidalgo CEL"/>
    <s v="23/01/2026"/>
    <x v="9"/>
    <s v="7503013378690"/>
    <s v="Shumatsu 3 pzas - DUSA"/>
    <s v="CONSUMIBLE PROPIO"/>
    <s v="DUSA"/>
    <n v="1"/>
    <n v="577.59"/>
  </r>
  <r>
    <s v="Hidalgo CEL"/>
    <s v="27/01/2026"/>
    <x v="6"/>
    <s v="7503013378690"/>
    <s v="Shumatsu 3 pzas - DUSA"/>
    <s v="CONSUMIBLE PROPIO"/>
    <s v="DUSA"/>
    <n v="1"/>
    <n v="577.59"/>
  </r>
  <r>
    <s v="Hidalgo CEL"/>
    <s v="28/01/2026"/>
    <x v="9"/>
    <s v="7503013378690"/>
    <s v="Shumatsu 3 pzas - DUSA"/>
    <s v="CONSUMIBLE PROPIO"/>
    <s v="DUSA"/>
    <n v="3"/>
    <n v="1732.77"/>
  </r>
  <r>
    <s v="Hidalgo CEL"/>
    <s v="29/01/2026"/>
    <x v="6"/>
    <s v="7503013378690"/>
    <s v="Shumatsu 3 pzas - DUSA"/>
    <s v="CONSUMIBLE PROPIO"/>
    <s v="DUSA"/>
    <n v="1"/>
    <n v="577.59"/>
  </r>
  <r>
    <s v="Hidalgo CEL"/>
    <s v="30/01/2026"/>
    <x v="9"/>
    <s v="7503013378690"/>
    <s v="Shumatsu 3 pzas - DUSA"/>
    <s v="CONSUMIBLE PROPIO"/>
    <s v="DUSA"/>
    <n v="1"/>
    <n v="577.59"/>
  </r>
  <r>
    <s v="Hidalgo CEL"/>
    <s v="31/01/2026"/>
    <x v="9"/>
    <s v="7503013378690"/>
    <s v="Shumatsu 3 pzas - DUSA"/>
    <s v="CONSUMIBLE PROPIO"/>
    <s v="DUSA"/>
    <n v="1"/>
    <n v="577.59"/>
  </r>
  <r>
    <s v="Hotel los Reyes CEL"/>
    <s v="02/01/2026"/>
    <x v="10"/>
    <s v="7503013378690"/>
    <s v="Shumatsu 3 pzas - DUSA"/>
    <s v="CONSUMIBLE PROPIO"/>
    <s v="DUSA"/>
    <n v="1"/>
    <n v="577.59"/>
  </r>
  <r>
    <s v="Hotel los Reyes CEL"/>
    <s v="03/01/2026"/>
    <x v="10"/>
    <s v="7503013378690"/>
    <s v="Shumatsu 3 pzas - DUSA"/>
    <s v="CONSUMIBLE PROPIO"/>
    <s v="DUSA"/>
    <n v="1"/>
    <n v="577.59"/>
  </r>
  <r>
    <s v="Hotel los Reyes CEL"/>
    <s v="07/01/2026"/>
    <x v="10"/>
    <s v="7503013378690"/>
    <s v="Shumatsu 3 pzas - DUSA"/>
    <s v="CONSUMIBLE PROPIO"/>
    <s v="DUSA"/>
    <n v="1"/>
    <n v="577.59"/>
  </r>
  <r>
    <s v="Hotel los Reyes CEL"/>
    <s v="08/01/2026"/>
    <x v="10"/>
    <s v="7503013378690"/>
    <s v="Shumatsu 3 pzas - DUSA"/>
    <s v="CONSUMIBLE PROPIO"/>
    <s v="DUSA"/>
    <n v="1"/>
    <n v="577.59"/>
  </r>
  <r>
    <s v="Hotel los Reyes CEL"/>
    <s v="11/01/2026"/>
    <x v="10"/>
    <s v="7503013378690"/>
    <s v="Shumatsu 3 pzas - DUSA"/>
    <s v="CONSUMIBLE PROPIO"/>
    <s v="DUSA"/>
    <n v="2"/>
    <n v="1155.18"/>
  </r>
  <r>
    <s v="Hotel los Reyes CEL"/>
    <s v="13/01/2026"/>
    <x v="6"/>
    <s v="7503013378690"/>
    <s v="Shumatsu 3 pzas - DUSA"/>
    <s v="CONSUMIBLE PROPIO"/>
    <s v="DUSA"/>
    <n v="1"/>
    <n v="577.59"/>
  </r>
  <r>
    <s v="Hotel los Reyes CEL"/>
    <s v="15/01/2026"/>
    <x v="6"/>
    <s v="7503013378690"/>
    <s v="Shumatsu 3 pzas - DUSA"/>
    <s v="CONSUMIBLE PROPIO"/>
    <s v="DUSA"/>
    <n v="1"/>
    <n v="577.59"/>
  </r>
  <r>
    <s v="Hotel los Reyes CEL"/>
    <s v="19/01/2026"/>
    <x v="6"/>
    <s v="7503013378690"/>
    <s v="Shumatsu 3 pzas - DUSA"/>
    <s v="CONSUMIBLE PROPIO"/>
    <s v="DUSA"/>
    <n v="1"/>
    <n v="577.59"/>
  </r>
  <r>
    <s v="Hotel los Reyes CEL"/>
    <s v="24/01/2026"/>
    <x v="10"/>
    <s v="7503013378690"/>
    <s v="Shumatsu 3 pzas - DUSA"/>
    <s v="CONSUMIBLE PROPIO"/>
    <s v="DUSA"/>
    <n v="1"/>
    <n v="577.59"/>
  </r>
  <r>
    <s v="Hotel los Reyes CEL"/>
    <s v="31/01/2026"/>
    <x v="10"/>
    <s v="7503013378690"/>
    <s v="Shumatsu 3 pzas - DUSA"/>
    <s v="CONSUMIBLE PROPIO"/>
    <s v="DUSA"/>
    <n v="1"/>
    <n v="577.59"/>
  </r>
  <r>
    <s v="León 1 CEL"/>
    <s v="03/01/2026"/>
    <x v="11"/>
    <s v="7503013378690"/>
    <s v="Shumatsu 3 pzas - DUSA"/>
    <s v="CONSUMIBLE PROPIO"/>
    <s v="DUSA"/>
    <n v="1"/>
    <n v="577.59"/>
  </r>
  <r>
    <s v="León 1 CEL"/>
    <s v="06/01/2026"/>
    <x v="11"/>
    <s v="7503013378690"/>
    <s v="Shumatsu 3 pzas - DUSA"/>
    <s v="CONSUMIBLE PROPIO"/>
    <s v="DUSA"/>
    <n v="6"/>
    <n v="3465.54"/>
  </r>
  <r>
    <s v="León 1 CEL"/>
    <s v="13/01/2026"/>
    <x v="11"/>
    <s v="7503013378690"/>
    <s v="Shumatsu 3 pzas - DUSA"/>
    <s v="CONSUMIBLE PROPIO"/>
    <s v="DUSA"/>
    <n v="2"/>
    <n v="1155.18"/>
  </r>
  <r>
    <s v="León 1 CEL"/>
    <s v="16/01/2026"/>
    <x v="11"/>
    <s v="7503013378690"/>
    <s v="Shumatsu 3 pzas - DUSA"/>
    <s v="CONSUMIBLE PROPIO"/>
    <s v="DUSA"/>
    <n v="1"/>
    <n v="577.59"/>
  </r>
  <r>
    <s v="León 1 CEL"/>
    <s v="21/01/2026"/>
    <x v="11"/>
    <s v="7503013378690"/>
    <s v="Shumatsu 3 pzas - DUSA"/>
    <s v="CONSUMIBLE PROPIO"/>
    <s v="DUSA"/>
    <n v="1"/>
    <n v="577.59"/>
  </r>
  <r>
    <s v="León 1 CEL"/>
    <s v="23/01/2026"/>
    <x v="11"/>
    <s v="7503013378690"/>
    <s v="Shumatsu 3 pzas - DUSA"/>
    <s v="CONSUMIBLE PROPIO"/>
    <s v="DUSA"/>
    <n v="1"/>
    <n v="577.59"/>
  </r>
  <r>
    <s v="Naciones Unidas CEL"/>
    <s v="03/01/2026"/>
    <x v="12"/>
    <s v="7503013378690"/>
    <s v="Shumatsu 3 pzas - DUSA"/>
    <s v="CONSUMIBLE PROPIO"/>
    <s v="DUSA"/>
    <n v="2"/>
    <n v="1155.18"/>
  </r>
  <r>
    <s v="Naciones Unidas CEL"/>
    <s v="06/01/2026"/>
    <x v="12"/>
    <s v="7503013378690"/>
    <s v="Shumatsu 3 pzas - DUSA"/>
    <s v="CONSUMIBLE PROPIO"/>
    <s v="DUSA"/>
    <n v="2"/>
    <n v="1155.18"/>
  </r>
  <r>
    <s v="Naciones Unidas CEL"/>
    <s v="07/01/2026"/>
    <x v="12"/>
    <s v="7503013378690"/>
    <s v="Shumatsu 3 pzas - DUSA"/>
    <s v="CONSUMIBLE PROPIO"/>
    <s v="DUSA"/>
    <n v="2"/>
    <n v="1155.18"/>
  </r>
  <r>
    <s v="Naciones Unidas CEL"/>
    <s v="08/01/2026"/>
    <x v="12"/>
    <s v="7503013378690"/>
    <s v="Shumatsu 3 pzas - DUSA"/>
    <s v="CONSUMIBLE PROPIO"/>
    <s v="DUSA"/>
    <n v="1"/>
    <n v="577.59"/>
  </r>
  <r>
    <s v="Naciones Unidas CEL"/>
    <s v="19/01/2026"/>
    <x v="12"/>
    <s v="7503013378690"/>
    <s v="Shumatsu 3 pzas - DUSA"/>
    <s v="CONSUMIBLE PROPIO"/>
    <s v="DUSA"/>
    <n v="5"/>
    <n v="2887.9500000000003"/>
  </r>
  <r>
    <s v="Naciones Unidas CEL"/>
    <s v="20/01/2026"/>
    <x v="12"/>
    <s v="7503013378690"/>
    <s v="Shumatsu 3 pzas - DUSA"/>
    <s v="CONSUMIBLE PROPIO"/>
    <s v="DUSA"/>
    <n v="1"/>
    <n v="577.59"/>
  </r>
  <r>
    <s v="Naciones Unidas CEL"/>
    <s v="29/01/2026"/>
    <x v="12"/>
    <s v="7503013378690"/>
    <s v="Shumatsu 3 pzas - DUSA"/>
    <s v="CONSUMIBLE PROPIO"/>
    <s v="DUSA"/>
    <n v="1"/>
    <n v="577.59"/>
  </r>
  <r>
    <s v="Naciones Unidas CEL"/>
    <s v="30/01/2026"/>
    <x v="12"/>
    <s v="7503013378690"/>
    <s v="Shumatsu 3 pzas - DUSA"/>
    <s v="CONSUMIBLE PROPIO"/>
    <s v="DUSA"/>
    <n v="3"/>
    <n v="1732.77"/>
  </r>
  <r>
    <s v="Patria -CEL"/>
    <s v="02/01/2026"/>
    <x v="6"/>
    <s v="7503013378690"/>
    <s v="Shumatsu 3 pzas - DUSA"/>
    <s v="CONSUMIBLE PROPIO"/>
    <s v="DUSA"/>
    <n v="1"/>
    <n v="577.59"/>
  </r>
  <r>
    <s v="Patria -CEL"/>
    <s v="03/01/2026"/>
    <x v="13"/>
    <s v="7503013378690"/>
    <s v="Shumatsu 3 pzas - DUSA"/>
    <s v="CONSUMIBLE PROPIO"/>
    <s v="DUSA"/>
    <n v="1"/>
    <n v="577.59"/>
  </r>
  <r>
    <s v="Patria -CEL"/>
    <s v="05/01/2026"/>
    <x v="13"/>
    <s v="7503013378690"/>
    <s v="Shumatsu 3 pzas - DUSA"/>
    <s v="CONSUMIBLE PROPIO"/>
    <s v="DUSA"/>
    <n v="2"/>
    <n v="1155.18"/>
  </r>
  <r>
    <s v="Patria -CEL"/>
    <s v="08/01/2026"/>
    <x v="13"/>
    <s v="7503013378690"/>
    <s v="Shumatsu 3 pzas - DUSA"/>
    <s v="CONSUMIBLE PROPIO"/>
    <s v="DUSA"/>
    <n v="3"/>
    <n v="1732.77"/>
  </r>
  <r>
    <s v="Patria -CEL"/>
    <s v="09/01/2026"/>
    <x v="13"/>
    <s v="7503013378690"/>
    <s v="Shumatsu 3 pzas - DUSA"/>
    <s v="CONSUMIBLE PROPIO"/>
    <s v="DUSA"/>
    <n v="1"/>
    <n v="577.59"/>
  </r>
  <r>
    <s v="Patria -CEL"/>
    <s v="10/01/2026"/>
    <x v="13"/>
    <s v="7503013378690"/>
    <s v="Shumatsu 3 pzas - DUSA"/>
    <s v="CONSUMIBLE PROPIO"/>
    <s v="DUSA"/>
    <n v="1"/>
    <n v="577.59"/>
  </r>
  <r>
    <s v="Patria -CEL"/>
    <s v="11/01/2026"/>
    <x v="13"/>
    <s v="7503013378690"/>
    <s v="Shumatsu 3 pzas - DUSA"/>
    <s v="CONSUMIBLE PROPIO"/>
    <s v="DUSA"/>
    <n v="2"/>
    <n v="1155.18"/>
  </r>
  <r>
    <s v="Patria -CEL"/>
    <s v="15/01/2026"/>
    <x v="13"/>
    <s v="7503013378690"/>
    <s v="Shumatsu 3 pzas - DUSA"/>
    <s v="CONSUMIBLE PROPIO"/>
    <s v="DUSA"/>
    <n v="7"/>
    <n v="4043.13"/>
  </r>
  <r>
    <s v="Patria -CEL"/>
    <s v="16/01/2026"/>
    <x v="13"/>
    <s v="7503013378690"/>
    <s v="Shumatsu 3 pzas - DUSA"/>
    <s v="CONSUMIBLE PROPIO"/>
    <s v="DUSA"/>
    <n v="2"/>
    <n v="1155.18"/>
  </r>
  <r>
    <s v="Patria -CEL"/>
    <s v="17/01/2026"/>
    <x v="13"/>
    <s v="7503013378690"/>
    <s v="Shumatsu 3 pzas - DUSA"/>
    <s v="CONSUMIBLE PROPIO"/>
    <s v="DUSA"/>
    <n v="1"/>
    <n v="577.59"/>
  </r>
  <r>
    <s v="Patria -CEL"/>
    <s v="18/01/2026"/>
    <x v="3"/>
    <s v="7503013378690"/>
    <s v="Shumatsu 3 pzas - DUSA"/>
    <s v="CONSUMIBLE PROPIO"/>
    <s v="DUSA"/>
    <n v="2"/>
    <n v="1155.18"/>
  </r>
  <r>
    <s v="Patria -CEL"/>
    <s v="21/01/2026"/>
    <x v="13"/>
    <s v="7503013378690"/>
    <s v="Shumatsu 3 pzas - DUSA"/>
    <s v="CONSUMIBLE PROPIO"/>
    <s v="DUSA"/>
    <n v="1"/>
    <n v="577.59"/>
  </r>
  <r>
    <s v="Patria -CEL"/>
    <s v="22/01/2026"/>
    <x v="6"/>
    <s v="7503013378690"/>
    <s v="Shumatsu 3 pzas - DUSA"/>
    <s v="CONSUMIBLE PROPIO"/>
    <s v="DUSA"/>
    <n v="1"/>
    <n v="577.59"/>
  </r>
  <r>
    <s v="Patria -CEL"/>
    <s v="23/01/2026"/>
    <x v="13"/>
    <s v="7503013378690"/>
    <s v="Shumatsu 3 pzas - DUSA"/>
    <s v="CONSUMIBLE PROPIO"/>
    <s v="DUSA"/>
    <n v="2"/>
    <n v="1155.18"/>
  </r>
  <r>
    <s v="Patria -CEL"/>
    <s v="24/01/2026"/>
    <x v="13"/>
    <s v="7503013378690"/>
    <s v="Shumatsu 3 pzas - DUSA"/>
    <s v="CONSUMIBLE PROPIO"/>
    <s v="DUSA"/>
    <n v="1"/>
    <n v="577.59"/>
  </r>
  <r>
    <s v="Patria -CEL"/>
    <s v="26/01/2026"/>
    <x v="13"/>
    <s v="7503013378690"/>
    <s v="Shumatsu 3 pzas - DUSA"/>
    <s v="CONSUMIBLE PROPIO"/>
    <s v="DUSA"/>
    <n v="1"/>
    <n v="577.59"/>
  </r>
  <r>
    <s v="Patria -CEL"/>
    <s v="27/01/2026"/>
    <x v="13"/>
    <s v="7503013378690"/>
    <s v="Shumatsu 3 pzas - DUSA"/>
    <s v="CONSUMIBLE PROPIO"/>
    <s v="DUSA"/>
    <n v="1"/>
    <n v="577.59"/>
  </r>
  <r>
    <s v="Patria -CEL"/>
    <s v="28/01/2026"/>
    <x v="3"/>
    <s v="7503013378690"/>
    <s v="Shumatsu 3 pzas - DUSA"/>
    <s v="CONSUMIBLE PROPIO"/>
    <s v="DUSA"/>
    <n v="2"/>
    <n v="1155.18"/>
  </r>
  <r>
    <s v="Patria -CEL"/>
    <s v="30/01/2026"/>
    <x v="13"/>
    <s v="7503013378690"/>
    <s v="Shumatsu 3 pzas - DUSA"/>
    <s v="CONSUMIBLE PROPIO"/>
    <s v="DUSA"/>
    <n v="1"/>
    <n v="577.59"/>
  </r>
  <r>
    <s v="Patria -CEL"/>
    <s v="31/01/2026"/>
    <x v="13"/>
    <s v="7503013378690"/>
    <s v="Shumatsu 3 pzas - DUSA"/>
    <s v="CONSUMIBLE PROPIO"/>
    <s v="DUSA"/>
    <n v="2"/>
    <n v="1155.18"/>
  </r>
  <r>
    <s v="Plaza Alamo CELESTERRA"/>
    <s v="03/01/2026"/>
    <x v="14"/>
    <s v="7503013378690"/>
    <s v="Shumatsu 3 pzas - DUSA"/>
    <s v="CONSUMIBLE PROPIO"/>
    <s v="DUSA"/>
    <n v="1"/>
    <n v="577.59"/>
  </r>
  <r>
    <s v="Plaza Alamo CELESTERRA"/>
    <s v="05/01/2026"/>
    <x v="3"/>
    <s v="7503013378690"/>
    <s v="Shumatsu 3 pzas - DUSA"/>
    <s v="CONSUMIBLE PROPIO"/>
    <s v="DUSA"/>
    <n v="1"/>
    <n v="577.59"/>
  </r>
  <r>
    <s v="Plaza Alamo CELESTERRA"/>
    <s v="07/01/2026"/>
    <x v="14"/>
    <s v="7503013378690"/>
    <s v="Shumatsu 3 pzas - DUSA"/>
    <s v="CONSUMIBLE PROPIO"/>
    <s v="DUSA"/>
    <n v="1"/>
    <n v="577.59"/>
  </r>
  <r>
    <s v="Plaza Alamo CELESTERRA"/>
    <s v="10/01/2026"/>
    <x v="14"/>
    <s v="7503013378690"/>
    <s v="Shumatsu 3 pzas - DUSA"/>
    <s v="CONSUMIBLE PROPIO"/>
    <s v="DUSA"/>
    <n v="1"/>
    <n v="577.59"/>
  </r>
  <r>
    <s v="Plaza Alamo CELESTERRA"/>
    <s v="13/01/2026"/>
    <x v="14"/>
    <s v="7503013378690"/>
    <s v="Shumatsu 3 pzas - DUSA"/>
    <s v="CONSUMIBLE PROPIO"/>
    <s v="DUSA"/>
    <n v="1"/>
    <n v="577.59"/>
  </r>
  <r>
    <s v="Plaza Alamo CELESTERRA"/>
    <s v="16/01/2026"/>
    <x v="14"/>
    <s v="7503013378690"/>
    <s v="Shumatsu 3 pzas - DUSA"/>
    <s v="CONSUMIBLE PROPIO"/>
    <s v="DUSA"/>
    <n v="1"/>
    <n v="577.59"/>
  </r>
  <r>
    <s v="Plaza Alamo CELESTERRA"/>
    <s v="17/01/2026"/>
    <x v="14"/>
    <s v="7503013378690"/>
    <s v="Shumatsu 3 pzas - DUSA"/>
    <s v="CONSUMIBLE PROPIO"/>
    <s v="DUSA"/>
    <n v="1"/>
    <n v="577.59"/>
  </r>
  <r>
    <s v="Plaza Alamo CELESTERRA"/>
    <s v="20/01/2026"/>
    <x v="14"/>
    <s v="7503013378690"/>
    <s v="Shumatsu 3 pzas - DUSA"/>
    <s v="CONSUMIBLE PROPIO"/>
    <s v="DUSA"/>
    <n v="1"/>
    <n v="577.59"/>
  </r>
  <r>
    <s v="Plaza Alamo CELESTERRA"/>
    <s v="21/01/2026"/>
    <x v="5"/>
    <s v="7503013378690"/>
    <s v="Shumatsu 3 pzas - DUSA"/>
    <s v="CONSUMIBLE PROPIO"/>
    <s v="DUSA"/>
    <n v="1"/>
    <n v="577.59"/>
  </r>
  <r>
    <s v="Plaza Alamo CELESTERRA"/>
    <s v="22/01/2026"/>
    <x v="14"/>
    <s v="7503013378690"/>
    <s v="Shumatsu 3 pzas - DUSA"/>
    <s v="CONSUMIBLE PROPIO"/>
    <s v="DUSA"/>
    <n v="2"/>
    <n v="1155.18"/>
  </r>
  <r>
    <s v="Plaza Alamo CELESTERRA"/>
    <s v="27/01/2026"/>
    <x v="14"/>
    <s v="7503013378690"/>
    <s v="Shumatsu 3 pzas - DUSA"/>
    <s v="CONSUMIBLE PROPIO"/>
    <s v="DUSA"/>
    <n v="2"/>
    <n v="1155.18"/>
  </r>
  <r>
    <s v="Plaza Alamo CELESTERRA"/>
    <s v="28/01/2026"/>
    <x v="14"/>
    <s v="7503013378690"/>
    <s v="Shumatsu 3 pzas - DUSA"/>
    <s v="CONSUMIBLE PROPIO"/>
    <s v="DUSA"/>
    <n v="3"/>
    <n v="1732.77"/>
  </r>
  <r>
    <s v="Plaza Conchitas CEL"/>
    <s v="16/01/2026"/>
    <x v="15"/>
    <s v="7503013378690"/>
    <s v="Shumatsu 3 pzas - DUSA"/>
    <s v="CONSUMIBLE PROPIO"/>
    <s v="DUSA"/>
    <n v="2"/>
    <n v="1155.18"/>
  </r>
  <r>
    <s v="Plaza Conchitas CEL"/>
    <s v="17/01/2026"/>
    <x v="15"/>
    <s v="7503013378690"/>
    <s v="Shumatsu 3 pzas - DUSA"/>
    <s v="CONSUMIBLE PROPIO"/>
    <s v="DUSA"/>
    <n v="1"/>
    <n v="577.59"/>
  </r>
  <r>
    <s v="Plaza Conchitas CEL"/>
    <s v="19/01/2026"/>
    <x v="15"/>
    <s v="7503013378690"/>
    <s v="Shumatsu 3 pzas - DUSA"/>
    <s v="CONSUMIBLE PROPIO"/>
    <s v="DUSA"/>
    <n v="1"/>
    <n v="577.59"/>
  </r>
  <r>
    <s v="Plaza Conchitas CEL"/>
    <s v="20/01/2026"/>
    <x v="15"/>
    <s v="7503013378690"/>
    <s v="Shumatsu 3 pzas - DUSA"/>
    <s v="CONSUMIBLE PROPIO"/>
    <s v="DUSA"/>
    <n v="1"/>
    <n v="577.59"/>
  </r>
  <r>
    <s v="Plaza Conchitas CEL"/>
    <s v="23/01/2026"/>
    <x v="15"/>
    <s v="7503013378690"/>
    <s v="Shumatsu 3 pzas - DUSA"/>
    <s v="CONSUMIBLE PROPIO"/>
    <s v="DUSA"/>
    <n v="1"/>
    <n v="577.59"/>
  </r>
  <r>
    <s v="Plaza Conchitas CEL"/>
    <s v="24/01/2026"/>
    <x v="15"/>
    <s v="7503013378690"/>
    <s v="Shumatsu 3 pzas - DUSA"/>
    <s v="CONSUMIBLE PROPIO"/>
    <s v="DUSA"/>
    <n v="1"/>
    <n v="577.59"/>
  </r>
  <r>
    <s v="Plaza Conchitas CEL"/>
    <s v="30/01/2026"/>
    <x v="15"/>
    <s v="7503013378690"/>
    <s v="Shumatsu 3 pzas - DUSA"/>
    <s v="CONSUMIBLE PROPIO"/>
    <s v="DUSA"/>
    <n v="1"/>
    <n v="577.59"/>
  </r>
  <r>
    <s v="Plaza las Torres CELESTERRA"/>
    <s v="06/01/2026"/>
    <x v="5"/>
    <s v="7503013378690"/>
    <s v="Shumatsu 3 pzas - DUSA"/>
    <s v="CONSUMIBLE PROPIO"/>
    <s v="DUSA"/>
    <n v="1"/>
    <n v="577.59"/>
  </r>
  <r>
    <s v="Plaza las Torres CELESTERRA"/>
    <s v="16/01/2026"/>
    <x v="3"/>
    <s v="7503013378690"/>
    <s v="Shumatsu 3 pzas - DUSA"/>
    <s v="CONSUMIBLE PROPIO"/>
    <s v="DUSA"/>
    <n v="1"/>
    <n v="577.59"/>
  </r>
  <r>
    <s v="Plaza las Torres CELESTERRA"/>
    <s v="17/01/2026"/>
    <x v="2"/>
    <s v="7503013378690"/>
    <s v="Shumatsu 3 pzas - DUSA"/>
    <s v="CONSUMIBLE PROPIO"/>
    <s v="DUSA"/>
    <n v="1"/>
    <n v="577.59"/>
  </r>
  <r>
    <s v="Plaza las Torres CELESTERRA"/>
    <s v="23/01/2026"/>
    <x v="3"/>
    <s v="7503013378690"/>
    <s v="Shumatsu 3 pzas - DUSA"/>
    <s v="CONSUMIBLE PROPIO"/>
    <s v="DUSA"/>
    <n v="1"/>
    <n v="577.59"/>
  </r>
  <r>
    <s v="Plaza las Torres CELESTERRA"/>
    <s v="24/01/2026"/>
    <x v="3"/>
    <s v="7503013378690"/>
    <s v="Shumatsu 3 pzas - DUSA"/>
    <s v="CONSUMIBLE PROPIO"/>
    <s v="DUSA"/>
    <n v="2"/>
    <n v="1155.18"/>
  </r>
  <r>
    <s v="Plaza las Torres CELESTERRA"/>
    <s v="25/01/2026"/>
    <x v="3"/>
    <s v="7503013378690"/>
    <s v="Shumatsu 3 pzas - DUSA"/>
    <s v="CONSUMIBLE PROPIO"/>
    <s v="DUSA"/>
    <n v="1"/>
    <n v="577.59"/>
  </r>
  <r>
    <s v="Plaza las Torres CELESTERRA"/>
    <s v="26/01/2026"/>
    <x v="3"/>
    <s v="7503013378690"/>
    <s v="Shumatsu 3 pzas - DUSA"/>
    <s v="CONSUMIBLE PROPIO"/>
    <s v="DUSA"/>
    <n v="1"/>
    <n v="577.59"/>
  </r>
  <r>
    <s v="Plaza las Torres CELESTERRA"/>
    <s v="30/01/2026"/>
    <x v="5"/>
    <s v="7503013378690"/>
    <s v="Shumatsu 3 pzas - DUSA"/>
    <s v="CONSUMIBLE PROPIO"/>
    <s v="DUSA"/>
    <n v="1"/>
    <n v="577.59"/>
  </r>
  <r>
    <s v="Plaza las Torres CELESTERRA"/>
    <s v="31/01/2026"/>
    <x v="5"/>
    <s v="7503013378690"/>
    <s v="Shumatsu 3 pzas - DUSA"/>
    <s v="CONSUMIBLE PROPIO"/>
    <s v="DUSA"/>
    <n v="2"/>
    <n v="1155.18"/>
  </r>
  <r>
    <s v="Plaza Madison -CEL"/>
    <s v="02/01/2026"/>
    <x v="16"/>
    <s v="7503013378690"/>
    <s v="Shumatsu 3 pzas - DUSA"/>
    <s v="CONSUMIBLE PROPIO"/>
    <s v="DUSA"/>
    <n v="3"/>
    <n v="1732.77"/>
  </r>
  <r>
    <s v="Plaza Madison -CEL"/>
    <s v="17/01/2026"/>
    <x v="16"/>
    <s v="7503013378690"/>
    <s v="Shumatsu 3 pzas - DUSA"/>
    <s v="CONSUMIBLE PROPIO"/>
    <s v="DUSA"/>
    <n v="1"/>
    <n v="577.59"/>
  </r>
  <r>
    <s v="Plaza Madison -CEL"/>
    <s v="29/01/2026"/>
    <x v="16"/>
    <s v="7503013378690"/>
    <s v="Shumatsu 3 pzas - DUSA"/>
    <s v="CONSUMIBLE PROPIO"/>
    <s v="DUSA"/>
    <n v="3"/>
    <n v="1732.77"/>
  </r>
  <r>
    <s v="Plaza Madison -CEL"/>
    <s v="30/01/2026"/>
    <x v="16"/>
    <s v="7503013378690"/>
    <s v="Shumatsu 3 pzas - DUSA"/>
    <s v="CONSUMIBLE PROPIO"/>
    <s v="DUSA"/>
    <n v="1"/>
    <n v="577.59"/>
  </r>
  <r>
    <s v="Plaza Sauces CEL"/>
    <s v="02/01/2026"/>
    <x v="17"/>
    <s v="7503013378690"/>
    <s v="Shumatsu 3 pzas - DUSA"/>
    <s v="CONSUMIBLE PROPIO"/>
    <s v="DUSA"/>
    <n v="1"/>
    <n v="577.59"/>
  </r>
  <r>
    <s v="Plaza Sauces CEL"/>
    <s v="03/01/2026"/>
    <x v="2"/>
    <s v="7503013378690"/>
    <s v="Shumatsu 3 pzas - DUSA"/>
    <s v="CONSUMIBLE PROPIO"/>
    <s v="DUSA"/>
    <n v="1"/>
    <n v="577.59"/>
  </r>
  <r>
    <s v="Plaza Sauces CEL"/>
    <s v="04/01/2026"/>
    <x v="17"/>
    <s v="7503013378690"/>
    <s v="Shumatsu 3 pzas - DUSA"/>
    <s v="CONSUMIBLE PROPIO"/>
    <s v="DUSA"/>
    <n v="2"/>
    <n v="1155.18"/>
  </r>
  <r>
    <s v="Plaza Sauces CEL"/>
    <s v="05/01/2026"/>
    <x v="17"/>
    <s v="7503013378690"/>
    <s v="Shumatsu 3 pzas - DUSA"/>
    <s v="CONSUMIBLE PROPIO"/>
    <s v="DUSA"/>
    <n v="3"/>
    <n v="1732.77"/>
  </r>
  <r>
    <s v="Plaza Sauces CEL"/>
    <s v="06/01/2026"/>
    <x v="17"/>
    <s v="7503013378690"/>
    <s v="Shumatsu 3 pzas - DUSA"/>
    <s v="CONSUMIBLE PROPIO"/>
    <s v="DUSA"/>
    <n v="1"/>
    <n v="577.59"/>
  </r>
  <r>
    <s v="Plaza Sauces CEL"/>
    <s v="17/01/2026"/>
    <x v="5"/>
    <s v="7503013378690"/>
    <s v="Shumatsu 3 pzas - DUSA"/>
    <s v="CONSUMIBLE PROPIO"/>
    <s v="DUSA"/>
    <n v="3"/>
    <n v="1732.77"/>
  </r>
  <r>
    <s v="Plaza Sauces CEL"/>
    <s v="19/01/2026"/>
    <x v="17"/>
    <s v="7503013378690"/>
    <s v="Shumatsu 3 pzas - DUSA"/>
    <s v="CONSUMIBLE PROPIO"/>
    <s v="DUSA"/>
    <n v="1"/>
    <n v="577.59"/>
  </r>
  <r>
    <s v="Plaza Sauces CEL"/>
    <s v="21/01/2026"/>
    <x v="17"/>
    <s v="7503013378690"/>
    <s v="Shumatsu 3 pzas - DUSA"/>
    <s v="CONSUMIBLE PROPIO"/>
    <s v="DUSA"/>
    <n v="1"/>
    <n v="577.59"/>
  </r>
  <r>
    <s v="Plaza Sauces CEL"/>
    <s v="22/01/2026"/>
    <x v="17"/>
    <s v="7503013378690"/>
    <s v="Shumatsu 3 pzas - DUSA"/>
    <s v="CONSUMIBLE PROPIO"/>
    <s v="DUSA"/>
    <n v="2"/>
    <n v="1155.18"/>
  </r>
  <r>
    <s v="Plaza Sauces CEL"/>
    <s v="23/01/2026"/>
    <x v="2"/>
    <s v="7503013378690"/>
    <s v="Shumatsu 3 pzas - DUSA"/>
    <s v="CONSUMIBLE PROPIO"/>
    <s v="DUSA"/>
    <n v="1"/>
    <n v="577.59"/>
  </r>
  <r>
    <s v="Plaza Sauces CEL"/>
    <s v="25/01/2026"/>
    <x v="17"/>
    <s v="7503013378690"/>
    <s v="Shumatsu 3 pzas - DUSA"/>
    <s v="CONSUMIBLE PROPIO"/>
    <s v="DUSA"/>
    <n v="1"/>
    <n v="577.59"/>
  </r>
  <r>
    <s v="Plaza Sauces CEL"/>
    <s v="26/01/2026"/>
    <x v="17"/>
    <s v="7503013378690"/>
    <s v="Shumatsu 3 pzas - DUSA"/>
    <s v="CONSUMIBLE PROPIO"/>
    <s v="DUSA"/>
    <n v="4"/>
    <n v="2310.36"/>
  </r>
  <r>
    <s v="Plaza Sauces CEL"/>
    <s v="27/01/2026"/>
    <x v="17"/>
    <s v="7503013378690"/>
    <s v="Shumatsu 3 pzas - DUSA"/>
    <s v="CONSUMIBLE PROPIO"/>
    <s v="DUSA"/>
    <n v="2"/>
    <n v="1155.18"/>
  </r>
  <r>
    <s v="Plaza Sauces CEL"/>
    <s v="28/01/2026"/>
    <x v="17"/>
    <s v="7503013378690"/>
    <s v="Shumatsu 3 pzas - DUSA"/>
    <s v="CONSUMIBLE PROPIO"/>
    <s v="DUSA"/>
    <n v="1"/>
    <n v="577.59"/>
  </r>
  <r>
    <s v="Plaza Sauces CEL"/>
    <s v="30/01/2026"/>
    <x v="17"/>
    <s v="7503013378690"/>
    <s v="Shumatsu 3 pzas - DUSA"/>
    <s v="CONSUMIBLE PROPIO"/>
    <s v="DUSA"/>
    <n v="1"/>
    <n v="577.59"/>
  </r>
  <r>
    <s v="Plaza Sauces CEL"/>
    <s v="31/01/2026"/>
    <x v="2"/>
    <s v="7503013378690"/>
    <s v="Shumatsu 3 pzas - DUSA"/>
    <s v="CONSUMIBLE PROPIO"/>
    <s v="DUSA"/>
    <n v="1"/>
    <n v="577.59"/>
  </r>
  <r>
    <s v="Plaza Zenter CEL"/>
    <s v="18/01/2026"/>
    <x v="2"/>
    <s v="7503013378690"/>
    <s v="Shumatsu 3 pzas - DUSA"/>
    <s v="CONSUMIBLE PROPIO"/>
    <s v="DUSA"/>
    <n v="2"/>
    <n v="1155.18"/>
  </r>
  <r>
    <s v="Plaza Zenter CEL"/>
    <s v="20/01/2026"/>
    <x v="18"/>
    <s v="7503013378690"/>
    <s v="Shumatsu 3 pzas - DUSA"/>
    <s v="CONSUMIBLE PROPIO"/>
    <s v="DUSA"/>
    <n v="2"/>
    <n v="1155.18"/>
  </r>
  <r>
    <s v="Plaza Zenter CEL"/>
    <s v="21/01/2026"/>
    <x v="18"/>
    <s v="7503013378690"/>
    <s v="Shumatsu 3 pzas - DUSA"/>
    <s v="CONSUMIBLE PROPIO"/>
    <s v="DUSA"/>
    <n v="1"/>
    <n v="577.59"/>
  </r>
  <r>
    <s v="Plaza Zenter CEL"/>
    <s v="22/01/2026"/>
    <x v="18"/>
    <s v="7503013378690"/>
    <s v="Shumatsu 3 pzas - DUSA"/>
    <s v="CONSUMIBLE PROPIO"/>
    <s v="DUSA"/>
    <n v="2"/>
    <n v="1155.18"/>
  </r>
  <r>
    <s v="Plaza Zenter CEL"/>
    <s v="23/01/2026"/>
    <x v="18"/>
    <s v="7503013378690"/>
    <s v="Shumatsu 3 pzas - DUSA"/>
    <s v="CONSUMIBLE PROPIO"/>
    <s v="DUSA"/>
    <n v="1"/>
    <n v="577.59"/>
  </r>
  <r>
    <s v="Plaza Zenter CEL"/>
    <s v="24/01/2026"/>
    <x v="18"/>
    <s v="7503013378690"/>
    <s v="Shumatsu 3 pzas - DUSA"/>
    <s v="CONSUMIBLE PROPIO"/>
    <s v="DUSA"/>
    <n v="2"/>
    <n v="1155.18"/>
  </r>
  <r>
    <s v="Plaza Zenter CEL"/>
    <s v="27/01/2026"/>
    <x v="2"/>
    <s v="7503013378690"/>
    <s v="Shumatsu 3 pzas - DUSA"/>
    <s v="CONSUMIBLE PROPIO"/>
    <s v="DUSA"/>
    <n v="1"/>
    <n v="577.59"/>
  </r>
  <r>
    <s v="Plaza Zenter CEL"/>
    <s v="29/01/2026"/>
    <x v="3"/>
    <s v="7503013378690"/>
    <s v="Shumatsu 3 pzas - DUSA"/>
    <s v="CONSUMIBLE PROPIO"/>
    <s v="DUSA"/>
    <n v="1"/>
    <n v="577.59"/>
  </r>
  <r>
    <s v="Plaza Zenter CEL"/>
    <s v="31/01/2026"/>
    <x v="18"/>
    <s v="7503013378690"/>
    <s v="Shumatsu 3 pzas - DUSA"/>
    <s v="CONSUMIBLE PROPIO"/>
    <s v="DUSA"/>
    <n v="4"/>
    <n v="2310.36"/>
  </r>
  <r>
    <s v="Provenza-Cel"/>
    <s v="17/01/2026"/>
    <x v="3"/>
    <s v="7503013378690"/>
    <s v="Shumatsu 3 pzas - DUSA"/>
    <s v="CONSUMIBLE PROPIO"/>
    <s v="DUSA"/>
    <n v="1"/>
    <n v="577.59"/>
  </r>
  <r>
    <s v="Provenza-Cel"/>
    <s v="21/01/2026"/>
    <x v="19"/>
    <s v="7503013378690"/>
    <s v="Shumatsu 3 pzas - DUSA"/>
    <s v="CONSUMIBLE PROPIO"/>
    <s v="DUSA"/>
    <n v="2"/>
    <n v="1155.18"/>
  </r>
  <r>
    <s v="Provenza-Cel"/>
    <s v="22/01/2026"/>
    <x v="19"/>
    <s v="7503013378690"/>
    <s v="Shumatsu 3 pzas - DUSA"/>
    <s v="CONSUMIBLE PROPIO"/>
    <s v="DUSA"/>
    <n v="1"/>
    <n v="577.59"/>
  </r>
  <r>
    <s v="Provenza-Cel"/>
    <s v="23/01/2026"/>
    <x v="19"/>
    <s v="7503013378690"/>
    <s v="Shumatsu 3 pzas - DUSA"/>
    <s v="CONSUMIBLE PROPIO"/>
    <s v="DUSA"/>
    <n v="1"/>
    <n v="577.59"/>
  </r>
  <r>
    <s v="Provenza-Cel"/>
    <s v="25/01/2026"/>
    <x v="19"/>
    <s v="7503013378690"/>
    <s v="Shumatsu 3 pzas - DUSA"/>
    <s v="CONSUMIBLE PROPIO"/>
    <s v="DUSA"/>
    <n v="1"/>
    <n v="577.59"/>
  </r>
  <r>
    <s v="Provenza-Cel"/>
    <s v="26/01/2026"/>
    <x v="19"/>
    <s v="7503013378690"/>
    <s v="Shumatsu 3 pzas - DUSA"/>
    <s v="CONSUMIBLE PROPIO"/>
    <s v="DUSA"/>
    <n v="3"/>
    <n v="1732.77"/>
  </r>
  <r>
    <s v="Provenza-Cel"/>
    <s v="28/01/2026"/>
    <x v="19"/>
    <s v="7503013378690"/>
    <s v="Shumatsu 3 pzas - DUSA"/>
    <s v="CONSUMIBLE PROPIO"/>
    <s v="DUSA"/>
    <n v="1"/>
    <n v="577.59"/>
  </r>
  <r>
    <s v="Provenza-Cel"/>
    <s v="29/01/2026"/>
    <x v="19"/>
    <s v="7503013378690"/>
    <s v="Shumatsu 3 pzas - DUSA"/>
    <s v="CONSUMIBLE PROPIO"/>
    <s v="DUSA"/>
    <n v="1"/>
    <n v="577.59"/>
  </r>
  <r>
    <s v="Provenza-Cel"/>
    <s v="30/01/2026"/>
    <x v="19"/>
    <s v="7503013378690"/>
    <s v="Shumatsu 3 pzas - DUSA"/>
    <s v="CONSUMIBLE PROPIO"/>
    <s v="DUSA"/>
    <n v="1"/>
    <n v="577.5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1">
  <r>
    <x v="0"/>
    <s v="02/01/2026"/>
    <s v="NOE JONAS D CEL"/>
    <s v="7503013378652"/>
    <s v="Liquid Love Backdoor 100ml - DUSA"/>
    <s v="CONSUMIBLE PROPIO"/>
    <s v="DUSA"/>
    <n v="1"/>
    <n v="1077.5899999999999"/>
  </r>
  <r>
    <x v="0"/>
    <s v="02/01/2026"/>
    <s v="NOE JONAS D CEL"/>
    <s v="7503013378690"/>
    <s v="Shumatsu 3 pzas - DUSA"/>
    <s v="CONSUMIBLE PROPIO"/>
    <s v="DUSA"/>
    <n v="1"/>
    <n v="577.59"/>
  </r>
  <r>
    <x v="0"/>
    <s v="03/01/2026"/>
    <s v="NOE JONAS D CEL"/>
    <s v="7503014914002"/>
    <s v="CAPSULAS MULTIORGASMICO AMO O-GEN"/>
    <s v="CONSUMIBLE"/>
    <s v="POWER MAN"/>
    <n v="1"/>
    <n v="431.04"/>
  </r>
  <r>
    <x v="0"/>
    <s v="03/01/2026"/>
    <s v="NOE JONAS D CEL"/>
    <s v="8699415912859"/>
    <s v="Miel Vigorizante para Hombre  Miracle Honey  VIP 15g-  SECRET MIRACLE HONEY"/>
    <s v="CONSUMIBLE"/>
    <s v="SECRET MIRACLE HONEY"/>
    <n v="1"/>
    <n v="215.52"/>
  </r>
  <r>
    <x v="0"/>
    <s v="03/01/2026"/>
    <s v="NOE JONAS D CEL"/>
    <s v="7503023462891"/>
    <s v="ORAL SEX Exotic Nut 30ml - DIAMANTE"/>
    <s v="CONSUMIBLE"/>
    <s v="DIAMANTE"/>
    <n v="1"/>
    <n v="310.35000000000002"/>
  </r>
  <r>
    <x v="0"/>
    <s v="03/01/2026"/>
    <s v="NOE JONAS D CEL"/>
    <s v="7503032300443"/>
    <s v="Zoe bala vibradora RETAIL - CXO"/>
    <s v="JUGUETE PROPIO"/>
    <s v="CXO"/>
    <n v="2"/>
    <n v="310.33999999999997"/>
  </r>
  <r>
    <x v="0"/>
    <s v="04/01/2026"/>
    <s v="ANGEL DANILO RODRIGUEZ LOPEZ"/>
    <s v="7502214982477"/>
    <s v="Condon Fresa 3pzs - PRUDENCE"/>
    <s v="CONSUMIBLE"/>
    <s v="PRUDENCE"/>
    <n v="1"/>
    <n v="60.34"/>
  </r>
  <r>
    <x v="0"/>
    <s v="04/01/2026"/>
    <s v="ANGEL DANILO RODRIGUEZ LOPEZ"/>
    <s v="7503032300993"/>
    <s v="Liquid Love Pleasure 30ml - DUSA"/>
    <s v="CONSUMIBLE PROPIO"/>
    <s v="DUSA"/>
    <n v="1"/>
    <n v="301.72000000000003"/>
  </r>
  <r>
    <x v="0"/>
    <s v="04/01/2026"/>
    <s v="ANGEL DANILO RODRIGUEZ LOPEZ"/>
    <s v="7503050524241"/>
    <s v="Orgasmik 30ml - DUSA"/>
    <s v="CONSUMIBLE PROPIO"/>
    <s v="DUSA"/>
    <n v="1"/>
    <n v="431.03"/>
  </r>
  <r>
    <x v="0"/>
    <s v="05/01/2026"/>
    <s v="NOE JONAS D CEL"/>
    <s v="7503030211021"/>
    <s v="Anillo desechable para pene Donut - CXO"/>
    <s v="JUGUETE PROPIO"/>
    <s v="CXO"/>
    <n v="1"/>
    <n v="34.479999999999997"/>
  </r>
  <r>
    <x v="0"/>
    <s v="05/01/2026"/>
    <s v="NOE JONAS D CEL"/>
    <s v="7503043917081"/>
    <s v="Blade rosa anillo vibrador - CXO"/>
    <s v="JUGUETE PROPIO"/>
    <s v="CXO"/>
    <n v="1"/>
    <n v="81.900000000000006"/>
  </r>
  <r>
    <x v="0"/>
    <s v="05/01/2026"/>
    <s v="NOE JONAS D CEL"/>
    <s v="7503013378492"/>
    <s v="Clean Whisper 120ml - DUSA"/>
    <s v="CONSUMIBLE PROPIO"/>
    <s v="DUSA"/>
    <n v="1"/>
    <n v="301.72000000000003"/>
  </r>
  <r>
    <x v="0"/>
    <s v="05/01/2026"/>
    <s v="NOE JONAS D CEL"/>
    <s v="8699415912859"/>
    <s v="Miel Vigorizante para Hombre  Miracle Honey  VIP 15g-  SECRET MIRACLE HONEY"/>
    <s v="CONSUMIBLE"/>
    <s v="SECRET MIRACLE HONEY"/>
    <n v="2"/>
    <n v="431.04"/>
  </r>
  <r>
    <x v="0"/>
    <s v="05/01/2026"/>
    <s v="NOE JONAS D CEL"/>
    <s v="6959633156094"/>
    <s v="Robin - SVAKOM"/>
    <s v="JUGUETE"/>
    <s v="SVAKOM"/>
    <n v="1"/>
    <n v="1318.97"/>
  </r>
  <r>
    <x v="0"/>
    <s v="05/01/2026"/>
    <s v="NOE JONAS D CEL"/>
    <s v="7503032300443"/>
    <s v="Zoe bala vibradora RETAIL - CXO"/>
    <s v="JUGUETE PROPIO"/>
    <s v="CXO"/>
    <n v="2"/>
    <n v="310.33999999999997"/>
  </r>
  <r>
    <x v="0"/>
    <s v="06/01/2026"/>
    <s v="NOE JONAS D CEL"/>
    <s v="7503032300993"/>
    <s v="Liquid Love Pleasure 30ml - DUSA"/>
    <s v="CONSUMIBLE PROPIO"/>
    <s v="DUSA"/>
    <n v="1"/>
    <n v="301.72000000000003"/>
  </r>
  <r>
    <x v="0"/>
    <s v="06/01/2026"/>
    <s v="NOE JONAS D CEL"/>
    <s v="8699415912859"/>
    <s v="Miel Vigorizante para Hombre  Miracle Honey  VIP 15g-  SECRET MIRACLE HONEY"/>
    <s v="CONSUMIBLE"/>
    <s v="SECRET MIRACLE HONEY"/>
    <n v="1"/>
    <n v="215.52"/>
  </r>
  <r>
    <x v="0"/>
    <s v="06/01/2026"/>
    <s v="NOE JONAS D CEL"/>
    <s v="819835024781"/>
    <s v="Pom Adjustable Nipple Clamps - NOIR"/>
    <s v="LENCERIA"/>
    <s v="BLUSH"/>
    <n v="1"/>
    <n v="543.1"/>
  </r>
  <r>
    <x v="0"/>
    <s v="06/01/2026"/>
    <s v="NOE JONAS D CEL"/>
    <s v="7503013378010"/>
    <s v="Rigidex 2 pzas - DUSA"/>
    <s v="CONSUMIBLE PROPIO"/>
    <s v="DUSA"/>
    <n v="1"/>
    <n v="431.03"/>
  </r>
  <r>
    <x v="0"/>
    <s v="06/01/2026"/>
    <s v="NOE JONAS D CEL"/>
    <s v="7503026484050"/>
    <s v="SENSIBILIZADOR PARA PEZONES 15ML"/>
    <s v="CONSUMIBLE"/>
    <s v="FEEL LOVE"/>
    <n v="1"/>
    <n v="172.41"/>
  </r>
  <r>
    <x v="0"/>
    <s v="06/01/2026"/>
    <s v="NOE JONAS D CEL"/>
    <s v="7503020596957"/>
    <s v="Shot Shumatsu Fun Hombre - DUSA"/>
    <s v="CONSUMIBLE PROPIO"/>
    <s v="DUSA"/>
    <n v="1"/>
    <n v="172.41"/>
  </r>
  <r>
    <x v="0"/>
    <s v="06/01/2026"/>
    <s v="NOE JONAS D CEL"/>
    <s v="7503024256192"/>
    <s v="Shot Shumatsu Fun Mujer - DUSA"/>
    <s v="CONSUMIBLE PROPIO"/>
    <s v="DUSA"/>
    <n v="1"/>
    <n v="172.41"/>
  </r>
  <r>
    <x v="0"/>
    <s v="07/01/2026"/>
    <s v="NOE JONAS D CEL"/>
    <s v="7503030111031"/>
    <s v="Anillo vibrador de aro doble con estimulador y dildo Javier - CXO"/>
    <s v="JUGUETE PROPIO"/>
    <s v="CXO"/>
    <n v="1"/>
    <n v="1681.03"/>
  </r>
  <r>
    <x v="0"/>
    <s v="07/01/2026"/>
    <s v="NOE JONAS D CEL"/>
    <s v="7503043917081"/>
    <s v="Blade rosa anillo vibrador - CXO"/>
    <s v="JUGUETE PROPIO"/>
    <s v="CXO"/>
    <n v="3"/>
    <n v="245.70000000000002"/>
  </r>
  <r>
    <x v="0"/>
    <s v="07/01/2026"/>
    <s v="NOE JONAS D CEL"/>
    <s v="7503014914002"/>
    <s v="CAPSULAS MULTIORGASMICO AMO O-GEN"/>
    <s v="CONSUMIBLE"/>
    <s v="POWER MAN"/>
    <n v="1"/>
    <n v="431.04"/>
  </r>
  <r>
    <x v="0"/>
    <s v="07/01/2026"/>
    <s v="NOE JONAS D CEL"/>
    <s v="M-22056"/>
    <s v="Dildo L 21cm - CXO"/>
    <s v="JUGUETE PROPIO"/>
    <s v="CXO"/>
    <n v="1"/>
    <n v="689.66"/>
  </r>
  <r>
    <x v="0"/>
    <s v="07/01/2026"/>
    <s v="NOE JONAS D CEL"/>
    <s v="7503030102034"/>
    <s v="Dildo vibrador con control Anthony - CXO"/>
    <s v="JUGUETE PROPIO"/>
    <s v="CXO"/>
    <n v="1"/>
    <n v="2112.0700000000002"/>
  </r>
  <r>
    <x v="0"/>
    <s v="07/01/2026"/>
    <s v="NOE JONAS D CEL"/>
    <s v="7503013378645"/>
    <s v="Liquid Love Pleasure 100ml - DUSA"/>
    <s v="CONSUMIBLE PROPIO"/>
    <s v="DUSA"/>
    <n v="2"/>
    <n v="1551.72"/>
  </r>
  <r>
    <x v="0"/>
    <s v="07/01/2026"/>
    <s v="NOE JONAS D CEL"/>
    <s v="7503023462235"/>
    <s v="Lubricante Masaje Térmico Comestible Piña Colada FEEL LOVE 4 en 1 - 60ml"/>
    <s v="LUBRICANTE"/>
    <s v="FEEL LOVE"/>
    <n v="1"/>
    <n v="344.83"/>
  </r>
  <r>
    <x v="0"/>
    <s v="07/01/2026"/>
    <s v="NOE JONAS D CEL"/>
    <s v="8699415912859"/>
    <s v="Miel Vigorizante para Hombre  Miracle Honey  VIP 15g-  SECRET MIRACLE HONEY"/>
    <s v="CONSUMIBLE"/>
    <s v="SECRET MIRACLE HONEY"/>
    <n v="2"/>
    <n v="431.03"/>
  </r>
  <r>
    <x v="0"/>
    <s v="07/01/2026"/>
    <s v="NOE JONAS D CEL"/>
    <s v="7503026484845"/>
    <s v="Oral Sex Erotic Nut 5g - Feel Love"/>
    <s v="CONSUMIBLE"/>
    <s v="DIAMANTE"/>
    <n v="1"/>
    <n v="51.72"/>
  </r>
  <r>
    <x v="0"/>
    <s v="07/01/2026"/>
    <s v="NOE JONAS D CEL"/>
    <s v="7503050524241"/>
    <s v="Orgasmik 30ml - DUSA"/>
    <s v="CONSUMIBLE PROPIO"/>
    <s v="DUSA"/>
    <n v="1"/>
    <n v="431.03"/>
  </r>
  <r>
    <x v="0"/>
    <s v="07/01/2026"/>
    <s v="NOE JONAS D CEL"/>
    <s v="4061504007496"/>
    <s v="Succionado con App Curvy 1+ - Satisfayer"/>
    <s v="JUGUETE"/>
    <s v="SATISFAYER"/>
    <n v="1"/>
    <n v="1810.34"/>
  </r>
  <r>
    <x v="0"/>
    <s v="07/01/2026"/>
    <s v="NOE JONAS D CEL"/>
    <s v="7503032300443"/>
    <s v="Zoe bala vibradora RETAIL - CXO"/>
    <s v="JUGUETE PROPIO"/>
    <s v="CXO"/>
    <n v="3"/>
    <n v="465.51"/>
  </r>
  <r>
    <x v="0"/>
    <s v="08/01/2026"/>
    <s v="NOE JONAS D CEL"/>
    <s v="7503043917081"/>
    <s v="Blade rosa anillo vibrador - CXO"/>
    <s v="JUGUETE PROPIO"/>
    <s v="CXO"/>
    <n v="1"/>
    <n v="81.900000000000006"/>
  </r>
  <r>
    <x v="0"/>
    <s v="08/01/2026"/>
    <s v="NOE JONAS D CEL"/>
    <s v="7503030102034"/>
    <s v="Dildo vibrador con control Anthony - CXO"/>
    <s v="JUGUETE PROPIO"/>
    <s v="CXO"/>
    <n v="1"/>
    <n v="2112.0700000000002"/>
  </r>
  <r>
    <x v="0"/>
    <s v="08/01/2026"/>
    <s v="NOE JONAS D CEL"/>
    <s v="7503013378980"/>
    <s v="Lubricante Body Surf Termico Chicle DUSA 60ml"/>
    <s v="CONSUMIBLE PROPIO"/>
    <s v="DUSA"/>
    <n v="1"/>
    <n v="387.93"/>
  </r>
  <r>
    <x v="0"/>
    <s v="08/01/2026"/>
    <s v="NOE JONAS D CEL"/>
    <s v="75082048"/>
    <s v="Miel Estimulante Hombre 18ml - SXO"/>
    <s v="CONSUMIBLE"/>
    <s v="SXO"/>
    <n v="1"/>
    <n v="301.72000000000003"/>
  </r>
  <r>
    <x v="0"/>
    <s v="09/01/2026"/>
    <s v="NOE JONAS D CEL"/>
    <s v="7503043917081"/>
    <s v="Blade rosa anillo vibrador - CXO"/>
    <s v="JUGUETE PROPIO"/>
    <s v="CXO"/>
    <n v="1"/>
    <n v="81.900000000000006"/>
  </r>
  <r>
    <x v="0"/>
    <s v="09/01/2026"/>
    <s v="NOE JONAS D CEL"/>
    <s v="716770044532"/>
    <s v="Dildo inflable 9.5 - CALEX"/>
    <s v="JUGUETE"/>
    <s v="CALEXOTICS"/>
    <n v="1"/>
    <n v="1637.93"/>
  </r>
  <r>
    <x v="0"/>
    <s v="09/01/2026"/>
    <s v="NOE JONAS D CEL"/>
    <s v="782421002404"/>
    <s v="Dildo TitanMen Intimidator - DOC JOHNSON"/>
    <s v="JUGUETE"/>
    <s v="DOC JOHNSON"/>
    <n v="1"/>
    <n v="1448.28"/>
  </r>
  <r>
    <x v="0"/>
    <s v="09/01/2026"/>
    <s v="NOE JONAS D CEL"/>
    <s v="7503030102034"/>
    <s v="Dildo vibrador con control Anthony - CXO"/>
    <s v="JUGUETE PROPIO"/>
    <s v="CXO"/>
    <n v="1"/>
    <n v="2112.0700000000002"/>
  </r>
  <r>
    <x v="0"/>
    <s v="09/01/2026"/>
    <s v="NOE JONAS D CEL"/>
    <s v="7503030119041"/>
    <s v="Dildo vibrador con movimiento impulsor Arma - CXO"/>
    <s v="JUGUETE PROPIO"/>
    <s v="CXO"/>
    <n v="1"/>
    <n v="1706.9"/>
  </r>
  <r>
    <x v="0"/>
    <s v="09/01/2026"/>
    <s v="NOE JONAS D CEL"/>
    <s v="7503020310205"/>
    <s v="Dildo Vibrador Termico Realista 3 en 1 con movimiento Hades-CXO"/>
    <s v="JUGUETE PROPIO"/>
    <s v="CXO"/>
    <n v="1"/>
    <n v="2500"/>
  </r>
  <r>
    <x v="0"/>
    <s v="09/01/2026"/>
    <s v="NOE JONAS D CEL"/>
    <s v="6959633118795"/>
    <s v="Edeny - SVAKOM"/>
    <s v="JUGUETE"/>
    <s v="SVAKOM"/>
    <n v="1"/>
    <n v="3275.86"/>
  </r>
  <r>
    <x v="0"/>
    <s v="09/01/2026"/>
    <s v="NOE JONAS D CEL"/>
    <s v="7503013378645"/>
    <s v="Liquid Love Pleasure 100ml - DUSA"/>
    <s v="CONSUMIBLE PROPIO"/>
    <s v="DUSA"/>
    <n v="3"/>
    <n v="2327.58"/>
  </r>
  <r>
    <x v="0"/>
    <s v="09/01/2026"/>
    <s v="NOE JONAS D CEL"/>
    <s v="GWPS_BANANASHAKE_001"/>
    <s v="Lub de Regalo - Banana Shake"/>
    <s v="ACTIVACION"/>
    <s v="BANANA SHAKE"/>
    <n v="1"/>
    <n v="0.01"/>
  </r>
  <r>
    <x v="0"/>
    <s v="09/01/2026"/>
    <s v="NOE JONAS D CEL"/>
    <s v="7503013378980"/>
    <s v="Lubricante Body Surf Termico Chicle DUSA 60ml"/>
    <s v="CONSUMIBLE PROPIO"/>
    <s v="DUSA"/>
    <n v="1"/>
    <n v="387.93"/>
  </r>
  <r>
    <x v="0"/>
    <s v="09/01/2026"/>
    <s v="NOE JONAS D CEL"/>
    <s v="695963319882"/>
    <s v="Masturbador  Recargable Hannes NEO - SVAKOM"/>
    <s v=""/>
    <s v="SVAKOM"/>
    <n v="1"/>
    <n v="2586.21"/>
  </r>
  <r>
    <x v="0"/>
    <s v="09/01/2026"/>
    <s v="NOE JONAS D CEL"/>
    <s v="716770096036"/>
    <s v="Sheology set intercambiable kegel - CALEX"/>
    <s v="JUGUETE"/>
    <s v="CALEXOTICS"/>
    <n v="1"/>
    <n v="1637.93"/>
  </r>
  <r>
    <x v="0"/>
    <s v="09/01/2026"/>
    <s v="NOE JONAS D CEL"/>
    <s v="CBD"/>
    <s v="SUNNY SIDE UP CBD HIPOALERGENICO 10ml"/>
    <s v="CONSUMIBLE"/>
    <s v="SUNNY SIDE UP"/>
    <n v="1"/>
    <n v="301.72000000000003"/>
  </r>
  <r>
    <x v="0"/>
    <s v="09/01/2026"/>
    <s v="NOE JONAS D CEL"/>
    <s v="716770065742"/>
    <s v="The Accommodator dildo de latex - CALEX"/>
    <s v="JUGUETE"/>
    <s v="CALEXOTICS"/>
    <n v="1"/>
    <n v="775.86"/>
  </r>
  <r>
    <x v="0"/>
    <s v="09/01/2026"/>
    <s v="NOE JONAS D CEL"/>
    <s v="7503020104075"/>
    <s v="Vibrador multiorgásmico texturizado con succionador de clítoris Yeni - CXO"/>
    <s v="JUGUETE PROPIO"/>
    <s v="CXO"/>
    <n v="1"/>
    <n v="2465.52"/>
  </r>
  <r>
    <x v="0"/>
    <s v="10/01/2026"/>
    <s v="NOE JONAS D CEL"/>
    <s v="7503043917081"/>
    <s v="Blade rosa anillo vibrador - CXO"/>
    <s v="JUGUETE PROPIO"/>
    <s v="CXO"/>
    <n v="4"/>
    <n v="327.60000000000002"/>
  </r>
  <r>
    <x v="0"/>
    <s v="10/01/2026"/>
    <s v="NOE JONAS D CEL"/>
    <s v="7508304288412"/>
    <s v="FEROMONAS EN GEL 20ML HOMBRE HOMBRE"/>
    <s v="CONSUMIBLE"/>
    <s v="DIAMANTE"/>
    <n v="1"/>
    <n v="379.31"/>
  </r>
  <r>
    <x v="0"/>
    <s v="10/01/2026"/>
    <s v="NOE JONAS D CEL"/>
    <s v="7503043917012"/>
    <s v="Liquid Love Backdoor 30ml - DUSA"/>
    <s v="CONSUMIBLE PROPIO"/>
    <s v="DUSA"/>
    <n v="1"/>
    <n v="301.72000000000003"/>
  </r>
  <r>
    <x v="0"/>
    <s v="10/01/2026"/>
    <s v="NOE JONAS D CEL"/>
    <s v="7503013378645"/>
    <s v="Liquid Love Pleasure 100ml - DUSA"/>
    <s v="CONSUMIBLE PROPIO"/>
    <s v="DUSA"/>
    <n v="1"/>
    <n v="775.86"/>
  </r>
  <r>
    <x v="0"/>
    <s v="10/01/2026"/>
    <s v="NOE JONAS D CEL"/>
    <s v="7503024256154"/>
    <s v="Lubricante Body Surf Termico Cereza DUSA 60ml"/>
    <s v="CONSUMIBLE PROPIO"/>
    <s v="DUSA"/>
    <n v="1"/>
    <n v="387.93"/>
  </r>
  <r>
    <x v="0"/>
    <s v="10/01/2026"/>
    <s v="NOE JONAS D CEL"/>
    <s v="8699415912859"/>
    <s v="Miel Vigorizante para Hombre  Miracle Honey  VIP 15g-  SECRET MIRACLE HONEY"/>
    <s v="CONSUMIBLE"/>
    <s v="SECRET MIRACLE HONEY"/>
    <n v="2"/>
    <n v="431.03"/>
  </r>
  <r>
    <x v="0"/>
    <s v="10/01/2026"/>
    <s v="NOE JONAS D CEL"/>
    <s v="7503013378010"/>
    <s v="Rigidex 2 pzas - DUSA"/>
    <s v="CONSUMIBLE PROPIO"/>
    <s v="DUSA"/>
    <n v="3"/>
    <n v="1293.0999999999999"/>
  </r>
  <r>
    <x v="0"/>
    <s v="10/01/2026"/>
    <s v="NOE JONAS D CEL"/>
    <s v="7503020596049"/>
    <s v="Sensicool - DUSA"/>
    <s v="CONSUMIBLE PROPIO"/>
    <s v="DUSA"/>
    <n v="1"/>
    <n v="431.03"/>
  </r>
  <r>
    <x v="0"/>
    <s v="10/01/2026"/>
    <s v="NOE JONAS D CEL"/>
    <s v="7503020596957"/>
    <s v="Shot Shumatsu Fun Hombre - DUSA"/>
    <s v="CONSUMIBLE PROPIO"/>
    <s v="DUSA"/>
    <n v="1"/>
    <n v="172.41"/>
  </r>
  <r>
    <x v="0"/>
    <s v="10/01/2026"/>
    <s v="NOE JONAS D CEL"/>
    <s v="7350075026157"/>
    <s v="Sona cerise - LELO"/>
    <s v="JUGUETE"/>
    <s v="LELO"/>
    <n v="1"/>
    <n v="2068.9699999999998"/>
  </r>
  <r>
    <x v="0"/>
    <s v="10/01/2026"/>
    <s v="NOE JONAS D CEL"/>
    <s v="7503032300443"/>
    <s v="Zoe bala vibradora RETAIL - CXO"/>
    <s v="JUGUETE PROPIO"/>
    <s v="CXO"/>
    <n v="6"/>
    <n v="931.03"/>
  </r>
  <r>
    <x v="0"/>
    <s v="11/01/2026"/>
    <s v="GERMAN  GUZMAN AGUIRRE"/>
    <s v="4251460601283"/>
    <s v="Romp Jazz"/>
    <s v="JUGUETE"/>
    <s v="ROMP"/>
    <n v="1"/>
    <n v="2155.17"/>
  </r>
  <r>
    <x v="1"/>
    <s v="02/01/2026"/>
    <s v="JESUS ALBERTO M GARCIA"/>
    <s v="7503014914002"/>
    <s v="CAPSULAS MULTIORGASMICO AMO O-GEN"/>
    <s v="CONSUMIBLE"/>
    <s v="POWER MAN"/>
    <n v="1"/>
    <n v="431.04"/>
  </r>
  <r>
    <x v="1"/>
    <s v="02/01/2026"/>
    <s v="JESUS ALBERTO M GARCIA"/>
    <s v="7502214980084"/>
    <s v="CONDON TRUST RETARDANTE CON 3 MAQ - PRUDENCE"/>
    <s v="CONSUMIBLE"/>
    <s v="PRUDENCE"/>
    <n v="1"/>
    <n v="77.59"/>
  </r>
  <r>
    <x v="1"/>
    <s v="02/01/2026"/>
    <s v="JESUS ALBERTO M GARCIA"/>
    <s v="7503043917005"/>
    <s v="Liquid Love Clear 30ml - DUSA"/>
    <s v="CONSUMIBLE PROPIO"/>
    <s v="DUSA"/>
    <n v="1"/>
    <n v="301.72000000000003"/>
  </r>
  <r>
    <x v="1"/>
    <s v="02/01/2026"/>
    <s v="JESUS ALBERTO M GARCIA"/>
    <s v="7503013378010"/>
    <s v="Rigidex 2 pzas - DUSA"/>
    <s v="CONSUMIBLE PROPIO"/>
    <s v="DUSA"/>
    <n v="1"/>
    <n v="431.03"/>
  </r>
  <r>
    <x v="1"/>
    <s v="02/01/2026"/>
    <s v="JESUS ALBERTO M GARCIA"/>
    <s v="7503050524258"/>
    <s v="Sensicool 30ml - DUSA"/>
    <s v="CONSUMIBLE PROPIO"/>
    <s v="DUSA"/>
    <n v="1"/>
    <n v="431.03"/>
  </r>
  <r>
    <x v="1"/>
    <s v="02/01/2026"/>
    <s v="JESUS ALBERTO M GARCIA"/>
    <s v="7503013378690"/>
    <s v="Shumatsu 3 pzas - DUSA"/>
    <s v="CONSUMIBLE PROPIO"/>
    <s v="DUSA"/>
    <n v="1"/>
    <n v="577.59"/>
  </r>
  <r>
    <x v="1"/>
    <s v="02/01/2026"/>
    <s v="JESUS ALBERTO M GARCIA"/>
    <s v="7350075027840"/>
    <s v="Soraya Wave Magenta - LELO"/>
    <s v="JUGUETE"/>
    <s v="LELO"/>
    <n v="1"/>
    <n v="5862.07"/>
  </r>
  <r>
    <x v="1"/>
    <s v="03/01/2026"/>
    <s v="JESUS ALBERTO M GARCIA"/>
    <s v="6959633103500"/>
    <s v="Chika multiorgasmico turqueza - SVAKOM"/>
    <s v="JUGUETE"/>
    <s v="SVAKOM"/>
    <n v="1"/>
    <n v="2155.17"/>
  </r>
  <r>
    <x v="1"/>
    <s v="03/01/2026"/>
    <s v="JESUS ALBERTO M GARCIA"/>
    <s v="7503013378492"/>
    <s v="Clean Whisper 120ml - DUSA"/>
    <s v="CONSUMIBLE PROPIO"/>
    <s v="DUSA"/>
    <n v="1"/>
    <n v="301.72000000000003"/>
  </r>
  <r>
    <x v="1"/>
    <s v="03/01/2026"/>
    <s v="JESUS ALBERTO M GARCIA"/>
    <s v="7503020596513"/>
    <s v="Liquid Love Natural 20ml - DUSA"/>
    <s v="CONSUMIBLE PROPIO"/>
    <s v="DUSA"/>
    <n v="1"/>
    <n v="258.62"/>
  </r>
  <r>
    <x v="1"/>
    <s v="03/01/2026"/>
    <s v="JESUS ALBERTO M GARCIA"/>
    <s v="7503032300993"/>
    <s v="Liquid Love Pleasure 30ml - DUSA"/>
    <s v="CONSUMIBLE PROPIO"/>
    <s v="DUSA"/>
    <n v="3"/>
    <n v="905.16000000000008"/>
  </r>
  <r>
    <x v="1"/>
    <s v="03/01/2026"/>
    <s v="JESUS ALBERTO M GARCIA"/>
    <s v="SE016"/>
    <s v="Masturbador Vagina -  CXO"/>
    <s v="JUGUETE PROPIO"/>
    <s v="CXO"/>
    <n v="1"/>
    <n v="948.28"/>
  </r>
  <r>
    <x v="1"/>
    <s v="03/01/2026"/>
    <s v="JESUS ALBERTO M GARCIA"/>
    <s v="7503050226120"/>
    <s v="Medias con ligueros - OLA MOU"/>
    <s v="LENCERIA"/>
    <s v="OLA MOU"/>
    <n v="1"/>
    <n v="344.83"/>
  </r>
  <r>
    <x v="1"/>
    <s v="03/01/2026"/>
    <s v="JESUS ALBERTO M GARCIA"/>
    <s v="7503050226162"/>
    <s v="Plug Anal con Vibración y Control Roberto - CXO"/>
    <s v="JUGUETE PROPIO"/>
    <s v="CXO"/>
    <n v="1"/>
    <n v="1293.0999999999999"/>
  </r>
  <r>
    <x v="1"/>
    <s v="03/01/2026"/>
    <s v="JESUS ALBERTO M GARCIA"/>
    <s v="7503013378256"/>
    <s v="Sammy - CXO"/>
    <s v="JUGUETE PROPIO"/>
    <s v="CXO"/>
    <n v="1"/>
    <n v="1551.72"/>
  </r>
  <r>
    <x v="1"/>
    <s v="03/01/2026"/>
    <s v="JESUS ALBERTO M GARCIA"/>
    <s v="7503050524258"/>
    <s v="Sensicool 30ml - DUSA"/>
    <s v="CONSUMIBLE PROPIO"/>
    <s v="DUSA"/>
    <n v="2"/>
    <n v="862.06"/>
  </r>
  <r>
    <x v="1"/>
    <s v="03/01/2026"/>
    <s v="JESUS ALBERTO M GARCIA"/>
    <s v="7503020596957"/>
    <s v="Shot Shumatsu Fun Hombre - DUSA"/>
    <s v="CONSUMIBLE PROPIO"/>
    <s v="DUSA"/>
    <n v="1"/>
    <n v="172.41"/>
  </r>
  <r>
    <x v="1"/>
    <s v="03/01/2026"/>
    <s v="JESUS ALBERTO M GARCIA"/>
    <s v="7503024256192"/>
    <s v="Shot Shumatsu Fun Mujer - DUSA"/>
    <s v="CONSUMIBLE PROPIO"/>
    <s v="DUSA"/>
    <n v="1"/>
    <n v="172.41"/>
  </r>
  <r>
    <x v="1"/>
    <s v="03/01/2026"/>
    <s v="JESUS ALBERTO M GARCIA"/>
    <s v="7503013378690"/>
    <s v="Shumatsu 3 pzas - DUSA"/>
    <s v="CONSUMIBLE PROPIO"/>
    <s v="DUSA"/>
    <n v="1"/>
    <n v="577.59"/>
  </r>
  <r>
    <x v="1"/>
    <s v="04/01/2026"/>
    <s v="JESUS ALBERTO M GARCIA"/>
    <s v="7503043917081"/>
    <s v="Blade rosa anillo vibrador - CXO"/>
    <s v="JUGUETE PROPIO"/>
    <s v="CXO"/>
    <n v="1"/>
    <n v="81.900000000000006"/>
  </r>
  <r>
    <x v="1"/>
    <s v="04/01/2026"/>
    <s v="JESUS ALBERTO M GARCIA"/>
    <s v="LL-A2216"/>
    <s v="Huevito con 10 modos de Vibración  Gina - CXO"/>
    <s v="JUGUETE PROPIO"/>
    <s v="CXO"/>
    <n v="1"/>
    <n v="1500"/>
  </r>
  <r>
    <x v="1"/>
    <s v="04/01/2026"/>
    <s v="JESUS ALBERTO M GARCIA"/>
    <s v="7503013378799"/>
    <s v="Lubricante Body Surf Termico Citricos DUSA 60ml"/>
    <s v="CONSUMIBLE PROPIO"/>
    <s v="DUSA"/>
    <n v="1"/>
    <n v="387.93"/>
  </r>
  <r>
    <x v="1"/>
    <s v="04/01/2026"/>
    <s v="JESUS ALBERTO M GARCIA"/>
    <s v="6959633103494"/>
    <s v="Mora Neo multiorgasmico rosa - SVAKOM"/>
    <s v="JUGUETE"/>
    <s v="SVAKOM"/>
    <n v="1"/>
    <n v="1637.93"/>
  </r>
  <r>
    <x v="1"/>
    <s v="05/01/2026"/>
    <s v="ALFONSO  M CARBALLAR"/>
    <s v="7503030220043"/>
    <s v="Dados para juegos 2 piezas - CXO"/>
    <s v="JUGUETE PROPIO"/>
    <s v="CXO"/>
    <n v="1"/>
    <n v="112.07"/>
  </r>
  <r>
    <x v="1"/>
    <s v="05/01/2026"/>
    <s v="ALFONSO  M CARBALLAR"/>
    <s v="75030205968724"/>
    <s v="Funda texturizada transparente con bala vibradora  - CXO"/>
    <s v="JUGUETE PROPIO"/>
    <s v="CXO"/>
    <n v="1"/>
    <n v="474.14"/>
  </r>
  <r>
    <x v="1"/>
    <s v="05/01/2026"/>
    <s v="ALFONSO  M CARBALLAR"/>
    <s v="7503024256154"/>
    <s v="Lubricante Body Surf Termico Cereza DUSA 60ml"/>
    <s v="CONSUMIBLE PROPIO"/>
    <s v="DUSA"/>
    <n v="1"/>
    <n v="387.93"/>
  </r>
  <r>
    <x v="1"/>
    <s v="05/01/2026"/>
    <s v="ALFONSO  M CARBALLAR"/>
    <s v="7503013378980"/>
    <s v="Lubricante Body Surf Termico Chicle DUSA 60ml"/>
    <s v="CONSUMIBLE PROPIO"/>
    <s v="DUSA"/>
    <n v="1"/>
    <n v="387.93"/>
  </r>
  <r>
    <x v="1"/>
    <s v="05/01/2026"/>
    <s v="ALFONSO  M CARBALLAR"/>
    <s v="SE016"/>
    <s v="Masturbador Vagina -  CXO"/>
    <s v="JUGUETE PROPIO"/>
    <s v="CXO"/>
    <n v="1"/>
    <n v="948.28"/>
  </r>
  <r>
    <x v="1"/>
    <s v="05/01/2026"/>
    <s v="ALFONSO  M CARBALLAR"/>
    <s v="7503013378690"/>
    <s v="Shumatsu 3 pzas - DUSA"/>
    <s v="CONSUMIBLE PROPIO"/>
    <s v="DUSA"/>
    <n v="1"/>
    <n v="577.59"/>
  </r>
  <r>
    <x v="1"/>
    <s v="05/01/2026"/>
    <s v="ALFONSO  M CARBALLAR"/>
    <s v="7503032300443"/>
    <s v="Zoe bala vibradora RETAIL - CXO"/>
    <s v="JUGUETE PROPIO"/>
    <s v="CXO"/>
    <n v="1"/>
    <n v="155.16999999999999"/>
  </r>
  <r>
    <x v="1"/>
    <s v="06/01/2026"/>
    <s v="JESUS ALBERTO M GARCIA"/>
    <s v="7503020596834"/>
    <s v="Latigo de vinipiel de tiras mini - CXO"/>
    <s v="JUGUETE PROPIO"/>
    <s v="CXO"/>
    <n v="1"/>
    <n v="129.31"/>
  </r>
  <r>
    <x v="1"/>
    <s v="06/01/2026"/>
    <s v="JESUS ALBERTO M GARCIA"/>
    <s v="7503043917012"/>
    <s v="Liquid Love Backdoor 30ml - DUSA"/>
    <s v="CONSUMIBLE PROPIO"/>
    <s v="DUSA"/>
    <n v="1"/>
    <n v="301.72000000000003"/>
  </r>
  <r>
    <x v="1"/>
    <s v="06/01/2026"/>
    <s v="JESUS ALBERTO M GARCIA"/>
    <s v="SE018"/>
    <s v="Masturbador Jarrón - CXO"/>
    <s v="JUGUETE PROPIO"/>
    <s v="CXO"/>
    <n v="1"/>
    <n v="1034.48"/>
  </r>
  <r>
    <x v="1"/>
    <s v="06/01/2026"/>
    <s v="JESUS ALBERTO M GARCIA"/>
    <s v="SE016"/>
    <s v="Masturbador Vagina -  CXO"/>
    <s v="JUGUETE PROPIO"/>
    <s v="CXO"/>
    <n v="1"/>
    <n v="948.28"/>
  </r>
  <r>
    <x v="1"/>
    <s v="06/01/2026"/>
    <s v="JESUS ALBERTO M GARCIA"/>
    <s v="7503020596957"/>
    <s v="Shot Shumatsu Fun Hombre - DUSA"/>
    <s v="CONSUMIBLE PROPIO"/>
    <s v="DUSA"/>
    <n v="2"/>
    <n v="344.82"/>
  </r>
  <r>
    <x v="1"/>
    <s v="06/01/2026"/>
    <s v="JESUS ALBERTO M GARCIA"/>
    <s v="7503013378690"/>
    <s v="Shumatsu 3 pzas - DUSA"/>
    <s v="CONSUMIBLE PROPIO"/>
    <s v="DUSA"/>
    <n v="2"/>
    <n v="1155.18"/>
  </r>
  <r>
    <x v="1"/>
    <s v="07/01/2026"/>
    <s v="JESUS ALBERTO M GARCIA"/>
    <s v="7503014914002"/>
    <s v="CAPSULAS MULTIORGASMICO AMO O-GEN"/>
    <s v="CONSUMIBLE"/>
    <s v="POWER MAN"/>
    <n v="1"/>
    <n v="431.04"/>
  </r>
  <r>
    <x v="1"/>
    <s v="07/01/2026"/>
    <s v="JESUS ALBERTO M GARCIA"/>
    <s v="7503013378492"/>
    <s v="Clean Whisper 120ml - DUSA"/>
    <s v="CONSUMIBLE PROPIO"/>
    <s v="DUSA"/>
    <n v="1"/>
    <n v="301.72000000000003"/>
  </r>
  <r>
    <x v="1"/>
    <s v="07/01/2026"/>
    <s v="JESUS ALBERTO M GARCIA"/>
    <s v="7502214982491"/>
    <s v="CONDON PRUDENCE EXTRA TIME UVA"/>
    <s v="CONSUMIBLE"/>
    <s v="PRUDENCE"/>
    <n v="1"/>
    <n v="60.34"/>
  </r>
  <r>
    <x v="1"/>
    <s v="07/01/2026"/>
    <s v="JESUS ALBERTO M GARCIA"/>
    <s v="CON01CH03400385C"/>
    <s v="Conjunto Brianne 85C"/>
    <s v="LENCERIA"/>
    <s v="OLA MOU"/>
    <n v="1"/>
    <n v="468.1"/>
  </r>
  <r>
    <x v="1"/>
    <s v="07/01/2026"/>
    <s v="JESUS ALBERTO M GARCIA"/>
    <s v="CON01CH008009XL"/>
    <s v="Conjunto Gaby XL negro"/>
    <s v="LENCERIA"/>
    <s v="OLA MOU"/>
    <n v="1"/>
    <n v="327.58999999999997"/>
  </r>
  <r>
    <x v="1"/>
    <s v="07/01/2026"/>
    <s v="JESUS ALBERTO M GARCIA"/>
    <s v="7350075029332"/>
    <s v="Enigma wave morado - LELO"/>
    <s v="JUGUETE"/>
    <s v="LELO"/>
    <n v="1"/>
    <n v="5862.07"/>
  </r>
  <r>
    <x v="1"/>
    <s v="07/01/2026"/>
    <s v="JESUS ALBERTO M GARCIA"/>
    <s v="7946000265472"/>
    <s v="JUEGO DE MESA EL JUEGO DE LA OCA SENSUAL"/>
    <s v="JUGUETE"/>
    <s v="VARIAS"/>
    <n v="1"/>
    <n v="224.14"/>
  </r>
  <r>
    <x v="1"/>
    <s v="07/01/2026"/>
    <s v="JESUS ALBERTO M GARCIA"/>
    <s v="7503032300993"/>
    <s v="Liquid Love Pleasure 30ml - DUSA"/>
    <s v="CONSUMIBLE PROPIO"/>
    <s v="DUSA"/>
    <n v="3"/>
    <n v="905.16000000000008"/>
  </r>
  <r>
    <x v="1"/>
    <s v="07/01/2026"/>
    <s v="JESUS ALBERTO M GARCIA"/>
    <s v="8699415912859"/>
    <s v="Miel Vigorizante para Hombre  Miracle Honey  VIP 15g-  SECRET MIRACLE HONEY"/>
    <s v="CONSUMIBLE"/>
    <s v="SECRET MIRACLE HONEY"/>
    <n v="1"/>
    <n v="215.52"/>
  </r>
  <r>
    <x v="1"/>
    <s v="07/01/2026"/>
    <s v="JESUS ALBERTO M GARCIA"/>
    <s v="7503024256192"/>
    <s v="Shot Shumatsu Fun Mujer - DUSA"/>
    <s v="CONSUMIBLE PROPIO"/>
    <s v="DUSA"/>
    <n v="1"/>
    <n v="172.41"/>
  </r>
  <r>
    <x v="1"/>
    <s v="08/01/2026"/>
    <s v="JESUS ALBERTO M GARCIA"/>
    <s v="6959633118795"/>
    <s v="Edeny - SVAKOM"/>
    <s v="JUGUETE"/>
    <s v="SVAKOM"/>
    <n v="1"/>
    <n v="3275.86"/>
  </r>
  <r>
    <x v="1"/>
    <s v="09/01/2026"/>
    <s v="JESUS ALBERTO M GARCIA"/>
    <s v="7503014914002"/>
    <s v="CAPSULAS MULTIORGASMICO AMO O-GEN"/>
    <s v="CONSUMIBLE"/>
    <s v="POWER MAN"/>
    <n v="2"/>
    <n v="862.08"/>
  </r>
  <r>
    <x v="1"/>
    <s v="09/01/2026"/>
    <s v="JESUS ALBERTO M GARCIA"/>
    <s v="7503030102034"/>
    <s v="Dildo vibrador con control Anthony - CXO"/>
    <s v="JUGUETE PROPIO"/>
    <s v="CXO"/>
    <n v="1"/>
    <n v="2112.0700000000002"/>
  </r>
  <r>
    <x v="1"/>
    <s v="09/01/2026"/>
    <s v="JESUS ALBERTO M GARCIA"/>
    <s v="7508304288436"/>
    <s v="FEROMONAS DIAMANTE EXCLUSIVE SPRAY 25 ML ELLA"/>
    <s v="CONSUMIBLE"/>
    <s v="DIAMANTE"/>
    <n v="1"/>
    <n v="387.93"/>
  </r>
  <r>
    <x v="1"/>
    <s v="09/01/2026"/>
    <s v="JESUS ALBERTO M GARCIA"/>
    <s v="7503050524265"/>
    <s v="He Plus 30ml - DUSA"/>
    <s v="CONSUMIBLE PROPIO"/>
    <s v="DUSA"/>
    <n v="1"/>
    <n v="431.03"/>
  </r>
  <r>
    <x v="1"/>
    <s v="09/01/2026"/>
    <s v="JESUS ALBERTO M GARCIA"/>
    <s v="7503043917005"/>
    <s v="Liquid Love Clear 30ml - DUSA"/>
    <s v="CONSUMIBLE PROPIO"/>
    <s v="DUSA"/>
    <n v="1"/>
    <n v="301.72000000000003"/>
  </r>
  <r>
    <x v="1"/>
    <s v="09/01/2026"/>
    <s v="JESUS ALBERTO M GARCIA"/>
    <s v="7503013378645"/>
    <s v="Liquid Love Pleasure 100ml - DUSA"/>
    <s v="CONSUMIBLE PROPIO"/>
    <s v="DUSA"/>
    <n v="1"/>
    <n v="775.86"/>
  </r>
  <r>
    <x v="1"/>
    <s v="09/01/2026"/>
    <s v="JESUS ALBERTO M GARCIA"/>
    <s v="8699415912859"/>
    <s v="Miel Vigorizante para Hombre  Miracle Honey  VIP 15g-  SECRET MIRACLE HONEY"/>
    <s v="CONSUMIBLE"/>
    <s v="SECRET MIRACLE HONEY"/>
    <n v="2"/>
    <n v="431.03"/>
  </r>
  <r>
    <x v="1"/>
    <s v="09/01/2026"/>
    <s v="JESUS ALBERTO M GARCIA"/>
    <s v="7503050524241"/>
    <s v="Orgasmik 30ml - DUSA"/>
    <s v="CONSUMIBLE PROPIO"/>
    <s v="DUSA"/>
    <n v="1"/>
    <n v="431.03"/>
  </r>
  <r>
    <x v="1"/>
    <s v="09/01/2026"/>
    <s v="JESUS ALBERTO M GARCIA"/>
    <s v="7503020596957"/>
    <s v="Shot Shumatsu Fun Hombre - DUSA"/>
    <s v="CONSUMIBLE PROPIO"/>
    <s v="DUSA"/>
    <n v="16"/>
    <n v="2758.56"/>
  </r>
  <r>
    <x v="1"/>
    <s v="09/01/2026"/>
    <s v="JESUS ALBERTO M GARCIA"/>
    <s v="7503024256192"/>
    <s v="Shot Shumatsu Fun Mujer - DUSA"/>
    <s v="CONSUMIBLE PROPIO"/>
    <s v="DUSA"/>
    <n v="2"/>
    <n v="344.82"/>
  </r>
  <r>
    <x v="1"/>
    <s v="09/01/2026"/>
    <s v="JESUS ALBERTO M GARCIA"/>
    <s v="7503020104085"/>
    <s v="Vibrador e impulsor con ventosa Mafer – CXO"/>
    <s v="JUGUETE PROPIO"/>
    <s v="CXO"/>
    <n v="1"/>
    <n v="2413.79"/>
  </r>
  <r>
    <x v="1"/>
    <s v="10/01/2026"/>
    <s v="JESUS ALBERTO M GARCIA"/>
    <s v="7503043917036"/>
    <s v="Arnes universal de argolla negro - CXO"/>
    <s v="JUGUETE PROPIO"/>
    <s v="CXO"/>
    <n v="1"/>
    <n v="474.14"/>
  </r>
  <r>
    <x v="1"/>
    <s v="10/01/2026"/>
    <s v="JESUS ALBERTO M GARCIA"/>
    <s v="7503043917081"/>
    <s v="Blade rosa anillo vibrador - CXO"/>
    <s v="JUGUETE PROPIO"/>
    <s v="CXO"/>
    <n v="2"/>
    <n v="163.80000000000001"/>
  </r>
  <r>
    <x v="1"/>
    <s v="10/01/2026"/>
    <s v="JESUS ALBERTO M GARCIA"/>
    <s v="7503014914002"/>
    <s v="CAPSULAS MULTIORGASMICO AMO O-GEN"/>
    <s v="CONSUMIBLE"/>
    <s v="POWER MAN"/>
    <n v="1"/>
    <n v="431.04"/>
  </r>
  <r>
    <x v="1"/>
    <s v="10/01/2026"/>
    <s v="JESUS ALBERTO M GARCIA"/>
    <s v="7503030102034"/>
    <s v="Dildo vibrador con control Anthony - CXO"/>
    <s v="JUGUETE PROPIO"/>
    <s v="CXO"/>
    <n v="1"/>
    <n v="2112.0700000000002"/>
  </r>
  <r>
    <x v="1"/>
    <s v="10/01/2026"/>
    <s v="JESUS ALBERTO M GARCIA"/>
    <s v="7503043917005"/>
    <s v="Liquid Love Clear 30ml - DUSA"/>
    <s v="CONSUMIBLE PROPIO"/>
    <s v="DUSA"/>
    <n v="2"/>
    <n v="603.44000000000005"/>
  </r>
  <r>
    <x v="1"/>
    <s v="10/01/2026"/>
    <s v="JESUS ALBERTO M GARCIA"/>
    <s v="7503032300993"/>
    <s v="Liquid Love Pleasure 30ml - DUSA"/>
    <s v="CONSUMIBLE PROPIO"/>
    <s v="DUSA"/>
    <n v="2"/>
    <n v="603.44000000000005"/>
  </r>
  <r>
    <x v="1"/>
    <s v="10/01/2026"/>
    <s v="JESUS ALBERTO M GARCIA"/>
    <s v="7503013378645"/>
    <s v="Liquid Love Pleasure 100ml - DUSA"/>
    <s v="CONSUMIBLE PROPIO"/>
    <s v="DUSA"/>
    <n v="3"/>
    <n v="2327.58"/>
  </r>
  <r>
    <x v="1"/>
    <s v="10/01/2026"/>
    <s v="JESUS ALBERTO M GARCIA"/>
    <s v="7503020596957"/>
    <s v="Shot Shumatsu Fun Hombre - DUSA"/>
    <s v="CONSUMIBLE PROPIO"/>
    <s v="DUSA"/>
    <n v="1"/>
    <n v="172.41"/>
  </r>
  <r>
    <x v="1"/>
    <s v="10/01/2026"/>
    <s v="JESUS ALBERTO M GARCIA"/>
    <s v="7503032300443"/>
    <s v="Zoe bala vibradora RETAIL - CXO"/>
    <s v="JUGUETE PROPIO"/>
    <s v="CXO"/>
    <n v="2"/>
    <n v="310.33999999999997"/>
  </r>
  <r>
    <x v="1"/>
    <s v="11/01/2026"/>
    <s v="JESUS ALBERTO M GARCIA"/>
    <s v="7503043917081"/>
    <s v="Blade rosa anillo vibrador - CXO"/>
    <s v="JUGUETE PROPIO"/>
    <s v="CXO"/>
    <n v="1"/>
    <n v="81.900000000000006"/>
  </r>
  <r>
    <x v="1"/>
    <s v="11/01/2026"/>
    <s v="JESUS ALBERTO M GARCIA"/>
    <s v="7503032300993"/>
    <s v="Liquid Love Pleasure 30ml - DUSA"/>
    <s v="CONSUMIBLE PROPIO"/>
    <s v="DUSA"/>
    <n v="1"/>
    <n v="301.72000000000003"/>
  </r>
  <r>
    <x v="1"/>
    <s v="11/01/2026"/>
    <s v="JESUS ALBERTO M GARCIA"/>
    <s v="7503013378980"/>
    <s v="Lubricante Body Surf Termico Chicle DUSA 60ml"/>
    <s v="CONSUMIBLE PROPIO"/>
    <s v="DUSA"/>
    <n v="1"/>
    <n v="387.93"/>
  </r>
  <r>
    <x v="2"/>
    <s v="02/01/2026"/>
    <s v="ANGEL DANILO RODRIGUEZ LOPEZ"/>
    <s v="7503043917081"/>
    <s v="Blade rosa anillo vibrador - CXO"/>
    <s v="JUGUETE PROPIO"/>
    <s v="CXO"/>
    <n v="1"/>
    <n v="81.900000000000006"/>
  </r>
  <r>
    <x v="2"/>
    <s v="02/01/2026"/>
    <s v="ANGEL DANILO RODRIGUEZ LOPEZ"/>
    <s v="7503014914002"/>
    <s v="CAPSULAS MULTIORGASMICO AMO O-GEN"/>
    <s v="CONSUMIBLE"/>
    <s v="POWER MAN"/>
    <n v="2"/>
    <n v="862.08"/>
  </r>
  <r>
    <x v="2"/>
    <s v="02/01/2026"/>
    <s v="ANGEL DANILO RODRIGUEZ LOPEZ"/>
    <s v="7503050226143"/>
    <s v="Conjunto Vega - OLA MOU"/>
    <s v="LENCERIA"/>
    <s v="OLA MOU"/>
    <n v="1"/>
    <n v="431.03"/>
  </r>
  <r>
    <x v="2"/>
    <s v="02/01/2026"/>
    <s v="ANGEL DANILO RODRIGUEZ LOPEZ"/>
    <s v="75037628"/>
    <s v="Dulces Garganta Profunda 2 piezas Sabor Fresa - SXO"/>
    <s v="CONSUMIBLE"/>
    <s v="SXO"/>
    <n v="1"/>
    <n v="120.69"/>
  </r>
  <r>
    <x v="2"/>
    <s v="02/01/2026"/>
    <s v="ANGEL DANILO RODRIGUEZ LOPEZ"/>
    <s v="6970556033224"/>
    <s v="Huevito Vibrador con 10 modos  Danna- CXO"/>
    <s v="JUGUETE PROPIO"/>
    <s v="CXO"/>
    <n v="1"/>
    <n v="775.86"/>
  </r>
  <r>
    <x v="2"/>
    <s v="02/01/2026"/>
    <s v="ANGEL DANILO RODRIGUEZ LOPEZ"/>
    <s v="7503032300993"/>
    <s v="Liquid Love Pleasure 30ml - DUSA"/>
    <s v="CONSUMIBLE PROPIO"/>
    <s v="DUSA"/>
    <n v="1"/>
    <n v="301.72000000000003"/>
  </r>
  <r>
    <x v="2"/>
    <s v="02/01/2026"/>
    <s v="ANGEL DANILO RODRIGUEZ LOPEZ"/>
    <s v="7503024256154"/>
    <s v="Lubricante Body Surf Termico Cereza DUSA 60ml"/>
    <s v="CONSUMIBLE PROPIO"/>
    <s v="DUSA"/>
    <n v="1"/>
    <n v="387.93"/>
  </r>
  <r>
    <x v="2"/>
    <s v="02/01/2026"/>
    <s v="ANGEL DANILO RODRIGUEZ LOPEZ"/>
    <s v="7503023462235"/>
    <s v="Lubricante Masaje Térmico Comestible Piña Colada FEEL LOVE 4 en 1 - 60ml"/>
    <s v="LUBRICANTE"/>
    <s v="FEEL LOVE"/>
    <n v="1"/>
    <n v="344.83"/>
  </r>
  <r>
    <x v="2"/>
    <s v="02/01/2026"/>
    <s v="ANGEL DANILO RODRIGUEZ LOPEZ"/>
    <s v="4560220552780"/>
    <s v="MASTURBADOR TENGA EGGS HARD BOILED SURFER TENGA"/>
    <s v="JUGUETE"/>
    <s v="TENGA"/>
    <n v="1"/>
    <n v="301.72000000000003"/>
  </r>
  <r>
    <x v="2"/>
    <s v="02/01/2026"/>
    <s v="ANGEL DANILO RODRIGUEZ LOPEZ"/>
    <s v="7503013378010"/>
    <s v="Rigidex 2 pzas - DUSA"/>
    <s v="CONSUMIBLE PROPIO"/>
    <s v="DUSA"/>
    <n v="1"/>
    <n v="431.03"/>
  </r>
  <r>
    <x v="2"/>
    <s v="02/01/2026"/>
    <s v="ANGEL DANILO RODRIGUEZ LOPEZ"/>
    <s v="6959633156094"/>
    <s v="Robin - SVAKOM"/>
    <s v="JUGUETE"/>
    <s v="SVAKOM"/>
    <n v="1"/>
    <n v="1318.97"/>
  </r>
  <r>
    <x v="2"/>
    <s v="02/01/2026"/>
    <s v="ANGEL DANILO RODRIGUEZ LOPEZ"/>
    <s v="7503013378690"/>
    <s v="Shumatsu 3 pzas - DUSA"/>
    <s v="CONSUMIBLE PROPIO"/>
    <s v="DUSA"/>
    <n v="3"/>
    <n v="1732.77"/>
  </r>
  <r>
    <x v="2"/>
    <s v="02/01/2026"/>
    <s v="ANGEL DANILO RODRIGUEZ LOPEZ"/>
    <s v="6959633105320"/>
    <s v="Vibrador de Prostata con Calefaccion Vick Neo 2 - SVAKOM"/>
    <s v="JUGUETE"/>
    <s v="SVAKOM"/>
    <n v="1"/>
    <n v="2155.17"/>
  </r>
  <r>
    <x v="2"/>
    <s v="03/01/2026"/>
    <s v="IRIS CRISTINA RIVERA PEREZ CELESTERRA"/>
    <s v="7503043917081"/>
    <s v="Blade rosa anillo vibrador - CXO"/>
    <s v="JUGUETE PROPIO"/>
    <s v="CXO"/>
    <n v="1"/>
    <n v="81.900000000000006"/>
  </r>
  <r>
    <x v="2"/>
    <s v="03/01/2026"/>
    <s v="IRIS CRISTINA RIVERA PEREZ CELESTERRA"/>
    <s v="7503014914002"/>
    <s v="CAPSULAS MULTIORGASMICO AMO O-GEN"/>
    <s v="CONSUMIBLE"/>
    <s v="POWER MAN"/>
    <n v="1"/>
    <n v="431.04"/>
  </r>
  <r>
    <x v="2"/>
    <s v="03/01/2026"/>
    <s v="IRIS CRISTINA RIVERA PEREZ CELESTERRA"/>
    <s v="7503013378492"/>
    <s v="Clean Whisper 120ml - DUSA"/>
    <s v="CONSUMIBLE PROPIO"/>
    <s v="DUSA"/>
    <n v="1"/>
    <n v="301.72000000000003"/>
  </r>
  <r>
    <x v="2"/>
    <s v="03/01/2026"/>
    <s v="IRIS CRISTINA RIVERA PEREZ CELESTERRA"/>
    <s v="7503050524265"/>
    <s v="He Plus 30ml - DUSA"/>
    <s v="CONSUMIBLE PROPIO"/>
    <s v="DUSA"/>
    <n v="1"/>
    <n v="431.03"/>
  </r>
  <r>
    <x v="2"/>
    <s v="03/01/2026"/>
    <s v="IRIS CRISTINA RIVERA PEREZ CELESTERRA"/>
    <s v="7503013378652"/>
    <s v="Liquid Love Backdoor 100ml - DUSA"/>
    <s v="CONSUMIBLE PROPIO"/>
    <s v="DUSA"/>
    <n v="1"/>
    <n v="1077.5899999999999"/>
  </r>
  <r>
    <x v="2"/>
    <s v="03/01/2026"/>
    <s v="IRIS CRISTINA RIVERA PEREZ CELESTERRA"/>
    <s v="7503020596001"/>
    <s v="Liquid Love Clear 100ml - DUSA"/>
    <s v="CONSUMIBLE PROPIO"/>
    <s v="DUSA"/>
    <n v="1"/>
    <n v="775.86"/>
  </r>
  <r>
    <x v="2"/>
    <s v="03/01/2026"/>
    <s v="IRIS CRISTINA RIVERA PEREZ CELESTERRA"/>
    <s v="GWPS_BANANASHAKE_001"/>
    <s v="Lub de Regalo - Banana Shake"/>
    <s v="ACTIVACION"/>
    <s v="BANANA SHAKE"/>
    <n v="1"/>
    <n v="0.01"/>
  </r>
  <r>
    <x v="2"/>
    <s v="03/01/2026"/>
    <s v="IRIS CRISTINA RIVERA PEREZ CELESTERRA"/>
    <s v="7503023462204"/>
    <s v="Lubricante Masaje Térmico Comestible Manzana del Edén FEEL LOVE 4 en 1 - 60ml"/>
    <s v="LUBRICANTE"/>
    <s v="FEEL LOVE"/>
    <n v="1"/>
    <n v="344.83"/>
  </r>
  <r>
    <x v="2"/>
    <s v="03/01/2026"/>
    <s v="IRIS CRISTINA RIVERA PEREZ CELESTERRA"/>
    <s v="7503050524241"/>
    <s v="Orgasmik 30ml - DUSA"/>
    <s v="CONSUMIBLE PROPIO"/>
    <s v="DUSA"/>
    <n v="1"/>
    <n v="431.03"/>
  </r>
  <r>
    <x v="2"/>
    <s v="03/01/2026"/>
    <s v="IRIS CRISTINA RIVERA PEREZ CELESTERRA"/>
    <s v="6959633127964"/>
    <s v="Sam Neo - SVAKOM"/>
    <s v="JUGUETE"/>
    <s v="SVAKOM"/>
    <n v="1"/>
    <n v="3017.24"/>
  </r>
  <r>
    <x v="2"/>
    <s v="03/01/2026"/>
    <s v="IRIS CRISTINA RIVERA PEREZ CELESTERRA"/>
    <s v="7503013378256"/>
    <s v="Sammy - CXO"/>
    <s v="JUGUETE PROPIO"/>
    <s v="CXO"/>
    <n v="1"/>
    <n v="1551.72"/>
  </r>
  <r>
    <x v="2"/>
    <s v="03/01/2026"/>
    <s v="IRIS CRISTINA RIVERA PEREZ CELESTERRA"/>
    <s v="7503013378690"/>
    <s v="Shumatsu 3 pzas - DUSA"/>
    <s v="CONSUMIBLE PROPIO"/>
    <s v="DUSA"/>
    <n v="1"/>
    <n v="577.59"/>
  </r>
  <r>
    <x v="2"/>
    <s v="04/01/2026"/>
    <s v="IRIS CRISTINA RIVERA PEREZ CELESTERRA"/>
    <s v="7503043917081"/>
    <s v="Blade rosa anillo vibrador - CXO"/>
    <s v="JUGUETE PROPIO"/>
    <s v="CXO"/>
    <n v="1"/>
    <n v="81.900000000000006"/>
  </r>
  <r>
    <x v="2"/>
    <s v="04/01/2026"/>
    <s v="IRIS CRISTINA RIVERA PEREZ CELESTERRA"/>
    <s v="75080471"/>
    <s v="Dulces Garganta Profunda 2 piezas Sabor Uva - SXO"/>
    <s v="CONSUMIBLE"/>
    <s v="SXO"/>
    <n v="1"/>
    <n v="120.69"/>
  </r>
  <r>
    <x v="2"/>
    <s v="04/01/2026"/>
    <s v="IRIS CRISTINA RIVERA PEREZ CELESTERRA"/>
    <s v="MBS0530"/>
    <s v="Esposas de broche - CXO"/>
    <s v="JUGUETE PROPIO"/>
    <s v="CXO"/>
    <n v="1"/>
    <n v="172.41"/>
  </r>
  <r>
    <x v="2"/>
    <s v="04/01/2026"/>
    <s v="IRIS CRISTINA RIVERA PEREZ CELESTERRA"/>
    <s v="8699415912859"/>
    <s v="Miel Vigorizante para Hombre  Miracle Honey  VIP 15g-  SECRET MIRACLE HONEY"/>
    <s v="CONSUMIBLE"/>
    <s v="SECRET MIRACLE HONEY"/>
    <n v="2"/>
    <n v="431.04"/>
  </r>
  <r>
    <x v="2"/>
    <s v="04/01/2026"/>
    <s v="IRIS CRISTINA RIVERA PEREZ CELESTERRA"/>
    <s v="6970556032074"/>
    <s v="Plug Anal con 10 modos de Vibracion de 11.5cm  Ramiro- CXO"/>
    <s v="JUGUETE PROPIO"/>
    <s v="CXO"/>
    <n v="1"/>
    <n v="1034.48"/>
  </r>
  <r>
    <x v="2"/>
    <s v="04/01/2026"/>
    <s v="IRIS CRISTINA RIVERA PEREZ CELESTERRA"/>
    <s v="782421007607"/>
    <s v="Reverse Tightening gel 0.25oz - DOC JOHNSON"/>
    <s v="CONSUMIBLE"/>
    <s v="DOC JOHNSON"/>
    <n v="1"/>
    <n v="68.97"/>
  </r>
  <r>
    <x v="2"/>
    <s v="04/01/2026"/>
    <s v="IRIS CRISTINA RIVERA PEREZ CELESTERRA"/>
    <s v="7503013378010"/>
    <s v="Rigidex 2 pzas - DUSA"/>
    <s v="CONSUMIBLE PROPIO"/>
    <s v="DUSA"/>
    <n v="1"/>
    <n v="431.03"/>
  </r>
  <r>
    <x v="2"/>
    <s v="04/01/2026"/>
    <s v="IRIS CRISTINA RIVERA PEREZ CELESTERRA"/>
    <s v="6970556032746"/>
    <s v="Vibrador en forma de Osito Lilo- CXO"/>
    <s v="JUGUETE PROPIO"/>
    <s v="CXO"/>
    <n v="1"/>
    <n v="775.86"/>
  </r>
  <r>
    <x v="2"/>
    <s v="05/01/2026"/>
    <s v="IRIS CRISTINA RIVERA PEREZ CELESTERRA"/>
    <s v="FM1002"/>
    <s v="FEROMONAS DIAMANTE CONCENTRADO HOMBRE"/>
    <s v="CONSUMIBLE"/>
    <s v="DIAMANTE"/>
    <n v="1"/>
    <n v="413.79"/>
  </r>
  <r>
    <x v="2"/>
    <s v="05/01/2026"/>
    <s v="IRIS CRISTINA RIVERA PEREZ CELESTERRA"/>
    <s v="7503043917005"/>
    <s v="Liquid Love Clear 30ml - DUSA"/>
    <s v="CONSUMIBLE PROPIO"/>
    <s v="DUSA"/>
    <n v="1"/>
    <n v="301.72000000000003"/>
  </r>
  <r>
    <x v="2"/>
    <s v="05/01/2026"/>
    <s v="IRIS CRISTINA RIVERA PEREZ CELESTERRA"/>
    <s v="7503032300443"/>
    <s v="Zoe bala vibradora RETAIL - CXO"/>
    <s v="JUGUETE PROPIO"/>
    <s v="CXO"/>
    <n v="1"/>
    <n v="155.16999999999999"/>
  </r>
  <r>
    <x v="2"/>
    <s v="06/01/2026"/>
    <s v="IRIS CRISTINA RIVERA PEREZ CELESTERRA"/>
    <s v="7503014914002"/>
    <s v="CAPSULAS MULTIORGASMICO AMO O-GEN"/>
    <s v="CONSUMIBLE"/>
    <s v="POWER MAN"/>
    <n v="1"/>
    <n v="431.04"/>
  </r>
  <r>
    <x v="2"/>
    <s v="06/01/2026"/>
    <s v="IRIS CRISTINA RIVERA PEREZ CELESTERRA"/>
    <s v="CON01CH017005L"/>
    <s v="Conjunto Farah L rojo"/>
    <s v="LENCERIA"/>
    <s v="OLA MOU"/>
    <n v="1"/>
    <n v="655.16999999999996"/>
  </r>
  <r>
    <x v="2"/>
    <s v="06/01/2026"/>
    <s v="IRIS CRISTINA RIVERA PEREZ CELESTERRA"/>
    <s v="7503013378799"/>
    <s v="Lubricante Body Surf Termico Citricos DUSA 60ml"/>
    <s v="CONSUMIBLE PROPIO"/>
    <s v="DUSA"/>
    <n v="1"/>
    <n v="387.93"/>
  </r>
  <r>
    <x v="2"/>
    <s v="06/01/2026"/>
    <s v="IRIS CRISTINA RIVERA PEREZ CELESTERRA"/>
    <s v="7503013378010"/>
    <s v="Rigidex 2 pzas - DUSA"/>
    <s v="CONSUMIBLE PROPIO"/>
    <s v="DUSA"/>
    <n v="1"/>
    <n v="431.03"/>
  </r>
  <r>
    <x v="2"/>
    <s v="07/01/2026"/>
    <s v="IRIS CRISTINA RIVERA PEREZ CELESTERRA"/>
    <s v="7502235091431"/>
    <s v="Aumentador de Semen - Lions Power"/>
    <s v="CONSUMIBLE"/>
    <s v="SXO"/>
    <n v="1"/>
    <n v="482.76"/>
  </r>
  <r>
    <x v="2"/>
    <s v="07/01/2026"/>
    <s v="IRIS CRISTINA RIVERA PEREZ CELESTERRA"/>
    <s v="7503024256154"/>
    <s v="Lubricante Body Surf Termico Cereza DUSA 60ml"/>
    <s v="CONSUMIBLE PROPIO"/>
    <s v="DUSA"/>
    <n v="1"/>
    <n v="387.93"/>
  </r>
  <r>
    <x v="2"/>
    <s v="07/01/2026"/>
    <s v="IRIS CRISTINA RIVERA PEREZ CELESTERRA"/>
    <s v="7503023462235"/>
    <s v="Lubricante Masaje Térmico Comestible Piña Colada FEEL LOVE 4 en 1 - 60ml"/>
    <s v="LUBRICANTE"/>
    <s v="FEEL LOVE"/>
    <n v="1"/>
    <n v="344.83"/>
  </r>
  <r>
    <x v="2"/>
    <s v="07/01/2026"/>
    <s v="IRIS CRISTINA RIVERA PEREZ CELESTERRA"/>
    <s v="7503013378010"/>
    <s v="Rigidex 2 pzas - DUSA"/>
    <s v="CONSUMIBLE PROPIO"/>
    <s v="DUSA"/>
    <n v="1"/>
    <n v="431.03"/>
  </r>
  <r>
    <x v="2"/>
    <s v="09/01/2026"/>
    <s v="ANGEL DANILO RODRIGUEZ LOPEZ"/>
    <s v="7503043917081"/>
    <s v="Blade rosa anillo vibrador - CXO"/>
    <s v="JUGUETE PROPIO"/>
    <s v="CXO"/>
    <n v="2"/>
    <n v="163.80000000000001"/>
  </r>
  <r>
    <x v="2"/>
    <s v="09/01/2026"/>
    <s v="ANGEL DANILO RODRIGUEZ LOPEZ"/>
    <s v="7503020596513"/>
    <s v="Liquid Love Natural 20ml - DUSA"/>
    <s v="CONSUMIBLE PROPIO"/>
    <s v="DUSA"/>
    <n v="1"/>
    <n v="258.62"/>
  </r>
  <r>
    <x v="2"/>
    <s v="09/01/2026"/>
    <s v="ANGEL DANILO RODRIGUEZ LOPEZ"/>
    <s v="7503023462198"/>
    <s v="Lubricante Masaje Térmico Comestible Plátano Excitante FEEL LOVE 4 en 1 - 60ml"/>
    <s v="LUBRICANTE"/>
    <s v="FEEL LOVE"/>
    <n v="1"/>
    <n v="344.83"/>
  </r>
  <r>
    <x v="2"/>
    <s v="10/01/2026"/>
    <s v="IRIS CRISTINA RIVERA PEREZ CELESTERRA"/>
    <s v="7503024256635"/>
    <s v="Olive  6.8&quot; rosa - CXO"/>
    <s v="JUGUETE PROPIO"/>
    <s v="CXO"/>
    <n v="1"/>
    <n v="603.45000000000005"/>
  </r>
  <r>
    <x v="3"/>
    <s v="02/01/2026"/>
    <s v="ALFONSO  M CARBALLAR"/>
    <s v="7503043917081"/>
    <s v="Blade rosa anillo vibrador - CXO"/>
    <s v="JUGUETE PROPIO"/>
    <s v="CXO"/>
    <n v="1"/>
    <n v="81.900000000000006"/>
  </r>
  <r>
    <x v="3"/>
    <s v="02/01/2026"/>
    <s v="ALFONSO  M CARBALLAR"/>
    <s v="7503014914002"/>
    <s v="CAPSULAS MULTIORGASMICO AMO O-GEN"/>
    <s v="CONSUMIBLE"/>
    <s v="POWER MAN"/>
    <n v="1"/>
    <n v="431.04"/>
  </r>
  <r>
    <x v="3"/>
    <s v="02/01/2026"/>
    <s v="ALFONSO  M CARBALLAR"/>
    <s v="7502214982477"/>
    <s v="Condon Fresa 3pzs - PRUDENCE"/>
    <s v="CONSUMIBLE"/>
    <s v="PRUDENCE"/>
    <n v="1"/>
    <n v="60.34"/>
  </r>
  <r>
    <x v="3"/>
    <s v="02/01/2026"/>
    <s v="ALFONSO  M CARBALLAR"/>
    <s v="7502214982811"/>
    <s v="Condones Mix Sabor y Aroma 5 pzs - PRUDENCE"/>
    <s v="CONSUMIBLE"/>
    <s v="PRUDENCE"/>
    <n v="1"/>
    <n v="77.59"/>
  </r>
  <r>
    <x v="3"/>
    <s v="02/01/2026"/>
    <s v="ALFONSO  M CARBALLAR"/>
    <s v="7503032300825"/>
    <s v="Lubricante Sachet natural 2 ml - BANANA SHAKE"/>
    <s v="CONSUMIBLE"/>
    <s v="BANANA SHAKE"/>
    <n v="10"/>
    <n v="172.4"/>
  </r>
  <r>
    <x v="3"/>
    <s v="02/01/2026"/>
    <s v="ALFONSO  M CARBALLAR"/>
    <s v="7503050524241"/>
    <s v="Orgasmik 30ml - DUSA"/>
    <s v="CONSUMIBLE PROPIO"/>
    <s v="DUSA"/>
    <n v="1"/>
    <n v="431.03"/>
  </r>
  <r>
    <x v="3"/>
    <s v="02/01/2026"/>
    <s v="ALFONSO  M CARBALLAR"/>
    <s v="7503013378010"/>
    <s v="Rigidex 2 pzas - DUSA"/>
    <s v="CONSUMIBLE PROPIO"/>
    <s v="DUSA"/>
    <n v="1"/>
    <n v="431.03"/>
  </r>
  <r>
    <x v="3"/>
    <s v="02/01/2026"/>
    <s v="ALFONSO  M CARBALLAR"/>
    <s v="7503013378690"/>
    <s v="Shumatsu 3 pzas - DUSA"/>
    <s v="CONSUMIBLE PROPIO"/>
    <s v="DUSA"/>
    <n v="4"/>
    <n v="2310.36"/>
  </r>
  <r>
    <x v="3"/>
    <s v="02/01/2026"/>
    <s v="ALFONSO  M CARBALLAR"/>
    <s v="716770036629"/>
    <s v="VIBRADOR SILICONE TRIPLE ORGASM ROSA"/>
    <s v="JUGUETE"/>
    <s v="CALEXOTICS"/>
    <n v="1"/>
    <n v="1293.0999999999999"/>
  </r>
  <r>
    <x v="3"/>
    <s v="02/01/2026"/>
    <s v="ALFONSO  M CARBALLAR"/>
    <s v="7503032300443"/>
    <s v="Zoe bala vibradora RETAIL - CXO"/>
    <s v="JUGUETE PROPIO"/>
    <s v="CXO"/>
    <n v="1"/>
    <n v="155.16999999999999"/>
  </r>
  <r>
    <x v="3"/>
    <s v="03/01/2026"/>
    <s v="HECTOR MANUEL P CELEST"/>
    <s v="7503043917081"/>
    <s v="Blade rosa anillo vibrador - CXO"/>
    <s v="JUGUETE PROPIO"/>
    <s v="CXO"/>
    <n v="1"/>
    <n v="81.900000000000006"/>
  </r>
  <r>
    <x v="3"/>
    <s v="03/01/2026"/>
    <s v="HECTOR MANUEL P CELEST"/>
    <s v="7503013378492"/>
    <s v="Clean Whisper 120ml - DUSA"/>
    <s v="CONSUMIBLE PROPIO"/>
    <s v="DUSA"/>
    <n v="3"/>
    <n v="905.16000000000008"/>
  </r>
  <r>
    <x v="3"/>
    <s v="03/01/2026"/>
    <s v="HECTOR MANUEL P CELEST"/>
    <s v="7503023462754"/>
    <s v="Fragancia con Feromonas Body Breeze Sexy DIAMANTE Cereza 125ml"/>
    <s v="CONSUMIBLE"/>
    <s v="DIAMANTE"/>
    <n v="1"/>
    <n v="413.79"/>
  </r>
  <r>
    <x v="3"/>
    <s v="03/01/2026"/>
    <s v="HECTOR MANUEL P CELEST"/>
    <s v="7503043917142"/>
    <s v="Hank negro anillo vibrador - CXO"/>
    <s v="JUGUETE PROPIO"/>
    <s v="CXO"/>
    <n v="1"/>
    <n v="818.97"/>
  </r>
  <r>
    <x v="3"/>
    <s v="03/01/2026"/>
    <s v="HECTOR MANUEL P CELEST"/>
    <s v="7503050524265"/>
    <s v="He Plus 30ml - DUSA"/>
    <s v="CONSUMIBLE PROPIO"/>
    <s v="DUSA"/>
    <n v="1"/>
    <n v="431.03"/>
  </r>
  <r>
    <x v="3"/>
    <s v="03/01/2026"/>
    <s v="HECTOR MANUEL P CELEST"/>
    <s v="7503032300993"/>
    <s v="Liquid Love Pleasure 30ml - DUSA"/>
    <s v="CONSUMIBLE PROPIO"/>
    <s v="DUSA"/>
    <n v="2"/>
    <n v="603.44000000000005"/>
  </r>
  <r>
    <x v="3"/>
    <s v="03/01/2026"/>
    <s v="HECTOR MANUEL P CELEST"/>
    <s v="7503013378645"/>
    <s v="Liquid Love Pleasure 100ml - DUSA"/>
    <s v="CONSUMIBLE PROPIO"/>
    <s v="DUSA"/>
    <n v="1"/>
    <n v="775.86"/>
  </r>
  <r>
    <x v="3"/>
    <s v="03/01/2026"/>
    <s v="HECTOR MANUEL P CELEST"/>
    <s v="7503013378799"/>
    <s v="Lubricante Body Surf Termico Citricos DUSA 60ml"/>
    <s v="CONSUMIBLE PROPIO"/>
    <s v="DUSA"/>
    <n v="2"/>
    <n v="775.86"/>
  </r>
  <r>
    <x v="3"/>
    <s v="03/01/2026"/>
    <s v="HECTOR MANUEL P CELEST"/>
    <s v="7503020596957"/>
    <s v="Shot Shumatsu Fun Hombre - DUSA"/>
    <s v="CONSUMIBLE PROPIO"/>
    <s v="DUSA"/>
    <n v="1"/>
    <n v="172.41"/>
  </r>
  <r>
    <x v="3"/>
    <s v="03/01/2026"/>
    <s v="HECTOR MANUEL P CELEST"/>
    <s v="7503024256192"/>
    <s v="Shot Shumatsu Fun Mujer - DUSA"/>
    <s v="CONSUMIBLE PROPIO"/>
    <s v="DUSA"/>
    <n v="1"/>
    <n v="172.41"/>
  </r>
  <r>
    <x v="3"/>
    <s v="03/01/2026"/>
    <s v="HECTOR MANUEL P CELEST"/>
    <s v="4061504007496"/>
    <s v="Succionado con App Curvy 1+ - Satisfayer"/>
    <s v="JUGUETE"/>
    <s v="SATISFAYER"/>
    <n v="1"/>
    <n v="1810.34"/>
  </r>
  <r>
    <x v="3"/>
    <s v="03/01/2026"/>
    <s v="HECTOR MANUEL P CELEST"/>
    <s v="6959633104668"/>
    <s v="Vibrador Ava Neo Rosa Durazno - SVAKOM"/>
    <s v="JUGUETE"/>
    <s v="SVAKOM"/>
    <n v="1"/>
    <n v="1810.34"/>
  </r>
  <r>
    <x v="3"/>
    <s v="03/01/2026"/>
    <s v="HECTOR MANUEL P CELEST"/>
    <s v="6959633105313"/>
    <s v="Vibrador de Prostata con Pulsaciones Iker Neo - SVAKOM"/>
    <s v="JUGUETE"/>
    <s v="SVAKOM"/>
    <n v="1"/>
    <n v="3879.31"/>
  </r>
  <r>
    <x v="3"/>
    <s v="03/01/2026"/>
    <s v="HECTOR MANUEL P CELEST"/>
    <s v="7503020104076"/>
    <s v="Vibrador multiorgásmico con succión y estimulación de punto G Lulu - CXO"/>
    <s v="JUGUETE PROPIO"/>
    <s v="CXO"/>
    <n v="1"/>
    <n v="2120.69"/>
  </r>
  <r>
    <x v="3"/>
    <s v="04/01/2026"/>
    <s v="HECTOR MANUEL P CELEST"/>
    <s v="7503043917081"/>
    <s v="Blade rosa anillo vibrador - CXO"/>
    <s v="JUGUETE PROPIO"/>
    <s v="CXO"/>
    <n v="1"/>
    <n v="81.900000000000006"/>
  </r>
  <r>
    <x v="3"/>
    <s v="04/01/2026"/>
    <s v="HECTOR MANUEL P CELEST"/>
    <s v="7502214985362"/>
    <s v="CONDON MUTUAL SENSATION C/3 - PRUDENCE"/>
    <s v="CONSUMIBLE"/>
    <s v="PRUDENCE"/>
    <n v="2"/>
    <n v="155.18"/>
  </r>
  <r>
    <x v="3"/>
    <s v="04/01/2026"/>
    <s v="HECTOR MANUEL P CELEST"/>
    <s v="7502214982811"/>
    <s v="Condones Mix Sabor y Aroma 5 pzs - PRUDENCE"/>
    <s v="CONSUMIBLE"/>
    <s v="PRUDENCE"/>
    <n v="1"/>
    <n v="77.59"/>
  </r>
  <r>
    <x v="3"/>
    <s v="04/01/2026"/>
    <s v="HECTOR MANUEL P CELEST"/>
    <s v="7500464543059"/>
    <s v="Dildo Realista con Ventosa 15.5cms Domi CXO"/>
    <s v="JUGUETE PROPIO"/>
    <s v="CXO"/>
    <n v="1"/>
    <n v="818.97"/>
  </r>
  <r>
    <x v="3"/>
    <s v="04/01/2026"/>
    <s v="HECTOR MANUEL P CELEST"/>
    <s v="7503013378645"/>
    <s v="Liquid Love Pleasure 100ml - DUSA"/>
    <s v="CONSUMIBLE PROPIO"/>
    <s v="DUSA"/>
    <n v="1"/>
    <n v="775.86"/>
  </r>
  <r>
    <x v="3"/>
    <s v="04/01/2026"/>
    <s v="HECTOR MANUEL P CELEST"/>
    <s v="7508304289037"/>
    <s v="LUBRICANTE C/FEROMONAS -LUJO- 40ML  RETARDADOR"/>
    <s v="CONSUMIBLE"/>
    <s v="DIAMANTE"/>
    <n v="1"/>
    <n v="508.62"/>
  </r>
  <r>
    <x v="3"/>
    <s v="04/01/2026"/>
    <s v="HECTOR MANUEL P CELEST"/>
    <s v="7500635214818"/>
    <s v="PANTY EN ENCAJE ABIERTA NEGRO 1481"/>
    <s v="LENCERIA"/>
    <s v="CHRISLIFERBRA"/>
    <n v="1"/>
    <n v="120.69"/>
  </r>
  <r>
    <x v="3"/>
    <s v="04/01/2026"/>
    <s v="HECTOR MANUEL P CELEST"/>
    <s v="7503020596957"/>
    <s v="Shot Shumatsu Fun Hombre - DUSA"/>
    <s v="CONSUMIBLE PROPIO"/>
    <s v="DUSA"/>
    <n v="2"/>
    <n v="344.82"/>
  </r>
  <r>
    <x v="3"/>
    <s v="04/01/2026"/>
    <s v="HECTOR MANUEL P CELEST"/>
    <s v="7503024256192"/>
    <s v="Shot Shumatsu Fun Mujer - DUSA"/>
    <s v="CONSUMIBLE PROPIO"/>
    <s v="DUSA"/>
    <n v="1"/>
    <n v="172.41"/>
  </r>
  <r>
    <x v="3"/>
    <s v="04/01/2026"/>
    <s v="HECTOR MANUEL P CELEST"/>
    <s v="7503013378690"/>
    <s v="Shumatsu 3 pzas - DUSA"/>
    <s v="CONSUMIBLE PROPIO"/>
    <s v="DUSA"/>
    <n v="4"/>
    <n v="2310.36"/>
  </r>
  <r>
    <x v="3"/>
    <s v="05/01/2026"/>
    <s v="HECTOR MANUEL P CELEST"/>
    <s v="7503024256154"/>
    <s v="Lubricante Body Surf Termico Cereza DUSA 60ml"/>
    <s v="CONSUMIBLE PROPIO"/>
    <s v="DUSA"/>
    <n v="1"/>
    <n v="387.93"/>
  </r>
  <r>
    <x v="3"/>
    <s v="05/01/2026"/>
    <s v="HECTOR MANUEL P CELEST"/>
    <s v="7503020596957"/>
    <s v="Shot Shumatsu Fun Hombre - DUSA"/>
    <s v="CONSUMIBLE PROPIO"/>
    <s v="DUSA"/>
    <n v="1"/>
    <n v="172.41"/>
  </r>
  <r>
    <x v="3"/>
    <s v="05/01/2026"/>
    <s v="HECTOR MANUEL P CELEST"/>
    <s v="7503013378690"/>
    <s v="Shumatsu 3 pzas - DUSA"/>
    <s v="CONSUMIBLE PROPIO"/>
    <s v="DUSA"/>
    <n v="2"/>
    <n v="1155.18"/>
  </r>
  <r>
    <x v="3"/>
    <s v="06/01/2026"/>
    <s v="HECTOR MANUEL P CELEST"/>
    <s v="7503020310205"/>
    <s v="Dildo Vibrador Termico Realista 3 en 1 con movimiento Hades-CXO"/>
    <s v="JUGUETE PROPIO"/>
    <s v="CXO"/>
    <n v="1"/>
    <n v="2500"/>
  </r>
  <r>
    <x v="3"/>
    <s v="06/01/2026"/>
    <s v="HECTOR MANUEL P CELEST"/>
    <s v="RYSC-159-C-ZT"/>
    <s v="Juego de Ataduras BDSM Sumision - CXO"/>
    <s v="JUGUETE PROPIO"/>
    <s v="CXO"/>
    <n v="1"/>
    <n v="775.86"/>
  </r>
  <r>
    <x v="3"/>
    <s v="06/01/2026"/>
    <s v="HECTOR MANUEL P CELEST"/>
    <s v="7503013378799"/>
    <s v="Lubricante Body Surf Termico Citricos DUSA 60ml"/>
    <s v="CONSUMIBLE PROPIO"/>
    <s v="DUSA"/>
    <n v="1"/>
    <n v="387.93"/>
  </r>
  <r>
    <x v="3"/>
    <s v="06/01/2026"/>
    <s v="HECTOR MANUEL P CELEST"/>
    <s v="4251460601283"/>
    <s v="Romp Jazz"/>
    <s v="JUGUETE"/>
    <s v="ROMP"/>
    <n v="1"/>
    <n v="2155.17"/>
  </r>
  <r>
    <x v="3"/>
    <s v="06/01/2026"/>
    <s v="HECTOR MANUEL P CELEST"/>
    <s v="7503013378690"/>
    <s v="Shumatsu 3 pzas - DUSA"/>
    <s v="CONSUMIBLE PROPIO"/>
    <s v="DUSA"/>
    <n v="1"/>
    <n v="577.59"/>
  </r>
  <r>
    <x v="3"/>
    <s v="06/01/2026"/>
    <s v="HECTOR MANUEL P CELEST"/>
    <s v="VDO03CB146001UN"/>
    <s v="Vestido Seducción nude - OLA MOU"/>
    <s v="LENCERIA"/>
    <s v="OLA MOU : CHOCOLATES"/>
    <n v="1"/>
    <n v="413.79"/>
  </r>
  <r>
    <x v="3"/>
    <s v="07/01/2026"/>
    <s v="HECTOR MANUEL P CELEST"/>
    <s v="7503013378492"/>
    <s v="Clean Whisper 120ml - DUSA"/>
    <s v="CONSUMIBLE PROPIO"/>
    <s v="DUSA"/>
    <n v="1"/>
    <n v="301.72000000000003"/>
  </r>
  <r>
    <x v="3"/>
    <s v="07/01/2026"/>
    <s v="HECTOR MANUEL P CELEST"/>
    <s v="7503020310205"/>
    <s v="Dildo Vibrador Termico Realista 3 en 1 con movimiento Hades-CXO"/>
    <s v="JUGUETE PROPIO"/>
    <s v="CXO"/>
    <n v="1"/>
    <n v="2500"/>
  </r>
  <r>
    <x v="3"/>
    <s v="07/01/2026"/>
    <s v="HECTOR MANUEL P CELEST"/>
    <s v="7503043917012"/>
    <s v="Liquid Love Backdoor 30ml - DUSA"/>
    <s v="CONSUMIBLE PROPIO"/>
    <s v="DUSA"/>
    <n v="1"/>
    <n v="301.72000000000003"/>
  </r>
  <r>
    <x v="3"/>
    <s v="07/01/2026"/>
    <s v="HECTOR MANUEL P CELEST"/>
    <s v="7503043917005"/>
    <s v="Liquid Love Clear 30ml - DUSA"/>
    <s v="CONSUMIBLE PROPIO"/>
    <s v="DUSA"/>
    <n v="1"/>
    <n v="301.72000000000003"/>
  </r>
  <r>
    <x v="3"/>
    <s v="07/01/2026"/>
    <s v="HECTOR MANUEL P CELEST"/>
    <s v="7503032300993"/>
    <s v="Liquid Love Pleasure 30ml - DUSA"/>
    <s v="CONSUMIBLE PROPIO"/>
    <s v="DUSA"/>
    <n v="1"/>
    <n v="301.72000000000003"/>
  </r>
  <r>
    <x v="3"/>
    <s v="07/01/2026"/>
    <s v="HECTOR MANUEL P CELEST"/>
    <s v="7503020596049"/>
    <s v="Sensicool - DUSA"/>
    <s v="CONSUMIBLE PROPIO"/>
    <s v="DUSA"/>
    <n v="1"/>
    <n v="431.03"/>
  </r>
  <r>
    <x v="3"/>
    <s v="07/01/2026"/>
    <s v="HECTOR MANUEL P CELEST"/>
    <s v="7503020596957"/>
    <s v="Shot Shumatsu Fun Hombre - DUSA"/>
    <s v="CONSUMIBLE PROPIO"/>
    <s v="DUSA"/>
    <n v="1"/>
    <n v="172.41"/>
  </r>
  <r>
    <x v="3"/>
    <s v="07/01/2026"/>
    <s v="HECTOR MANUEL P CELEST"/>
    <s v="7503024256192"/>
    <s v="Shot Shumatsu Fun Mujer - DUSA"/>
    <s v="CONSUMIBLE PROPIO"/>
    <s v="DUSA"/>
    <n v="1"/>
    <n v="172.41"/>
  </r>
  <r>
    <x v="3"/>
    <s v="07/01/2026"/>
    <s v="HECTOR MANUEL P CELEST"/>
    <s v="4630017971008"/>
    <s v="Titan gel original - TITAN"/>
    <s v="CONSUMIBLE"/>
    <s v="TITAN"/>
    <n v="1"/>
    <n v="517.24"/>
  </r>
  <r>
    <x v="3"/>
    <s v="08/01/2026"/>
    <s v="HECTOR MANUEL P CELEST"/>
    <s v="7503013378492"/>
    <s v="Clean Whisper 120ml - DUSA"/>
    <s v="CONSUMIBLE PROPIO"/>
    <s v="DUSA"/>
    <n v="1"/>
    <n v="301.72000000000003"/>
  </r>
  <r>
    <x v="3"/>
    <s v="08/01/2026"/>
    <s v="HECTOR MANUEL P CELEST"/>
    <s v="7350075029288"/>
    <s v="HUGO 2 Remote Green - LELO"/>
    <s v="JUGUETE"/>
    <s v="LELO"/>
    <n v="1"/>
    <n v="5172.41"/>
  </r>
  <r>
    <x v="3"/>
    <s v="08/01/2026"/>
    <s v="HECTOR MANUEL P CELEST"/>
    <s v="7503043917005"/>
    <s v="Liquid Love Clear 30ml - DUSA"/>
    <s v="CONSUMIBLE PROPIO"/>
    <s v="DUSA"/>
    <n v="2"/>
    <n v="603.44000000000005"/>
  </r>
  <r>
    <x v="3"/>
    <s v="08/01/2026"/>
    <s v="HECTOR MANUEL P CELEST"/>
    <s v="7503032300382"/>
    <s v="Mon - CXO"/>
    <s v="JUGUETE PROPIO"/>
    <s v="CXO"/>
    <n v="1"/>
    <n v="517.24"/>
  </r>
  <r>
    <x v="3"/>
    <s v="08/01/2026"/>
    <s v="HECTOR MANUEL P CELEST"/>
    <s v="7503020596957"/>
    <s v="Shot Shumatsu Fun Hombre - DUSA"/>
    <s v="CONSUMIBLE PROPIO"/>
    <s v="DUSA"/>
    <n v="1"/>
    <n v="172.41"/>
  </r>
  <r>
    <x v="3"/>
    <s v="08/01/2026"/>
    <s v="HECTOR MANUEL P CELEST"/>
    <s v="7503024256192"/>
    <s v="Shot Shumatsu Fun Mujer - DUSA"/>
    <s v="CONSUMIBLE PROPIO"/>
    <s v="DUSA"/>
    <n v="1"/>
    <n v="172.41"/>
  </r>
  <r>
    <x v="3"/>
    <s v="09/01/2026"/>
    <s v="HECTOR MANUEL P CELEST"/>
    <s v="7503013378492"/>
    <s v="Clean Whisper 120ml - DUSA"/>
    <s v="CONSUMIBLE PROPIO"/>
    <s v="DUSA"/>
    <n v="1"/>
    <n v="301.72000000000003"/>
  </r>
  <r>
    <x v="3"/>
    <s v="09/01/2026"/>
    <s v="HECTOR MANUEL P CELEST"/>
    <s v="7502214982811"/>
    <s v="Condones Mix Sabor y Aroma 5 pzs - PRUDENCE"/>
    <s v="CONSUMIBLE"/>
    <s v="PRUDENCE"/>
    <n v="1"/>
    <n v="77.59"/>
  </r>
  <r>
    <x v="3"/>
    <s v="09/01/2026"/>
    <s v="HECTOR MANUEL P CELEST"/>
    <s v="6959633166963"/>
    <s v="Ella Neo rojo- SVAKOM"/>
    <s v="JUGUETE"/>
    <s v="SVAKOM"/>
    <n v="1"/>
    <n v="3017.24"/>
  </r>
  <r>
    <x v="3"/>
    <s v="09/01/2026"/>
    <s v="HECTOR MANUEL P CELEST"/>
    <s v="MBS0530"/>
    <s v="Esposas de broche - CXO"/>
    <s v="JUGUETE PROPIO"/>
    <s v="CXO"/>
    <n v="1"/>
    <n v="172.41"/>
  </r>
  <r>
    <x v="3"/>
    <s v="09/01/2026"/>
    <s v="HECTOR MANUEL P CELEST"/>
    <s v="7503013378652"/>
    <s v="Liquid Love Backdoor 100ml - DUSA"/>
    <s v="CONSUMIBLE PROPIO"/>
    <s v="DUSA"/>
    <n v="1"/>
    <n v="1077.5899999999999"/>
  </r>
  <r>
    <x v="3"/>
    <s v="09/01/2026"/>
    <s v="HECTOR MANUEL P CELEST"/>
    <s v="7503032300993"/>
    <s v="Liquid Love Pleasure 30ml - DUSA"/>
    <s v="CONSUMIBLE PROPIO"/>
    <s v="DUSA"/>
    <n v="1"/>
    <n v="301.72000000000003"/>
  </r>
  <r>
    <x v="3"/>
    <s v="09/01/2026"/>
    <s v="HECTOR MANUEL P CELEST"/>
    <s v="7503013378645"/>
    <s v="Liquid Love Pleasure 100ml - DUSA"/>
    <s v="CONSUMIBLE PROPIO"/>
    <s v="DUSA"/>
    <n v="1"/>
    <n v="775.86"/>
  </r>
  <r>
    <x v="3"/>
    <s v="09/01/2026"/>
    <s v="HECTOR MANUEL P CELEST"/>
    <s v="7503032300856"/>
    <s v="Sachet vibrador liquido 2 ml - BANANA SHAKE"/>
    <s v="CONSUMIBLE"/>
    <s v="BANANA SHAKE"/>
    <n v="4"/>
    <n v="68.959999999999994"/>
  </r>
  <r>
    <x v="3"/>
    <s v="09/01/2026"/>
    <s v="HECTOR MANUEL P CELEST"/>
    <s v="7503024256192"/>
    <s v="Shot Shumatsu Fun Mujer - DUSA"/>
    <s v="CONSUMIBLE PROPIO"/>
    <s v="DUSA"/>
    <n v="2"/>
    <n v="344.82"/>
  </r>
  <r>
    <x v="3"/>
    <s v="09/01/2026"/>
    <s v="HECTOR MANUEL P CELEST"/>
    <s v="7503013378690"/>
    <s v="Shumatsu 3 pzas - DUSA"/>
    <s v="CONSUMIBLE PROPIO"/>
    <s v="DUSA"/>
    <n v="1"/>
    <n v="577.59"/>
  </r>
  <r>
    <x v="3"/>
    <s v="09/01/2026"/>
    <s v="HECTOR MANUEL P CELEST"/>
    <s v="7503020104081"/>
    <s v="Vibrador multiorgásmico con succionador y textura suave Paty – CXO"/>
    <s v="JUGUETE PROPIO"/>
    <s v="CXO"/>
    <n v="1"/>
    <n v="2353.4499999999998"/>
  </r>
  <r>
    <x v="3"/>
    <s v="10/01/2026"/>
    <s v="ALFONSO  M CARBALLAR"/>
    <s v="7503032300054"/>
    <s v="Arnes Eskeletor - CXO"/>
    <s v="JUGUETE PROPIO"/>
    <s v="CXO"/>
    <n v="1"/>
    <n v="750"/>
  </r>
  <r>
    <x v="3"/>
    <s v="10/01/2026"/>
    <s v="ALFONSO  M CARBALLAR"/>
    <s v="7503014914002"/>
    <s v="CAPSULAS MULTIORGASMICO AMO O-GEN"/>
    <s v="CONSUMIBLE"/>
    <s v="POWER MAN"/>
    <n v="1"/>
    <n v="431.04"/>
  </r>
  <r>
    <x v="3"/>
    <s v="10/01/2026"/>
    <s v="ALFONSO  M CARBALLAR"/>
    <s v="7502214980053"/>
    <s v="CONDON TRUST NATURAL CON 3 MAQ - PRUDENCE"/>
    <s v="CONSUMIBLE"/>
    <s v="PRUDENCE"/>
    <n v="1"/>
    <n v="77.59"/>
  </r>
  <r>
    <x v="3"/>
    <s v="10/01/2026"/>
    <s v="ALFONSO  M CARBALLAR"/>
    <s v="COR03CB131001UN"/>
    <s v="Corset con ligero MOD. 1428 - OLA MOU"/>
    <s v="LENCERIA"/>
    <s v="OLA MOU : CHOCOLATES"/>
    <n v="1"/>
    <n v="465.51"/>
  </r>
  <r>
    <x v="3"/>
    <s v="10/01/2026"/>
    <s v="ALFONSO  M CARBALLAR"/>
    <s v="7503030102034"/>
    <s v="Dildo vibrador con control Anthony - CXO"/>
    <s v="JUGUETE PROPIO"/>
    <s v="CXO"/>
    <n v="1"/>
    <n v="2112.0700000000002"/>
  </r>
  <r>
    <x v="3"/>
    <s v="10/01/2026"/>
    <s v="ALFONSO  M CARBALLAR"/>
    <s v="7508304288405"/>
    <s v="Feromonas en gel para mujer 20ml - DIAMANTE"/>
    <s v="CONSUMIBLE"/>
    <s v="DIAMANTE"/>
    <n v="1"/>
    <n v="379.31"/>
  </r>
  <r>
    <x v="3"/>
    <s v="10/01/2026"/>
    <s v="ALFONSO  M CARBALLAR"/>
    <s v="7503043917142"/>
    <s v="Hank negro anillo vibrador - CXO"/>
    <s v="JUGUETE PROPIO"/>
    <s v="CXO"/>
    <n v="1"/>
    <n v="818.97"/>
  </r>
  <r>
    <x v="3"/>
    <s v="10/01/2026"/>
    <s v="ALFONSO  M CARBALLAR"/>
    <s v="7503043917012"/>
    <s v="Liquid Love Backdoor 30ml - DUSA"/>
    <s v="CONSUMIBLE PROPIO"/>
    <s v="DUSA"/>
    <n v="1"/>
    <n v="301.72000000000003"/>
  </r>
  <r>
    <x v="3"/>
    <s v="10/01/2026"/>
    <s v="ALFONSO  M CARBALLAR"/>
    <s v="7503032300993"/>
    <s v="Liquid Love Pleasure 30ml - DUSA"/>
    <s v="CONSUMIBLE PROPIO"/>
    <s v="DUSA"/>
    <n v="3"/>
    <n v="905.16000000000008"/>
  </r>
  <r>
    <x v="3"/>
    <s v="10/01/2026"/>
    <s v="ALFONSO  M CARBALLAR"/>
    <s v="7503013378645"/>
    <s v="Liquid Love Pleasure 100ml - DUSA"/>
    <s v="CONSUMIBLE PROPIO"/>
    <s v="DUSA"/>
    <n v="1"/>
    <n v="775.86"/>
  </r>
  <r>
    <x v="3"/>
    <s v="10/01/2026"/>
    <s v="ALFONSO  M CARBALLAR"/>
    <s v="7503032300382"/>
    <s v="Mon - CXO"/>
    <s v="JUGUETE PROPIO"/>
    <s v="CXO"/>
    <n v="1"/>
    <n v="517.24"/>
  </r>
  <r>
    <x v="3"/>
    <s v="10/01/2026"/>
    <s v="ALFONSO  M CARBALLAR"/>
    <s v="7503013378010"/>
    <s v="Rigidex 2 pzas - DUSA"/>
    <s v="CONSUMIBLE PROPIO"/>
    <s v="DUSA"/>
    <n v="4"/>
    <n v="1724.12"/>
  </r>
  <r>
    <x v="3"/>
    <s v="10/01/2026"/>
    <s v="ALFONSO  M CARBALLAR"/>
    <s v="7503020104076"/>
    <s v="Vibrador multiorgásmico con succión y estimulación de punto G Lulu - CXO"/>
    <s v="JUGUETE PROPIO"/>
    <s v="CXO"/>
    <n v="1"/>
    <n v="2120.69"/>
  </r>
  <r>
    <x v="3"/>
    <s v="10/01/2026"/>
    <s v="ALFONSO  M CARBALLAR"/>
    <s v="7503020105074"/>
    <s v="Vibrador para parejas con doble estimulación Hanna -  CXO"/>
    <s v="JUGUETE PROPIO"/>
    <s v="CXO"/>
    <n v="1"/>
    <n v="2163.79"/>
  </r>
  <r>
    <x v="3"/>
    <s v="11/01/2026"/>
    <s v="HECTOR MANUEL P CELEST"/>
    <s v="7503024256727"/>
    <s v="Cola de Zorro 45cm negro S - CXO"/>
    <s v="JUGUETE PROPIO"/>
    <s v="CXO"/>
    <n v="1"/>
    <n v="258.62"/>
  </r>
  <r>
    <x v="3"/>
    <s v="11/01/2026"/>
    <s v="HECTOR MANUEL P CELEST"/>
    <s v="7350075029325"/>
    <s v="Enigma Wave negro - LELO"/>
    <s v="JUGUETE"/>
    <s v="LELO"/>
    <n v="1"/>
    <n v="5862.07"/>
  </r>
  <r>
    <x v="3"/>
    <s v="11/01/2026"/>
    <s v="HECTOR MANUEL P CELEST"/>
    <s v="7503032300993"/>
    <s v="Liquid Love Pleasure 30ml - DUSA"/>
    <s v="CONSUMIBLE PROPIO"/>
    <s v="DUSA"/>
    <n v="1"/>
    <n v="301.72000000000003"/>
  </r>
  <r>
    <x v="3"/>
    <s v="11/01/2026"/>
    <s v="HECTOR MANUEL P CELEST"/>
    <s v="7503013378645"/>
    <s v="Liquid Love Pleasure 100ml - DUSA"/>
    <s v="CONSUMIBLE PROPIO"/>
    <s v="DUSA"/>
    <n v="1"/>
    <n v="775.86"/>
  </r>
  <r>
    <x v="3"/>
    <s v="11/01/2026"/>
    <s v="HECTOR MANUEL P CELEST"/>
    <s v="7503032300382"/>
    <s v="Mon - CXO"/>
    <s v="JUGUETE PROPIO"/>
    <s v="CXO"/>
    <n v="1"/>
    <n v="517.24"/>
  </r>
  <r>
    <x v="3"/>
    <s v="11/01/2026"/>
    <s v="HECTOR MANUEL P CELEST"/>
    <s v="7503013378010"/>
    <s v="Rigidex 2 pzas - DUSA"/>
    <s v="CONSUMIBLE PROPIO"/>
    <s v="DUSA"/>
    <n v="1"/>
    <n v="431.03"/>
  </r>
  <r>
    <x v="3"/>
    <s v="11/01/2026"/>
    <s v="HECTOR MANUEL P CELEST"/>
    <s v="7503020596957"/>
    <s v="Shot Shumatsu Fun Hombre - DUSA"/>
    <s v="CONSUMIBLE PROPIO"/>
    <s v="DUSA"/>
    <n v="1"/>
    <n v="172.41"/>
  </r>
  <r>
    <x v="3"/>
    <s v="11/01/2026"/>
    <s v="HECTOR MANUEL P CELEST"/>
    <s v="7503024256192"/>
    <s v="Shot Shumatsu Fun Mujer - DUSA"/>
    <s v="CONSUMIBLE PROPIO"/>
    <s v="DUSA"/>
    <n v="1"/>
    <n v="172.41"/>
  </r>
  <r>
    <x v="3"/>
    <s v="11/01/2026"/>
    <s v="HECTOR MANUEL P CELEST"/>
    <s v="4061504007496"/>
    <s v="Succionado con App Curvy 1+ - Satisfayer"/>
    <s v="JUGUETE"/>
    <s v="SATISFAYER"/>
    <n v="1"/>
    <n v="1810.34"/>
  </r>
  <r>
    <x v="4"/>
    <s v="02/01/2026"/>
    <s v="MARIA EDUWIGES DEL TORO ORTEGA"/>
    <s v="7503013378102"/>
    <s v="Anastasia Gema de Colores M - CXO"/>
    <s v="JUGUETE PROPIO"/>
    <s v="CXO"/>
    <n v="1"/>
    <n v="456.9"/>
  </r>
  <r>
    <x v="4"/>
    <s v="02/01/2026"/>
    <s v="MARIA EDUWIGES DEL TORO ORTEGA"/>
    <s v="7503013378119"/>
    <s v="Anastasia gema de colores S - CXO"/>
    <s v="JUGUETE PROPIO"/>
    <s v="CXO"/>
    <n v="1"/>
    <n v="396.55"/>
  </r>
  <r>
    <x v="4"/>
    <s v="02/01/2026"/>
    <s v="MARIA EDUWIGES DEL TORO ORTEGA"/>
    <s v="7503043917081"/>
    <s v="Blade rosa anillo vibrador - CXO"/>
    <s v="JUGUETE PROPIO"/>
    <s v="CXO"/>
    <n v="1"/>
    <n v="81.900000000000006"/>
  </r>
  <r>
    <x v="4"/>
    <s v="02/01/2026"/>
    <s v="MARIA EDUWIGES DEL TORO ORTEGA"/>
    <s v="7502214985348"/>
    <s v="Full Sensitive Condon 3pzs - PRUDENCE"/>
    <s v="CONSUMIBLE"/>
    <s v="PRUDENCE"/>
    <n v="1"/>
    <n v="77.59"/>
  </r>
  <r>
    <x v="4"/>
    <s v="02/01/2026"/>
    <s v="MARIA EDUWIGES DEL TORO ORTEGA"/>
    <s v="7503043917012"/>
    <s v="Liquid Love Backdoor 30ml - DUSA"/>
    <s v="CONSUMIBLE PROPIO"/>
    <s v="DUSA"/>
    <n v="1"/>
    <n v="301.72000000000003"/>
  </r>
  <r>
    <x v="4"/>
    <s v="02/01/2026"/>
    <s v="MARIA EDUWIGES DEL TORO ORTEGA"/>
    <s v="7503032300993"/>
    <s v="Liquid Love Pleasure 30ml - DUSA"/>
    <s v="CONSUMIBLE PROPIO"/>
    <s v="DUSA"/>
    <n v="2"/>
    <n v="603.44000000000005"/>
  </r>
  <r>
    <x v="4"/>
    <s v="02/01/2026"/>
    <s v="MARIA EDUWIGES DEL TORO ORTEGA"/>
    <s v="8699415912859"/>
    <s v="Miel Vigorizante para Hombre  Miracle Honey  VIP 15g-  SECRET MIRACLE HONEY"/>
    <s v="CONSUMIBLE"/>
    <s v="SECRET MIRACLE HONEY"/>
    <n v="1"/>
    <n v="215.52"/>
  </r>
  <r>
    <x v="4"/>
    <s v="02/01/2026"/>
    <s v="MARIA EDUWIGES DEL TORO ORTEGA"/>
    <s v="7503032300795"/>
    <s v="Sachet lubricante desensibilizador 2 ml - BANANA SHAKE"/>
    <s v="CONSUMIBLE"/>
    <s v="BANANA SHAKE"/>
    <n v="1"/>
    <n v="21.55"/>
  </r>
  <r>
    <x v="4"/>
    <s v="02/01/2026"/>
    <s v="MARIA EDUWIGES DEL TORO ORTEGA"/>
    <s v="7503032300856"/>
    <s v="Sachet vibrador liquido 2 ml - BANANA SHAKE"/>
    <s v="CONSUMIBLE"/>
    <s v="BANANA SHAKE"/>
    <n v="2"/>
    <n v="34.479999999999997"/>
  </r>
  <r>
    <x v="4"/>
    <s v="02/01/2026"/>
    <s v="MARIA EDUWIGES DEL TORO ORTEGA"/>
    <s v="7503032300443"/>
    <s v="Zoe bala vibradora RETAIL - CXO"/>
    <s v="JUGUETE PROPIO"/>
    <s v="CXO"/>
    <n v="1"/>
    <n v="155.16999999999999"/>
  </r>
  <r>
    <x v="4"/>
    <s v="03/01/2026"/>
    <s v="MARIA EDUWIGES DEL TORO ORTEGA"/>
    <s v="7503026484678"/>
    <s v="Aceite térmico fresa 60ml - FEEL LOVE"/>
    <s v="CONSUMIBLE"/>
    <s v="FEEL LOVE"/>
    <n v="1"/>
    <n v="327.58999999999997"/>
  </r>
  <r>
    <x v="4"/>
    <s v="03/01/2026"/>
    <s v="MARIA EDUWIGES DEL TORO ORTEGA"/>
    <s v="7503026484685"/>
    <s v="Aceite térmico vainilla 60ml - FEEL LOVE"/>
    <s v="CONSUMIBLE"/>
    <s v="FEEL LOVE"/>
    <n v="1"/>
    <n v="327.58999999999997"/>
  </r>
  <r>
    <x v="4"/>
    <s v="03/01/2026"/>
    <s v="MARIA EDUWIGES DEL TORO ORTEGA"/>
    <s v="7500635014548"/>
    <s v="BABY DOLL MEDIANO NEGRO CON ROSA 01454"/>
    <s v="LENCERIA"/>
    <s v="CHRISLIFERBRA"/>
    <n v="1"/>
    <n v="301.72000000000003"/>
  </r>
  <r>
    <x v="4"/>
    <s v="03/01/2026"/>
    <s v="MARIA EDUWIGES DEL TORO ORTEGA"/>
    <s v="7503043917081"/>
    <s v="Blade rosa anillo vibrador - CXO"/>
    <s v="JUGUETE PROPIO"/>
    <s v="CXO"/>
    <n v="2"/>
    <n v="163.80000000000001"/>
  </r>
  <r>
    <x v="4"/>
    <s v="03/01/2026"/>
    <s v="MARIA EDUWIGES DEL TORO ORTEGA"/>
    <s v="7503014914002"/>
    <s v="CAPSULAS MULTIORGASMICO AMO O-GEN"/>
    <s v="CONSUMIBLE"/>
    <s v="POWER MAN"/>
    <n v="1"/>
    <n v="431.04"/>
  </r>
  <r>
    <x v="4"/>
    <s v="03/01/2026"/>
    <s v="MARIA EDUWIGES DEL TORO ORTEGA"/>
    <s v="7500635012629"/>
    <s v="CONJUNTO EN ENCAJE BLANCO 0262"/>
    <s v="LENCERIA"/>
    <s v="CHRISLIFERBRA"/>
    <n v="1"/>
    <n v="172.41"/>
  </r>
  <r>
    <x v="4"/>
    <s v="03/01/2026"/>
    <s v="MARIA EDUWIGES DEL TORO ORTEGA"/>
    <s v="7503050226128"/>
    <s v="Conjunto Jimena con pezoneras y liguero - OLA MOU"/>
    <s v="LENCERIA"/>
    <s v="OLA MOU"/>
    <n v="1"/>
    <n v="387.93"/>
  </r>
  <r>
    <x v="4"/>
    <s v="03/01/2026"/>
    <s v="MARIA EDUWIGES DEL TORO ORTEGA"/>
    <s v="716770109491"/>
    <s v="Couture Wand Kit vibradores -CALEX"/>
    <s v="JUGUETE"/>
    <s v="CALEXOTICS"/>
    <n v="1"/>
    <n v="2155.17"/>
  </r>
  <r>
    <x v="4"/>
    <s v="03/01/2026"/>
    <s v="MARIA EDUWIGES DEL TORO ORTEGA"/>
    <s v="FM1002"/>
    <s v="FEROMONAS DIAMANTE CONCENTRADO HOMBRE"/>
    <s v="CONSUMIBLE"/>
    <s v="DIAMANTE"/>
    <n v="1"/>
    <n v="413.79"/>
  </r>
  <r>
    <x v="4"/>
    <s v="03/01/2026"/>
    <s v="MARIA EDUWIGES DEL TORO ORTEGA"/>
    <s v="7503026484227"/>
    <s v="Fragancia con Feromonas Body Breeze Sensual DIAMANTE 125ml"/>
    <s v="CONSUMIBLE"/>
    <s v="DIAMANTE"/>
    <n v="1"/>
    <n v="413.79"/>
  </r>
  <r>
    <x v="4"/>
    <s v="03/01/2026"/>
    <s v="MARIA EDUWIGES DEL TORO ORTEGA"/>
    <s v="7503050524265"/>
    <s v="He Plus 30ml - DUSA"/>
    <s v="CONSUMIBLE PROPIO"/>
    <s v="DUSA"/>
    <n v="1"/>
    <n v="431.03"/>
  </r>
  <r>
    <x v="4"/>
    <s v="03/01/2026"/>
    <s v="MARIA EDUWIGES DEL TORO ORTEGA"/>
    <s v="7500464377302"/>
    <s v="Juego de Cartas Salto del Tigre"/>
    <s v="OTRO"/>
    <s v="SALTO DEL TIGRE"/>
    <n v="1"/>
    <n v="297.41000000000003"/>
  </r>
  <r>
    <x v="4"/>
    <s v="03/01/2026"/>
    <s v="MARIA EDUWIGES DEL TORO ORTEGA"/>
    <s v="5908305912118"/>
    <s v="LENCERIA EUROPEA KINGA THONG CHICO/MEDIANO"/>
    <s v="LENCERIA"/>
    <s v="PASSION"/>
    <n v="1"/>
    <n v="271.55"/>
  </r>
  <r>
    <x v="4"/>
    <s v="03/01/2026"/>
    <s v="MARIA EDUWIGES DEL TORO ORTEGA"/>
    <s v="7503043917012"/>
    <s v="Liquid Love Backdoor 30ml - DUSA"/>
    <s v="CONSUMIBLE PROPIO"/>
    <s v="DUSA"/>
    <n v="1"/>
    <n v="301.72000000000003"/>
  </r>
  <r>
    <x v="4"/>
    <s v="03/01/2026"/>
    <s v="MARIA EDUWIGES DEL TORO ORTEGA"/>
    <s v="7503043917005"/>
    <s v="Liquid Love Clear 30ml - DUSA"/>
    <s v="CONSUMIBLE PROPIO"/>
    <s v="DUSA"/>
    <n v="2"/>
    <n v="603.44000000000005"/>
  </r>
  <r>
    <x v="4"/>
    <s v="03/01/2026"/>
    <s v="MARIA EDUWIGES DEL TORO ORTEGA"/>
    <s v="7503013378126"/>
    <s v="Lubricante Body Surf Frio Natural DUSA 60ml"/>
    <s v="CONSUMIBLE PROPIO"/>
    <s v="DUSA"/>
    <n v="1"/>
    <n v="387.93"/>
  </r>
  <r>
    <x v="4"/>
    <s v="03/01/2026"/>
    <s v="MARIA EDUWIGES DEL TORO ORTEGA"/>
    <s v="7503050524241"/>
    <s v="Orgasmik 30ml - DUSA"/>
    <s v="CONSUMIBLE PROPIO"/>
    <s v="DUSA"/>
    <n v="1"/>
    <n v="431.03"/>
  </r>
  <r>
    <x v="4"/>
    <s v="03/01/2026"/>
    <s v="MARIA EDUWIGES DEL TORO ORTEGA"/>
    <s v="7500635018249"/>
    <s v="PANTY EN ENCAJE NEGRO 01824"/>
    <s v="LENCERIA"/>
    <s v="CHRISLIFERBRA"/>
    <n v="1"/>
    <n v="150.86000000000001"/>
  </r>
  <r>
    <x v="4"/>
    <s v="03/01/2026"/>
    <s v="MARIA EDUWIGES DEL TORO ORTEGA"/>
    <s v="7503032300795"/>
    <s v="Sachet lubricante desensibilizador 2 ml - BANANA SHAKE"/>
    <s v="CONSUMIBLE"/>
    <s v="BANANA SHAKE"/>
    <n v="2"/>
    <n v="43.1"/>
  </r>
  <r>
    <x v="4"/>
    <s v="03/01/2026"/>
    <s v="MARIA EDUWIGES DEL TORO ORTEGA"/>
    <s v="7503020596063"/>
    <s v="Stallion Regenerador - DUSA"/>
    <s v="CONSUMIBLE PROPIO"/>
    <s v="DUSA"/>
    <n v="1"/>
    <n v="1293.0999999999999"/>
  </r>
  <r>
    <x v="4"/>
    <s v="03/01/2026"/>
    <s v="MARIA EDUWIGES DEL TORO ORTEGA"/>
    <s v="7503020104082"/>
    <s v="Vibrador multiorgásmico con succionador y perlas Andy – CXO"/>
    <s v="JUGUETE PROPIO"/>
    <s v="CXO"/>
    <n v="1"/>
    <n v="2258.62"/>
  </r>
  <r>
    <x v="4"/>
    <s v="03/01/2026"/>
    <s v="MARIA EDUWIGES DEL TORO ORTEGA"/>
    <s v="7503032300443"/>
    <s v="Zoe bala vibradora RETAIL - CXO"/>
    <s v="JUGUETE PROPIO"/>
    <s v="CXO"/>
    <n v="3"/>
    <n v="465.51"/>
  </r>
  <r>
    <x v="4"/>
    <s v="04/01/2026"/>
    <s v="MARIA EDUWIGES DEL TORO ORTEGA"/>
    <s v="7503013378799"/>
    <s v="Lubricante Body Surf Termico Citricos DUSA 60ml"/>
    <s v="CONSUMIBLE PROPIO"/>
    <s v="DUSA"/>
    <n v="1"/>
    <n v="387.93"/>
  </r>
  <r>
    <x v="4"/>
    <s v="05/01/2026"/>
    <s v="MARIA EDUWIGES DEL TORO ORTEGA"/>
    <s v="7503020596001"/>
    <s v="Liquid Love Clear 100ml - DUSA"/>
    <s v="CONSUMIBLE PROPIO"/>
    <s v="DUSA"/>
    <n v="1"/>
    <n v="775.86"/>
  </r>
  <r>
    <x v="4"/>
    <s v="05/01/2026"/>
    <s v="MARIA EDUWIGES DEL TORO ORTEGA"/>
    <s v="7503013378010"/>
    <s v="Rigidex 2 pzas - DUSA"/>
    <s v="CONSUMIBLE PROPIO"/>
    <s v="DUSA"/>
    <n v="2"/>
    <n v="862.07"/>
  </r>
  <r>
    <x v="4"/>
    <s v="06/01/2026"/>
    <s v="ANGEL DANILO RODRIGUEZ LOPEZ"/>
    <s v="7503043917326"/>
    <s v="Caro dual - CXO"/>
    <s v="JUGUETE PROPIO"/>
    <s v="CXO"/>
    <n v="1"/>
    <n v="1379.31"/>
  </r>
  <r>
    <x v="4"/>
    <s v="06/01/2026"/>
    <s v="ANGEL DANILO RODRIGUEZ LOPEZ"/>
    <s v="7503013378690"/>
    <s v="Shumatsu 3 pzas - DUSA"/>
    <s v="CONSUMIBLE PROPIO"/>
    <s v="DUSA"/>
    <n v="1"/>
    <n v="577.59"/>
  </r>
  <r>
    <x v="4"/>
    <s v="07/01/2026"/>
    <s v="ANGEL DANILO RODRIGUEZ LOPEZ"/>
    <s v="7503013378102"/>
    <s v="Anastasia Gema de Colores M - CXO"/>
    <s v="JUGUETE PROPIO"/>
    <s v="CXO"/>
    <n v="1"/>
    <n v="456.9"/>
  </r>
  <r>
    <x v="4"/>
    <s v="08/01/2026"/>
    <s v="MARIA EDUWIGES DEL TORO ORTEGA"/>
    <s v="7503043917081"/>
    <s v="Blade rosa anillo vibrador - CXO"/>
    <s v="JUGUETE PROPIO"/>
    <s v="CXO"/>
    <n v="2"/>
    <n v="163.80000000000001"/>
  </r>
  <r>
    <x v="4"/>
    <s v="08/01/2026"/>
    <s v="MARIA EDUWIGES DEL TORO ORTEGA"/>
    <s v="7503013378492"/>
    <s v="Clean Whisper 120ml - DUSA"/>
    <s v="CONSUMIBLE PROPIO"/>
    <s v="DUSA"/>
    <n v="1"/>
    <n v="301.72000000000003"/>
  </r>
  <r>
    <x v="4"/>
    <s v="08/01/2026"/>
    <s v="MARIA EDUWIGES DEL TORO ORTEGA"/>
    <s v="7502214982477"/>
    <s v="Condon Fresa 3pzs - PRUDENCE"/>
    <s v="CONSUMIBLE"/>
    <s v="PRUDENCE"/>
    <n v="1"/>
    <n v="60.34"/>
  </r>
  <r>
    <x v="4"/>
    <s v="08/01/2026"/>
    <s v="MARIA EDUWIGES DEL TORO ORTEGA"/>
    <s v="WZHM24299"/>
    <s v="Funda de Silicon para Pene Realista - CXO"/>
    <s v="JUGUETE PROPIO"/>
    <s v="CXO"/>
    <n v="1"/>
    <n v="1034.48"/>
  </r>
  <r>
    <x v="4"/>
    <s v="08/01/2026"/>
    <s v="MARIA EDUWIGES DEL TORO ORTEGA"/>
    <s v="7503050524265"/>
    <s v="He Plus 30ml - DUSA"/>
    <s v="CONSUMIBLE PROPIO"/>
    <s v="DUSA"/>
    <n v="1"/>
    <n v="431.03"/>
  </r>
  <r>
    <x v="4"/>
    <s v="08/01/2026"/>
    <s v="MARIA EDUWIGES DEL TORO ORTEGA"/>
    <s v="7503043917579"/>
    <s v="Huevo masturbador twister - EGG"/>
    <s v="JUGUETE"/>
    <s v="EGG"/>
    <n v="1"/>
    <n v="159.47999999999999"/>
  </r>
  <r>
    <x v="4"/>
    <s v="08/01/2026"/>
    <s v="MARIA EDUWIGES DEL TORO ORTEGA"/>
    <s v="7503030118033"/>
    <s v="Kit vibrador + estimulante para clitoris Lau - CXO"/>
    <s v="JUGUETE PROPIO"/>
    <s v="CXO"/>
    <n v="1"/>
    <n v="1706.9"/>
  </r>
  <r>
    <x v="4"/>
    <s v="08/01/2026"/>
    <s v="MARIA EDUWIGES DEL TORO ORTEGA"/>
    <s v="7503043917012"/>
    <s v="Liquid Love Backdoor 30ml - DUSA"/>
    <s v="CONSUMIBLE PROPIO"/>
    <s v="DUSA"/>
    <n v="1"/>
    <n v="301.72000000000003"/>
  </r>
  <r>
    <x v="4"/>
    <s v="08/01/2026"/>
    <s v="MARIA EDUWIGES DEL TORO ORTEGA"/>
    <s v="7503024256154"/>
    <s v="Lubricante Body Surf Termico Cereza DUSA 60ml"/>
    <s v="CONSUMIBLE PROPIO"/>
    <s v="DUSA"/>
    <n v="1"/>
    <n v="387.93"/>
  </r>
  <r>
    <x v="4"/>
    <s v="08/01/2026"/>
    <s v="MARIA EDUWIGES DEL TORO ORTEGA"/>
    <s v="7503032300856"/>
    <s v="Sachet vibrador liquido 2 ml - BANANA SHAKE"/>
    <s v="CONSUMIBLE"/>
    <s v="BANANA SHAKE"/>
    <n v="2"/>
    <n v="34.479999999999997"/>
  </r>
  <r>
    <x v="4"/>
    <s v="08/01/2026"/>
    <s v="MARIA EDUWIGES DEL TORO ORTEGA"/>
    <s v="7503013378690"/>
    <s v="Shumatsu 3 pzas - DUSA"/>
    <s v="CONSUMIBLE PROPIO"/>
    <s v="DUSA"/>
    <n v="1"/>
    <n v="577.59"/>
  </r>
  <r>
    <x v="4"/>
    <s v="08/01/2026"/>
    <s v="MARIA EDUWIGES DEL TORO ORTEGA"/>
    <s v="716770054609"/>
    <s v="STARTER PLAYFUL LOVERS KIT"/>
    <s v="JUGUETE"/>
    <s v="CALEXOTICS"/>
    <n v="1"/>
    <n v="452.59"/>
  </r>
  <r>
    <x v="4"/>
    <s v="09/01/2026"/>
    <s v="MARIA EDUWIGES DEL TORO ORTEGA"/>
    <s v="ER10522000000"/>
    <s v="BOXER LENCERIA MASCULINA LUNARES MEDIANO 2"/>
    <s v="LENCERIA"/>
    <s v="ADRENALINE"/>
    <n v="1"/>
    <n v="396.55"/>
  </r>
  <r>
    <x v="4"/>
    <s v="09/01/2026"/>
    <s v="MARIA EDUWIGES DEL TORO ORTEGA"/>
    <s v="7502214982439"/>
    <s v="Condon Extra Time Retardante 3 pzs - PRUDENCE"/>
    <s v="CONSUMIBLE"/>
    <s v="PRUDENCE"/>
    <n v="1"/>
    <n v="77.59"/>
  </r>
  <r>
    <x v="4"/>
    <s v="09/01/2026"/>
    <s v="MARIA EDUWIGES DEL TORO ORTEGA"/>
    <s v="7500464543059"/>
    <s v="Dildo Realista con Ventosa 15.5cms Domi CXO"/>
    <s v="JUGUETE PROPIO"/>
    <s v="CXO"/>
    <n v="1"/>
    <n v="818.97"/>
  </r>
  <r>
    <x v="4"/>
    <s v="09/01/2026"/>
    <s v="MARIA EDUWIGES DEL TORO ORTEGA"/>
    <s v="7503032300993"/>
    <s v="Liquid Love Pleasure 30ml - DUSA"/>
    <s v="CONSUMIBLE PROPIO"/>
    <s v="DUSA"/>
    <n v="1"/>
    <n v="301.72000000000003"/>
  </r>
  <r>
    <x v="4"/>
    <s v="09/01/2026"/>
    <s v="MARIA EDUWIGES DEL TORO ORTEGA"/>
    <s v="7503013378645"/>
    <s v="Liquid Love Pleasure 100ml - DUSA"/>
    <s v="CONSUMIBLE PROPIO"/>
    <s v="DUSA"/>
    <n v="1"/>
    <n v="775.86"/>
  </r>
  <r>
    <x v="4"/>
    <s v="09/01/2026"/>
    <s v="MARIA EDUWIGES DEL TORO ORTEGA"/>
    <s v="7503043917593"/>
    <s v="Nora dildo vibrador - CXO"/>
    <s v="JUGUETE PROPIO"/>
    <s v="CXO"/>
    <n v="1"/>
    <n v="474.14"/>
  </r>
  <r>
    <x v="4"/>
    <s v="09/01/2026"/>
    <s v="MARIA EDUWIGES DEL TORO ORTEGA"/>
    <s v="7503024256628"/>
    <s v="Olly 5&quot; morado - CXO"/>
    <s v="JUGUETE PROPIO"/>
    <s v="CXO"/>
    <n v="1"/>
    <n v="517.24"/>
  </r>
  <r>
    <x v="4"/>
    <s v="09/01/2026"/>
    <s v="MARIA EDUWIGES DEL TORO ORTEGA"/>
    <s v="7503013378690"/>
    <s v="Shumatsu 3 pzas - DUSA"/>
    <s v="CONSUMIBLE PROPIO"/>
    <s v="DUSA"/>
    <n v="1"/>
    <n v="577.59"/>
  </r>
  <r>
    <x v="4"/>
    <s v="10/01/2026"/>
    <s v="MARIA EDUWIGES DEL TORO ORTEGA"/>
    <s v="7503043917081"/>
    <s v="Blade rosa anillo vibrador - CXO"/>
    <s v="JUGUETE PROPIO"/>
    <s v="CXO"/>
    <n v="1"/>
    <n v="81.900000000000006"/>
  </r>
  <r>
    <x v="4"/>
    <s v="10/01/2026"/>
    <s v="MARIA EDUWIGES DEL TORO ORTEGA"/>
    <s v="7502214982811"/>
    <s v="Condones Mix Sabor y Aroma 5 pzs - PRUDENCE"/>
    <s v="CONSUMIBLE"/>
    <s v="PRUDENCE"/>
    <n v="1"/>
    <n v="77.59"/>
  </r>
  <r>
    <x v="4"/>
    <s v="10/01/2026"/>
    <s v="MARIA EDUWIGES DEL TORO ORTEGA"/>
    <s v="7503020596513"/>
    <s v="Liquid Love Natural 20ml - DUSA"/>
    <s v="CONSUMIBLE PROPIO"/>
    <s v="DUSA"/>
    <n v="1"/>
    <n v="258.62"/>
  </r>
  <r>
    <x v="4"/>
    <s v="10/01/2026"/>
    <s v="MARIA EDUWIGES DEL TORO ORTEGA"/>
    <s v="7503013378010"/>
    <s v="Rigidex 2 pzas - DUSA"/>
    <s v="CONSUMIBLE PROPIO"/>
    <s v="DUSA"/>
    <n v="1"/>
    <n v="431.03"/>
  </r>
  <r>
    <x v="4"/>
    <s v="11/01/2026"/>
    <s v="MARIA EDUWIGES DEL TORO ORTEGA"/>
    <s v="7503043917005"/>
    <s v="Liquid Love Clear 30ml - DUSA"/>
    <s v="CONSUMIBLE PROPIO"/>
    <s v="DUSA"/>
    <n v="1"/>
    <n v="301.72000000000003"/>
  </r>
  <r>
    <x v="4"/>
    <s v="11/01/2026"/>
    <s v="MARIA EDUWIGES DEL TORO ORTEGA"/>
    <s v="8699415912859"/>
    <s v="Miel Vigorizante para Hombre  Miracle Honey  VIP 15g-  SECRET MIRACLE HONEY"/>
    <s v="CONSUMIBLE"/>
    <s v="SECRET MIRACLE HONEY"/>
    <n v="2"/>
    <n v="431.03"/>
  </r>
  <r>
    <x v="4"/>
    <s v="11/01/2026"/>
    <s v="MARIA EDUWIGES DEL TORO ORTEGA"/>
    <s v="7503050226162"/>
    <s v="Plug Anal con Vibración y Control Roberto - CXO"/>
    <s v="JUGUETE PROPIO"/>
    <s v="CXO"/>
    <n v="1"/>
    <n v="1293.0999999999999"/>
  </r>
  <r>
    <x v="4"/>
    <s v="11/01/2026"/>
    <s v="MARIA EDUWIGES DEL TORO ORTEGA"/>
    <s v="7503032300856"/>
    <s v="Sachet vibrador liquido 2 ml - BANANA SHAKE"/>
    <s v="CONSUMIBLE"/>
    <s v="BANANA SHAKE"/>
    <n v="5"/>
    <n v="86.2"/>
  </r>
  <r>
    <x v="4"/>
    <s v="11/01/2026"/>
    <s v="MARIA EDUWIGES DEL TORO ORTEGA"/>
    <s v="4032498331355"/>
    <s v="Smartballs Uno rojo/blanco - FUN FACTORY"/>
    <s v="JUGUETE"/>
    <s v="FUN FACTORY"/>
    <n v="1"/>
    <n v="573.28"/>
  </r>
  <r>
    <x v="5"/>
    <s v="02/01/2026"/>
    <s v="CELINA HERMILA  M GUILLEN"/>
    <s v="7502214980053"/>
    <s v="CONDON TRUST NATURAL CON 3 MAQ - PRUDENCE"/>
    <s v="CONSUMIBLE"/>
    <s v="PRUDENCE"/>
    <n v="1"/>
    <n v="77.59"/>
  </r>
  <r>
    <x v="5"/>
    <s v="02/01/2026"/>
    <s v="CELINA HERMILA  M GUILLEN"/>
    <s v="7503030102034"/>
    <s v="Dildo vibrador con control Anthony - CXO"/>
    <s v="JUGUETE PROPIO"/>
    <s v="CXO"/>
    <n v="1"/>
    <n v="2112.0700000000002"/>
  </r>
  <r>
    <x v="5"/>
    <s v="02/01/2026"/>
    <s v="CELINA HERMILA  M GUILLEN"/>
    <s v="8699415912859"/>
    <s v="Miel Vigorizante para Hombre  Miracle Honey  VIP 15g-  SECRET MIRACLE HONEY"/>
    <s v="CONSUMIBLE"/>
    <s v="SECRET MIRACLE HONEY"/>
    <n v="1"/>
    <n v="215.52"/>
  </r>
  <r>
    <x v="5"/>
    <s v="02/01/2026"/>
    <s v="CELINA HERMILA  M GUILLEN"/>
    <s v="7503024256192"/>
    <s v="Shot Shumatsu Fun Mujer - DUSA"/>
    <s v="CONSUMIBLE PROPIO"/>
    <s v="DUSA"/>
    <n v="1"/>
    <n v="172.41"/>
  </r>
  <r>
    <x v="5"/>
    <s v="02/01/2026"/>
    <s v="CELINA HERMILA  M GUILLEN"/>
    <s v="7503010217046"/>
    <s v="Vela para masaje bear - DUSA"/>
    <s v="CONSUMIBLE PROPIO"/>
    <s v="DUSA"/>
    <n v="1"/>
    <n v="310.33999999999997"/>
  </r>
  <r>
    <x v="5"/>
    <s v="03/01/2026"/>
    <s v="CELINA HERMILA  M GUILLEN"/>
    <s v="7503043917036"/>
    <s v="Arnes universal de argolla negro - CXO"/>
    <s v="JUGUETE PROPIO"/>
    <s v="CXO"/>
    <n v="1"/>
    <n v="474.14"/>
  </r>
  <r>
    <x v="5"/>
    <s v="03/01/2026"/>
    <s v="CELINA HERMILA  M GUILLEN"/>
    <s v="8699415912859"/>
    <s v="Miel Vigorizante para Hombre  Miracle Honey  VIP 15g-  SECRET MIRACLE HONEY"/>
    <s v="CONSUMIBLE"/>
    <s v="SECRET MIRACLE HONEY"/>
    <n v="2"/>
    <n v="431.04"/>
  </r>
  <r>
    <x v="5"/>
    <s v="03/01/2026"/>
    <s v="CELINA HERMILA  M GUILLEN"/>
    <s v="7503013378010"/>
    <s v="Rigidex 2 pzas - DUSA"/>
    <s v="CONSUMIBLE PROPIO"/>
    <s v="DUSA"/>
    <n v="1"/>
    <n v="431.03"/>
  </r>
  <r>
    <x v="5"/>
    <s v="03/01/2026"/>
    <s v="CELINA HERMILA  M GUILLEN"/>
    <s v="7503032300443"/>
    <s v="Zoe bala vibradora RETAIL - CXO"/>
    <s v="JUGUETE PROPIO"/>
    <s v="CXO"/>
    <n v="2"/>
    <n v="310.33999999999997"/>
  </r>
  <r>
    <x v="5"/>
    <s v="04/01/2026"/>
    <s v="CELINA HERMILA  M GUILLEN"/>
    <s v="7503043917081"/>
    <s v="Blade rosa anillo vibrador - CXO"/>
    <s v="JUGUETE PROPIO"/>
    <s v="CXO"/>
    <n v="1"/>
    <n v="81.900000000000006"/>
  </r>
  <r>
    <x v="5"/>
    <s v="04/01/2026"/>
    <s v="CELINA HERMILA  M GUILLEN"/>
    <s v="7500464543059"/>
    <s v="Dildo Realista con Ventosa 15.5cms Domi CXO"/>
    <s v="JUGUETE PROPIO"/>
    <s v="CXO"/>
    <n v="1"/>
    <n v="818.97"/>
  </r>
  <r>
    <x v="5"/>
    <s v="04/01/2026"/>
    <s v="CELINA HERMILA  M GUILLEN"/>
    <s v="7503032300993"/>
    <s v="Liquid Love Pleasure 30ml - DUSA"/>
    <s v="CONSUMIBLE PROPIO"/>
    <s v="DUSA"/>
    <n v="1"/>
    <n v="301.72000000000003"/>
  </r>
  <r>
    <x v="5"/>
    <s v="05/01/2026"/>
    <s v="GERMAN  GUZMAN AGUIRRE"/>
    <s v="7503020111072"/>
    <s v="Anillo vibrador recargable con textura negra Hank - CXO"/>
    <s v="JUGUETE PROPIO"/>
    <s v="CXO"/>
    <n v="1"/>
    <n v="1267.24"/>
  </r>
  <r>
    <x v="5"/>
    <s v="05/01/2026"/>
    <s v="GERMAN  GUZMAN AGUIRRE"/>
    <s v="7503043917548"/>
    <s v="Huevo masturbador silky - EGG"/>
    <s v="JUGUETE"/>
    <s v="EGG"/>
    <n v="1"/>
    <n v="159.47999999999999"/>
  </r>
  <r>
    <x v="5"/>
    <s v="05/01/2026"/>
    <s v="GERMAN  GUZMAN AGUIRRE"/>
    <s v="7503032300993"/>
    <s v="Liquid Love Pleasure 30ml - DUSA"/>
    <s v="CONSUMIBLE PROPIO"/>
    <s v="DUSA"/>
    <n v="1"/>
    <n v="301.72000000000003"/>
  </r>
  <r>
    <x v="5"/>
    <s v="05/01/2026"/>
    <s v="GERMAN  GUZMAN AGUIRRE"/>
    <s v="8699415912859"/>
    <s v="Miel Vigorizante para Hombre  Miracle Honey  VIP 15g-  SECRET MIRACLE HONEY"/>
    <s v="CONSUMIBLE"/>
    <s v="SECRET MIRACLE HONEY"/>
    <n v="1"/>
    <n v="215.52"/>
  </r>
  <r>
    <x v="5"/>
    <s v="05/01/2026"/>
    <s v="GERMAN  GUZMAN AGUIRRE"/>
    <s v="782421083922"/>
    <s v="Sol pulsador beige - RITUAL"/>
    <s v="JUGUETE"/>
    <s v="RITUAL"/>
    <n v="1"/>
    <n v="1637.93"/>
  </r>
  <r>
    <x v="5"/>
    <s v="06/01/2026"/>
    <s v="CELINA HERMILA  M GUILLEN"/>
    <s v="7508304288412"/>
    <s v="FEROMONAS EN GEL 20ML HOMBRE HOMBRE"/>
    <s v="CONSUMIBLE"/>
    <s v="DIAMANTE"/>
    <n v="1"/>
    <n v="379.31"/>
  </r>
  <r>
    <x v="5"/>
    <s v="06/01/2026"/>
    <s v="CELINA HERMILA  M GUILLEN"/>
    <s v="7508304288405"/>
    <s v="Feromonas en gel para mujer 20ml - DIAMANTE"/>
    <s v="CONSUMIBLE"/>
    <s v="DIAMANTE"/>
    <n v="1"/>
    <n v="379.31"/>
  </r>
  <r>
    <x v="5"/>
    <s v="06/01/2026"/>
    <s v="CELINA HERMILA  M GUILLEN"/>
    <s v="7503032300993"/>
    <s v="Liquid Love Pleasure 30ml - DUSA"/>
    <s v="CONSUMIBLE PROPIO"/>
    <s v="DUSA"/>
    <n v="1"/>
    <n v="301.72000000000003"/>
  </r>
  <r>
    <x v="5"/>
    <s v="06/01/2026"/>
    <s v="CELINA HERMILA  M GUILLEN"/>
    <s v="8699415912859"/>
    <s v="Miel Vigorizante para Hombre  Miracle Honey  VIP 15g-  SECRET MIRACLE HONEY"/>
    <s v="CONSUMIBLE"/>
    <s v="SECRET MIRACLE HONEY"/>
    <n v="1"/>
    <n v="215.52"/>
  </r>
  <r>
    <x v="5"/>
    <s v="06/01/2026"/>
    <s v="CELINA HERMILA  M GUILLEN"/>
    <s v="7503013378256"/>
    <s v="Sammy - CXO"/>
    <s v="JUGUETE PROPIO"/>
    <s v="CXO"/>
    <n v="1"/>
    <n v="1551.72"/>
  </r>
  <r>
    <x v="5"/>
    <s v="06/01/2026"/>
    <s v="CELINA HERMILA  M GUILLEN"/>
    <s v="7503013378690"/>
    <s v="Shumatsu 3 pzas - DUSA"/>
    <s v="CONSUMIBLE PROPIO"/>
    <s v="DUSA"/>
    <n v="1"/>
    <n v="577.59"/>
  </r>
  <r>
    <x v="5"/>
    <s v="06/01/2026"/>
    <s v="CELINA HERMILA  M GUILLEN"/>
    <s v="7503032300443"/>
    <s v="Zoe bala vibradora RETAIL - CXO"/>
    <s v="JUGUETE PROPIO"/>
    <s v="CXO"/>
    <n v="1"/>
    <n v="155.16999999999999"/>
  </r>
  <r>
    <x v="5"/>
    <s v="07/01/2026"/>
    <s v="GERMAN  GUZMAN AGUIRRE"/>
    <s v="7503043917081"/>
    <s v="Blade rosa anillo vibrador - CXO"/>
    <s v="JUGUETE PROPIO"/>
    <s v="CXO"/>
    <n v="1"/>
    <n v="81.900000000000006"/>
  </r>
  <r>
    <x v="5"/>
    <s v="07/01/2026"/>
    <s v="GERMAN  GUZMAN AGUIRRE"/>
    <s v="7502214982576"/>
    <s v="CONDON PRUDENCE SABOR Y AROMA EXTRA FUERTE"/>
    <s v="CONSUMIBLE"/>
    <s v="PRUDENCE"/>
    <n v="1"/>
    <n v="77.59"/>
  </r>
  <r>
    <x v="5"/>
    <s v="07/01/2026"/>
    <s v="GERMAN  GUZMAN AGUIRRE"/>
    <s v="7502214980077"/>
    <s v="CONDON TRUST FRESA CON 3 MAQ - PRUDENCE"/>
    <s v="CONSUMIBLE"/>
    <s v="PRUDENCE"/>
    <n v="1"/>
    <n v="77.59"/>
  </r>
  <r>
    <x v="5"/>
    <s v="07/01/2026"/>
    <s v="GERMAN  GUZMAN AGUIRRE"/>
    <s v="7503032300993"/>
    <s v="Liquid Love Pleasure 30ml - DUSA"/>
    <s v="CONSUMIBLE PROPIO"/>
    <s v="DUSA"/>
    <n v="1"/>
    <n v="301.72000000000003"/>
  </r>
  <r>
    <x v="5"/>
    <s v="07/01/2026"/>
    <s v="GERMAN  GUZMAN AGUIRRE"/>
    <s v="7503013378010"/>
    <s v="Rigidex 2 pzas - DUSA"/>
    <s v="CONSUMIBLE PROPIO"/>
    <s v="DUSA"/>
    <n v="1"/>
    <n v="431.03"/>
  </r>
  <r>
    <x v="5"/>
    <s v="08/01/2026"/>
    <s v="CELINA HERMILA  M GUILLEN"/>
    <s v="7503043917081"/>
    <s v="Blade rosa anillo vibrador - CXO"/>
    <s v="JUGUETE PROPIO"/>
    <s v="CXO"/>
    <n v="3"/>
    <n v="245.7"/>
  </r>
  <r>
    <x v="5"/>
    <s v="08/01/2026"/>
    <s v="CELINA HERMILA  M GUILLEN"/>
    <s v="7503050226139"/>
    <s v="Body Alma - OLA MOU"/>
    <s v="LENCERIA"/>
    <s v="OLA MOU"/>
    <n v="1"/>
    <n v="387.93"/>
  </r>
  <r>
    <x v="5"/>
    <s v="08/01/2026"/>
    <s v="CELINA HERMILA  M GUILLEN"/>
    <s v="7503050226151"/>
    <s v="Liguero Gala - OLA MOU"/>
    <s v="LENCERIA"/>
    <s v="OLA MOU"/>
    <n v="1"/>
    <n v="301.72000000000003"/>
  </r>
  <r>
    <x v="5"/>
    <s v="08/01/2026"/>
    <s v="CELINA HERMILA  M GUILLEN"/>
    <s v="7503043917012"/>
    <s v="Liquid Love Backdoor 30ml - DUSA"/>
    <s v="CONSUMIBLE PROPIO"/>
    <s v="DUSA"/>
    <n v="2"/>
    <n v="603.44000000000005"/>
  </r>
  <r>
    <x v="5"/>
    <s v="08/01/2026"/>
    <s v="CELINA HERMILA  M GUILLEN"/>
    <s v="7503032300795"/>
    <s v="Sachet lubricante desensibilizador 2 ml - BANANA SHAKE"/>
    <s v="CONSUMIBLE"/>
    <s v="BANANA SHAKE"/>
    <n v="4"/>
    <n v="86.2"/>
  </r>
  <r>
    <x v="5"/>
    <s v="08/01/2026"/>
    <s v="CELINA HERMILA  M GUILLEN"/>
    <s v="7503032300856"/>
    <s v="Sachet vibrador liquido 2 ml - BANANA SHAKE"/>
    <s v="CONSUMIBLE"/>
    <s v="BANANA SHAKE"/>
    <n v="5"/>
    <n v="86.2"/>
  </r>
  <r>
    <x v="5"/>
    <s v="09/01/2026"/>
    <s v="CELINA HERMILA  M GUILLEN"/>
    <s v="7503043917081"/>
    <s v="Blade rosa anillo vibrador - CXO"/>
    <s v="JUGUETE PROPIO"/>
    <s v="CXO"/>
    <n v="1"/>
    <n v="81.900000000000006"/>
  </r>
  <r>
    <x v="5"/>
    <s v="09/01/2026"/>
    <s v="CELINA HERMILA  M GUILLEN"/>
    <s v="7500464377302"/>
    <s v="Juego de Cartas Salto del Tigre"/>
    <s v="OTRO"/>
    <s v="SALTO DEL TIGRE"/>
    <n v="1"/>
    <n v="297.41000000000003"/>
  </r>
  <r>
    <x v="5"/>
    <s v="09/01/2026"/>
    <s v="CELINA HERMILA  M GUILLEN"/>
    <s v="7503020596513"/>
    <s v="Liquid Love Natural 20ml - DUSA"/>
    <s v="CONSUMIBLE PROPIO"/>
    <s v="DUSA"/>
    <n v="1"/>
    <n v="258.62"/>
  </r>
  <r>
    <x v="5"/>
    <s v="09/01/2026"/>
    <s v="CELINA HERMILA  M GUILLEN"/>
    <s v="7503024256154"/>
    <s v="Lubricante Body Surf Termico Cereza DUSA 60ml"/>
    <s v="CONSUMIBLE PROPIO"/>
    <s v="DUSA"/>
    <n v="1"/>
    <n v="387.93"/>
  </r>
  <r>
    <x v="5"/>
    <s v="10/01/2026"/>
    <s v="CELINA HERMILA  M GUILLEN"/>
    <s v="7503043917012"/>
    <s v="Liquid Love Backdoor 30ml - DUSA"/>
    <s v="CONSUMIBLE PROPIO"/>
    <s v="DUSA"/>
    <n v="2"/>
    <n v="603.44000000000005"/>
  </r>
  <r>
    <x v="5"/>
    <s v="10/01/2026"/>
    <s v="CELINA HERMILA  M GUILLEN"/>
    <s v="7503024256154"/>
    <s v="Lubricante Body Surf Termico Cereza DUSA 60ml"/>
    <s v="CONSUMIBLE PROPIO"/>
    <s v="DUSA"/>
    <n v="1"/>
    <n v="387.93"/>
  </r>
  <r>
    <x v="5"/>
    <s v="10/01/2026"/>
    <s v="CELINA HERMILA  M GUILLEN"/>
    <s v="7503013378980"/>
    <s v="Lubricante Body Surf Termico Chicle DUSA 60ml"/>
    <s v="CONSUMIBLE PROPIO"/>
    <s v="DUSA"/>
    <n v="1"/>
    <n v="387.93"/>
  </r>
  <r>
    <x v="5"/>
    <s v="10/01/2026"/>
    <s v="CELINA HERMILA  M GUILLEN"/>
    <s v="6959633189726"/>
    <s v="Masturbador Hedy X Control – SVAKOM"/>
    <s v="JUGUETE"/>
    <s v="SVAKOM"/>
    <n v="1"/>
    <n v="181.03"/>
  </r>
  <r>
    <x v="5"/>
    <s v="10/01/2026"/>
    <s v="CELINA HERMILA  M GUILLEN"/>
    <s v="7503024256192"/>
    <s v="Shot Shumatsu Fun Mujer - DUSA"/>
    <s v="CONSUMIBLE PROPIO"/>
    <s v="DUSA"/>
    <n v="1"/>
    <n v="172.41"/>
  </r>
  <r>
    <x v="5"/>
    <s v="10/01/2026"/>
    <s v="CELINA HERMILA  M GUILLEN"/>
    <s v="7503013378690"/>
    <s v="Shumatsu 3 pzas - DUSA"/>
    <s v="CONSUMIBLE PROPIO"/>
    <s v="DUSA"/>
    <n v="1"/>
    <n v="577.59"/>
  </r>
  <r>
    <x v="5"/>
    <s v="10/01/2026"/>
    <s v="CELINA HERMILA  M GUILLEN"/>
    <s v="CBD"/>
    <s v="SUNNY SIDE UP CBD HIPOALERGENICO 10ml"/>
    <s v="CONSUMIBLE"/>
    <s v="SUNNY SIDE UP"/>
    <n v="1"/>
    <n v="301.72000000000003"/>
  </r>
  <r>
    <x v="5"/>
    <s v="11/01/2026"/>
    <s v="CELINA HERMILA  M GUILLEN"/>
    <s v="7503043917081"/>
    <s v="Blade rosa anillo vibrador - CXO"/>
    <s v="JUGUETE PROPIO"/>
    <s v="CXO"/>
    <n v="1"/>
    <n v="81.900000000000006"/>
  </r>
  <r>
    <x v="5"/>
    <s v="11/01/2026"/>
    <s v="CELINA HERMILA  M GUILLEN"/>
    <s v="7503032300825"/>
    <s v="Lubricante Sachet natural 2 ml - BANANA SHAKE"/>
    <s v="CONSUMIBLE"/>
    <s v="BANANA SHAKE"/>
    <n v="1"/>
    <n v="17.239999999999998"/>
  </r>
  <r>
    <x v="5"/>
    <s v="11/01/2026"/>
    <s v="CELINA HERMILA  M GUILLEN"/>
    <s v="7503032300795"/>
    <s v="Sachet lubricante desensibilizador 2 ml - BANANA SHAKE"/>
    <s v="CONSUMIBLE"/>
    <s v="BANANA SHAKE"/>
    <n v="2"/>
    <n v="43.1"/>
  </r>
  <r>
    <x v="5"/>
    <s v="11/01/2026"/>
    <s v="CELINA HERMILA  M GUILLEN"/>
    <s v="7503032300856"/>
    <s v="Sachet vibrador liquido 2 ml - BANANA SHAKE"/>
    <s v="CONSUMIBLE"/>
    <s v="BANANA SHAKE"/>
    <n v="3"/>
    <n v="51.72"/>
  </r>
  <r>
    <x v="6"/>
    <s v="02/01/2026"/>
    <s v="NINOSCHKA VILLAREAL GONZALEZ"/>
    <s v="7503020112070"/>
    <s v="Bala vibradora recargable Ely – CXO"/>
    <s v="JUGUETE PROPIO"/>
    <s v="CXO"/>
    <n v="1"/>
    <n v="793.1"/>
  </r>
  <r>
    <x v="6"/>
    <s v="02/01/2026"/>
    <s v="NINOSCHKA VILLAREAL GONZALEZ"/>
    <s v="7503043917609"/>
    <s v="Dados 2 pz - CXO"/>
    <s v="JUGUETE PROPIO"/>
    <s v="CXO"/>
    <n v="1"/>
    <n v="73.28"/>
  </r>
  <r>
    <x v="6"/>
    <s v="02/01/2026"/>
    <s v="NINOSCHKA VILLAREAL GONZALEZ"/>
    <s v="7503032300993"/>
    <s v="Liquid Love Pleasure 30ml - DUSA"/>
    <s v="CONSUMIBLE PROPIO"/>
    <s v="DUSA"/>
    <n v="1"/>
    <n v="301.72000000000003"/>
  </r>
  <r>
    <x v="6"/>
    <s v="02/01/2026"/>
    <s v="NINOSCHKA VILLAREAL GONZALEZ"/>
    <s v="7503024256154"/>
    <s v="Lubricante Body Surf Termico Cereza DUSA 60ml"/>
    <s v="CONSUMIBLE PROPIO"/>
    <s v="DUSA"/>
    <n v="1"/>
    <n v="387.93"/>
  </r>
  <r>
    <x v="6"/>
    <s v="02/01/2026"/>
    <s v="NINOSCHKA VILLAREAL GONZALEZ"/>
    <s v="7503023462198"/>
    <s v="Lubricante Masaje Térmico Comestible Plátano Excitante FEEL LOVE 4 en 1 - 60ml"/>
    <s v="LUBRICANTE"/>
    <s v="FEEL LOVE"/>
    <n v="1"/>
    <n v="344.83"/>
  </r>
  <r>
    <x v="6"/>
    <s v="02/01/2026"/>
    <s v="NINOSCHKA VILLAREAL GONZALEZ"/>
    <s v="8699415912859"/>
    <s v="Miel Vigorizante para Hombre  Miracle Honey  VIP 15g-  SECRET MIRACLE HONEY"/>
    <s v="CONSUMIBLE"/>
    <s v="SECRET MIRACLE HONEY"/>
    <n v="1"/>
    <n v="215.52"/>
  </r>
  <r>
    <x v="6"/>
    <s v="02/01/2026"/>
    <s v="NINOSCHKA VILLAREAL GONZALEZ"/>
    <s v="7503020596957"/>
    <s v="Shot Shumatsu Fun Hombre - DUSA"/>
    <s v="CONSUMIBLE PROPIO"/>
    <s v="DUSA"/>
    <n v="2"/>
    <n v="344.82"/>
  </r>
  <r>
    <x v="6"/>
    <s v="02/01/2026"/>
    <s v="NINOSCHKA VILLAREAL GONZALEZ"/>
    <s v="7503024256192"/>
    <s v="Shot Shumatsu Fun Mujer - DUSA"/>
    <s v="CONSUMIBLE PROPIO"/>
    <s v="DUSA"/>
    <n v="2"/>
    <n v="344.82"/>
  </r>
  <r>
    <x v="6"/>
    <s v="02/01/2026"/>
    <s v="NINOSCHKA VILLAREAL GONZALEZ"/>
    <s v="7503013378690"/>
    <s v="Shumatsu 3 pzas - DUSA"/>
    <s v="CONSUMIBLE PROPIO"/>
    <s v="DUSA"/>
    <n v="1"/>
    <n v="577.59"/>
  </r>
  <r>
    <x v="6"/>
    <s v="03/01/2026"/>
    <s v="NINOSCHKA VILLAREAL GONZALEZ"/>
    <s v="CON01CH014007L"/>
    <s v="Conjunto Viri L baby pink"/>
    <s v="LENCERIA"/>
    <s v="OLA MOU"/>
    <n v="1"/>
    <n v="129.31"/>
  </r>
  <r>
    <x v="6"/>
    <s v="03/01/2026"/>
    <s v="NINOSCHKA VILLAREAL GONZALEZ"/>
    <s v="7500464543059"/>
    <s v="Dildo Realista con Ventosa 15.5cms Domi CXO"/>
    <s v="JUGUETE PROPIO"/>
    <s v="CXO"/>
    <n v="2"/>
    <n v="1637.94"/>
  </r>
  <r>
    <x v="6"/>
    <s v="03/01/2026"/>
    <s v="NINOSCHKA VILLAREAL GONZALEZ"/>
    <s v="7503030102034"/>
    <s v="Dildo vibrador con control Anthony - CXO"/>
    <s v="JUGUETE PROPIO"/>
    <s v="CXO"/>
    <n v="1"/>
    <n v="2112.0700000000002"/>
  </r>
  <r>
    <x v="6"/>
    <s v="03/01/2026"/>
    <s v="NINOSCHKA VILLAREAL GONZALEZ"/>
    <s v="7508304288436"/>
    <s v="FEROMONAS DIAMANTE EXCLUSIVE SPRAY 25 ML ELLA"/>
    <s v="CONSUMIBLE"/>
    <s v="DIAMANTE"/>
    <n v="1"/>
    <n v="387.93"/>
  </r>
  <r>
    <x v="6"/>
    <s v="03/01/2026"/>
    <s v="NINOSCHKA VILLAREAL GONZALEZ"/>
    <s v="7503026484227"/>
    <s v="Fragancia con Feromonas Body Breeze Sensual DIAMANTE 125ml"/>
    <s v="CONSUMIBLE"/>
    <s v="DIAMANTE"/>
    <n v="1"/>
    <n v="413.79"/>
  </r>
  <r>
    <x v="6"/>
    <s v="03/01/2026"/>
    <s v="NINOSCHKA VILLAREAL GONZALEZ"/>
    <s v="7503020596513"/>
    <s v="Liquid Love Natural 20ml - DUSA"/>
    <s v="CONSUMIBLE PROPIO"/>
    <s v="DUSA"/>
    <n v="1"/>
    <n v="258.62"/>
  </r>
  <r>
    <x v="6"/>
    <s v="03/01/2026"/>
    <s v="NINOSCHKA VILLAREAL GONZALEZ"/>
    <s v="7503050524241"/>
    <s v="Orgasmik 30ml - DUSA"/>
    <s v="CONSUMIBLE PROPIO"/>
    <s v="DUSA"/>
    <n v="1"/>
    <n v="431.03"/>
  </r>
  <r>
    <x v="6"/>
    <s v="03/01/2026"/>
    <s v="NINOSCHKA VILLAREAL GONZALEZ"/>
    <s v="7503024256192"/>
    <s v="Shot Shumatsu Fun Mujer - DUSA"/>
    <s v="CONSUMIBLE PROPIO"/>
    <s v="DUSA"/>
    <n v="2"/>
    <n v="344.82"/>
  </r>
  <r>
    <x v="6"/>
    <s v="03/01/2026"/>
    <s v="NINOSCHKA VILLAREAL GONZALEZ"/>
    <s v="7503013378690"/>
    <s v="Shumatsu 3 pzas - DUSA"/>
    <s v="CONSUMIBLE PROPIO"/>
    <s v="DUSA"/>
    <n v="1"/>
    <n v="577.59"/>
  </r>
  <r>
    <x v="6"/>
    <s v="04/01/2026"/>
    <s v="NINOSCHKA VILLAREAL GONZALEZ"/>
    <s v="7503038654007"/>
    <s v="Fragancia con Feromonas Body Breeze Sugar Baby DIAMANTE Dulce 125ml"/>
    <s v="CONSUMIBLE"/>
    <s v="DIAMANTE"/>
    <n v="1"/>
    <n v="413.79"/>
  </r>
  <r>
    <x v="6"/>
    <s v="04/01/2026"/>
    <s v="NINOSCHKA VILLAREAL GONZALEZ"/>
    <s v="7503020596513"/>
    <s v="Liquid Love Natural 20ml - DUSA"/>
    <s v="CONSUMIBLE PROPIO"/>
    <s v="DUSA"/>
    <n v="1"/>
    <n v="258.62"/>
  </r>
  <r>
    <x v="6"/>
    <s v="04/01/2026"/>
    <s v="NINOSCHKA VILLAREAL GONZALEZ"/>
    <s v="7503023462235"/>
    <s v="Lubricante Masaje Térmico Comestible Piña Colada FEEL LOVE 4 en 1 - 60ml"/>
    <s v="LUBRICANTE"/>
    <s v="FEEL LOVE"/>
    <n v="1"/>
    <n v="344.83"/>
  </r>
  <r>
    <x v="6"/>
    <s v="04/01/2026"/>
    <s v="NINOSCHKA VILLAREAL GONZALEZ"/>
    <s v="7503023462242"/>
    <s v="Lubricante Masaje Termico Comestible Uva Dulce FEEL LOVE 4 en 1 60ml"/>
    <s v="LUBRICANTE"/>
    <s v="FEEL LOVE"/>
    <n v="1"/>
    <n v="344.83"/>
  </r>
  <r>
    <x v="6"/>
    <s v="04/01/2026"/>
    <s v="NINOSCHKA VILLAREAL GONZALEZ"/>
    <s v="7503020596957"/>
    <s v="Shot Shumatsu Fun Hombre - DUSA"/>
    <s v="CONSUMIBLE PROPIO"/>
    <s v="DUSA"/>
    <n v="1"/>
    <n v="172.41"/>
  </r>
  <r>
    <x v="6"/>
    <s v="05/01/2026"/>
    <s v="NINOSCHKA VILLAREAL GONZALEZ"/>
    <s v="7503020310205"/>
    <s v="Dildo Vibrador Termico Realista 3 en 1 con movimiento Hades-CXO"/>
    <s v="JUGUETE PROPIO"/>
    <s v="CXO"/>
    <n v="1"/>
    <n v="2500"/>
  </r>
  <r>
    <x v="6"/>
    <s v="05/01/2026"/>
    <s v="NINOSCHKA VILLAREAL GONZALEZ"/>
    <s v="69143A"/>
    <s v="Pantie tipo tanga color negro Alexa M"/>
    <s v="LENCERIA"/>
    <s v="OLA MOU"/>
    <n v="1"/>
    <n v="100"/>
  </r>
  <r>
    <x v="6"/>
    <s v="05/01/2026"/>
    <s v="NINOSCHKA VILLAREAL GONZALEZ"/>
    <s v="7503020596957"/>
    <s v="Shot Shumatsu Fun Hombre - DUSA"/>
    <s v="CONSUMIBLE PROPIO"/>
    <s v="DUSA"/>
    <n v="1"/>
    <n v="172.41"/>
  </r>
  <r>
    <x v="6"/>
    <s v="06/01/2026"/>
    <s v="NINOSCHKA VILLAREAL GONZALEZ"/>
    <s v="7502214985805"/>
    <s v="CONDON PRUDENCE VETE A LA VERSH  C/3"/>
    <s v="CONSUMIBLE"/>
    <s v="PRUDENCE"/>
    <n v="1"/>
    <n v="77.59"/>
  </r>
  <r>
    <x v="6"/>
    <s v="06/01/2026"/>
    <s v="NINOSCHKA VILLAREAL GONZALEZ"/>
    <s v="7502214980053"/>
    <s v="CONDON TRUST NATURAL CON 3 MAQ - PRUDENCE"/>
    <s v="CONSUMIBLE"/>
    <s v="PRUDENCE"/>
    <n v="1"/>
    <n v="77.59"/>
  </r>
  <r>
    <x v="6"/>
    <s v="06/01/2026"/>
    <s v="NINOSCHKA VILLAREAL GONZALEZ"/>
    <s v="7503020596513"/>
    <s v="Liquid Love Natural 20ml - DUSA"/>
    <s v="CONSUMIBLE PROPIO"/>
    <s v="DUSA"/>
    <n v="1"/>
    <n v="258.62"/>
  </r>
  <r>
    <x v="6"/>
    <s v="06/01/2026"/>
    <s v="NINOSCHKA VILLAREAL GONZALEZ"/>
    <s v="7503020104080"/>
    <s v="Vibrador multiorgásmico con doble motor y estimulador de conejito Ara – CXO"/>
    <s v="JUGUETE PROPIO"/>
    <s v="CXO"/>
    <n v="1"/>
    <n v="2163.79"/>
  </r>
  <r>
    <x v="6"/>
    <s v="07/01/2026"/>
    <s v="NINOSCHKA VILLAREAL GONZALEZ"/>
    <s v="7503020596513"/>
    <s v="Liquid Love Natural 20ml - DUSA"/>
    <s v="CONSUMIBLE PROPIO"/>
    <s v="DUSA"/>
    <n v="1"/>
    <n v="258.62"/>
  </r>
  <r>
    <x v="6"/>
    <s v="07/01/2026"/>
    <s v="NINOSCHKA VILLAREAL GONZALEZ"/>
    <s v="7503013378690"/>
    <s v="Shumatsu 3 pzas - DUSA"/>
    <s v="CONSUMIBLE PROPIO"/>
    <s v="DUSA"/>
    <n v="1"/>
    <n v="577.59"/>
  </r>
  <r>
    <x v="6"/>
    <s v="08/01/2026"/>
    <s v="NINOSCHKA VILLAREAL GONZALEZ"/>
    <s v="7503032300559"/>
    <s v="Cola de Zorro 45cm cafe L - CXO"/>
    <s v="JUGUETE PROPIO"/>
    <s v="CXO"/>
    <n v="1"/>
    <n v="344.83"/>
  </r>
  <r>
    <x v="6"/>
    <s v="08/01/2026"/>
    <s v="NINOSCHKA VILLAREAL GONZALEZ"/>
    <s v="FM1002"/>
    <s v="FEROMONAS DIAMANTE CONCENTRADO HOMBRE"/>
    <s v="CONSUMIBLE"/>
    <s v="DIAMANTE"/>
    <n v="1"/>
    <n v="413.79"/>
  </r>
  <r>
    <x v="6"/>
    <s v="08/01/2026"/>
    <s v="NINOSCHKA VILLAREAL GONZALEZ"/>
    <s v="7503020596957"/>
    <s v="Shot Shumatsu Fun Hombre - DUSA"/>
    <s v="CONSUMIBLE PROPIO"/>
    <s v="DUSA"/>
    <n v="1"/>
    <n v="172.41"/>
  </r>
  <r>
    <x v="6"/>
    <s v="08/01/2026"/>
    <s v="NINOSCHKA VILLAREAL GONZALEZ"/>
    <s v="7503024256192"/>
    <s v="Shot Shumatsu Fun Mujer - DUSA"/>
    <s v="CONSUMIBLE PROPIO"/>
    <s v="DUSA"/>
    <n v="1"/>
    <n v="172.41"/>
  </r>
  <r>
    <x v="6"/>
    <s v="08/01/2026"/>
    <s v="NINOSCHKA VILLAREAL GONZALEZ"/>
    <s v="7503013378690"/>
    <s v="Shumatsu 3 pzas - DUSA"/>
    <s v="CONSUMIBLE PROPIO"/>
    <s v="DUSA"/>
    <n v="1"/>
    <n v="577.59"/>
  </r>
  <r>
    <x v="6"/>
    <s v="09/01/2026"/>
    <s v="GERMAN  GUZMAN AGUIRRE"/>
    <s v="7503023462242"/>
    <s v="Lubricante Masaje Termico Comestible Uva Dulce FEEL LOVE 4 en 1 60ml"/>
    <s v="LUBRICANTE"/>
    <s v="FEEL LOVE"/>
    <n v="1"/>
    <n v="344.83"/>
  </r>
  <r>
    <x v="6"/>
    <s v="10/01/2026"/>
    <s v="NINOSCHKA VILLAREAL GONZALEZ"/>
    <s v="7503020111072"/>
    <s v="Anillo vibrador recargable con textura negra Hank - CXO"/>
    <s v="JUGUETE PROPIO"/>
    <s v="CXO"/>
    <n v="1"/>
    <n v="1267.24"/>
  </r>
  <r>
    <x v="6"/>
    <s v="10/01/2026"/>
    <s v="NINOSCHKA VILLAREAL GONZALEZ"/>
    <s v="7503030102034"/>
    <s v="Dildo vibrador con control Anthony - CXO"/>
    <s v="JUGUETE PROPIO"/>
    <s v="CXO"/>
    <n v="1"/>
    <n v="2112.0700000000002"/>
  </r>
  <r>
    <x v="6"/>
    <s v="10/01/2026"/>
    <s v="NINOSCHKA VILLAREAL GONZALEZ"/>
    <s v="7503043917555"/>
    <s v="Huevo masturbador spider - EGG"/>
    <s v="JUGUETE"/>
    <s v="EGG"/>
    <n v="1"/>
    <n v="159.47999999999999"/>
  </r>
  <r>
    <x v="6"/>
    <s v="10/01/2026"/>
    <s v="NINOSCHKA VILLAREAL GONZALEZ"/>
    <s v="7503043917562"/>
    <s v="Huevo masturbador stepper - EGG"/>
    <s v="JUGUETE"/>
    <s v="EGG"/>
    <n v="1"/>
    <n v="159.47999999999999"/>
  </r>
  <r>
    <x v="6"/>
    <s v="10/01/2026"/>
    <s v="NINOSCHKA VILLAREAL GONZALEZ"/>
    <s v="7503013378010"/>
    <s v="Rigidex 2 pzas - DUSA"/>
    <s v="CONSUMIBLE PROPIO"/>
    <s v="DUSA"/>
    <n v="1"/>
    <n v="431.03"/>
  </r>
  <r>
    <x v="6"/>
    <s v="11/01/2026"/>
    <s v="NINOSCHKA VILLAREAL GONZALEZ"/>
    <s v="8699415912859"/>
    <s v="Miel Vigorizante para Hombre  Miracle Honey  VIP 15g-  SECRET MIRACLE HONEY"/>
    <s v="CONSUMIBLE"/>
    <s v="SECRET MIRACLE HONEY"/>
    <n v="1"/>
    <n v="215.52"/>
  </r>
  <r>
    <x v="6"/>
    <s v="11/01/2026"/>
    <s v="NINOSCHKA VILLAREAL GONZALEZ"/>
    <s v="7503020596957"/>
    <s v="Shot Shumatsu Fun Hombre - DUSA"/>
    <s v="CONSUMIBLE PROPIO"/>
    <s v="DUSA"/>
    <n v="2"/>
    <n v="344.82"/>
  </r>
  <r>
    <x v="6"/>
    <s v="11/01/2026"/>
    <s v="NINOSCHKA VILLAREAL GONZALEZ"/>
    <s v="7503013378690"/>
    <s v="Shumatsu 3 pzas - DUSA"/>
    <s v="CONSUMIBLE PROPIO"/>
    <s v="DUSA"/>
    <n v="2"/>
    <n v="1155.18"/>
  </r>
  <r>
    <x v="7"/>
    <s v="02/01/2026"/>
    <s v="Rodolfo  Serrano Amezcua"/>
    <s v="7503043917081"/>
    <s v="Blade rosa anillo vibrador - CXO"/>
    <s v="JUGUETE PROPIO"/>
    <s v="CXO"/>
    <n v="2"/>
    <n v="163.80000000000001"/>
  </r>
  <r>
    <x v="7"/>
    <s v="02/01/2026"/>
    <s v="Rodolfo  Serrano Amezcua"/>
    <s v="7502214985362"/>
    <s v="CONDON MUTUAL SENSATION C/3 - PRUDENCE"/>
    <s v="CONSUMIBLE"/>
    <s v="PRUDENCE"/>
    <n v="1"/>
    <n v="77.59"/>
  </r>
  <r>
    <x v="7"/>
    <s v="02/01/2026"/>
    <s v="Rodolfo  Serrano Amezcua"/>
    <s v="7503013378645"/>
    <s v="Liquid Love Pleasure 100ml - DUSA"/>
    <s v="CONSUMIBLE PROPIO"/>
    <s v="DUSA"/>
    <n v="1"/>
    <n v="775.86"/>
  </r>
  <r>
    <x v="7"/>
    <s v="02/01/2026"/>
    <s v="Rodolfo  Serrano Amezcua"/>
    <s v="6959633185476"/>
    <s v="Masturbador Hedy X Confidence – SVAKOM"/>
    <s v="JUGUETE"/>
    <s v="SVAKOM"/>
    <n v="1"/>
    <n v="181.03"/>
  </r>
  <r>
    <x v="7"/>
    <s v="03/01/2026"/>
    <s v="Rodolfo  Serrano Amezcua"/>
    <s v="7508304288948"/>
    <s v="Aceite de almendras sensacion 130ml - DIAMANTE"/>
    <s v="CONSUMIBLE"/>
    <s v="DIAMANTE"/>
    <n v="1"/>
    <n v="448.28"/>
  </r>
  <r>
    <x v="7"/>
    <s v="03/01/2026"/>
    <s v="Rodolfo  Serrano Amezcua"/>
    <s v="7713042311883"/>
    <s v="Aceite de almendras sensual 130ml - DIAMANTE"/>
    <s v="CONSUMIBLE"/>
    <s v="DIAMANTE"/>
    <n v="1"/>
    <n v="448.28"/>
  </r>
  <r>
    <x v="7"/>
    <s v="03/01/2026"/>
    <s v="Rodolfo  Serrano Amezcua"/>
    <s v="7503043917081"/>
    <s v="Blade rosa anillo vibrador - CXO"/>
    <s v="JUGUETE PROPIO"/>
    <s v="CXO"/>
    <n v="1"/>
    <n v="81.900000000000006"/>
  </r>
  <r>
    <x v="7"/>
    <s v="03/01/2026"/>
    <s v="Rodolfo  Serrano Amezcua"/>
    <s v="7503043917326"/>
    <s v="Caro dual - CXO"/>
    <s v="JUGUETE PROPIO"/>
    <s v="CXO"/>
    <n v="1"/>
    <n v="1379.31"/>
  </r>
  <r>
    <x v="7"/>
    <s v="03/01/2026"/>
    <s v="Rodolfo  Serrano Amezcua"/>
    <s v="7503032300566"/>
    <s v="Cola de Zorro 45cm fucsia L - CXO"/>
    <s v="JUGUETE PROPIO"/>
    <s v="CXO"/>
    <n v="1"/>
    <n v="344.83"/>
  </r>
  <r>
    <x v="7"/>
    <s v="03/01/2026"/>
    <s v="Rodolfo  Serrano Amezcua"/>
    <s v="7502214980053"/>
    <s v="CONDON TRUST NATURAL CON 3 MAQ - PRUDENCE"/>
    <s v="CONSUMIBLE"/>
    <s v="PRUDENCE"/>
    <n v="1"/>
    <n v="77.59"/>
  </r>
  <r>
    <x v="7"/>
    <s v="03/01/2026"/>
    <s v="Rodolfo  Serrano Amezcua"/>
    <s v="7503020310205"/>
    <s v="Dildo Vibrador Termico Realista 3 en 1 con movimiento Hades-CXO"/>
    <s v="JUGUETE PROPIO"/>
    <s v="CXO"/>
    <n v="1"/>
    <n v="2500"/>
  </r>
  <r>
    <x v="7"/>
    <s v="03/01/2026"/>
    <s v="Rodolfo  Serrano Amezcua"/>
    <s v="FM1002"/>
    <s v="FEROMONAS DIAMANTE CONCENTRADO HOMBRE"/>
    <s v="CONSUMIBLE"/>
    <s v="DIAMANTE"/>
    <n v="1"/>
    <n v="413.79"/>
  </r>
  <r>
    <x v="7"/>
    <s v="03/01/2026"/>
    <s v="Rodolfo  Serrano Amezcua"/>
    <s v="7503024256154"/>
    <s v="Lubricante Body Surf Termico Cereza DUSA 60ml"/>
    <s v="CONSUMIBLE PROPIO"/>
    <s v="DUSA"/>
    <n v="1"/>
    <n v="387.93"/>
  </r>
  <r>
    <x v="7"/>
    <s v="03/01/2026"/>
    <s v="Rodolfo  Serrano Amezcua"/>
    <s v="7503032300795"/>
    <s v="Sachet lubricante desensibilizador 2 ml - BANANA SHAKE"/>
    <s v="CONSUMIBLE"/>
    <s v="BANANA SHAKE"/>
    <n v="5"/>
    <n v="107.75"/>
  </r>
  <r>
    <x v="7"/>
    <s v="03/01/2026"/>
    <s v="Rodolfo  Serrano Amezcua"/>
    <s v="7503024256192"/>
    <s v="Shot Shumatsu Fun Mujer - DUSA"/>
    <s v="CONSUMIBLE PROPIO"/>
    <s v="DUSA"/>
    <n v="1"/>
    <n v="172.41"/>
  </r>
  <r>
    <x v="7"/>
    <s v="03/01/2026"/>
    <s v="Rodolfo  Serrano Amezcua"/>
    <s v="7503013378690"/>
    <s v="Shumatsu 3 pzas - DUSA"/>
    <s v="CONSUMIBLE PROPIO"/>
    <s v="DUSA"/>
    <n v="1"/>
    <n v="577.59"/>
  </r>
  <r>
    <x v="7"/>
    <s v="03/01/2026"/>
    <s v="Rodolfo  Serrano Amezcua"/>
    <s v="4630017971008"/>
    <s v="Titan gel original - TITAN"/>
    <s v="CONSUMIBLE"/>
    <s v="TITAN"/>
    <n v="1"/>
    <n v="517.24"/>
  </r>
  <r>
    <x v="7"/>
    <s v="03/01/2026"/>
    <s v="Rodolfo  Serrano Amezcua"/>
    <s v="7503030118033"/>
    <s v="Vibrador con Aza"/>
    <s v="JUGUETE PROPIO"/>
    <s v="CXO"/>
    <n v="1"/>
    <n v="551.72"/>
  </r>
  <r>
    <x v="7"/>
    <s v="05/01/2026"/>
    <s v="Rodolfo  Serrano Amezcua"/>
    <s v="7503030211021"/>
    <s v="Anillo desechable para pene Donut - CXO"/>
    <s v="JUGUETE PROPIO"/>
    <s v="CXO"/>
    <n v="1"/>
    <n v="34.479999999999997"/>
  </r>
  <r>
    <x v="7"/>
    <s v="05/01/2026"/>
    <s v="Rodolfo  Serrano Amezcua"/>
    <s v="7503043917326"/>
    <s v="Caro dual - CXO"/>
    <s v="JUGUETE PROPIO"/>
    <s v="CXO"/>
    <n v="1"/>
    <n v="1379.31"/>
  </r>
  <r>
    <x v="7"/>
    <s v="05/01/2026"/>
    <s v="Rodolfo  Serrano Amezcua"/>
    <s v="7503050524340"/>
    <s v="Ducha Felix S - CXO"/>
    <s v="JUGUETE PROPIO"/>
    <s v="CXO"/>
    <n v="1"/>
    <n v="612.07000000000005"/>
  </r>
  <r>
    <x v="7"/>
    <s v="05/01/2026"/>
    <s v="Rodolfo  Serrano Amezcua"/>
    <s v="7503043917524"/>
    <s v="Kit Lisboa 8 pzs - CXO"/>
    <s v="JUGUETE PROPIO"/>
    <s v="CXO"/>
    <n v="1"/>
    <n v="465.52"/>
  </r>
  <r>
    <x v="7"/>
    <s v="05/01/2026"/>
    <s v="Rodolfo  Serrano Amezcua"/>
    <s v="7503020596001"/>
    <s v="Liquid Love Clear 100ml - DUSA"/>
    <s v="CONSUMIBLE PROPIO"/>
    <s v="DUSA"/>
    <n v="1"/>
    <n v="775.86"/>
  </r>
  <r>
    <x v="7"/>
    <s v="05/01/2026"/>
    <s v="Rodolfo  Serrano Amezcua"/>
    <s v="7503013378645"/>
    <s v="Liquid Love Pleasure 100ml - DUSA"/>
    <s v="CONSUMIBLE PROPIO"/>
    <s v="DUSA"/>
    <n v="1"/>
    <n v="775.86"/>
  </r>
  <r>
    <x v="7"/>
    <s v="05/01/2026"/>
    <s v="Rodolfo  Serrano Amezcua"/>
    <s v="7503024256192"/>
    <s v="Shot Shumatsu Fun Mujer - DUSA"/>
    <s v="CONSUMIBLE PROPIO"/>
    <s v="DUSA"/>
    <n v="1"/>
    <n v="172.41"/>
  </r>
  <r>
    <x v="7"/>
    <s v="05/01/2026"/>
    <s v="Rodolfo  Serrano Amezcua"/>
    <s v="7503010217045"/>
    <s v="Vela para masaje red love - DUSA"/>
    <s v="CONSUMIBLE PROPIO"/>
    <s v="DUSA"/>
    <n v="1"/>
    <n v="241.38"/>
  </r>
  <r>
    <x v="7"/>
    <s v="06/01/2026"/>
    <s v="Rodolfo  Serrano Amezcua"/>
    <s v="7503013378102"/>
    <s v="Anastasia Gema de Colores M - CXO"/>
    <s v="JUGUETE PROPIO"/>
    <s v="CXO"/>
    <n v="1"/>
    <n v="456.9"/>
  </r>
  <r>
    <x v="7"/>
    <s v="06/01/2026"/>
    <s v="Rodolfo  Serrano Amezcua"/>
    <s v="7503014914002"/>
    <s v="CAPSULAS MULTIORGASMICO AMO O-GEN"/>
    <s v="CONSUMIBLE"/>
    <s v="POWER MAN"/>
    <n v="1"/>
    <n v="431.04"/>
  </r>
  <r>
    <x v="7"/>
    <s v="06/01/2026"/>
    <s v="Rodolfo  Serrano Amezcua"/>
    <s v="7502214980275"/>
    <s v="Condones sabor y aroma soda c/ 3 pzs - PRUDENCE"/>
    <s v="CONSUMIBLE"/>
    <s v="PRUDENCE"/>
    <n v="1"/>
    <n v="60.34"/>
  </r>
  <r>
    <x v="7"/>
    <s v="06/01/2026"/>
    <s v="Rodolfo  Serrano Amezcua"/>
    <s v="7503013378690"/>
    <s v="Shumatsu 3 pzas - DUSA"/>
    <s v="CONSUMIBLE PROPIO"/>
    <s v="DUSA"/>
    <n v="6"/>
    <n v="3465.54"/>
  </r>
  <r>
    <x v="7"/>
    <s v="07/01/2026"/>
    <s v="Rodolfo  Serrano Amezcua"/>
    <s v="7503043917081"/>
    <s v="Blade rosa anillo vibrador - CXO"/>
    <s v="JUGUETE PROPIO"/>
    <s v="CXO"/>
    <n v="1"/>
    <n v="81.900000000000006"/>
  </r>
  <r>
    <x v="7"/>
    <s v="07/01/2026"/>
    <s v="Rodolfo  Serrano Amezcua"/>
    <s v="7503030102034"/>
    <s v="Dildo vibrador con control Anthony - CXO"/>
    <s v="JUGUETE PROPIO"/>
    <s v="CXO"/>
    <n v="1"/>
    <n v="2112.0700000000002"/>
  </r>
  <r>
    <x v="7"/>
    <s v="07/01/2026"/>
    <s v="Rodolfo  Serrano Amezcua"/>
    <s v="7503050524265"/>
    <s v="He Plus 30ml - DUSA"/>
    <s v="CONSUMIBLE PROPIO"/>
    <s v="DUSA"/>
    <n v="2"/>
    <n v="862.06"/>
  </r>
  <r>
    <x v="7"/>
    <s v="07/01/2026"/>
    <s v="Rodolfo  Serrano Amezcua"/>
    <s v="7503013378126"/>
    <s v="Lubricante Body Surf Frio Natural DUSA 60ml"/>
    <s v="CONSUMIBLE PROPIO"/>
    <s v="DUSA"/>
    <n v="1"/>
    <n v="387.93"/>
  </r>
  <r>
    <x v="7"/>
    <s v="07/01/2026"/>
    <s v="Rodolfo  Serrano Amezcua"/>
    <s v="7503032300856"/>
    <s v="Sachet vibrador liquido 2 ml - BANANA SHAKE"/>
    <s v="CONSUMIBLE"/>
    <s v="BANANA SHAKE"/>
    <n v="6"/>
    <n v="103.44"/>
  </r>
  <r>
    <x v="7"/>
    <s v="07/01/2026"/>
    <s v="Rodolfo  Serrano Amezcua"/>
    <s v="7503020210510"/>
    <s v="Vibrador tipo C para parejas"/>
    <s v="JUGUETE PROPIO"/>
    <s v="CXO"/>
    <n v="1"/>
    <n v="646.54999999999995"/>
  </r>
  <r>
    <x v="7"/>
    <s v="07/01/2026"/>
    <s v="Rodolfo  Serrano Amezcua"/>
    <s v="7503032300443"/>
    <s v="Zoe bala vibradora RETAIL - CXO"/>
    <s v="JUGUETE PROPIO"/>
    <s v="CXO"/>
    <n v="1"/>
    <n v="155.16999999999999"/>
  </r>
  <r>
    <x v="7"/>
    <s v="08/01/2026"/>
    <s v="Rodolfo  Serrano Amezcua"/>
    <s v="7503030111031"/>
    <s v="Anillo vibrador de aro doble con estimulador y dildo Javier - CXO"/>
    <s v="JUGUETE PROPIO"/>
    <s v="CXO"/>
    <n v="1"/>
    <n v="1681.03"/>
  </r>
  <r>
    <x v="7"/>
    <s v="08/01/2026"/>
    <s v="Rodolfo  Serrano Amezcua"/>
    <s v="7502214980084"/>
    <s v="CONDON TRUST RETARDANTE CON 3 MAQ - PRUDENCE"/>
    <s v="CONSUMIBLE"/>
    <s v="PRUDENCE"/>
    <n v="1"/>
    <n v="77.59"/>
  </r>
  <r>
    <x v="7"/>
    <s v="08/01/2026"/>
    <s v="Rodolfo  Serrano Amezcua"/>
    <s v="7502214980060"/>
    <s v="CONDON TRUST SENSITIVO CON 3 MAQ - PRUDENCE"/>
    <s v="CONSUMIBLE"/>
    <s v="PRUDENCE"/>
    <n v="1"/>
    <n v="77.59"/>
  </r>
  <r>
    <x v="7"/>
    <s v="08/01/2026"/>
    <s v="Rodolfo  Serrano Amezcua"/>
    <s v="7503020310205"/>
    <s v="Dildo Vibrador Termico Realista 3 en 1 con movimiento Hades-CXO"/>
    <s v="JUGUETE PROPIO"/>
    <s v="CXO"/>
    <n v="1"/>
    <n v="2500"/>
  </r>
  <r>
    <x v="7"/>
    <s v="08/01/2026"/>
    <s v="Rodolfo  Serrano Amezcua"/>
    <s v="7503020596001"/>
    <s v="Liquid Love Clear 100ml - DUSA"/>
    <s v="CONSUMIBLE PROPIO"/>
    <s v="DUSA"/>
    <n v="1"/>
    <n v="775.86"/>
  </r>
  <r>
    <x v="7"/>
    <s v="08/01/2026"/>
    <s v="Rodolfo  Serrano Amezcua"/>
    <s v="7503013378645"/>
    <s v="Liquid Love Pleasure 100ml - DUSA"/>
    <s v="CONSUMIBLE PROPIO"/>
    <s v="DUSA"/>
    <n v="1"/>
    <n v="775.86"/>
  </r>
  <r>
    <x v="7"/>
    <s v="08/01/2026"/>
    <s v="Rodolfo  Serrano Amezcua"/>
    <s v="7503050226162"/>
    <s v="Plug Anal con Vibración y Control Roberto - CXO"/>
    <s v="JUGUETE PROPIO"/>
    <s v="CXO"/>
    <n v="1"/>
    <n v="1293.0999999999999"/>
  </r>
  <r>
    <x v="7"/>
    <s v="08/01/2026"/>
    <s v="Rodolfo  Serrano Amezcua"/>
    <s v="4061504007496"/>
    <s v="Succionado con App Curvy 1+ - Satisfayer"/>
    <s v="JUGUETE"/>
    <s v="SATISFAYER"/>
    <n v="1"/>
    <n v="1810.34"/>
  </r>
  <r>
    <x v="7"/>
    <s v="10/01/2026"/>
    <s v="Rodolfo  Serrano Amezcua"/>
    <s v="7503043917081"/>
    <s v="Blade rosa anillo vibrador - CXO"/>
    <s v="JUGUETE PROPIO"/>
    <s v="CXO"/>
    <n v="2"/>
    <n v="163.80000000000001"/>
  </r>
  <r>
    <x v="7"/>
    <s v="10/01/2026"/>
    <s v="Rodolfo  Serrano Amezcua"/>
    <s v="7502214982439"/>
    <s v="Condon Extra Time Retardante 3 pzs - PRUDENCE"/>
    <s v="CONSUMIBLE"/>
    <s v="PRUDENCE"/>
    <n v="1"/>
    <n v="77.59"/>
  </r>
  <r>
    <x v="7"/>
    <s v="10/01/2026"/>
    <s v="Rodolfo  Serrano Amezcua"/>
    <s v="7502214982811"/>
    <s v="Condones Mix Sabor y Aroma 5 pzs - PRUDENCE"/>
    <s v="CONSUMIBLE"/>
    <s v="PRUDENCE"/>
    <n v="1"/>
    <n v="77.59"/>
  </r>
  <r>
    <x v="7"/>
    <s v="10/01/2026"/>
    <s v="Rodolfo  Serrano Amezcua"/>
    <s v="7503050524265"/>
    <s v="He Plus 30ml - DUSA"/>
    <s v="CONSUMIBLE PROPIO"/>
    <s v="DUSA"/>
    <n v="1"/>
    <n v="431.03"/>
  </r>
  <r>
    <x v="7"/>
    <s v="10/01/2026"/>
    <s v="Rodolfo  Serrano Amezcua"/>
    <s v="7503013378857"/>
    <s v="Micrófono Vaginal"/>
    <s v="JUGUETE PROPIO"/>
    <s v="CXO"/>
    <n v="1"/>
    <n v="310.33999999999997"/>
  </r>
  <r>
    <x v="7"/>
    <s v="10/01/2026"/>
    <s v="Rodolfo  Serrano Amezcua"/>
    <s v="7503032300795"/>
    <s v="Sachet lubricante desensibilizador 2 ml - BANANA SHAKE"/>
    <s v="CONSUMIBLE"/>
    <s v="BANANA SHAKE"/>
    <n v="5"/>
    <n v="107.75"/>
  </r>
  <r>
    <x v="7"/>
    <s v="10/01/2026"/>
    <s v="Rodolfo  Serrano Amezcua"/>
    <s v="7503024256192"/>
    <s v="Shot Shumatsu Fun Mujer - DUSA"/>
    <s v="CONSUMIBLE PROPIO"/>
    <s v="DUSA"/>
    <n v="1"/>
    <n v="172.41"/>
  </r>
  <r>
    <x v="8"/>
    <s v="02/01/2026"/>
    <s v="EDGAR MOISES A NAVARRO"/>
    <s v="7503020112070"/>
    <s v="Bala vibradora recargable Ely – CXO"/>
    <s v="JUGUETE PROPIO"/>
    <s v="CXO"/>
    <n v="2"/>
    <n v="1586.2"/>
  </r>
  <r>
    <x v="8"/>
    <s v="02/01/2026"/>
    <s v="EDGAR MOISES A NAVARRO"/>
    <s v="7503020596957"/>
    <s v="Shot Shumatsu Fun Hombre - DUSA"/>
    <s v="CONSUMIBLE PROPIO"/>
    <s v="DUSA"/>
    <n v="2"/>
    <n v="344.82"/>
  </r>
  <r>
    <x v="8"/>
    <s v="03/01/2026"/>
    <s v="EDGAR MOISES A NAVARRO"/>
    <s v="7707167951468"/>
    <s v="Brasier Mod 501196 36B - EA"/>
    <s v="LENCERIA"/>
    <s v="EA"/>
    <n v="1"/>
    <n v="688"/>
  </r>
  <r>
    <x v="8"/>
    <s v="03/01/2026"/>
    <s v="EDGAR MOISES A NAVARRO"/>
    <s v="7503014914002"/>
    <s v="CAPSULAS MULTIORGASMICO AMO O-GEN"/>
    <s v="CONSUMIBLE"/>
    <s v="POWER MAN"/>
    <n v="1"/>
    <n v="431.04"/>
  </r>
  <r>
    <x v="8"/>
    <s v="03/01/2026"/>
    <s v="EDGAR MOISES A NAVARRO"/>
    <s v="CON01CH03600785C"/>
    <s v="Conjunto Aranza 85C negro"/>
    <s v="LENCERIA"/>
    <s v="OLA MOU"/>
    <n v="1"/>
    <n v="489.22"/>
  </r>
  <r>
    <x v="8"/>
    <s v="03/01/2026"/>
    <s v="EDGAR MOISES A NAVARRO"/>
    <s v="7503050524265"/>
    <s v="He Plus 30ml - DUSA"/>
    <s v="CONSUMIBLE PROPIO"/>
    <s v="DUSA"/>
    <n v="1"/>
    <n v="431.03"/>
  </r>
  <r>
    <x v="8"/>
    <s v="03/01/2026"/>
    <s v="EDGAR MOISES A NAVARRO"/>
    <s v="7946000265472"/>
    <s v="JUEGO DE MESA EL JUEGO DE LA OCA SENSUAL"/>
    <s v="JUGUETE"/>
    <s v="VARIAS"/>
    <n v="1"/>
    <n v="224.14"/>
  </r>
  <r>
    <x v="8"/>
    <s v="03/01/2026"/>
    <s v="EDGAR MOISES A NAVARRO"/>
    <s v="7503032300634"/>
    <s v="Kevin violeta - CXO"/>
    <s v="JUGUETE PROPIO"/>
    <s v="CXO"/>
    <n v="1"/>
    <n v="775.86"/>
  </r>
  <r>
    <x v="8"/>
    <s v="03/01/2026"/>
    <s v="EDGAR MOISES A NAVARRO"/>
    <s v="7503013378690"/>
    <s v="Shumatsu 3 pzas - DUSA"/>
    <s v="CONSUMIBLE PROPIO"/>
    <s v="DUSA"/>
    <n v="2"/>
    <n v="1155.18"/>
  </r>
  <r>
    <x v="8"/>
    <s v="03/01/2026"/>
    <s v="EDGAR MOISES A NAVARRO"/>
    <s v="TBBMAQ002"/>
    <s v="Tame &amp; Fill brow collection - THE BEAUTY BAR FX"/>
    <s v="SKINCARE"/>
    <s v="THE BEAUTY BAR FX"/>
    <n v="1"/>
    <n v="103.45"/>
  </r>
  <r>
    <x v="8"/>
    <s v="05/01/2026"/>
    <s v="EDGAR MOISES A NAVARRO"/>
    <s v="6959633101278"/>
    <s v="Alex Neo 2 azul oscuro - SVAKOM"/>
    <s v="JUGUETE"/>
    <s v="SVAKOM"/>
    <n v="1"/>
    <n v="4482.76"/>
  </r>
  <r>
    <x v="8"/>
    <s v="05/01/2026"/>
    <s v="EDGAR MOISES A NAVARRO"/>
    <s v="7503013378850"/>
    <s v="Amy fucsia - CXO"/>
    <s v="JUGUETE PROPIO"/>
    <s v="CXO"/>
    <n v="1"/>
    <n v="431.03"/>
  </r>
  <r>
    <x v="8"/>
    <s v="05/01/2026"/>
    <s v="EDGAR MOISES A NAVARRO"/>
    <s v="7503020111072"/>
    <s v="Anillo vibrador recargable con textura negra Hank - CXO"/>
    <s v="JUGUETE PROPIO"/>
    <s v="CXO"/>
    <n v="1"/>
    <n v="1267.24"/>
  </r>
  <r>
    <x v="8"/>
    <s v="05/01/2026"/>
    <s v="EDGAR MOISES A NAVARRO"/>
    <s v="7502235091431"/>
    <s v="Aumentador de Semen - Lions Power"/>
    <s v="CONSUMIBLE"/>
    <s v="SXO"/>
    <n v="1"/>
    <n v="482.76"/>
  </r>
  <r>
    <x v="8"/>
    <s v="05/01/2026"/>
    <s v="EDGAR MOISES A NAVARRO"/>
    <s v="BAT03CB128003UN"/>
    <s v="Bata de satin rosa - OLA MOU"/>
    <s v="LENCERIA"/>
    <s v="OLA MOU : CHOCOLATES"/>
    <n v="1"/>
    <n v="982.76"/>
  </r>
  <r>
    <x v="8"/>
    <s v="05/01/2026"/>
    <s v="EDGAR MOISES A NAVARRO"/>
    <s v="7503014914002"/>
    <s v="CAPSULAS MULTIORGASMICO AMO O-GEN"/>
    <s v="CONSUMIBLE"/>
    <s v="POWER MAN"/>
    <n v="3"/>
    <n v="1293.1199999999999"/>
  </r>
  <r>
    <x v="8"/>
    <s v="05/01/2026"/>
    <s v="EDGAR MOISES A NAVARRO"/>
    <s v="7503043917326"/>
    <s v="Caro dual - CXO"/>
    <s v="JUGUETE PROPIO"/>
    <s v="CXO"/>
    <n v="1"/>
    <n v="1379.31"/>
  </r>
  <r>
    <x v="8"/>
    <s v="05/01/2026"/>
    <s v="EDGAR MOISES A NAVARRO"/>
    <s v="7502214985805"/>
    <s v="CONDON PRUDENCE VETE A LA VERSH  C/3"/>
    <s v="CONSUMIBLE"/>
    <s v="PRUDENCE"/>
    <n v="1"/>
    <n v="77.59"/>
  </r>
  <r>
    <x v="8"/>
    <s v="05/01/2026"/>
    <s v="EDGAR MOISES A NAVARRO"/>
    <s v="7503030220044"/>
    <s v="Dados con posiciones 2 piezas - CXO"/>
    <s v="JUGUETE PROPIO"/>
    <s v="CXO"/>
    <n v="1"/>
    <n v="77.59"/>
  </r>
  <r>
    <x v="8"/>
    <s v="05/01/2026"/>
    <s v="EDGAR MOISES A NAVARRO"/>
    <s v="7503030220043"/>
    <s v="Dados para juegos 2 piezas - CXO"/>
    <s v="JUGUETE PROPIO"/>
    <s v="CXO"/>
    <n v="1"/>
    <n v="112.07"/>
  </r>
  <r>
    <x v="8"/>
    <s v="05/01/2026"/>
    <s v="EDGAR MOISES A NAVARRO"/>
    <s v="7503030119041"/>
    <s v="Dildo vibrador con movimiento impulsor Arma - CXO"/>
    <s v="JUGUETE PROPIO"/>
    <s v="CXO"/>
    <n v="1"/>
    <n v="1706.9"/>
  </r>
  <r>
    <x v="8"/>
    <s v="05/01/2026"/>
    <s v="EDGAR MOISES A NAVARRO"/>
    <s v="6959633118795"/>
    <s v="Edeny - SVAKOM"/>
    <s v="JUGUETE"/>
    <s v="SVAKOM"/>
    <n v="1"/>
    <n v="3275.86"/>
  </r>
  <r>
    <x v="8"/>
    <s v="05/01/2026"/>
    <s v="EDGAR MOISES A NAVARRO"/>
    <s v="782421022686"/>
    <s v="Extensor Anal Platinum The Stretch - DOC JOHNSON"/>
    <s v="JUGUETE"/>
    <s v="DOC JOHNSON"/>
    <n v="1"/>
    <n v="603.45000000000005"/>
  </r>
  <r>
    <x v="8"/>
    <s v="05/01/2026"/>
    <s v="EDGAR MOISES A NAVARRO"/>
    <s v="LL-A2216"/>
    <s v="Huevito con 10 modos de Vibración  Gina - CXO"/>
    <s v="JUGUETE PROPIO"/>
    <s v="CXO"/>
    <n v="1"/>
    <n v="1500"/>
  </r>
  <r>
    <x v="8"/>
    <s v="05/01/2026"/>
    <s v="EDGAR MOISES A NAVARRO"/>
    <s v="7500464377302"/>
    <s v="Juego de Cartas Salto del Tigre"/>
    <s v="OTRO"/>
    <s v="SALTO DEL TIGRE"/>
    <n v="1"/>
    <n v="297.41000000000003"/>
  </r>
  <r>
    <x v="8"/>
    <s v="05/01/2026"/>
    <s v="EDGAR MOISES A NAVARRO"/>
    <s v="ER49300410CH"/>
    <s v="LENCERIA MICROBODY 1 BLANCO CH 28"/>
    <s v="LENCERIA"/>
    <s v="PARISINA SEXY"/>
    <n v="1"/>
    <n v="431.03"/>
  </r>
  <r>
    <x v="8"/>
    <s v="05/01/2026"/>
    <s v="EDGAR MOISES A NAVARRO"/>
    <s v="7503013378645"/>
    <s v="Liquid Love Pleasure 100ml - DUSA"/>
    <s v="CONSUMIBLE PROPIO"/>
    <s v="DUSA"/>
    <n v="1"/>
    <n v="775.86"/>
  </r>
  <r>
    <x v="8"/>
    <s v="05/01/2026"/>
    <s v="EDGAR MOISES A NAVARRO"/>
    <s v="7503013378126"/>
    <s v="Lubricante Body Surf Frio Natural DUSA 60ml"/>
    <s v="CONSUMIBLE PROPIO"/>
    <s v="DUSA"/>
    <n v="1"/>
    <n v="387.93"/>
  </r>
  <r>
    <x v="8"/>
    <s v="05/01/2026"/>
    <s v="EDGAR MOISES A NAVARRO"/>
    <s v="8699415912859"/>
    <s v="Miel Vigorizante para Hombre  Miracle Honey  VIP 15g-  SECRET MIRACLE HONEY"/>
    <s v="CONSUMIBLE"/>
    <s v="SECRET MIRACLE HONEY"/>
    <n v="5"/>
    <n v="1077.5999999999999"/>
  </r>
  <r>
    <x v="8"/>
    <s v="05/01/2026"/>
    <s v="EDGAR MOISES A NAVARRO"/>
    <s v="75079413"/>
    <s v="Mini Kit Hombre 3 piezas - SXO"/>
    <s v="CONSUMIBLE"/>
    <s v="SXO"/>
    <n v="2"/>
    <n v="568.97"/>
  </r>
  <r>
    <x v="8"/>
    <s v="05/01/2026"/>
    <s v="EDGAR MOISES A NAVARRO"/>
    <s v="75079390"/>
    <s v="Mini Kit Mujer 3 piezas- SXO"/>
    <s v="CONSUMIBLE"/>
    <s v="SXO"/>
    <n v="2"/>
    <n v="568.97"/>
  </r>
  <r>
    <x v="8"/>
    <s v="05/01/2026"/>
    <s v="EDGAR MOISES A NAVARRO"/>
    <s v="7503050524241"/>
    <s v="Orgasmik 30ml - DUSA"/>
    <s v="CONSUMIBLE PROPIO"/>
    <s v="DUSA"/>
    <n v="1"/>
    <n v="431.03"/>
  </r>
  <r>
    <x v="8"/>
    <s v="05/01/2026"/>
    <s v="EDGAR MOISES A NAVARRO"/>
    <s v="657447106330"/>
    <s v="Paleta arcoiris - SPECTRA BONDAGE"/>
    <s v="OTRO"/>
    <s v="SPECTRA BONDAGE"/>
    <n v="1"/>
    <n v="310.33999999999997"/>
  </r>
  <r>
    <x v="8"/>
    <s v="05/01/2026"/>
    <s v="EDGAR MOISES A NAVARRO"/>
    <s v="7503050226162"/>
    <s v="Plug Anal con Vibración y Control Roberto - CXO"/>
    <s v="JUGUETE PROPIO"/>
    <s v="CXO"/>
    <n v="1"/>
    <n v="1293.0999999999999"/>
  </r>
  <r>
    <x v="8"/>
    <s v="05/01/2026"/>
    <s v="EDGAR MOISES A NAVARRO"/>
    <s v="782421023379"/>
    <s v="Relax gel 56gr - INTIMATE ENHANCEMENTS"/>
    <s v="CONSUMIBLE"/>
    <s v="DOC JOHNSON"/>
    <n v="1"/>
    <n v="387.93"/>
  </r>
  <r>
    <x v="8"/>
    <s v="05/01/2026"/>
    <s v="EDGAR MOISES A NAVARRO"/>
    <s v="7503050524258"/>
    <s v="Sensicool 30ml - DUSA"/>
    <s v="CONSUMIBLE PROPIO"/>
    <s v="DUSA"/>
    <n v="1"/>
    <n v="431.03"/>
  </r>
  <r>
    <x v="8"/>
    <s v="05/01/2026"/>
    <s v="EDGAR MOISES A NAVARRO"/>
    <s v="7503020596957"/>
    <s v="Shot Shumatsu Fun Hombre - DUSA"/>
    <s v="CONSUMIBLE PROPIO"/>
    <s v="DUSA"/>
    <n v="5"/>
    <n v="862.05"/>
  </r>
  <r>
    <x v="8"/>
    <s v="05/01/2026"/>
    <s v="EDGAR MOISES A NAVARRO"/>
    <s v="7503024256192"/>
    <s v="Shot Shumatsu Fun Mujer - DUSA"/>
    <s v="CONSUMIBLE PROPIO"/>
    <s v="DUSA"/>
    <n v="4"/>
    <n v="689.64"/>
  </r>
  <r>
    <x v="8"/>
    <s v="05/01/2026"/>
    <s v="EDGAR MOISES A NAVARRO"/>
    <s v="4061504007373"/>
    <s v="Succionador Number Two - Satisfayer"/>
    <s v="JUGUETE"/>
    <s v="SATISFAYER"/>
    <n v="1"/>
    <n v="1637.93"/>
  </r>
  <r>
    <x v="8"/>
    <s v="05/01/2026"/>
    <s v="EDGAR MOISES A NAVARRO"/>
    <s v="716770092090"/>
    <s v="Thrusting Rotator prostático - CALEX"/>
    <s v="JUGUETE"/>
    <s v="CALEXOTICS"/>
    <n v="1"/>
    <n v="1810.34"/>
  </r>
  <r>
    <x v="8"/>
    <s v="05/01/2026"/>
    <s v="EDGAR MOISES A NAVARRO"/>
    <s v="6959633105313"/>
    <s v="Vibrador de Prostata con Pulsaciones Iker Neo - SVAKOM"/>
    <s v="JUGUETE"/>
    <s v="SVAKOM"/>
    <n v="1"/>
    <n v="3879.31"/>
  </r>
  <r>
    <x v="8"/>
    <s v="05/01/2026"/>
    <s v="EDGAR MOISES A NAVARRO"/>
    <s v="7503032300443"/>
    <s v="Zoe bala vibradora RETAIL - CXO"/>
    <s v="JUGUETE PROPIO"/>
    <s v="CXO"/>
    <n v="2"/>
    <n v="310.33999999999997"/>
  </r>
  <r>
    <x v="8"/>
    <s v="06/01/2026"/>
    <s v="EDGAR MOISES A NAVARRO"/>
    <s v="7503014914002"/>
    <s v="CAPSULAS MULTIORGASMICO AMO O-GEN"/>
    <s v="CONSUMIBLE"/>
    <s v="POWER MAN"/>
    <n v="1"/>
    <n v="431.04"/>
  </r>
  <r>
    <x v="8"/>
    <s v="06/01/2026"/>
    <s v="EDGAR MOISES A NAVARRO"/>
    <s v="7503013378645"/>
    <s v="Liquid Love Pleasure 100ml - DUSA"/>
    <s v="CONSUMIBLE PROPIO"/>
    <s v="DUSA"/>
    <n v="1"/>
    <n v="775.86"/>
  </r>
  <r>
    <x v="8"/>
    <s v="06/01/2026"/>
    <s v="EDGAR MOISES A NAVARRO"/>
    <s v="7503024256192"/>
    <s v="Shot Shumatsu Fun Mujer - DUSA"/>
    <s v="CONSUMIBLE PROPIO"/>
    <s v="DUSA"/>
    <n v="1"/>
    <n v="172.41"/>
  </r>
  <r>
    <x v="8"/>
    <s v="06/01/2026"/>
    <s v="EDGAR MOISES A NAVARRO"/>
    <s v="7503013378690"/>
    <s v="Shumatsu 3 pzas - DUSA"/>
    <s v="CONSUMIBLE PROPIO"/>
    <s v="DUSA"/>
    <n v="2"/>
    <n v="1155.18"/>
  </r>
  <r>
    <x v="8"/>
    <s v="07/01/2026"/>
    <s v="EDGAR MOISES A NAVARRO"/>
    <s v="7503032300993"/>
    <s v="Liquid Love Pleasure 30ml - DUSA"/>
    <s v="CONSUMIBLE PROPIO"/>
    <s v="DUSA"/>
    <n v="1"/>
    <n v="301.72000000000003"/>
  </r>
  <r>
    <x v="8"/>
    <s v="07/01/2026"/>
    <s v="EDGAR MOISES A NAVARRO"/>
    <s v="7503013378690"/>
    <s v="Shumatsu 3 pzas - DUSA"/>
    <s v="CONSUMIBLE PROPIO"/>
    <s v="DUSA"/>
    <n v="2"/>
    <n v="1155.18"/>
  </r>
  <r>
    <x v="8"/>
    <s v="08/01/2026"/>
    <s v="EDGAR MOISES A NAVARRO"/>
    <s v="7503013378492"/>
    <s v="Clean Whisper 120ml - DUSA"/>
    <s v="CONSUMIBLE PROPIO"/>
    <s v="DUSA"/>
    <n v="1"/>
    <n v="301.72000000000003"/>
  </r>
  <r>
    <x v="8"/>
    <s v="08/01/2026"/>
    <s v="EDGAR MOISES A NAVARRO"/>
    <s v="6959633166963"/>
    <s v="Ella Neo rojo- SVAKOM"/>
    <s v="JUGUETE"/>
    <s v="SVAKOM"/>
    <n v="1"/>
    <n v="3017.24"/>
  </r>
  <r>
    <x v="8"/>
    <s v="08/01/2026"/>
    <s v="EDGAR MOISES A NAVARRO"/>
    <s v="7503043917012"/>
    <s v="Liquid Love Backdoor 30ml - DUSA"/>
    <s v="CONSUMIBLE PROPIO"/>
    <s v="DUSA"/>
    <n v="1"/>
    <n v="301.72000000000003"/>
  </r>
  <r>
    <x v="8"/>
    <s v="08/01/2026"/>
    <s v="EDGAR MOISES A NAVARRO"/>
    <s v="7503032300993"/>
    <s v="Liquid Love Pleasure 30ml - DUSA"/>
    <s v="CONSUMIBLE PROPIO"/>
    <s v="DUSA"/>
    <n v="2"/>
    <n v="603.44000000000005"/>
  </r>
  <r>
    <x v="8"/>
    <s v="08/01/2026"/>
    <s v="EDGAR MOISES A NAVARRO"/>
    <s v="7503013378645"/>
    <s v="Liquid Love Pleasure 100ml - DUSA"/>
    <s v="CONSUMIBLE PROPIO"/>
    <s v="DUSA"/>
    <n v="1"/>
    <n v="775.86"/>
  </r>
  <r>
    <x v="8"/>
    <s v="08/01/2026"/>
    <s v="EDGAR MOISES A NAVARRO"/>
    <s v="7503050226162"/>
    <s v="Plug Anal con Vibración y Control Roberto - CXO"/>
    <s v="JUGUETE PROPIO"/>
    <s v="CXO"/>
    <n v="1"/>
    <n v="1293.0999999999999"/>
  </r>
  <r>
    <x v="8"/>
    <s v="08/01/2026"/>
    <s v="EDGAR MOISES A NAVARRO"/>
    <s v="7503013378010"/>
    <s v="Rigidex 2 pzas - DUSA"/>
    <s v="CONSUMIBLE PROPIO"/>
    <s v="DUSA"/>
    <n v="1"/>
    <n v="431.03"/>
  </r>
  <r>
    <x v="8"/>
    <s v="08/01/2026"/>
    <s v="EDGAR MOISES A NAVARRO"/>
    <s v="7503013378690"/>
    <s v="Shumatsu 3 pzas - DUSA"/>
    <s v="CONSUMIBLE PROPIO"/>
    <s v="DUSA"/>
    <n v="1"/>
    <n v="577.59"/>
  </r>
  <r>
    <x v="8"/>
    <s v="08/01/2026"/>
    <s v="EDGAR MOISES A NAVARRO"/>
    <s v="7503020596063"/>
    <s v="Stallion Regenerador - DUSA"/>
    <s v="CONSUMIBLE PROPIO"/>
    <s v="DUSA"/>
    <n v="1"/>
    <n v="1293.0999999999999"/>
  </r>
  <r>
    <x v="8"/>
    <s v="08/01/2026"/>
    <s v="EDGAR MOISES A NAVARRO"/>
    <s v="CXOMJ007"/>
    <s v="Succionador Penny  - CXO"/>
    <s v="JUGUETE PROPIO"/>
    <s v="CXO"/>
    <n v="1"/>
    <n v="818.97"/>
  </r>
  <r>
    <x v="8"/>
    <s v="08/01/2026"/>
    <s v="EDGAR MOISES A NAVARRO"/>
    <s v="RAICO00401"/>
    <s v="Tonico anti acne para piel grasa 50ml - RAICES CO"/>
    <s v="SKINCARE"/>
    <s v="RAICES CO"/>
    <n v="1"/>
    <n v="103.45"/>
  </r>
  <r>
    <x v="8"/>
    <s v="09/01/2026"/>
    <s v="EDGAR MOISES A NAVARRO"/>
    <s v="8699415912859"/>
    <s v="Miel Vigorizante para Hombre  Miracle Honey  VIP 15g-  SECRET MIRACLE HONEY"/>
    <s v="CONSUMIBLE"/>
    <s v="SECRET MIRACLE HONEY"/>
    <n v="1"/>
    <n v="215.52"/>
  </r>
  <r>
    <x v="8"/>
    <s v="10/01/2026"/>
    <s v="EDGAR MOISES A NAVARRO"/>
    <s v="7503043917081"/>
    <s v="Blade rosa anillo vibrador - CXO"/>
    <s v="JUGUETE PROPIO"/>
    <s v="CXO"/>
    <n v="1"/>
    <n v="81.900000000000006"/>
  </r>
  <r>
    <x v="8"/>
    <s v="10/01/2026"/>
    <s v="EDGAR MOISES A NAVARRO"/>
    <s v="7503020310205"/>
    <s v="Dildo Vibrador Termico Realista 3 en 1 con movimiento Hades-CXO"/>
    <s v="JUGUETE PROPIO"/>
    <s v="CXO"/>
    <n v="1"/>
    <n v="2500"/>
  </r>
  <r>
    <x v="8"/>
    <s v="10/01/2026"/>
    <s v="EDGAR MOISES A NAVARRO"/>
    <s v="7503013378652"/>
    <s v="Liquid Love Backdoor 100ml - DUSA"/>
    <s v="CONSUMIBLE PROPIO"/>
    <s v="DUSA"/>
    <n v="1"/>
    <n v="1077.5899999999999"/>
  </r>
  <r>
    <x v="8"/>
    <s v="10/01/2026"/>
    <s v="EDGAR MOISES A NAVARRO"/>
    <s v="75082048"/>
    <s v="Miel Estimulante Hombre 18ml - SXO"/>
    <s v="CONSUMIBLE"/>
    <s v="SXO"/>
    <n v="1"/>
    <n v="301.72000000000003"/>
  </r>
  <r>
    <x v="8"/>
    <s v="10/01/2026"/>
    <s v="EDGAR MOISES A NAVARRO"/>
    <s v="8699415912859"/>
    <s v="Miel Vigorizante para Hombre  Miracle Honey  VIP 15g-  SECRET MIRACLE HONEY"/>
    <s v="CONSUMIBLE"/>
    <s v="SECRET MIRACLE HONEY"/>
    <n v="1"/>
    <n v="215.52"/>
  </r>
  <r>
    <x v="8"/>
    <s v="10/01/2026"/>
    <s v="EDGAR MOISES A NAVARRO"/>
    <s v="713001200104"/>
    <s v="Multiorgasmico con estimulador de clitoris de aleteo Marisol - CXO"/>
    <s v="JUGUETE PROPIO"/>
    <s v="CXO"/>
    <n v="1"/>
    <n v="2500"/>
  </r>
  <r>
    <x v="8"/>
    <s v="10/01/2026"/>
    <s v="EDGAR MOISES A NAVARRO"/>
    <s v="7503024256192"/>
    <s v="Shot Shumatsu Fun Mujer - DUSA"/>
    <s v="CONSUMIBLE PROPIO"/>
    <s v="DUSA"/>
    <n v="1"/>
    <n v="172.41"/>
  </r>
  <r>
    <x v="8"/>
    <s v="10/01/2026"/>
    <s v="EDGAR MOISES A NAVARRO"/>
    <s v="7503032300443"/>
    <s v="Zoe bala vibradora RETAIL - CXO"/>
    <s v="JUGUETE PROPIO"/>
    <s v="CXO"/>
    <n v="1"/>
    <n v="155.16999999999999"/>
  </r>
  <r>
    <x v="9"/>
    <s v="02/01/2026"/>
    <s v="GERMAN  GUZMAN AGUIRRE"/>
    <s v="7503032300993"/>
    <s v="Liquid Love Pleasure 30ml - DUSA"/>
    <s v="CONSUMIBLE PROPIO"/>
    <s v="DUSA"/>
    <n v="2"/>
    <n v="603.44000000000005"/>
  </r>
  <r>
    <x v="9"/>
    <s v="02/01/2026"/>
    <s v="GERMAN  GUZMAN AGUIRRE"/>
    <s v="7503032300795"/>
    <s v="Sachet lubricante desensibilizador 2 ml - BANANA SHAKE"/>
    <s v="CONSUMIBLE"/>
    <s v="BANANA SHAKE"/>
    <n v="4"/>
    <n v="86.2"/>
  </r>
  <r>
    <x v="9"/>
    <s v="02/01/2026"/>
    <s v="GERMAN  GUZMAN AGUIRRE"/>
    <s v="7503013378690"/>
    <s v="Shumatsu 3 pzas - DUSA"/>
    <s v="CONSUMIBLE PROPIO"/>
    <s v="DUSA"/>
    <n v="1"/>
    <n v="577.59"/>
  </r>
  <r>
    <x v="9"/>
    <s v="03/01/2026"/>
    <s v="ANTONIO EDMUNDO E CAMBEROS"/>
    <s v="7503013378102"/>
    <s v="Anastasia Gema de Colores M - CXO"/>
    <s v="JUGUETE PROPIO"/>
    <s v="CXO"/>
    <n v="2"/>
    <n v="913.8"/>
  </r>
  <r>
    <x v="9"/>
    <s v="03/01/2026"/>
    <s v="ANTONIO EDMUNDO E CAMBEROS"/>
    <s v="7503013378492"/>
    <s v="Clean Whisper 120ml - DUSA"/>
    <s v="CONSUMIBLE PROPIO"/>
    <s v="DUSA"/>
    <n v="1"/>
    <n v="301.72000000000003"/>
  </r>
  <r>
    <x v="9"/>
    <s v="03/01/2026"/>
    <s v="ANTONIO EDMUNDO E CAMBEROS"/>
    <s v="7503043917012"/>
    <s v="Liquid Love Backdoor 30ml - DUSA"/>
    <s v="CONSUMIBLE PROPIO"/>
    <s v="DUSA"/>
    <n v="1"/>
    <n v="301.72000000000003"/>
  </r>
  <r>
    <x v="9"/>
    <s v="03/01/2026"/>
    <s v="ANTONIO EDMUNDO E CAMBEROS"/>
    <s v="7503043917005"/>
    <s v="Liquid Love Clear 30ml - DUSA"/>
    <s v="CONSUMIBLE PROPIO"/>
    <s v="DUSA"/>
    <n v="2"/>
    <n v="603.44000000000005"/>
  </r>
  <r>
    <x v="9"/>
    <s v="03/01/2026"/>
    <s v="ANTONIO EDMUNDO E CAMBEROS"/>
    <s v="7503032300993"/>
    <s v="Liquid Love Pleasure 30ml - DUSA"/>
    <s v="CONSUMIBLE PROPIO"/>
    <s v="DUSA"/>
    <n v="1"/>
    <n v="301.72000000000003"/>
  </r>
  <r>
    <x v="9"/>
    <s v="03/01/2026"/>
    <s v="ANTONIO EDMUNDO E CAMBEROS"/>
    <s v="6959633103494"/>
    <s v="Mora Neo multiorgasmico rosa - SVAKOM"/>
    <s v="JUGUETE"/>
    <s v="SVAKOM"/>
    <n v="1"/>
    <n v="1637.93"/>
  </r>
  <r>
    <x v="9"/>
    <s v="03/01/2026"/>
    <s v="ANTONIO EDMUNDO E CAMBEROS"/>
    <s v="7503013378010"/>
    <s v="Rigidex 2 pzas - DUSA"/>
    <s v="CONSUMIBLE PROPIO"/>
    <s v="DUSA"/>
    <n v="1"/>
    <n v="431.03"/>
  </r>
  <r>
    <x v="9"/>
    <s v="03/01/2026"/>
    <s v="ANTONIO EDMUNDO E CAMBEROS"/>
    <s v="7503024256192"/>
    <s v="Shot Shumatsu Fun Mujer - DUSA"/>
    <s v="CONSUMIBLE PROPIO"/>
    <s v="DUSA"/>
    <n v="4"/>
    <n v="689.64"/>
  </r>
  <r>
    <x v="9"/>
    <s v="03/01/2026"/>
    <s v="ANTONIO EDMUNDO E CAMBEROS"/>
    <s v="7503013378690"/>
    <s v="Shumatsu 3 pzas - DUSA"/>
    <s v="CONSUMIBLE PROPIO"/>
    <s v="DUSA"/>
    <n v="1"/>
    <n v="577.59"/>
  </r>
  <r>
    <x v="9"/>
    <s v="03/01/2026"/>
    <s v="ANTONIO EDMUNDO E CAMBEROS"/>
    <s v="4061504007496"/>
    <s v="Succionado con App Curvy 1+ - Satisfayer"/>
    <s v="JUGUETE"/>
    <s v="SATISFAYER"/>
    <n v="1"/>
    <n v="1810.34"/>
  </r>
  <r>
    <x v="9"/>
    <s v="03/01/2026"/>
    <s v="ANTONIO EDMUNDO E CAMBEROS"/>
    <s v="4061504007359"/>
    <s v="Succionador Pingüino - Satisfayer"/>
    <s v="JUGUETE"/>
    <s v="SATISFAYER"/>
    <n v="1"/>
    <n v="1379.31"/>
  </r>
  <r>
    <x v="9"/>
    <s v="04/01/2026"/>
    <s v="ANTONIO EDMUNDO E CAMBEROS"/>
    <s v="7503014914002"/>
    <s v="CAPSULAS MULTIORGASMICO AMO O-GEN"/>
    <s v="CONSUMIBLE"/>
    <s v="POWER MAN"/>
    <n v="1"/>
    <n v="431.04"/>
  </r>
  <r>
    <x v="9"/>
    <s v="05/01/2026"/>
    <s v="ANTONIO EDMUNDO E CAMBEROS"/>
    <s v="7500464543059"/>
    <s v="Dildo Realista con Ventosa 15.5cms Domi CXO"/>
    <s v="JUGUETE PROPIO"/>
    <s v="CXO"/>
    <n v="1"/>
    <n v="818.97"/>
  </r>
  <r>
    <x v="9"/>
    <s v="05/01/2026"/>
    <s v="ANTONIO EDMUNDO E CAMBEROS"/>
    <s v="7503013378652"/>
    <s v="Liquid Love Backdoor 100ml - DUSA"/>
    <s v="CONSUMIBLE PROPIO"/>
    <s v="DUSA"/>
    <n v="1"/>
    <n v="1077.5899999999999"/>
  </r>
  <r>
    <x v="9"/>
    <s v="05/01/2026"/>
    <s v="ANTONIO EDMUNDO E CAMBEROS"/>
    <s v="7503032300993"/>
    <s v="Liquid Love Pleasure 30ml - DUSA"/>
    <s v="CONSUMIBLE PROPIO"/>
    <s v="DUSA"/>
    <n v="1"/>
    <n v="301.72000000000003"/>
  </r>
  <r>
    <x v="9"/>
    <s v="05/01/2026"/>
    <s v="ANTONIO EDMUNDO E CAMBEROS"/>
    <s v="7503013378645"/>
    <s v="Liquid Love Pleasure 100ml - DUSA"/>
    <s v="CONSUMIBLE PROPIO"/>
    <s v="DUSA"/>
    <n v="1"/>
    <n v="775.86"/>
  </r>
  <r>
    <x v="9"/>
    <s v="05/01/2026"/>
    <s v="ANTONIO EDMUNDO E CAMBEROS"/>
    <s v="8699415912859"/>
    <s v="Miel Vigorizante para Hombre  Miracle Honey  VIP 15g-  SECRET MIRACLE HONEY"/>
    <s v="CONSUMIBLE"/>
    <s v="SECRET MIRACLE HONEY"/>
    <n v="1"/>
    <n v="215.52"/>
  </r>
  <r>
    <x v="9"/>
    <s v="05/01/2026"/>
    <s v="ANTONIO EDMUNDO E CAMBEROS"/>
    <s v="7503020596049"/>
    <s v="Sensicool - DUSA"/>
    <s v="CONSUMIBLE PROPIO"/>
    <s v="DUSA"/>
    <n v="1"/>
    <n v="431.03"/>
  </r>
  <r>
    <x v="9"/>
    <s v="05/01/2026"/>
    <s v="ANTONIO EDMUNDO E CAMBEROS"/>
    <s v="7503020596957"/>
    <s v="Shot Shumatsu Fun Hombre - DUSA"/>
    <s v="CONSUMIBLE PROPIO"/>
    <s v="DUSA"/>
    <n v="1"/>
    <n v="172.41"/>
  </r>
  <r>
    <x v="9"/>
    <s v="05/01/2026"/>
    <s v="ANTONIO EDMUNDO E CAMBEROS"/>
    <s v="7503024256192"/>
    <s v="Shot Shumatsu Fun Mujer - DUSA"/>
    <s v="CONSUMIBLE PROPIO"/>
    <s v="DUSA"/>
    <n v="1"/>
    <n v="172.41"/>
  </r>
  <r>
    <x v="9"/>
    <s v="05/01/2026"/>
    <s v="ANTONIO EDMUNDO E CAMBEROS"/>
    <s v="7503013378690"/>
    <s v="Shumatsu 3 pzas - DUSA"/>
    <s v="CONSUMIBLE PROPIO"/>
    <s v="DUSA"/>
    <n v="2"/>
    <n v="1155.18"/>
  </r>
  <r>
    <x v="9"/>
    <s v="06/01/2026"/>
    <s v="GERMAN  GUZMAN AGUIRRE"/>
    <s v="7503023462754"/>
    <s v="Fragancia con Feromonas Body Breeze Sexy DIAMANTE Cereza 125ml"/>
    <s v="CONSUMIBLE"/>
    <s v="DIAMANTE"/>
    <n v="1"/>
    <n v="413.79"/>
  </r>
  <r>
    <x v="9"/>
    <s v="06/01/2026"/>
    <s v="GERMAN  GUZMAN AGUIRRE"/>
    <s v="7503032300627"/>
    <s v="Kevin - CXO"/>
    <s v="JUGUETE PROPIO"/>
    <s v="CXO"/>
    <n v="1"/>
    <n v="775.86"/>
  </r>
  <r>
    <x v="9"/>
    <s v="06/01/2026"/>
    <s v="GERMAN  GUZMAN AGUIRRE"/>
    <s v="7503013378799"/>
    <s v="Lubricante Body Surf Termico Citricos DUSA 60ml"/>
    <s v="CONSUMIBLE PROPIO"/>
    <s v="DUSA"/>
    <n v="1"/>
    <n v="387.93"/>
  </r>
  <r>
    <x v="9"/>
    <s v="06/01/2026"/>
    <s v="GERMAN  GUZMAN AGUIRRE"/>
    <s v="8699415912859"/>
    <s v="Miel Vigorizante para Hombre  Miracle Honey  VIP 15g-  SECRET MIRACLE HONEY"/>
    <s v="CONSUMIBLE"/>
    <s v="SECRET MIRACLE HONEY"/>
    <n v="1"/>
    <n v="215.52"/>
  </r>
  <r>
    <x v="9"/>
    <s v="06/01/2026"/>
    <s v="GERMAN  GUZMAN AGUIRRE"/>
    <s v="6970784913251"/>
    <s v="Multiorgasmico con Conejito con 10 modos Nika - CXO"/>
    <s v="JUGUETE PROPIO"/>
    <s v="CXO"/>
    <n v="1"/>
    <n v="2672.41"/>
  </r>
  <r>
    <x v="9"/>
    <s v="07/01/2026"/>
    <s v="ANTONIO EDMUNDO E CAMBEROS"/>
    <s v="7503050226131"/>
    <s v="Disfraz Colegiala - OLA MOU"/>
    <s v="LENCERIA"/>
    <s v="OLA MOU"/>
    <n v="1"/>
    <n v="344.83"/>
  </r>
  <r>
    <x v="9"/>
    <s v="07/01/2026"/>
    <s v="ANTONIO EDMUNDO E CAMBEROS"/>
    <s v="6959633118795"/>
    <s v="Edeny - SVAKOM"/>
    <s v="JUGUETE"/>
    <s v="SVAKOM"/>
    <n v="1"/>
    <n v="3275.86"/>
  </r>
  <r>
    <x v="9"/>
    <s v="07/01/2026"/>
    <s v="ANTONIO EDMUNDO E CAMBEROS"/>
    <s v="7503043917012"/>
    <s v="Liquid Love Backdoor 30ml - DUSA"/>
    <s v="CONSUMIBLE PROPIO"/>
    <s v="DUSA"/>
    <n v="1"/>
    <n v="301.72000000000003"/>
  </r>
  <r>
    <x v="9"/>
    <s v="07/01/2026"/>
    <s v="ANTONIO EDMUNDO E CAMBEROS"/>
    <s v="7503032300993"/>
    <s v="Liquid Love Pleasure 30ml - DUSA"/>
    <s v="CONSUMIBLE PROPIO"/>
    <s v="DUSA"/>
    <n v="2"/>
    <n v="603.44000000000005"/>
  </r>
  <r>
    <x v="9"/>
    <s v="07/01/2026"/>
    <s v="ANTONIO EDMUNDO E CAMBEROS"/>
    <s v="7503013378645"/>
    <s v="Liquid Love Pleasure 100ml - DUSA"/>
    <s v="CONSUMIBLE PROPIO"/>
    <s v="DUSA"/>
    <n v="1"/>
    <n v="775.86"/>
  </r>
  <r>
    <x v="9"/>
    <s v="07/01/2026"/>
    <s v="ANTONIO EDMUNDO E CAMBEROS"/>
    <s v="6959633185476"/>
    <s v="Masturbador Hedy X Confidence – SVAKOM"/>
    <s v="JUGUETE"/>
    <s v="SVAKOM"/>
    <n v="1"/>
    <n v="181.03"/>
  </r>
  <r>
    <x v="9"/>
    <s v="08/01/2026"/>
    <s v="ANTONIO EDMUNDO E CAMBEROS"/>
    <s v="7503030211021"/>
    <s v="Anillo desechable para pene Donut - CXO"/>
    <s v="JUGUETE PROPIO"/>
    <s v="CXO"/>
    <n v="1"/>
    <n v="34.479999999999997"/>
  </r>
  <r>
    <x v="9"/>
    <s v="08/01/2026"/>
    <s v="ANTONIO EDMUNDO E CAMBEROS"/>
    <s v="7502235091431"/>
    <s v="Aumentador de Semen - Lions Power"/>
    <s v="CONSUMIBLE"/>
    <s v="SXO"/>
    <n v="1"/>
    <n v="482.76"/>
  </r>
  <r>
    <x v="9"/>
    <s v="08/01/2026"/>
    <s v="ANTONIO EDMUNDO E CAMBEROS"/>
    <s v="7503032300993"/>
    <s v="Liquid Love Pleasure 30ml - DUSA"/>
    <s v="CONSUMIBLE PROPIO"/>
    <s v="DUSA"/>
    <n v="1"/>
    <n v="301.72000000000003"/>
  </r>
  <r>
    <x v="9"/>
    <s v="08/01/2026"/>
    <s v="ANTONIO EDMUNDO E CAMBEROS"/>
    <s v="8699415912859"/>
    <s v="Miel Vigorizante para Hombre  Miracle Honey  VIP 15g-  SECRET MIRACLE HONEY"/>
    <s v="CONSUMIBLE"/>
    <s v="SECRET MIRACLE HONEY"/>
    <n v="1"/>
    <n v="215.52"/>
  </r>
  <r>
    <x v="9"/>
    <s v="08/01/2026"/>
    <s v="ANTONIO EDMUNDO E CAMBEROS"/>
    <s v="7503050226162"/>
    <s v="Plug Anal con Vibración y Control Roberto - CXO"/>
    <s v="JUGUETE PROPIO"/>
    <s v="CXO"/>
    <n v="1"/>
    <n v="1293.0999999999999"/>
  </r>
  <r>
    <x v="9"/>
    <s v="08/01/2026"/>
    <s v="ANTONIO EDMUNDO E CAMBEROS"/>
    <s v="7503013378010"/>
    <s v="Rigidex 2 pzas - DUSA"/>
    <s v="CONSUMIBLE PROPIO"/>
    <s v="DUSA"/>
    <n v="2"/>
    <n v="862.06"/>
  </r>
  <r>
    <x v="9"/>
    <s v="08/01/2026"/>
    <s v="ANTONIO EDMUNDO E CAMBEROS"/>
    <s v="7503020596957"/>
    <s v="Shot Shumatsu Fun Hombre - DUSA"/>
    <s v="CONSUMIBLE PROPIO"/>
    <s v="DUSA"/>
    <n v="1"/>
    <n v="172.41"/>
  </r>
  <r>
    <x v="9"/>
    <s v="08/01/2026"/>
    <s v="ANTONIO EDMUNDO E CAMBEROS"/>
    <s v="7503013378690"/>
    <s v="Shumatsu 3 pzas - DUSA"/>
    <s v="CONSUMIBLE PROPIO"/>
    <s v="DUSA"/>
    <n v="3"/>
    <n v="1732.77"/>
  </r>
  <r>
    <x v="9"/>
    <s v="09/01/2026"/>
    <s v="ANTONIO EDMUNDO E CAMBEROS"/>
    <s v="7503013378492"/>
    <s v="Clean Whisper 120ml - DUSA"/>
    <s v="CONSUMIBLE PROPIO"/>
    <s v="DUSA"/>
    <n v="1"/>
    <n v="301.72000000000003"/>
  </r>
  <r>
    <x v="9"/>
    <s v="09/01/2026"/>
    <s v="ANTONIO EDMUNDO E CAMBEROS"/>
    <s v="7503030102034"/>
    <s v="Dildo vibrador con control Anthony - CXO"/>
    <s v="JUGUETE PROPIO"/>
    <s v="CXO"/>
    <n v="1"/>
    <n v="2112.0700000000002"/>
  </r>
  <r>
    <x v="9"/>
    <s v="09/01/2026"/>
    <s v="ANTONIO EDMUNDO E CAMBEROS"/>
    <s v="7503032300627"/>
    <s v="Kevin - CXO"/>
    <s v="JUGUETE PROPIO"/>
    <s v="CXO"/>
    <n v="2"/>
    <n v="1551.72"/>
  </r>
  <r>
    <x v="9"/>
    <s v="09/01/2026"/>
    <s v="ANTONIO EDMUNDO E CAMBEROS"/>
    <s v="7503043917012"/>
    <s v="Liquid Love Backdoor 30ml - DUSA"/>
    <s v="CONSUMIBLE PROPIO"/>
    <s v="DUSA"/>
    <n v="1"/>
    <n v="301.72000000000003"/>
  </r>
  <r>
    <x v="9"/>
    <s v="09/01/2026"/>
    <s v="ANTONIO EDMUNDO E CAMBEROS"/>
    <s v="7503013378010"/>
    <s v="Rigidex 2 pzas - DUSA"/>
    <s v="CONSUMIBLE PROPIO"/>
    <s v="DUSA"/>
    <n v="1"/>
    <n v="431.03"/>
  </r>
  <r>
    <x v="9"/>
    <s v="09/01/2026"/>
    <s v="ANTONIO EDMUNDO E CAMBEROS"/>
    <s v="7503013378690"/>
    <s v="Shumatsu 3 pzas - DUSA"/>
    <s v="CONSUMIBLE PROPIO"/>
    <s v="DUSA"/>
    <n v="1"/>
    <n v="577.59"/>
  </r>
  <r>
    <x v="9"/>
    <s v="10/01/2026"/>
    <s v="ANTONIO EDMUNDO E CAMBEROS"/>
    <s v="7503014914002"/>
    <s v="CAPSULAS MULTIORGASMICO AMO O-GEN"/>
    <s v="CONSUMIBLE"/>
    <s v="POWER MAN"/>
    <n v="2"/>
    <n v="862.08"/>
  </r>
  <r>
    <x v="9"/>
    <s v="10/01/2026"/>
    <s v="ANTONIO EDMUNDO E CAMBEROS"/>
    <s v="7503013378492"/>
    <s v="Clean Whisper 120ml - DUSA"/>
    <s v="CONSUMIBLE PROPIO"/>
    <s v="DUSA"/>
    <n v="1"/>
    <n v="301.72000000000003"/>
  </r>
  <r>
    <x v="9"/>
    <s v="10/01/2026"/>
    <s v="ANTONIO EDMUNDO E CAMBEROS"/>
    <s v="7503043917142"/>
    <s v="Hank negro anillo vibrador - CXO"/>
    <s v="JUGUETE PROPIO"/>
    <s v="CXO"/>
    <n v="1"/>
    <n v="818.97"/>
  </r>
  <r>
    <x v="9"/>
    <s v="10/01/2026"/>
    <s v="ANTONIO EDMUNDO E CAMBEROS"/>
    <s v="7503020596056"/>
    <s v="He Plus - DUSA"/>
    <s v="CONSUMIBLE PROPIO"/>
    <s v="DUSA"/>
    <n v="1"/>
    <n v="431.03"/>
  </r>
  <r>
    <x v="9"/>
    <s v="10/01/2026"/>
    <s v="ANTONIO EDMUNDO E CAMBEROS"/>
    <s v="7503013378652"/>
    <s v="Liquid Love Backdoor 100ml - DUSA"/>
    <s v="CONSUMIBLE PROPIO"/>
    <s v="DUSA"/>
    <n v="1"/>
    <n v="1077.5899999999999"/>
  </r>
  <r>
    <x v="9"/>
    <s v="10/01/2026"/>
    <s v="ANTONIO EDMUNDO E CAMBEROS"/>
    <s v="7503020596513"/>
    <s v="Liquid Love Natural 20ml - DUSA"/>
    <s v="CONSUMIBLE PROPIO"/>
    <s v="DUSA"/>
    <n v="1"/>
    <n v="258.62"/>
  </r>
  <r>
    <x v="9"/>
    <s v="10/01/2026"/>
    <s v="ANTONIO EDMUNDO E CAMBEROS"/>
    <s v="7503013378645"/>
    <s v="Liquid Love Pleasure 100ml - DUSA"/>
    <s v="CONSUMIBLE PROPIO"/>
    <s v="DUSA"/>
    <n v="2"/>
    <n v="1551.72"/>
  </r>
  <r>
    <x v="9"/>
    <s v="10/01/2026"/>
    <s v="ANTONIO EDMUNDO E CAMBEROS"/>
    <s v="7503024256154"/>
    <s v="Lubricante Body Surf Termico Cereza DUSA 60ml"/>
    <s v="CONSUMIBLE PROPIO"/>
    <s v="DUSA"/>
    <n v="1"/>
    <n v="387.93"/>
  </r>
  <r>
    <x v="9"/>
    <s v="10/01/2026"/>
    <s v="ANTONIO EDMUNDO E CAMBEROS"/>
    <s v="7503023462242"/>
    <s v="Lubricante Masaje Termico Comestible Uva Dulce FEEL LOVE 4 en 1 60ml"/>
    <s v="LUBRICANTE"/>
    <s v="FEEL LOVE"/>
    <n v="1"/>
    <n v="344.83"/>
  </r>
  <r>
    <x v="9"/>
    <s v="10/01/2026"/>
    <s v="ANTONIO EDMUNDO E CAMBEROS"/>
    <s v="7503032300825"/>
    <s v="Lubricante Sachet natural 2 ml - BANANA SHAKE"/>
    <s v="CONSUMIBLE"/>
    <s v="BANANA SHAKE"/>
    <n v="5"/>
    <n v="86.2"/>
  </r>
  <r>
    <x v="9"/>
    <s v="10/01/2026"/>
    <s v="ANTONIO EDMUNDO E CAMBEROS"/>
    <s v="8699415912859"/>
    <s v="Miel Vigorizante para Hombre  Miracle Honey  VIP 15g-  SECRET MIRACLE HONEY"/>
    <s v="CONSUMIBLE"/>
    <s v="SECRET MIRACLE HONEY"/>
    <n v="3"/>
    <n v="646.54999999999995"/>
  </r>
  <r>
    <x v="9"/>
    <s v="10/01/2026"/>
    <s v="ANTONIO EDMUNDO E CAMBEROS"/>
    <s v="7503032300795"/>
    <s v="Sachet lubricante desensibilizador 2 ml - BANANA SHAKE"/>
    <s v="CONSUMIBLE"/>
    <s v="BANANA SHAKE"/>
    <n v="4"/>
    <n v="86.2"/>
  </r>
  <r>
    <x v="9"/>
    <s v="10/01/2026"/>
    <s v="ANTONIO EDMUNDO E CAMBEROS"/>
    <s v="7503032300856"/>
    <s v="Sachet vibrador liquido 2 ml - BANANA SHAKE"/>
    <s v="CONSUMIBLE"/>
    <s v="BANANA SHAKE"/>
    <n v="2"/>
    <n v="34.479999999999997"/>
  </r>
  <r>
    <x v="9"/>
    <s v="10/01/2026"/>
    <s v="ANTONIO EDMUNDO E CAMBEROS"/>
    <s v="7503020596957"/>
    <s v="Shot Shumatsu Fun Hombre - DUSA"/>
    <s v="CONSUMIBLE PROPIO"/>
    <s v="DUSA"/>
    <n v="2"/>
    <n v="344.82"/>
  </r>
  <r>
    <x v="9"/>
    <s v="10/01/2026"/>
    <s v="ANTONIO EDMUNDO E CAMBEROS"/>
    <s v="7503024256192"/>
    <s v="Shot Shumatsu Fun Mujer - DUSA"/>
    <s v="CONSUMIBLE PROPIO"/>
    <s v="DUSA"/>
    <n v="2"/>
    <n v="344.82"/>
  </r>
  <r>
    <x v="9"/>
    <s v="10/01/2026"/>
    <s v="ANTONIO EDMUNDO E CAMBEROS"/>
    <s v="7503013378690"/>
    <s v="Shumatsu 3 pzas - DUSA"/>
    <s v="CONSUMIBLE PROPIO"/>
    <s v="DUSA"/>
    <n v="1"/>
    <n v="577.59"/>
  </r>
  <r>
    <x v="9"/>
    <s v="10/01/2026"/>
    <s v="ANTONIO EDMUNDO E CAMBEROS"/>
    <s v="7503020105084"/>
    <s v="Vibrador para parejas tipo C Trinity – CXO"/>
    <s v="JUGUETE PROPIO"/>
    <s v="CXO"/>
    <n v="1"/>
    <n v="2465.52"/>
  </r>
  <r>
    <x v="9"/>
    <s v="11/01/2026"/>
    <s v="ANTONIO EDMUNDO E CAMBEROS"/>
    <s v="RYSC-159-C-ZT"/>
    <s v="Juego de Ataduras BDSM Sumision - CXO"/>
    <s v="JUGUETE PROPIO"/>
    <s v="CXO"/>
    <n v="1"/>
    <n v="775.86"/>
  </r>
  <r>
    <x v="9"/>
    <s v="11/01/2026"/>
    <s v="ANTONIO EDMUNDO E CAMBEROS"/>
    <s v="7503032300993"/>
    <s v="Liquid Love Pleasure 30ml - DUSA"/>
    <s v="CONSUMIBLE PROPIO"/>
    <s v="DUSA"/>
    <n v="3"/>
    <n v="905.16000000000008"/>
  </r>
  <r>
    <x v="9"/>
    <s v="11/01/2026"/>
    <s v="ANTONIO EDMUNDO E CAMBEROS"/>
    <s v="7503050226162"/>
    <s v="Plug Anal con Vibración y Control Roberto - CXO"/>
    <s v="JUGUETE PROPIO"/>
    <s v="CXO"/>
    <n v="1"/>
    <n v="1293.0999999999999"/>
  </r>
  <r>
    <x v="9"/>
    <s v="11/01/2026"/>
    <s v="ANTONIO EDMUNDO E CAMBEROS"/>
    <s v="7503020596957"/>
    <s v="Shot Shumatsu Fun Hombre - DUSA"/>
    <s v="CONSUMIBLE PROPIO"/>
    <s v="DUSA"/>
    <n v="2"/>
    <n v="344.82"/>
  </r>
  <r>
    <x v="9"/>
    <s v="11/01/2026"/>
    <s v="ANTONIO EDMUNDO E CAMBEROS"/>
    <s v="7503024256192"/>
    <s v="Shot Shumatsu Fun Mujer - DUSA"/>
    <s v="CONSUMIBLE PROPIO"/>
    <s v="DUSA"/>
    <n v="3"/>
    <n v="517.23"/>
  </r>
  <r>
    <x v="9"/>
    <s v="11/01/2026"/>
    <s v="ANTONIO EDMUNDO E CAMBEROS"/>
    <s v="7503013378690"/>
    <s v="Shumatsu 3 pzas - DUSA"/>
    <s v="CONSUMIBLE PROPIO"/>
    <s v="DUSA"/>
    <n v="2"/>
    <n v="1155.18"/>
  </r>
  <r>
    <x v="9"/>
    <s v="11/01/2026"/>
    <s v="ANTONIO EDMUNDO E CAMBEROS"/>
    <s v="7503020104082"/>
    <s v="Vibrador multiorgásmico con succionador y perlas Andy – CXO"/>
    <s v="JUGUETE PROPIO"/>
    <s v="CXO"/>
    <n v="1"/>
    <n v="2258.62"/>
  </r>
  <r>
    <x v="9"/>
    <s v="11/01/2026"/>
    <s v="ANTONIO EDMUNDO E CAMBEROS"/>
    <s v="7503032300443"/>
    <s v="Zoe bala vibradora RETAIL - CXO"/>
    <s v="JUGUETE PROPIO"/>
    <s v="CXO"/>
    <n v="1"/>
    <n v="155.16999999999999"/>
  </r>
  <r>
    <x v="10"/>
    <s v="02/01/2026"/>
    <s v="DELIA AGUIRRE CERVANTES"/>
    <s v="7503043917081"/>
    <s v="Blade rosa anillo vibrador - CXO"/>
    <s v="JUGUETE PROPIO"/>
    <s v="CXO"/>
    <n v="1"/>
    <n v="81.900000000000006"/>
  </r>
  <r>
    <x v="10"/>
    <s v="02/01/2026"/>
    <s v="DELIA AGUIRRE CERVANTES"/>
    <s v="7503013378492"/>
    <s v="Clean Whisper 120ml - DUSA"/>
    <s v="CONSUMIBLE PROPIO"/>
    <s v="DUSA"/>
    <n v="1"/>
    <n v="301.72000000000003"/>
  </r>
  <r>
    <x v="10"/>
    <s v="02/01/2026"/>
    <s v="DELIA AGUIRRE CERVANTES"/>
    <s v="6959633166963"/>
    <s v="Ella Neo rojo- SVAKOM"/>
    <s v="JUGUETE"/>
    <s v="SVAKOM"/>
    <n v="1"/>
    <n v="3017.24"/>
  </r>
  <r>
    <x v="10"/>
    <s v="02/01/2026"/>
    <s v="DELIA AGUIRRE CERVANTES"/>
    <s v="7503032300993"/>
    <s v="Liquid Love Pleasure 30ml - DUSA"/>
    <s v="CONSUMIBLE PROPIO"/>
    <s v="DUSA"/>
    <n v="1"/>
    <n v="301.72000000000003"/>
  </r>
  <r>
    <x v="10"/>
    <s v="02/01/2026"/>
    <s v="DELIA AGUIRRE CERVANTES"/>
    <s v="7503013378645"/>
    <s v="Liquid Love Pleasure 100ml - DUSA"/>
    <s v="CONSUMIBLE PROPIO"/>
    <s v="DUSA"/>
    <n v="1"/>
    <n v="775.86"/>
  </r>
  <r>
    <x v="10"/>
    <s v="02/01/2026"/>
    <s v="DELIA AGUIRRE CERVANTES"/>
    <s v="7503032300856"/>
    <s v="Sachet vibrador liquido 2 ml - BANANA SHAKE"/>
    <s v="CONSUMIBLE"/>
    <s v="BANANA SHAKE"/>
    <n v="5"/>
    <n v="86.2"/>
  </r>
  <r>
    <x v="10"/>
    <s v="02/01/2026"/>
    <s v="DELIA AGUIRRE CERVANTES"/>
    <s v="7503050524258"/>
    <s v="Sensicool 30ml - DUSA"/>
    <s v="CONSUMIBLE PROPIO"/>
    <s v="DUSA"/>
    <n v="1"/>
    <n v="431.03"/>
  </r>
  <r>
    <x v="10"/>
    <s v="02/01/2026"/>
    <s v="DELIA AGUIRRE CERVANTES"/>
    <s v="7503020596957"/>
    <s v="Shot Shumatsu Fun Hombre - DUSA"/>
    <s v="CONSUMIBLE PROPIO"/>
    <s v="DUSA"/>
    <n v="1"/>
    <n v="172.41"/>
  </r>
  <r>
    <x v="10"/>
    <s v="02/01/2026"/>
    <s v="DELIA AGUIRRE CERVANTES"/>
    <s v="4061504007533"/>
    <s v="Succionador con App Love Triangle - Satisfayer"/>
    <s v="JUGUETE"/>
    <s v="SATISFAYER"/>
    <n v="1"/>
    <n v="1465.52"/>
  </r>
  <r>
    <x v="10"/>
    <s v="02/01/2026"/>
    <s v="DELIA AGUIRRE CERVANTES"/>
    <s v="7503020104073"/>
    <s v="Vibrador multiorgásmico con textura y estimulación doble Lidia - CXO"/>
    <s v="JUGUETE PROPIO"/>
    <s v="CXO"/>
    <n v="1"/>
    <n v="2008.62"/>
  </r>
  <r>
    <x v="10"/>
    <s v="03/01/2026"/>
    <s v="DELIA AGUIRRE CERVANTES"/>
    <s v="7713042311883"/>
    <s v="Aceite de almendras sensual 130ml - DIAMANTE"/>
    <s v="CONSUMIBLE"/>
    <s v="DIAMANTE"/>
    <n v="1"/>
    <n v="448.28"/>
  </r>
  <r>
    <x v="10"/>
    <s v="03/01/2026"/>
    <s v="DELIA AGUIRRE CERVANTES"/>
    <s v="7503043917081"/>
    <s v="Blade rosa anillo vibrador - CXO"/>
    <s v="JUGUETE PROPIO"/>
    <s v="CXO"/>
    <n v="1"/>
    <n v="81.900000000000006"/>
  </r>
  <r>
    <x v="10"/>
    <s v="03/01/2026"/>
    <s v="DELIA AGUIRRE CERVANTES"/>
    <s v="7503050226145"/>
    <s v="Body Ava - OLA MOU"/>
    <s v="LENCERIA"/>
    <s v="OLA MOU"/>
    <n v="1"/>
    <n v="387.93"/>
  </r>
  <r>
    <x v="10"/>
    <s v="03/01/2026"/>
    <s v="DELIA AGUIRRE CERVANTES"/>
    <s v="7503030102034"/>
    <s v="Dildo vibrador con control Anthony - CXO"/>
    <s v="JUGUETE PROPIO"/>
    <s v="CXO"/>
    <n v="1"/>
    <n v="2112.0700000000002"/>
  </r>
  <r>
    <x v="10"/>
    <s v="03/01/2026"/>
    <s v="DELIA AGUIRRE CERVANTES"/>
    <s v="75037628"/>
    <s v="Dulces Garganta Profunda 2 piezas Sabor Fresa - SXO"/>
    <s v="CONSUMIBLE"/>
    <s v="SXO"/>
    <n v="1"/>
    <n v="120.69"/>
  </r>
  <r>
    <x v="10"/>
    <s v="03/01/2026"/>
    <s v="DELIA AGUIRRE CERVANTES"/>
    <s v="7503050524265"/>
    <s v="He Plus 30ml - DUSA"/>
    <s v="CONSUMIBLE PROPIO"/>
    <s v="DUSA"/>
    <n v="2"/>
    <n v="862.06"/>
  </r>
  <r>
    <x v="10"/>
    <s v="03/01/2026"/>
    <s v="DELIA AGUIRRE CERVANTES"/>
    <s v="7503032300993"/>
    <s v="Liquid Love Pleasure 30ml - DUSA"/>
    <s v="CONSUMIBLE PROPIO"/>
    <s v="DUSA"/>
    <n v="2"/>
    <n v="603.44000000000005"/>
  </r>
  <r>
    <x v="10"/>
    <s v="03/01/2026"/>
    <s v="DELIA AGUIRRE CERVANTES"/>
    <s v="7503013378010"/>
    <s v="Rigidex 2 pzas - DUSA"/>
    <s v="CONSUMIBLE PROPIO"/>
    <s v="DUSA"/>
    <n v="1"/>
    <n v="431.03"/>
  </r>
  <r>
    <x v="10"/>
    <s v="03/01/2026"/>
    <s v="DELIA AGUIRRE CERVANTES"/>
    <s v="7503013378690"/>
    <s v="Shumatsu 3 pzas - DUSA"/>
    <s v="CONSUMIBLE PROPIO"/>
    <s v="DUSA"/>
    <n v="1"/>
    <n v="577.59"/>
  </r>
  <r>
    <x v="10"/>
    <s v="03/01/2026"/>
    <s v="DELIA AGUIRRE CERVANTES"/>
    <s v="7503032300443"/>
    <s v="Zoe bala vibradora RETAIL - CXO"/>
    <s v="JUGUETE PROPIO"/>
    <s v="CXO"/>
    <n v="1"/>
    <n v="155.16999999999999"/>
  </r>
  <r>
    <x v="10"/>
    <s v="04/01/2026"/>
    <s v="DELIA AGUIRRE CERVANTES"/>
    <s v="7508304288870"/>
    <s v="Aceite Chocolate 60ml - FEEL LOVE"/>
    <s v="CONSUMIBLE"/>
    <s v="FEEL LOVE"/>
    <n v="1"/>
    <n v="284.48"/>
  </r>
  <r>
    <x v="10"/>
    <s v="04/01/2026"/>
    <s v="DELIA AGUIRRE CERVANTES"/>
    <s v="7503043917081"/>
    <s v="Blade rosa anillo vibrador - CXO"/>
    <s v="JUGUETE PROPIO"/>
    <s v="CXO"/>
    <n v="3"/>
    <n v="245.70000000000002"/>
  </r>
  <r>
    <x v="10"/>
    <s v="04/01/2026"/>
    <s v="DELIA AGUIRRE CERVANTES"/>
    <s v="7500464543059"/>
    <s v="Dildo Realista con Ventosa 15.5cms Domi CXO"/>
    <s v="JUGUETE PROPIO"/>
    <s v="CXO"/>
    <n v="1"/>
    <n v="818.97"/>
  </r>
  <r>
    <x v="10"/>
    <s v="04/01/2026"/>
    <s v="DELIA AGUIRRE CERVANTES"/>
    <s v="7503032300856"/>
    <s v="Sachet vibrador liquido 2 ml - BANANA SHAKE"/>
    <s v="CONSUMIBLE"/>
    <s v="BANANA SHAKE"/>
    <n v="5"/>
    <n v="86.2"/>
  </r>
  <r>
    <x v="10"/>
    <s v="04/01/2026"/>
    <s v="DELIA AGUIRRE CERVANTES"/>
    <s v="7503050524258"/>
    <s v="Sensicool 30ml - DUSA"/>
    <s v="CONSUMIBLE PROPIO"/>
    <s v="DUSA"/>
    <n v="1"/>
    <n v="431.03"/>
  </r>
  <r>
    <x v="10"/>
    <s v="04/01/2026"/>
    <s v="DELIA AGUIRRE CERVANTES"/>
    <s v="7503024256192"/>
    <s v="Shot Shumatsu Fun Mujer - DUSA"/>
    <s v="CONSUMIBLE PROPIO"/>
    <s v="DUSA"/>
    <n v="1"/>
    <n v="172.41"/>
  </r>
  <r>
    <x v="10"/>
    <s v="05/01/2026"/>
    <s v="ANGEL DANILO RODRIGUEZ LOPEZ"/>
    <s v="7503013378690"/>
    <s v="Shumatsu 3 pzas - DUSA"/>
    <s v="CONSUMIBLE PROPIO"/>
    <s v="DUSA"/>
    <n v="1"/>
    <n v="577.59"/>
  </r>
  <r>
    <x v="10"/>
    <s v="06/01/2026"/>
    <s v="DELIA AGUIRRE CERVANTES"/>
    <s v="7503043917081"/>
    <s v="Blade rosa anillo vibrador - CXO"/>
    <s v="JUGUETE PROPIO"/>
    <s v="CXO"/>
    <n v="2"/>
    <n v="163.80000000000001"/>
  </r>
  <r>
    <x v="10"/>
    <s v="06/01/2026"/>
    <s v="DELIA AGUIRRE CERVANTES"/>
    <s v="7503043917005"/>
    <s v="Liquid Love Clear 30ml - DUSA"/>
    <s v="CONSUMIBLE PROPIO"/>
    <s v="DUSA"/>
    <n v="2"/>
    <n v="603.44000000000005"/>
  </r>
  <r>
    <x v="10"/>
    <s v="06/01/2026"/>
    <s v="DELIA AGUIRRE CERVANTES"/>
    <s v="4560220552766"/>
    <s v="Masturbador en huevo Cloudy - TENGA"/>
    <s v="JUGUETE"/>
    <s v="TENGA"/>
    <n v="1"/>
    <n v="301.72000000000003"/>
  </r>
  <r>
    <x v="10"/>
    <s v="06/01/2026"/>
    <s v="DELIA AGUIRRE CERVANTES"/>
    <s v="6959633134559"/>
    <s v="Phoenix Neo 2 rojo - SVAKOM"/>
    <s v="JUGUETE"/>
    <s v="SVAKOM"/>
    <n v="1"/>
    <n v="3534.48"/>
  </r>
  <r>
    <x v="10"/>
    <s v="06/01/2026"/>
    <s v="DELIA AGUIRRE CERVANTES"/>
    <s v="7503032300856"/>
    <s v="Sachet vibrador liquido 2 ml - BANANA SHAKE"/>
    <s v="CONSUMIBLE"/>
    <s v="BANANA SHAKE"/>
    <n v="5"/>
    <n v="86.2"/>
  </r>
  <r>
    <x v="10"/>
    <s v="06/01/2026"/>
    <s v="DELIA AGUIRRE CERVANTES"/>
    <s v="7503050524258"/>
    <s v="Sensicool 30ml - DUSA"/>
    <s v="CONSUMIBLE PROPIO"/>
    <s v="DUSA"/>
    <n v="1"/>
    <n v="431.03"/>
  </r>
  <r>
    <x v="10"/>
    <s v="06/01/2026"/>
    <s v="DELIA AGUIRRE CERVANTES"/>
    <s v="7503020596957"/>
    <s v="Shot Shumatsu Fun Hombre - DUSA"/>
    <s v="CONSUMIBLE PROPIO"/>
    <s v="DUSA"/>
    <n v="2"/>
    <n v="344.82"/>
  </r>
  <r>
    <x v="10"/>
    <s v="07/01/2026"/>
    <s v="DELIA AGUIRRE CERVANTES"/>
    <s v="7503032300993"/>
    <s v="Liquid Love Pleasure 30ml - DUSA"/>
    <s v="CONSUMIBLE PROPIO"/>
    <s v="DUSA"/>
    <n v="1"/>
    <n v="301.72000000000003"/>
  </r>
  <r>
    <x v="10"/>
    <s v="07/01/2026"/>
    <s v="DELIA AGUIRRE CERVANTES"/>
    <s v="7503013378010"/>
    <s v="Rigidex 2 pzas - DUSA"/>
    <s v="CONSUMIBLE PROPIO"/>
    <s v="DUSA"/>
    <n v="1"/>
    <n v="431.03"/>
  </r>
  <r>
    <x v="10"/>
    <s v="07/01/2026"/>
    <s v="DELIA AGUIRRE CERVANTES"/>
    <s v="7503013378690"/>
    <s v="Shumatsu 3 pzas - DUSA"/>
    <s v="CONSUMIBLE PROPIO"/>
    <s v="DUSA"/>
    <n v="1"/>
    <n v="577.59"/>
  </r>
  <r>
    <x v="10"/>
    <s v="08/01/2026"/>
    <s v="DELIA AGUIRRE CERVANTES"/>
    <s v="7503043917081"/>
    <s v="Blade rosa anillo vibrador - CXO"/>
    <s v="JUGUETE PROPIO"/>
    <s v="CXO"/>
    <n v="2"/>
    <n v="163.80000000000001"/>
  </r>
  <r>
    <x v="10"/>
    <s v="08/01/2026"/>
    <s v="DELIA AGUIRRE CERVANTES"/>
    <s v="7503014914002"/>
    <s v="CAPSULAS MULTIORGASMICO AMO O-GEN"/>
    <s v="CONSUMIBLE"/>
    <s v="POWER MAN"/>
    <n v="1"/>
    <n v="431.04"/>
  </r>
  <r>
    <x v="10"/>
    <s v="08/01/2026"/>
    <s v="DELIA AGUIRRE CERVANTES"/>
    <s v="7503050524265"/>
    <s v="He Plus 30ml - DUSA"/>
    <s v="CONSUMIBLE PROPIO"/>
    <s v="DUSA"/>
    <n v="1"/>
    <n v="431.03"/>
  </r>
  <r>
    <x v="10"/>
    <s v="08/01/2026"/>
    <s v="DELIA AGUIRRE CERVANTES"/>
    <s v="7503032300993"/>
    <s v="Liquid Love Pleasure 30ml - DUSA"/>
    <s v="CONSUMIBLE PROPIO"/>
    <s v="DUSA"/>
    <n v="1"/>
    <n v="301.72000000000003"/>
  </r>
  <r>
    <x v="10"/>
    <s v="08/01/2026"/>
    <s v="DELIA AGUIRRE CERVANTES"/>
    <s v="4560220552766"/>
    <s v="Masturbador en huevo Cloudy - TENGA"/>
    <s v="JUGUETE"/>
    <s v="TENGA"/>
    <n v="1"/>
    <n v="301.72000000000003"/>
  </r>
  <r>
    <x v="10"/>
    <s v="08/01/2026"/>
    <s v="DELIA AGUIRRE CERVANTES"/>
    <s v="7503013378010"/>
    <s v="Rigidex 2 pzas - DUSA"/>
    <s v="CONSUMIBLE PROPIO"/>
    <s v="DUSA"/>
    <n v="1"/>
    <n v="431.03"/>
  </r>
  <r>
    <x v="10"/>
    <s v="08/01/2026"/>
    <s v="DELIA AGUIRRE CERVANTES"/>
    <s v="7503032300795"/>
    <s v="Sachet lubricante desensibilizador 2 ml - BANANA SHAKE"/>
    <s v="CONSUMIBLE"/>
    <s v="BANANA SHAKE"/>
    <n v="2"/>
    <n v="43.1"/>
  </r>
  <r>
    <x v="10"/>
    <s v="08/01/2026"/>
    <s v="DELIA AGUIRRE CERVANTES"/>
    <s v="7503032300856"/>
    <s v="Sachet vibrador liquido 2 ml - BANANA SHAKE"/>
    <s v="CONSUMIBLE"/>
    <s v="BANANA SHAKE"/>
    <n v="5"/>
    <n v="86.2"/>
  </r>
  <r>
    <x v="10"/>
    <s v="08/01/2026"/>
    <s v="DELIA AGUIRRE CERVANTES"/>
    <s v="7503032300443"/>
    <s v="Zoe bala vibradora RETAIL - CXO"/>
    <s v="JUGUETE PROPIO"/>
    <s v="CXO"/>
    <n v="1"/>
    <n v="155.16999999999999"/>
  </r>
  <r>
    <x v="10"/>
    <s v="09/01/2026"/>
    <s v="DELIA AGUIRRE CERVANTES"/>
    <s v="7503043917081"/>
    <s v="Blade rosa anillo vibrador - CXO"/>
    <s v="JUGUETE PROPIO"/>
    <s v="CXO"/>
    <n v="4"/>
    <n v="327.60000000000002"/>
  </r>
  <r>
    <x v="10"/>
    <s v="09/01/2026"/>
    <s v="DELIA AGUIRRE CERVANTES"/>
    <s v="716770060068"/>
    <s v="DILDO SW SORORITY SCREW DRIVES ORANGE"/>
    <s v="JUGUETE"/>
    <s v="CALEXOTICS"/>
    <n v="1"/>
    <n v="706.9"/>
  </r>
  <r>
    <x v="10"/>
    <s v="09/01/2026"/>
    <s v="DELIA AGUIRRE CERVANTES"/>
    <s v="FM1002"/>
    <s v="FEROMONAS DIAMANTE CONCENTRADO HOMBRE"/>
    <s v="CONSUMIBLE"/>
    <s v="DIAMANTE"/>
    <n v="1"/>
    <n v="413.79"/>
  </r>
  <r>
    <x v="10"/>
    <s v="09/01/2026"/>
    <s v="DELIA AGUIRRE CERVANTES"/>
    <s v="7503043917524"/>
    <s v="Kit Lisboa 8 pzs - CXO"/>
    <s v="JUGUETE PROPIO"/>
    <s v="CXO"/>
    <n v="1"/>
    <n v="465.52"/>
  </r>
  <r>
    <x v="10"/>
    <s v="09/01/2026"/>
    <s v="DELIA AGUIRRE CERVANTES"/>
    <s v="7503013378980"/>
    <s v="Lubricante Body Surf Termico Chicle DUSA 60ml"/>
    <s v="CONSUMIBLE PROPIO"/>
    <s v="DUSA"/>
    <n v="1"/>
    <n v="387.93"/>
  </r>
  <r>
    <x v="10"/>
    <s v="09/01/2026"/>
    <s v="DELIA AGUIRRE CERVANTES"/>
    <s v="7503023462235"/>
    <s v="Lubricante Masaje Térmico Comestible Piña Colada FEEL LOVE 4 en 1 - 60ml"/>
    <s v="LUBRICANTE"/>
    <s v="FEEL LOVE"/>
    <n v="1"/>
    <n v="344.83"/>
  </r>
  <r>
    <x v="10"/>
    <s v="09/01/2026"/>
    <s v="DELIA AGUIRRE CERVANTES"/>
    <s v="7503013378010"/>
    <s v="Rigidex 2 pzas - DUSA"/>
    <s v="CONSUMIBLE PROPIO"/>
    <s v="DUSA"/>
    <n v="1"/>
    <n v="431.03"/>
  </r>
  <r>
    <x v="10"/>
    <s v="09/01/2026"/>
    <s v="DELIA AGUIRRE CERVANTES"/>
    <s v="7503024256192"/>
    <s v="Shot Shumatsu Fun Mujer - DUSA"/>
    <s v="CONSUMIBLE PROPIO"/>
    <s v="DUSA"/>
    <n v="1"/>
    <n v="172.41"/>
  </r>
  <r>
    <x v="10"/>
    <s v="09/01/2026"/>
    <s v="DELIA AGUIRRE CERVANTES"/>
    <s v="7503032300443"/>
    <s v="Zoe bala vibradora RETAIL - CXO"/>
    <s v="JUGUETE PROPIO"/>
    <s v="CXO"/>
    <n v="1"/>
    <n v="155.16999999999999"/>
  </r>
  <r>
    <x v="10"/>
    <s v="10/01/2026"/>
    <s v="DELIA AGUIRRE CERVANTES"/>
    <s v="7503030211021"/>
    <s v="Anillo desechable para pene Donut - CXO"/>
    <s v="JUGUETE PROPIO"/>
    <s v="CXO"/>
    <n v="1"/>
    <n v="34.479999999999997"/>
  </r>
  <r>
    <x v="10"/>
    <s v="10/01/2026"/>
    <s v="DELIA AGUIRRE CERVANTES"/>
    <s v="7503043917081"/>
    <s v="Blade rosa anillo vibrador - CXO"/>
    <s v="JUGUETE PROPIO"/>
    <s v="CXO"/>
    <n v="3"/>
    <n v="245.70000000000002"/>
  </r>
  <r>
    <x v="10"/>
    <s v="10/01/2026"/>
    <s v="DELIA AGUIRRE CERVANTES"/>
    <s v="7503043917333"/>
    <s v="Bren multiorgasmico - CXO"/>
    <s v="JUGUETE PROPIO"/>
    <s v="CXO"/>
    <n v="1"/>
    <n v="1508.62"/>
  </r>
  <r>
    <x v="10"/>
    <s v="10/01/2026"/>
    <s v="DELIA AGUIRRE CERVANTES"/>
    <s v="7503014914002"/>
    <s v="CAPSULAS MULTIORGASMICO AMO O-GEN"/>
    <s v="CONSUMIBLE"/>
    <s v="POWER MAN"/>
    <n v="1"/>
    <n v="431.04"/>
  </r>
  <r>
    <x v="10"/>
    <s v="10/01/2026"/>
    <s v="DELIA AGUIRRE CERVANTES"/>
    <s v="7502214982477"/>
    <s v="Condon Fresa 3pzs - PRUDENCE"/>
    <s v="CONSUMIBLE"/>
    <s v="PRUDENCE"/>
    <n v="1"/>
    <n v="60.34"/>
  </r>
  <r>
    <x v="10"/>
    <s v="10/01/2026"/>
    <s v="DELIA AGUIRRE CERVANTES"/>
    <s v="7502214982576"/>
    <s v="CONDON PRUDENCE SABOR Y AROMA EXTRA FUERTE"/>
    <s v="CONSUMIBLE"/>
    <s v="PRUDENCE"/>
    <n v="1"/>
    <n v="77.59"/>
  </r>
  <r>
    <x v="10"/>
    <s v="10/01/2026"/>
    <s v="DELIA AGUIRRE CERVANTES"/>
    <s v="7503030220043"/>
    <s v="Dados para juegos 2 piezas - CXO"/>
    <s v="JUGUETE PROPIO"/>
    <s v="CXO"/>
    <n v="1"/>
    <n v="112.07"/>
  </r>
  <r>
    <x v="10"/>
    <s v="10/01/2026"/>
    <s v="DELIA AGUIRRE CERVANTES"/>
    <s v="7500464543059"/>
    <s v="Dildo Realista con Ventosa 15.5cms Domi CXO"/>
    <s v="JUGUETE PROPIO"/>
    <s v="CXO"/>
    <n v="1"/>
    <n v="818.97"/>
  </r>
  <r>
    <x v="10"/>
    <s v="10/01/2026"/>
    <s v="DELIA AGUIRRE CERVANTES"/>
    <s v="7503030102034"/>
    <s v="Dildo vibrador con control Anthony - CXO"/>
    <s v="JUGUETE PROPIO"/>
    <s v="CXO"/>
    <n v="1"/>
    <n v="2112.0700000000002"/>
  </r>
  <r>
    <x v="10"/>
    <s v="10/01/2026"/>
    <s v="DELIA AGUIRRE CERVANTES"/>
    <s v="75037628"/>
    <s v="Dulces Garganta Profunda 2 piezas Sabor Fresa - SXO"/>
    <s v="CONSUMIBLE"/>
    <s v="SXO"/>
    <n v="1"/>
    <n v="120.69"/>
  </r>
  <r>
    <x v="10"/>
    <s v="10/01/2026"/>
    <s v="DELIA AGUIRRE CERVANTES"/>
    <s v="7503032300627"/>
    <s v="Kevin - CXO"/>
    <s v="JUGUETE PROPIO"/>
    <s v="CXO"/>
    <n v="1"/>
    <n v="775.86"/>
  </r>
  <r>
    <x v="10"/>
    <s v="10/01/2026"/>
    <s v="DELIA AGUIRRE CERVANTES"/>
    <s v="7503043917005"/>
    <s v="Liquid Love Clear 30ml - DUSA"/>
    <s v="CONSUMIBLE PROPIO"/>
    <s v="DUSA"/>
    <n v="1"/>
    <n v="301.72000000000003"/>
  </r>
  <r>
    <x v="10"/>
    <s v="10/01/2026"/>
    <s v="DELIA AGUIRRE CERVANTES"/>
    <s v="7503032300993"/>
    <s v="Liquid Love Pleasure 30ml - DUSA"/>
    <s v="CONSUMIBLE PROPIO"/>
    <s v="DUSA"/>
    <n v="2"/>
    <n v="603.44000000000005"/>
  </r>
  <r>
    <x v="10"/>
    <s v="10/01/2026"/>
    <s v="DELIA AGUIRRE CERVANTES"/>
    <s v="SE018"/>
    <s v="Masturbador Jarrón - CXO"/>
    <s v="JUGUETE PROPIO"/>
    <s v="CXO"/>
    <n v="1"/>
    <n v="1034.48"/>
  </r>
  <r>
    <x v="10"/>
    <s v="10/01/2026"/>
    <s v="DELIA AGUIRRE CERVANTES"/>
    <s v="TGA02CH015003M"/>
    <s v="Panty Diana Negro"/>
    <s v="LENCERIA"/>
    <s v="OLA MOU : BOMBONES"/>
    <n v="1"/>
    <n v="86.21"/>
  </r>
  <r>
    <x v="10"/>
    <s v="10/01/2026"/>
    <s v="DELIA AGUIRRE CERVANTES"/>
    <s v="7503013378690"/>
    <s v="Shumatsu 3 pzas - DUSA"/>
    <s v="CONSUMIBLE PROPIO"/>
    <s v="DUSA"/>
    <n v="1"/>
    <n v="577.59"/>
  </r>
  <r>
    <x v="10"/>
    <s v="11/01/2026"/>
    <s v="DELIA AGUIRRE CERVANTES"/>
    <s v="7503043917081"/>
    <s v="Blade rosa anillo vibrador - CXO"/>
    <s v="JUGUETE PROPIO"/>
    <s v="CXO"/>
    <n v="1"/>
    <n v="81.900000000000006"/>
  </r>
  <r>
    <x v="10"/>
    <s v="11/01/2026"/>
    <s v="DELIA AGUIRRE CERVANTES"/>
    <s v="7503014914002"/>
    <s v="CAPSULAS MULTIORGASMICO AMO O-GEN"/>
    <s v="CONSUMIBLE"/>
    <s v="POWER MAN"/>
    <n v="1"/>
    <n v="431.04"/>
  </r>
  <r>
    <x v="10"/>
    <s v="11/01/2026"/>
    <s v="DELIA AGUIRRE CERVANTES"/>
    <s v="7503032300993"/>
    <s v="Liquid Love Pleasure 30ml - DUSA"/>
    <s v="CONSUMIBLE PROPIO"/>
    <s v="DUSA"/>
    <n v="1"/>
    <n v="301.72000000000003"/>
  </r>
  <r>
    <x v="10"/>
    <s v="11/01/2026"/>
    <s v="DELIA AGUIRRE CERVANTES"/>
    <s v="695963319882"/>
    <s v="Masturbador  Recargable Hannes NEO - SVAKOM"/>
    <s v=""/>
    <s v="SVAKOM"/>
    <n v="1"/>
    <n v="2586.21"/>
  </r>
  <r>
    <x v="10"/>
    <s v="11/01/2026"/>
    <s v="DELIA AGUIRRE CERVANTES"/>
    <s v="714718001654"/>
    <s v="MEDIAS DE NYLON EN ENCAJE NUDE 1011"/>
    <s v="LENCERIA"/>
    <s v="LEG AVENUE"/>
    <n v="1"/>
    <n v="172.41"/>
  </r>
  <r>
    <x v="10"/>
    <s v="11/01/2026"/>
    <s v="DELIA AGUIRRE CERVANTES"/>
    <s v="7503032300856"/>
    <s v="Sachet vibrador liquido 2 ml - BANANA SHAKE"/>
    <s v="CONSUMIBLE"/>
    <s v="BANANA SHAKE"/>
    <n v="1"/>
    <n v="17.239999999999998"/>
  </r>
  <r>
    <x v="10"/>
    <s v="11/01/2026"/>
    <s v="DELIA AGUIRRE CERVANTES"/>
    <s v="7503020596957"/>
    <s v="Shot Shumatsu Fun Hombre - DUSA"/>
    <s v="CONSUMIBLE PROPIO"/>
    <s v="DUSA"/>
    <n v="1"/>
    <n v="172.41"/>
  </r>
  <r>
    <x v="10"/>
    <s v="11/01/2026"/>
    <s v="DELIA AGUIRRE CERVANTES"/>
    <s v="7503024256192"/>
    <s v="Shot Shumatsu Fun Mujer - DUSA"/>
    <s v="CONSUMIBLE PROPIO"/>
    <s v="DUSA"/>
    <n v="1"/>
    <n v="172.41"/>
  </r>
  <r>
    <x v="10"/>
    <s v="11/01/2026"/>
    <s v="DELIA AGUIRRE CERVANTES"/>
    <s v="7501513758042"/>
    <s v="TANGA MASCULINA GSTRING AZUL MARINO UNITALLA"/>
    <s v="LENCERIA"/>
    <s v="ADRENALINE"/>
    <n v="1"/>
    <n v="258.62"/>
  </r>
  <r>
    <x v="11"/>
    <s v="02/01/2026"/>
    <s v="OSCAR ANTONIO L CEL"/>
    <s v="7503032300887"/>
    <s v="Anahi L - CXO"/>
    <s v="JUGUETE PROPIO"/>
    <s v="CXO"/>
    <n v="1"/>
    <n v="521.54999999999995"/>
  </r>
  <r>
    <x v="11"/>
    <s v="02/01/2026"/>
    <s v="OSCAR ANTONIO L CEL"/>
    <s v="7503014914002"/>
    <s v="CAPSULAS MULTIORGASMICO AMO O-GEN"/>
    <s v="CONSUMIBLE"/>
    <s v="POWER MAN"/>
    <n v="1"/>
    <n v="431.04"/>
  </r>
  <r>
    <x v="11"/>
    <s v="02/01/2026"/>
    <s v="OSCAR ANTONIO L CEL"/>
    <s v="7503013378492"/>
    <s v="Clean Whisper 120ml - DUSA"/>
    <s v="CONSUMIBLE PROPIO"/>
    <s v="DUSA"/>
    <n v="1"/>
    <n v="301.72000000000003"/>
  </r>
  <r>
    <x v="11"/>
    <s v="02/01/2026"/>
    <s v="OSCAR ANTONIO L CEL"/>
    <s v="7502214982491"/>
    <s v="CONDON PRUDENCE EXTRA TIME UVA"/>
    <s v="CONSUMIBLE"/>
    <s v="PRUDENCE"/>
    <n v="1"/>
    <n v="60.34"/>
  </r>
  <r>
    <x v="11"/>
    <s v="02/01/2026"/>
    <s v="OSCAR ANTONIO L CEL"/>
    <s v="7503032300252"/>
    <s v="Dildo Nebulosa - CXO"/>
    <s v="JUGUETE PROPIO"/>
    <s v="CXO"/>
    <n v="1"/>
    <n v="474.14"/>
  </r>
  <r>
    <x v="11"/>
    <s v="02/01/2026"/>
    <s v="OSCAR ANTONIO L CEL"/>
    <s v="855215007654"/>
    <s v="Dildo Realista 8&quot; Cocolate - Blush"/>
    <s v="JUGUETE"/>
    <s v="BLUSH"/>
    <n v="1"/>
    <n v="1896.55"/>
  </r>
  <r>
    <x v="11"/>
    <s v="02/01/2026"/>
    <s v="OSCAR ANTONIO L CEL"/>
    <s v="7503020310205"/>
    <s v="Dildo Vibrador Termico Realista 3 en 1 con movimiento Hades-CXO"/>
    <s v="JUGUETE PROPIO"/>
    <s v="CXO"/>
    <n v="1"/>
    <n v="2500"/>
  </r>
  <r>
    <x v="11"/>
    <s v="02/01/2026"/>
    <s v="OSCAR ANTONIO L CEL"/>
    <s v="75037543"/>
    <s v="Dulce Estimulante Sexual Sabor Fresa  2 piezas - SXO"/>
    <s v="CONSUMIBLE"/>
    <s v="SXO"/>
    <n v="1"/>
    <n v="120.69"/>
  </r>
  <r>
    <x v="11"/>
    <s v="02/01/2026"/>
    <s v="OSCAR ANTONIO L CEL"/>
    <s v="FM1001"/>
    <s v="FEROMONAS DIAMANTE CONCENTRADO MUJER"/>
    <s v="CONSUMIBLE"/>
    <s v="DIAMANTE"/>
    <n v="1"/>
    <n v="413.79"/>
  </r>
  <r>
    <x v="11"/>
    <s v="02/01/2026"/>
    <s v="OSCAR ANTONIO L CEL"/>
    <s v="7503050524265"/>
    <s v="He Plus 30ml - DUSA"/>
    <s v="CONSUMIBLE PROPIO"/>
    <s v="DUSA"/>
    <n v="1"/>
    <n v="431.03"/>
  </r>
  <r>
    <x v="11"/>
    <s v="02/01/2026"/>
    <s v="OSCAR ANTONIO L CEL"/>
    <s v="7503043917524"/>
    <s v="Kit Lisboa 8 pzs - CXO"/>
    <s v="JUGUETE PROPIO"/>
    <s v="CXO"/>
    <n v="1"/>
    <n v="465.52"/>
  </r>
  <r>
    <x v="11"/>
    <s v="02/01/2026"/>
    <s v="OSCAR ANTONIO L CEL"/>
    <s v="7503013378645"/>
    <s v="Liquid Love Pleasure 100ml - DUSA"/>
    <s v="CONSUMIBLE PROPIO"/>
    <s v="DUSA"/>
    <n v="1"/>
    <n v="775.86"/>
  </r>
  <r>
    <x v="11"/>
    <s v="02/01/2026"/>
    <s v="OSCAR ANTONIO L CEL"/>
    <s v="7503024256154"/>
    <s v="Lubricante Body Surf Termico Cereza DUSA 60ml"/>
    <s v="CONSUMIBLE PROPIO"/>
    <s v="DUSA"/>
    <n v="1"/>
    <n v="387.93"/>
  </r>
  <r>
    <x v="11"/>
    <s v="02/01/2026"/>
    <s v="OSCAR ANTONIO L CEL"/>
    <s v="7503023462204"/>
    <s v="Lubricante Masaje Térmico Comestible Manzana del Edén FEEL LOVE 4 en 1 - 60ml"/>
    <s v="LUBRICANTE"/>
    <s v="FEEL LOVE"/>
    <n v="1"/>
    <n v="344.83"/>
  </r>
  <r>
    <x v="11"/>
    <s v="02/01/2026"/>
    <s v="OSCAR ANTONIO L CEL"/>
    <s v="8699415912859"/>
    <s v="Miel Vigorizante para Hombre  Miracle Honey  VIP 15g-  SECRET MIRACLE HONEY"/>
    <s v="CONSUMIBLE"/>
    <s v="SECRET MIRACLE HONEY"/>
    <n v="1"/>
    <n v="215.52"/>
  </r>
  <r>
    <x v="11"/>
    <s v="02/01/2026"/>
    <s v="OSCAR ANTONIO L CEL"/>
    <s v="716770101662"/>
    <s v="Muñeco Inflable Entrenador Personal - CALEX"/>
    <s v="OTRO"/>
    <s v="CALEXOTICS"/>
    <n v="1"/>
    <n v="939.66"/>
  </r>
  <r>
    <x v="11"/>
    <s v="02/01/2026"/>
    <s v="OSCAR ANTONIO L CEL"/>
    <s v="7503050524241"/>
    <s v="Orgasmik 30ml - DUSA"/>
    <s v="CONSUMIBLE PROPIO"/>
    <s v="DUSA"/>
    <n v="1"/>
    <n v="431.03"/>
  </r>
  <r>
    <x v="11"/>
    <s v="02/01/2026"/>
    <s v="OSCAR ANTONIO L CEL"/>
    <s v="7503013378010"/>
    <s v="Rigidex 2 pzas - DUSA"/>
    <s v="CONSUMIBLE PROPIO"/>
    <s v="DUSA"/>
    <n v="3"/>
    <n v="1293.0999999999999"/>
  </r>
  <r>
    <x v="11"/>
    <s v="02/01/2026"/>
    <s v="OSCAR ANTONIO L CEL"/>
    <s v="7503032300795"/>
    <s v="Sachet lubricante desensibilizador 2 ml - BANANA SHAKE"/>
    <s v="CONSUMIBLE"/>
    <s v="BANANA SHAKE"/>
    <n v="10"/>
    <n v="215.5"/>
  </r>
  <r>
    <x v="11"/>
    <s v="02/01/2026"/>
    <s v="OSCAR ANTONIO L CEL"/>
    <s v="7503032300856"/>
    <s v="Sachet vibrador liquido 2 ml - BANANA SHAKE"/>
    <s v="CONSUMIBLE"/>
    <s v="BANANA SHAKE"/>
    <n v="2"/>
    <n v="34.479999999999997"/>
  </r>
  <r>
    <x v="11"/>
    <s v="02/01/2026"/>
    <s v="OSCAR ANTONIO L CEL"/>
    <s v="7503024256192"/>
    <s v="Shot Shumatsu Fun Mujer - DUSA"/>
    <s v="CONSUMIBLE PROPIO"/>
    <s v="DUSA"/>
    <n v="1"/>
    <n v="172.41"/>
  </r>
  <r>
    <x v="11"/>
    <s v="02/01/2026"/>
    <s v="OSCAR ANTONIO L CEL"/>
    <s v="7503020104075"/>
    <s v="Vibrador multiorgásmico texturizado con succionador de clítoris Yeni - CXO"/>
    <s v="JUGUETE PROPIO"/>
    <s v="CXO"/>
    <n v="1"/>
    <n v="2465.52"/>
  </r>
  <r>
    <x v="11"/>
    <s v="03/01/2026"/>
    <s v="OSCAR ANTONIO L CEL"/>
    <s v="7503050524265"/>
    <s v="He Plus 30ml - DUSA"/>
    <s v="CONSUMIBLE PROPIO"/>
    <s v="DUSA"/>
    <n v="1"/>
    <n v="431.03"/>
  </r>
  <r>
    <x v="11"/>
    <s v="03/01/2026"/>
    <s v="OSCAR ANTONIO L CEL"/>
    <s v="7503032300993"/>
    <s v="Liquid Love Pleasure 30ml - DUSA"/>
    <s v="CONSUMIBLE PROPIO"/>
    <s v="DUSA"/>
    <n v="1"/>
    <n v="301.72000000000003"/>
  </r>
  <r>
    <x v="11"/>
    <s v="03/01/2026"/>
    <s v="OSCAR ANTONIO L CEL"/>
    <s v="7503013378980"/>
    <s v="Lubricante Body Surf Termico Chicle DUSA 60ml"/>
    <s v="CONSUMIBLE PROPIO"/>
    <s v="DUSA"/>
    <n v="1"/>
    <n v="387.93"/>
  </r>
  <r>
    <x v="11"/>
    <s v="03/01/2026"/>
    <s v="OSCAR ANTONIO L CEL"/>
    <s v="7503020596063"/>
    <s v="Stallion Regenerador - DUSA"/>
    <s v="CONSUMIBLE PROPIO"/>
    <s v="DUSA"/>
    <n v="2"/>
    <n v="2586.1999999999998"/>
  </r>
  <r>
    <x v="11"/>
    <s v="04/01/2026"/>
    <s v="OSCAR ANTONIO L CEL"/>
    <s v="MBS0530"/>
    <s v="Esposas de broche - CXO"/>
    <s v="JUGUETE PROPIO"/>
    <s v="CXO"/>
    <n v="1"/>
    <n v="172.41"/>
  </r>
  <r>
    <x v="11"/>
    <s v="04/01/2026"/>
    <s v="OSCAR ANTONIO L CEL"/>
    <s v="7503020596001"/>
    <s v="Liquid Love Clear 100ml - DUSA"/>
    <s v="CONSUMIBLE PROPIO"/>
    <s v="DUSA"/>
    <n v="1"/>
    <n v="775.86"/>
  </r>
  <r>
    <x v="11"/>
    <s v="04/01/2026"/>
    <s v="OSCAR ANTONIO L CEL"/>
    <s v="7503020596957"/>
    <s v="Shot Shumatsu Fun Hombre - DUSA"/>
    <s v="CONSUMIBLE PROPIO"/>
    <s v="DUSA"/>
    <n v="2"/>
    <n v="344.82"/>
  </r>
  <r>
    <x v="11"/>
    <s v="05/01/2026"/>
    <s v="OSCAR ANTONIO L CEL"/>
    <s v="7503043917081"/>
    <s v="Blade rosa anillo vibrador - CXO"/>
    <s v="JUGUETE PROPIO"/>
    <s v="CXO"/>
    <n v="1"/>
    <n v="81.900000000000006"/>
  </r>
  <r>
    <x v="11"/>
    <s v="05/01/2026"/>
    <s v="OSCAR ANTONIO L CEL"/>
    <s v="7503020310205"/>
    <s v="Dildo Vibrador Termico Realista 3 en 1 con movimiento Hades-CXO"/>
    <s v="JUGUETE PROPIO"/>
    <s v="CXO"/>
    <n v="1"/>
    <n v="2500"/>
  </r>
  <r>
    <x v="11"/>
    <s v="05/01/2026"/>
    <s v="OSCAR ANTONIO L CEL"/>
    <s v="4560220552780"/>
    <s v="MASTURBADOR TENGA EGGS HARD BOILED SURFER TENGA"/>
    <s v="JUGUETE"/>
    <s v="TENGA"/>
    <n v="1"/>
    <n v="301.72000000000003"/>
  </r>
  <r>
    <x v="11"/>
    <s v="05/01/2026"/>
    <s v="OSCAR ANTONIO L CEL"/>
    <s v="8699415912859"/>
    <s v="Miel Vigorizante para Hombre  Miracle Honey  VIP 15g-  SECRET MIRACLE HONEY"/>
    <s v="CONSUMIBLE"/>
    <s v="SECRET MIRACLE HONEY"/>
    <n v="1"/>
    <n v="215.52"/>
  </r>
  <r>
    <x v="11"/>
    <s v="06/01/2026"/>
    <s v="OSCAR ANTONIO L CEL"/>
    <s v="7503013378102"/>
    <s v="Anastasia Gema de Colores M - CXO"/>
    <s v="JUGUETE PROPIO"/>
    <s v="CXO"/>
    <n v="1"/>
    <n v="456.9"/>
  </r>
  <r>
    <x v="11"/>
    <s v="06/01/2026"/>
    <s v="OSCAR ANTONIO L CEL"/>
    <s v="FM1002"/>
    <s v="FEROMONAS DIAMANTE CONCENTRADO HOMBRE"/>
    <s v="CONSUMIBLE"/>
    <s v="DIAMANTE"/>
    <n v="1"/>
    <n v="413.79"/>
  </r>
  <r>
    <x v="11"/>
    <s v="06/01/2026"/>
    <s v="OSCAR ANTONIO L CEL"/>
    <s v="7502235091615"/>
    <s v="Miel Estimulante Mujer 18ml"/>
    <s v="CONSUMIBLE"/>
    <s v="SXO"/>
    <n v="1"/>
    <n v="301.72000000000003"/>
  </r>
  <r>
    <x v="11"/>
    <s v="06/01/2026"/>
    <s v="OSCAR ANTONIO L CEL"/>
    <s v="8699415912859"/>
    <s v="Miel Vigorizante para Hombre  Miracle Honey  VIP 15g-  SECRET MIRACLE HONEY"/>
    <s v="CONSUMIBLE"/>
    <s v="SECRET MIRACLE HONEY"/>
    <n v="4"/>
    <n v="862.08"/>
  </r>
  <r>
    <x v="11"/>
    <s v="07/01/2026"/>
    <s v="OSCAR ANTONIO L CEL"/>
    <s v="75037420"/>
    <s v="Dulce Estimulante Sexual Sabor Menta 2 piezas - SXO"/>
    <s v="CONSUMIBLE"/>
    <s v="SXO"/>
    <n v="1"/>
    <n v="120.69"/>
  </r>
  <r>
    <x v="11"/>
    <s v="07/01/2026"/>
    <s v="OSCAR ANTONIO L CEL"/>
    <s v="7503013378645"/>
    <s v="Liquid Love Pleasure 100ml - DUSA"/>
    <s v="CONSUMIBLE PROPIO"/>
    <s v="DUSA"/>
    <n v="1"/>
    <n v="775.86"/>
  </r>
  <r>
    <x v="11"/>
    <s v="07/01/2026"/>
    <s v="OSCAR ANTONIO L CEL"/>
    <s v="827160100773"/>
    <s v="Lubricante original super concentrated 100 ml - PJUR"/>
    <s v="CONSUMIBLE"/>
    <s v="PJUR"/>
    <n v="1"/>
    <n v="775.86"/>
  </r>
  <r>
    <x v="11"/>
    <s v="07/01/2026"/>
    <s v="OSCAR ANTONIO L CEL"/>
    <s v="8699415912859"/>
    <s v="Miel Vigorizante para Hombre  Miracle Honey  VIP 15g-  SECRET MIRACLE HONEY"/>
    <s v="CONSUMIBLE"/>
    <s v="SECRET MIRACLE HONEY"/>
    <n v="1"/>
    <n v="215.52"/>
  </r>
  <r>
    <x v="11"/>
    <s v="07/01/2026"/>
    <s v="OSCAR ANTONIO L CEL"/>
    <s v="7503032300856"/>
    <s v="Sachet vibrador liquido 2 ml - BANANA SHAKE"/>
    <s v="CONSUMIBLE"/>
    <s v="BANANA SHAKE"/>
    <n v="11"/>
    <n v="189.64"/>
  </r>
  <r>
    <x v="11"/>
    <s v="07/01/2026"/>
    <s v="OSCAR ANTONIO L CEL"/>
    <s v="7503020596957"/>
    <s v="Shot Shumatsu Fun Hombre - DUSA"/>
    <s v="CONSUMIBLE PROPIO"/>
    <s v="DUSA"/>
    <n v="1"/>
    <n v="172.41"/>
  </r>
  <r>
    <x v="11"/>
    <s v="08/01/2026"/>
    <s v="ALFONSO  M CARBALLAR"/>
    <s v="7503050524265"/>
    <s v="He Plus 30ml - DUSA"/>
    <s v="CONSUMIBLE PROPIO"/>
    <s v="DUSA"/>
    <n v="1"/>
    <n v="431.03"/>
  </r>
  <r>
    <x v="11"/>
    <s v="08/01/2026"/>
    <s v="ALFONSO  M CARBALLAR"/>
    <s v="7503024256154"/>
    <s v="Lubricante Body Surf Termico Cereza DUSA 60ml"/>
    <s v="CONSUMIBLE PROPIO"/>
    <s v="DUSA"/>
    <n v="1"/>
    <n v="387.93"/>
  </r>
  <r>
    <x v="11"/>
    <s v="08/01/2026"/>
    <s v="ALFONSO  M CARBALLAR"/>
    <s v="7503050524241"/>
    <s v="Orgasmik 30ml - DUSA"/>
    <s v="CONSUMIBLE PROPIO"/>
    <s v="DUSA"/>
    <n v="1"/>
    <n v="431.03"/>
  </r>
  <r>
    <x v="11"/>
    <s v="08/01/2026"/>
    <s v="ALFONSO  M CARBALLAR"/>
    <s v="7503030104030"/>
    <s v="Vibrador multiorgasmico para parejas Eva - CXO"/>
    <s v="JUGUETE PROPIO"/>
    <s v="CXO"/>
    <n v="1"/>
    <n v="2982.76"/>
  </r>
  <r>
    <x v="11"/>
    <s v="09/01/2026"/>
    <s v="OSCAR ANTONIO L CEL"/>
    <s v="7503043917081"/>
    <s v="Blade rosa anillo vibrador - CXO"/>
    <s v="JUGUETE PROPIO"/>
    <s v="CXO"/>
    <n v="1"/>
    <n v="81.900000000000006"/>
  </r>
  <r>
    <x v="11"/>
    <s v="09/01/2026"/>
    <s v="OSCAR ANTONIO L CEL"/>
    <s v="7503013378492"/>
    <s v="Clean Whisper 120ml - DUSA"/>
    <s v="CONSUMIBLE PROPIO"/>
    <s v="DUSA"/>
    <n v="1"/>
    <n v="301.72000000000003"/>
  </r>
  <r>
    <x v="11"/>
    <s v="09/01/2026"/>
    <s v="OSCAR ANTONIO L CEL"/>
    <s v="7502214985386"/>
    <s v="CONDON EXTRA PLEASURE C/3 -PRUDENCE"/>
    <s v="CONSUMIBLE"/>
    <s v="PRUDENCE"/>
    <n v="1"/>
    <n v="77.59"/>
  </r>
  <r>
    <x v="11"/>
    <s v="09/01/2026"/>
    <s v="OSCAR ANTONIO L CEL"/>
    <s v="7502214985362"/>
    <s v="CONDON MUTUAL SENSATION C/3 - PRUDENCE"/>
    <s v="CONSUMIBLE"/>
    <s v="PRUDENCE"/>
    <n v="1"/>
    <n v="77.59"/>
  </r>
  <r>
    <x v="11"/>
    <s v="09/01/2026"/>
    <s v="OSCAR ANTONIO L CEL"/>
    <s v="75037420"/>
    <s v="Dulce Estimulante Sexual Sabor Menta 2 piezas - SXO"/>
    <s v="CONSUMIBLE"/>
    <s v="SXO"/>
    <n v="1"/>
    <n v="120.69"/>
  </r>
  <r>
    <x v="11"/>
    <s v="09/01/2026"/>
    <s v="OSCAR ANTONIO L CEL"/>
    <s v="7503013378980"/>
    <s v="Lubricante Body Surf Termico Chicle DUSA 60ml"/>
    <s v="CONSUMIBLE PROPIO"/>
    <s v="DUSA"/>
    <n v="1"/>
    <n v="387.93"/>
  </r>
  <r>
    <x v="11"/>
    <s v="09/01/2026"/>
    <s v="OSCAR ANTONIO L CEL"/>
    <s v="7502235091615"/>
    <s v="Miel Estimulante Mujer 18ml"/>
    <s v="CONSUMIBLE"/>
    <s v="SXO"/>
    <n v="1"/>
    <n v="301.72000000000003"/>
  </r>
  <r>
    <x v="11"/>
    <s v="09/01/2026"/>
    <s v="OSCAR ANTONIO L CEL"/>
    <s v="75079413"/>
    <s v="Mini Kit Hombre 3 piezas - SXO"/>
    <s v="CONSUMIBLE"/>
    <s v="SXO"/>
    <n v="1"/>
    <n v="284.48"/>
  </r>
  <r>
    <x v="11"/>
    <s v="09/01/2026"/>
    <s v="OSCAR ANTONIO L CEL"/>
    <s v="7503013378010"/>
    <s v="Rigidex 2 pzas - DUSA"/>
    <s v="CONSUMIBLE PROPIO"/>
    <s v="DUSA"/>
    <n v="2"/>
    <n v="862.06"/>
  </r>
  <r>
    <x v="11"/>
    <s v="09/01/2026"/>
    <s v="OSCAR ANTONIO L CEL"/>
    <s v="7503032300795"/>
    <s v="Sachet lubricante desensibilizador 2 ml - BANANA SHAKE"/>
    <s v="CONSUMIBLE"/>
    <s v="BANANA SHAKE"/>
    <n v="10"/>
    <n v="215.5"/>
  </r>
  <r>
    <x v="11"/>
    <s v="09/01/2026"/>
    <s v="OSCAR ANTONIO L CEL"/>
    <s v="7503032300856"/>
    <s v="Sachet vibrador liquido 2 ml - BANANA SHAKE"/>
    <s v="CONSUMIBLE"/>
    <s v="BANANA SHAKE"/>
    <n v="2"/>
    <n v="34.479999999999997"/>
  </r>
  <r>
    <x v="11"/>
    <s v="09/01/2026"/>
    <s v="OSCAR ANTONIO L CEL"/>
    <s v="7503020596957"/>
    <s v="Shot Shumatsu Fun Hombre - DUSA"/>
    <s v="CONSUMIBLE PROPIO"/>
    <s v="DUSA"/>
    <n v="1"/>
    <n v="172.41"/>
  </r>
  <r>
    <x v="11"/>
    <s v="09/01/2026"/>
    <s v="OSCAR ANTONIO L CEL"/>
    <s v="7503032300443"/>
    <s v="Zoe bala vibradora RETAIL - CXO"/>
    <s v="JUGUETE PROPIO"/>
    <s v="CXO"/>
    <n v="2"/>
    <n v="310.33999999999997"/>
  </r>
  <r>
    <x v="11"/>
    <s v="10/01/2026"/>
    <s v="OSCAR ANTONIO L CEL"/>
    <s v="75037543"/>
    <s v="Dulce Estimulante Sexual Sabor Fresa  2 piezas - SXO"/>
    <s v="CONSUMIBLE"/>
    <s v="SXO"/>
    <n v="1"/>
    <n v="120.69"/>
  </r>
  <r>
    <x v="11"/>
    <s v="10/01/2026"/>
    <s v="OSCAR ANTONIO L CEL"/>
    <s v="7503032300993"/>
    <s v="Liquid Love Pleasure 30ml - DUSA"/>
    <s v="CONSUMIBLE PROPIO"/>
    <s v="DUSA"/>
    <n v="1"/>
    <n v="301.72000000000003"/>
  </r>
  <r>
    <x v="11"/>
    <s v="10/01/2026"/>
    <s v="OSCAR ANTONIO L CEL"/>
    <s v="7503013378010"/>
    <s v="Rigidex 2 pzas - DUSA"/>
    <s v="CONSUMIBLE PROPIO"/>
    <s v="DUSA"/>
    <n v="2"/>
    <n v="862.06"/>
  </r>
  <r>
    <x v="11"/>
    <s v="11/01/2026"/>
    <s v="OSCAR ANTONIO L CEL"/>
    <s v="7503024256741"/>
    <s v="Cola de Zorro 45cm café S - CXO"/>
    <s v="JUGUETE PROPIO"/>
    <s v="CXO"/>
    <n v="1"/>
    <n v="258.62"/>
  </r>
  <r>
    <x v="11"/>
    <s v="11/01/2026"/>
    <s v="OSCAR ANTONIO L CEL"/>
    <s v="7503050226158"/>
    <s v="Conjunto Vicky - OLA MOU"/>
    <s v="LENCERIA"/>
    <s v="OLA MOU"/>
    <n v="1"/>
    <n v="431.03"/>
  </r>
  <r>
    <x v="11"/>
    <s v="11/01/2026"/>
    <s v="OSCAR ANTONIO L CEL"/>
    <s v="7503024256154"/>
    <s v="Lubricante Body Surf Termico Cereza DUSA 60ml"/>
    <s v="CONSUMIBLE PROPIO"/>
    <s v="DUSA"/>
    <n v="1"/>
    <n v="387.93"/>
  </r>
  <r>
    <x v="12"/>
    <s v="02/01/2026"/>
    <s v="JESáS ULISES PEREZ VARGAS"/>
    <s v="7508304288429"/>
    <s v="Feromonas en gel 20ml unisex - DIAMANTE"/>
    <s v="CONSUMIBLE"/>
    <s v="DIAMANTE"/>
    <n v="1"/>
    <n v="379.31"/>
  </r>
  <r>
    <x v="12"/>
    <s v="02/01/2026"/>
    <s v="JESáS ULISES PEREZ VARGAS"/>
    <s v="7503030118033"/>
    <s v="Kit vibrador + estimulante para clitoris Lau - CXO"/>
    <s v="JUGUETE PROPIO"/>
    <s v="CXO"/>
    <n v="1"/>
    <n v="1706.9"/>
  </r>
  <r>
    <x v="12"/>
    <s v="02/01/2026"/>
    <s v="JESáS ULISES PEREZ VARGAS"/>
    <s v="7503013378645"/>
    <s v="Liquid Love Pleasure 100ml - DUSA"/>
    <s v="CONSUMIBLE PROPIO"/>
    <s v="DUSA"/>
    <n v="2"/>
    <n v="1551.72"/>
  </r>
  <r>
    <x v="12"/>
    <s v="02/01/2026"/>
    <s v="JESáS ULISES PEREZ VARGAS"/>
    <s v="6959633144350"/>
    <s v="Pulse Union - SVAKOM"/>
    <s v="JUGUETE"/>
    <s v="SVAKOM"/>
    <n v="1"/>
    <n v="1810.34"/>
  </r>
  <r>
    <x v="12"/>
    <s v="02/01/2026"/>
    <s v="JESáS ULISES PEREZ VARGAS"/>
    <s v="7503013378010"/>
    <s v="Rigidex 2 pzas - DUSA"/>
    <s v="CONSUMIBLE PROPIO"/>
    <s v="DUSA"/>
    <n v="1"/>
    <n v="431.03"/>
  </r>
  <r>
    <x v="12"/>
    <s v="02/01/2026"/>
    <s v="JESáS ULISES PEREZ VARGAS"/>
    <s v="7503020596957"/>
    <s v="Shot Shumatsu Fun Hombre - DUSA"/>
    <s v="CONSUMIBLE PROPIO"/>
    <s v="DUSA"/>
    <n v="3"/>
    <n v="517.23"/>
  </r>
  <r>
    <x v="12"/>
    <s v="03/01/2026"/>
    <s v="JESáS ULISES PEREZ VARGAS"/>
    <s v="7503013378645"/>
    <s v="Liquid Love Pleasure 100ml - DUSA"/>
    <s v="CONSUMIBLE PROPIO"/>
    <s v="DUSA"/>
    <n v="1"/>
    <n v="775.86"/>
  </r>
  <r>
    <x v="12"/>
    <s v="03/01/2026"/>
    <s v="JESáS ULISES PEREZ VARGAS"/>
    <s v="7503024256635"/>
    <s v="Olive  6.8&quot; rosa - CXO"/>
    <s v="JUGUETE PROPIO"/>
    <s v="CXO"/>
    <n v="1"/>
    <n v="603.45000000000005"/>
  </r>
  <r>
    <x v="12"/>
    <s v="03/01/2026"/>
    <s v="JESáS ULISES PEREZ VARGAS"/>
    <s v="7503020596957"/>
    <s v="Shot Shumatsu Fun Hombre - DUSA"/>
    <s v="CONSUMIBLE PROPIO"/>
    <s v="DUSA"/>
    <n v="1"/>
    <n v="172.41"/>
  </r>
  <r>
    <x v="12"/>
    <s v="03/01/2026"/>
    <s v="JESáS ULISES PEREZ VARGAS"/>
    <s v="7503024256192"/>
    <s v="Shot Shumatsu Fun Mujer - DUSA"/>
    <s v="CONSUMIBLE PROPIO"/>
    <s v="DUSA"/>
    <n v="1"/>
    <n v="172.41"/>
  </r>
  <r>
    <x v="12"/>
    <s v="03/01/2026"/>
    <s v="JESáS ULISES PEREZ VARGAS"/>
    <s v="7503032300443"/>
    <s v="Zoe bala vibradora RETAIL - CXO"/>
    <s v="JUGUETE PROPIO"/>
    <s v="CXO"/>
    <n v="2"/>
    <n v="310.33999999999997"/>
  </r>
  <r>
    <x v="12"/>
    <s v="04/01/2026"/>
    <s v="JESáS ULISES PEREZ VARGAS"/>
    <s v="7503050524241"/>
    <s v="Orgasmik 30ml - DUSA"/>
    <s v="CONSUMIBLE PROPIO"/>
    <s v="DUSA"/>
    <n v="1"/>
    <n v="431.03"/>
  </r>
  <r>
    <x v="12"/>
    <s v="04/01/2026"/>
    <s v="JESáS ULISES PEREZ VARGAS"/>
    <s v="7503032300443"/>
    <s v="Zoe bala vibradora RETAIL - CXO"/>
    <s v="JUGUETE PROPIO"/>
    <s v="CXO"/>
    <n v="1"/>
    <n v="155.16999999999999"/>
  </r>
  <r>
    <x v="12"/>
    <s v="05/01/2026"/>
    <s v="JESáS ULISES PEREZ VARGAS"/>
    <s v="7503050226154"/>
    <s v="Conjunto Ariadna - OLA MOU"/>
    <s v="LENCERIA"/>
    <s v="OLA MOU"/>
    <n v="1"/>
    <n v="431.03"/>
  </r>
  <r>
    <x v="12"/>
    <s v="05/01/2026"/>
    <s v="JESáS ULISES PEREZ VARGAS"/>
    <s v="75037628"/>
    <s v="Dulces Garganta Profunda 2 piezas Sabor Fresa - SXO"/>
    <s v="CONSUMIBLE"/>
    <s v="SXO"/>
    <n v="1"/>
    <n v="120.69"/>
  </r>
  <r>
    <x v="12"/>
    <s v="05/01/2026"/>
    <s v="JESáS ULISES PEREZ VARGAS"/>
    <s v="7503043917005"/>
    <s v="Liquid Love Clear 30ml - DUSA"/>
    <s v="CONSUMIBLE PROPIO"/>
    <s v="DUSA"/>
    <n v="1"/>
    <n v="301.72000000000003"/>
  </r>
  <r>
    <x v="12"/>
    <s v="05/01/2026"/>
    <s v="JESáS ULISES PEREZ VARGAS"/>
    <s v="7503013378126"/>
    <s v="Lubricante Body Surf Frio Natural DUSA 60ml"/>
    <s v="CONSUMIBLE PROPIO"/>
    <s v="DUSA"/>
    <n v="1"/>
    <n v="387.93"/>
  </r>
  <r>
    <x v="12"/>
    <s v="05/01/2026"/>
    <s v="JESáS ULISES PEREZ VARGAS"/>
    <s v="7503032300825"/>
    <s v="Lubricante Sachet natural 2 ml - BANANA SHAKE"/>
    <s v="CONSUMIBLE"/>
    <s v="BANANA SHAKE"/>
    <n v="5"/>
    <n v="86.2"/>
  </r>
  <r>
    <x v="12"/>
    <s v="05/01/2026"/>
    <s v="JESáS ULISES PEREZ VARGAS"/>
    <s v="7503013378010"/>
    <s v="Rigidex 2 pzas - DUSA"/>
    <s v="CONSUMIBLE PROPIO"/>
    <s v="DUSA"/>
    <n v="2"/>
    <n v="862.06"/>
  </r>
  <r>
    <x v="12"/>
    <s v="05/01/2026"/>
    <s v="JESáS ULISES PEREZ VARGAS"/>
    <s v="7503032300795"/>
    <s v="Sachet lubricante desensibilizador 2 ml - BANANA SHAKE"/>
    <s v="CONSUMIBLE"/>
    <s v="BANANA SHAKE"/>
    <n v="2"/>
    <n v="43.1"/>
  </r>
  <r>
    <x v="12"/>
    <s v="05/01/2026"/>
    <s v="JESáS ULISES PEREZ VARGAS"/>
    <s v="7503020596957"/>
    <s v="Shot Shumatsu Fun Hombre - DUSA"/>
    <s v="CONSUMIBLE PROPIO"/>
    <s v="DUSA"/>
    <n v="2"/>
    <n v="344.82"/>
  </r>
  <r>
    <x v="12"/>
    <s v="05/01/2026"/>
    <s v="JESáS ULISES PEREZ VARGAS"/>
    <s v="7503020105084"/>
    <s v="Vibrador para parejas tipo C Trinity – CXO"/>
    <s v="JUGUETE PROPIO"/>
    <s v="CXO"/>
    <n v="1"/>
    <n v="2465.52"/>
  </r>
  <r>
    <x v="12"/>
    <s v="05/01/2026"/>
    <s v="JESáS ULISES PEREZ VARGAS"/>
    <s v="7503032300443"/>
    <s v="Zoe bala vibradora RETAIL - CXO"/>
    <s v="JUGUETE PROPIO"/>
    <s v="CXO"/>
    <n v="2"/>
    <n v="310.33999999999997"/>
  </r>
  <r>
    <x v="12"/>
    <s v="06/01/2026"/>
    <s v="JESáS ULISES PEREZ VARGAS"/>
    <s v="7502235091431"/>
    <s v="Aumentador de Semen - Lions Power"/>
    <s v="CONSUMIBLE"/>
    <s v="SXO"/>
    <n v="1"/>
    <n v="482.76"/>
  </r>
  <r>
    <x v="12"/>
    <s v="06/01/2026"/>
    <s v="JESáS ULISES PEREZ VARGAS"/>
    <s v="7503043917081"/>
    <s v="Blade rosa anillo vibrador - CXO"/>
    <s v="JUGUETE PROPIO"/>
    <s v="CXO"/>
    <n v="3"/>
    <n v="245.70000000000002"/>
  </r>
  <r>
    <x v="12"/>
    <s v="06/01/2026"/>
    <s v="JESáS ULISES PEREZ VARGAS"/>
    <s v="7503043917012"/>
    <s v="Liquid Love Backdoor 30ml - DUSA"/>
    <s v="CONSUMIBLE PROPIO"/>
    <s v="DUSA"/>
    <n v="1"/>
    <n v="301.72000000000003"/>
  </r>
  <r>
    <x v="12"/>
    <s v="06/01/2026"/>
    <s v="JESáS ULISES PEREZ VARGAS"/>
    <s v="7503020596001"/>
    <s v="Liquid Love Clear 100ml - DUSA"/>
    <s v="CONSUMIBLE PROPIO"/>
    <s v="DUSA"/>
    <n v="1"/>
    <n v="775.86"/>
  </r>
  <r>
    <x v="12"/>
    <s v="06/01/2026"/>
    <s v="JESáS ULISES PEREZ VARGAS"/>
    <s v="7503032300993"/>
    <s v="Liquid Love Pleasure 30ml - DUSA"/>
    <s v="CONSUMIBLE PROPIO"/>
    <s v="DUSA"/>
    <n v="1"/>
    <n v="301.72000000000003"/>
  </r>
  <r>
    <x v="12"/>
    <s v="06/01/2026"/>
    <s v="JESáS ULISES PEREZ VARGAS"/>
    <s v="7503013378645"/>
    <s v="Liquid Love Pleasure 100ml - DUSA"/>
    <s v="CONSUMIBLE PROPIO"/>
    <s v="DUSA"/>
    <n v="1"/>
    <n v="775.86"/>
  </r>
  <r>
    <x v="12"/>
    <s v="06/01/2026"/>
    <s v="JESáS ULISES PEREZ VARGAS"/>
    <s v="6970556030858"/>
    <s v="Multiorgasmico Reno - CXO"/>
    <s v="JUGUETE PROPIO"/>
    <s v="CXO"/>
    <n v="1"/>
    <n v="2327.59"/>
  </r>
  <r>
    <x v="12"/>
    <s v="06/01/2026"/>
    <s v="JESáS ULISES PEREZ VARGAS"/>
    <s v="7503050524241"/>
    <s v="Orgasmik 30ml - DUSA"/>
    <s v="CONSUMIBLE PROPIO"/>
    <s v="DUSA"/>
    <n v="1"/>
    <n v="431.03"/>
  </r>
  <r>
    <x v="12"/>
    <s v="06/01/2026"/>
    <s v="JESáS ULISES PEREZ VARGAS"/>
    <s v="839289006904"/>
    <s v="Pivot - WE VIBE"/>
    <s v="JUGUETE"/>
    <s v="WE VIBE"/>
    <n v="1"/>
    <n v="3448.28"/>
  </r>
  <r>
    <x v="12"/>
    <s v="06/01/2026"/>
    <s v="JESáS ULISES PEREZ VARGAS"/>
    <s v="7503020596957"/>
    <s v="Shot Shumatsu Fun Hombre - DUSA"/>
    <s v="CONSUMIBLE PROPIO"/>
    <s v="DUSA"/>
    <n v="1"/>
    <n v="172.41"/>
  </r>
  <r>
    <x v="12"/>
    <s v="06/01/2026"/>
    <s v="JESáS ULISES PEREZ VARGAS"/>
    <s v="7503013378690"/>
    <s v="Shumatsu 3 pzas - DUSA"/>
    <s v="CONSUMIBLE PROPIO"/>
    <s v="DUSA"/>
    <n v="1"/>
    <n v="577.59"/>
  </r>
  <r>
    <x v="12"/>
    <s v="06/01/2026"/>
    <s v="JESáS ULISES PEREZ VARGAS"/>
    <s v="7503032300443"/>
    <s v="Zoe bala vibradora RETAIL - CXO"/>
    <s v="JUGUETE PROPIO"/>
    <s v="CXO"/>
    <n v="1"/>
    <n v="155.16999999999999"/>
  </r>
  <r>
    <x v="12"/>
    <s v="07/01/2026"/>
    <s v="JESáS ULISES PEREZ VARGAS"/>
    <s v="7503013378102"/>
    <s v="Anastasia Gema de Colores M - CXO"/>
    <s v="JUGUETE PROPIO"/>
    <s v="CXO"/>
    <n v="1"/>
    <n v="456.9"/>
  </r>
  <r>
    <x v="12"/>
    <s v="07/01/2026"/>
    <s v="JESáS ULISES PEREZ VARGAS"/>
    <s v="7500464543059"/>
    <s v="Dildo Realista con Ventosa 15.5cms Domi CXO"/>
    <s v="JUGUETE PROPIO"/>
    <s v="CXO"/>
    <n v="1"/>
    <n v="818.97"/>
  </r>
  <r>
    <x v="12"/>
    <s v="07/01/2026"/>
    <s v="JESáS ULISES PEREZ VARGAS"/>
    <s v="7503013378645"/>
    <s v="Liquid Love Pleasure 100ml - DUSA"/>
    <s v="CONSUMIBLE PROPIO"/>
    <s v="DUSA"/>
    <n v="1"/>
    <n v="775.86"/>
  </r>
  <r>
    <x v="12"/>
    <s v="07/01/2026"/>
    <s v="JESáS ULISES PEREZ VARGAS"/>
    <s v="7503050226162"/>
    <s v="Plug Anal con Vibración y Control Roberto - CXO"/>
    <s v="JUGUETE PROPIO"/>
    <s v="CXO"/>
    <n v="1"/>
    <n v="1293.0999999999999"/>
  </r>
  <r>
    <x v="12"/>
    <s v="07/01/2026"/>
    <s v="JESáS ULISES PEREZ VARGAS"/>
    <s v="7503013378010"/>
    <s v="Rigidex 2 pzas - DUSA"/>
    <s v="CONSUMIBLE PROPIO"/>
    <s v="DUSA"/>
    <n v="2"/>
    <n v="862.06"/>
  </r>
  <r>
    <x v="12"/>
    <s v="07/01/2026"/>
    <s v="JESáS ULISES PEREZ VARGAS"/>
    <s v="7503032300443"/>
    <s v="Zoe bala vibradora RETAIL - CXO"/>
    <s v="JUGUETE PROPIO"/>
    <s v="CXO"/>
    <n v="1"/>
    <n v="155.16999999999999"/>
  </r>
  <r>
    <x v="12"/>
    <s v="08/01/2026"/>
    <s v="GERMAN  GUZMAN AGUIRRE"/>
    <s v="7503032300634"/>
    <s v="Kevin violeta - CXO"/>
    <s v="JUGUETE PROPIO"/>
    <s v="CXO"/>
    <n v="1"/>
    <n v="775.86"/>
  </r>
  <r>
    <x v="12"/>
    <s v="08/01/2026"/>
    <s v="GERMAN  GUZMAN AGUIRRE"/>
    <s v="7503043917005"/>
    <s v="Liquid Love Clear 30ml - DUSA"/>
    <s v="CONSUMIBLE PROPIO"/>
    <s v="DUSA"/>
    <n v="1"/>
    <n v="301.72000000000003"/>
  </r>
  <r>
    <x v="12"/>
    <s v="08/01/2026"/>
    <s v="GERMAN  GUZMAN AGUIRRE"/>
    <s v="75079413"/>
    <s v="Mini Kit Hombre 3 piezas - SXO"/>
    <s v="CONSUMIBLE"/>
    <s v="SXO"/>
    <n v="1"/>
    <n v="284.48"/>
  </r>
  <r>
    <x v="12"/>
    <s v="08/01/2026"/>
    <s v="GERMAN  GUZMAN AGUIRRE"/>
    <s v="75079390"/>
    <s v="Mini Kit Mujer 3 piezas- SXO"/>
    <s v="CONSUMIBLE"/>
    <s v="SXO"/>
    <n v="1"/>
    <n v="284.48"/>
  </r>
  <r>
    <x v="12"/>
    <s v="08/01/2026"/>
    <s v="GERMAN  GUZMAN AGUIRRE"/>
    <s v="7503023462921"/>
    <s v="ORAL SEX Beso Irlandes 30ml  - DIAMANTE"/>
    <s v="CONSUMIBLE"/>
    <s v="FEEL LOVE"/>
    <n v="1"/>
    <n v="310.35000000000002"/>
  </r>
  <r>
    <x v="12"/>
    <s v="08/01/2026"/>
    <s v="GERMAN  GUZMAN AGUIRRE"/>
    <s v="7503050524241"/>
    <s v="Orgasmik 30ml - DUSA"/>
    <s v="CONSUMIBLE PROPIO"/>
    <s v="DUSA"/>
    <n v="1"/>
    <n v="431.03"/>
  </r>
  <r>
    <x v="12"/>
    <s v="08/01/2026"/>
    <s v="GERMAN  GUZMAN AGUIRRE"/>
    <s v="7503013378010"/>
    <s v="Rigidex 2 pzas - DUSA"/>
    <s v="CONSUMIBLE PROPIO"/>
    <s v="DUSA"/>
    <n v="3"/>
    <n v="1293.0999999999999"/>
  </r>
  <r>
    <x v="12"/>
    <s v="08/01/2026"/>
    <s v="GERMAN  GUZMAN AGUIRRE"/>
    <s v="7503032300795"/>
    <s v="Sachet lubricante desensibilizador 2 ml - BANANA SHAKE"/>
    <s v="CONSUMIBLE"/>
    <s v="BANANA SHAKE"/>
    <n v="2"/>
    <n v="43.1"/>
  </r>
  <r>
    <x v="12"/>
    <s v="08/01/2026"/>
    <s v="GERMAN  GUZMAN AGUIRRE"/>
    <s v="7503032300856"/>
    <s v="Sachet vibrador liquido 2 ml - BANANA SHAKE"/>
    <s v="CONSUMIBLE"/>
    <s v="BANANA SHAKE"/>
    <n v="2"/>
    <n v="34.479999999999997"/>
  </r>
  <r>
    <x v="12"/>
    <s v="09/01/2026"/>
    <s v="JESáS ULISES PEREZ VARGAS"/>
    <s v="7503043917081"/>
    <s v="Blade rosa anillo vibrador - CXO"/>
    <s v="JUGUETE PROPIO"/>
    <s v="CXO"/>
    <n v="3"/>
    <n v="245.70000000000002"/>
  </r>
  <r>
    <x v="12"/>
    <s v="09/01/2026"/>
    <s v="JESáS ULISES PEREZ VARGAS"/>
    <s v="SC249C01"/>
    <s v="Funda Vibradora para Dedo masajeadora de Punto G  Lola- CXO"/>
    <s v="JUGUETE PROPIO"/>
    <s v="CXO"/>
    <n v="1"/>
    <n v="1551.72"/>
  </r>
  <r>
    <x v="12"/>
    <s v="09/01/2026"/>
    <s v="JESáS ULISES PEREZ VARGAS"/>
    <s v="7503050524265"/>
    <s v="He Plus 30ml - DUSA"/>
    <s v="CONSUMIBLE PROPIO"/>
    <s v="DUSA"/>
    <n v="1"/>
    <n v="431.03"/>
  </r>
  <r>
    <x v="12"/>
    <s v="09/01/2026"/>
    <s v="JESáS ULISES PEREZ VARGAS"/>
    <s v="7503043917012"/>
    <s v="Liquid Love Backdoor 30ml - DUSA"/>
    <s v="CONSUMIBLE PROPIO"/>
    <s v="DUSA"/>
    <n v="2"/>
    <n v="603.44000000000005"/>
  </r>
  <r>
    <x v="12"/>
    <s v="09/01/2026"/>
    <s v="JESáS ULISES PEREZ VARGAS"/>
    <s v="7503013378645"/>
    <s v="Liquid Love Pleasure 100ml - DUSA"/>
    <s v="CONSUMIBLE PROPIO"/>
    <s v="DUSA"/>
    <n v="1"/>
    <n v="775.86"/>
  </r>
  <r>
    <x v="12"/>
    <s v="09/01/2026"/>
    <s v="JESáS ULISES PEREZ VARGAS"/>
    <s v="7503050524241"/>
    <s v="Orgasmik 30ml - DUSA"/>
    <s v="CONSUMIBLE PROPIO"/>
    <s v="DUSA"/>
    <n v="3"/>
    <n v="1293.0899999999999"/>
  </r>
  <r>
    <x v="12"/>
    <s v="09/01/2026"/>
    <s v="JESáS ULISES PEREZ VARGAS"/>
    <s v="7503013378010"/>
    <s v="Rigidex 2 pzas - DUSA"/>
    <s v="CONSUMIBLE PROPIO"/>
    <s v="DUSA"/>
    <n v="1"/>
    <n v="431.03"/>
  </r>
  <r>
    <x v="12"/>
    <s v="09/01/2026"/>
    <s v="JESáS ULISES PEREZ VARGAS"/>
    <s v="7503032300443"/>
    <s v="Zoe bala vibradora RETAIL - CXO"/>
    <s v="JUGUETE PROPIO"/>
    <s v="CXO"/>
    <n v="1"/>
    <n v="155.16999999999999"/>
  </r>
  <r>
    <x v="12"/>
    <s v="10/01/2026"/>
    <s v="JESáS ULISES PEREZ VARGAS"/>
    <s v="7503030111031"/>
    <s v="Anillo vibrador de aro doble con estimulador y dildo Javier - CXO"/>
    <s v="JUGUETE PROPIO"/>
    <s v="CXO"/>
    <n v="1"/>
    <n v="1681.03"/>
  </r>
  <r>
    <x v="12"/>
    <s v="10/01/2026"/>
    <s v="JESáS ULISES PEREZ VARGAS"/>
    <s v="7503043917081"/>
    <s v="Blade rosa anillo vibrador - CXO"/>
    <s v="JUGUETE PROPIO"/>
    <s v="CXO"/>
    <n v="1"/>
    <n v="81.900000000000006"/>
  </r>
  <r>
    <x v="12"/>
    <s v="10/01/2026"/>
    <s v="JESáS ULISES PEREZ VARGAS"/>
    <s v="7503013378010"/>
    <s v="Rigidex 2 pzas - DUSA"/>
    <s v="CONSUMIBLE PROPIO"/>
    <s v="DUSA"/>
    <n v="2"/>
    <n v="862.06"/>
  </r>
  <r>
    <x v="12"/>
    <s v="10/01/2026"/>
    <s v="JESáS ULISES PEREZ VARGAS"/>
    <s v="7503020596957"/>
    <s v="Shot Shumatsu Fun Hombre - DUSA"/>
    <s v="CONSUMIBLE PROPIO"/>
    <s v="DUSA"/>
    <n v="1"/>
    <n v="172.41"/>
  </r>
  <r>
    <x v="12"/>
    <s v="10/01/2026"/>
    <s v="JESáS ULISES PEREZ VARGAS"/>
    <s v="7503024256192"/>
    <s v="Shot Shumatsu Fun Mujer - DUSA"/>
    <s v="CONSUMIBLE PROPIO"/>
    <s v="DUSA"/>
    <n v="1"/>
    <n v="172.41"/>
  </r>
  <r>
    <x v="12"/>
    <s v="10/01/2026"/>
    <s v="JESáS ULISES PEREZ VARGAS"/>
    <s v="850028334195"/>
    <s v="stretchy 4 ring buffer - ohnut"/>
    <s v="JUGUETE"/>
    <s v="DIAMANTE"/>
    <n v="1"/>
    <n v="1120.69"/>
  </r>
  <r>
    <x v="12"/>
    <s v="10/01/2026"/>
    <s v="JESáS ULISES PEREZ VARGAS"/>
    <s v="4061504007496"/>
    <s v="Succionado con App Curvy 1+ - Satisfayer"/>
    <s v="JUGUETE"/>
    <s v="SATISFAYER"/>
    <n v="1"/>
    <n v="1810.34"/>
  </r>
  <r>
    <x v="12"/>
    <s v="10/01/2026"/>
    <s v="JESáS ULISES PEREZ VARGAS"/>
    <s v="735380341619"/>
    <s v="VIBRADOR SEXI THING ROCKER BLUSH AZUL"/>
    <s v="JUGUETE"/>
    <s v="BLUSH"/>
    <n v="1"/>
    <n v="267.24"/>
  </r>
  <r>
    <x v="12"/>
    <s v="11/01/2026"/>
    <s v="JESáS ULISES PEREZ VARGAS"/>
    <s v="7503013378102"/>
    <s v="Anastasia Gema de Colores M - CXO"/>
    <s v="JUGUETE PROPIO"/>
    <s v="CXO"/>
    <n v="1"/>
    <n v="456.9"/>
  </r>
  <r>
    <x v="12"/>
    <s v="11/01/2026"/>
    <s v="JESáS ULISES PEREZ VARGAS"/>
    <s v="75037628"/>
    <s v="Dulces Garganta Profunda 2 piezas Sabor Fresa - SXO"/>
    <s v="CONSUMIBLE"/>
    <s v="SXO"/>
    <n v="1"/>
    <n v="120.69"/>
  </r>
  <r>
    <x v="12"/>
    <s v="11/01/2026"/>
    <s v="JESáS ULISES PEREZ VARGAS"/>
    <s v="7503043917012"/>
    <s v="Liquid Love Backdoor 30ml - DUSA"/>
    <s v="CONSUMIBLE PROPIO"/>
    <s v="DUSA"/>
    <n v="1"/>
    <n v="301.72000000000003"/>
  </r>
  <r>
    <x v="12"/>
    <s v="11/01/2026"/>
    <s v="JESáS ULISES PEREZ VARGAS"/>
    <s v="7503020596957"/>
    <s v="Shot Shumatsu Fun Hombre - DUSA"/>
    <s v="CONSUMIBLE PROPIO"/>
    <s v="DUSA"/>
    <n v="1"/>
    <n v="172.41"/>
  </r>
  <r>
    <x v="13"/>
    <s v="02/01/2026"/>
    <s v="BERTHA SOFIA O BERMEJO"/>
    <s v="7503043917036"/>
    <s v="Arnes universal de argolla negro - CXO"/>
    <s v="JUGUETE PROPIO"/>
    <s v="CXO"/>
    <n v="1"/>
    <n v="474.14"/>
  </r>
  <r>
    <x v="13"/>
    <s v="02/01/2026"/>
    <s v="BERTHA SOFIA O BERMEJO"/>
    <s v="7503014914002"/>
    <s v="CAPSULAS MULTIORGASMICO AMO O-GEN"/>
    <s v="CONSUMIBLE"/>
    <s v="POWER MAN"/>
    <n v="2"/>
    <n v="862.08"/>
  </r>
  <r>
    <x v="13"/>
    <s v="02/01/2026"/>
    <s v="BERTHA SOFIA O BERMEJO"/>
    <s v="7500464543059"/>
    <s v="Dildo Realista con Ventosa 15.5cms Domi CXO"/>
    <s v="JUGUETE PROPIO"/>
    <s v="CXO"/>
    <n v="1"/>
    <n v="818.97"/>
  </r>
  <r>
    <x v="13"/>
    <s v="02/01/2026"/>
    <s v="BERTHA SOFIA O BERMEJO"/>
    <s v="7503032300627"/>
    <s v="Kevin - CXO"/>
    <s v="JUGUETE PROPIO"/>
    <s v="CXO"/>
    <n v="1"/>
    <n v="775.86"/>
  </r>
  <r>
    <x v="13"/>
    <s v="02/01/2026"/>
    <s v="BERTHA SOFIA O BERMEJO"/>
    <s v="7503026484050"/>
    <s v="SENSIBILIZADOR PARA PEZONES 15ML"/>
    <s v="CONSUMIBLE"/>
    <s v="FEEL LOVE"/>
    <n v="1"/>
    <n v="172.41"/>
  </r>
  <r>
    <x v="13"/>
    <s v="02/01/2026"/>
    <s v="BERTHA SOFIA O BERMEJO"/>
    <s v="7503020596957"/>
    <s v="Shot Shumatsu Fun Hombre - DUSA"/>
    <s v="CONSUMIBLE PROPIO"/>
    <s v="DUSA"/>
    <n v="1"/>
    <n v="172.41"/>
  </r>
  <r>
    <x v="13"/>
    <s v="02/01/2026"/>
    <s v="BERTHA SOFIA O BERMEJO"/>
    <s v="7503013378690"/>
    <s v="Shumatsu 3 pzas - DUSA"/>
    <s v="CONSUMIBLE PROPIO"/>
    <s v="DUSA"/>
    <n v="3"/>
    <n v="1732.77"/>
  </r>
  <r>
    <x v="13"/>
    <s v="02/01/2026"/>
    <s v="BERTHA SOFIA O BERMEJO"/>
    <s v="7503020105074"/>
    <s v="Vibrador para parejas con doble estimulación Hanna -  CXO"/>
    <s v="JUGUETE PROPIO"/>
    <s v="CXO"/>
    <n v="1"/>
    <n v="2163.79"/>
  </r>
  <r>
    <x v="13"/>
    <s v="03/01/2026"/>
    <s v="BERTHA SOFIA O BERMEJO"/>
    <s v="7503013378119"/>
    <s v="Anastasia gema de colores S - CXO"/>
    <s v="JUGUETE PROPIO"/>
    <s v="CXO"/>
    <n v="1"/>
    <n v="396.55"/>
  </r>
  <r>
    <x v="13"/>
    <s v="03/01/2026"/>
    <s v="BERTHA SOFIA O BERMEJO"/>
    <s v="7503043917081"/>
    <s v="Blade rosa anillo vibrador - CXO"/>
    <s v="JUGUETE PROPIO"/>
    <s v="CXO"/>
    <n v="2"/>
    <n v="163.80000000000001"/>
  </r>
  <r>
    <x v="13"/>
    <s v="03/01/2026"/>
    <s v="BERTHA SOFIA O BERMEJO"/>
    <s v="7502214985805"/>
    <s v="CONDON PRUDENCE VETE A LA VERSH  C/3"/>
    <s v="CONSUMIBLE"/>
    <s v="PRUDENCE"/>
    <n v="1"/>
    <n v="77.59"/>
  </r>
  <r>
    <x v="13"/>
    <s v="03/01/2026"/>
    <s v="BERTHA SOFIA O BERMEJO"/>
    <s v="7502214980060"/>
    <s v="CONDON TRUST SENSITIVO CON 3 MAQ - PRUDENCE"/>
    <s v="CONSUMIBLE"/>
    <s v="PRUDENCE"/>
    <n v="1"/>
    <n v="77.59"/>
  </r>
  <r>
    <x v="13"/>
    <s v="03/01/2026"/>
    <s v="BERTHA SOFIA O BERMEJO"/>
    <s v="6959633166963"/>
    <s v="Ella Neo rojo- SVAKOM"/>
    <s v="JUGUETE"/>
    <s v="SVAKOM"/>
    <n v="1"/>
    <n v="3017.24"/>
  </r>
  <r>
    <x v="13"/>
    <s v="03/01/2026"/>
    <s v="BERTHA SOFIA O BERMEJO"/>
    <s v="P07-00252"/>
    <s v="Huevito Vibrador con Lenguita Estimuladora de Clitoris Rosy - CXO"/>
    <s v="JUGUETE PROPIO"/>
    <s v="CXO"/>
    <n v="1"/>
    <n v="2672.41"/>
  </r>
  <r>
    <x v="13"/>
    <s v="03/01/2026"/>
    <s v="BERTHA SOFIA O BERMEJO"/>
    <s v="7503043917012"/>
    <s v="Liquid Love Backdoor 30ml - DUSA"/>
    <s v="CONSUMIBLE PROPIO"/>
    <s v="DUSA"/>
    <n v="2"/>
    <n v="603.44000000000005"/>
  </r>
  <r>
    <x v="13"/>
    <s v="03/01/2026"/>
    <s v="BERTHA SOFIA O BERMEJO"/>
    <s v="6959633185476"/>
    <s v="Masturbador Hedy X Confidence – SVAKOM"/>
    <s v="JUGUETE"/>
    <s v="SVAKOM"/>
    <n v="1"/>
    <n v="181.03"/>
  </r>
  <r>
    <x v="13"/>
    <s v="03/01/2026"/>
    <s v="BERTHA SOFIA O BERMEJO"/>
    <s v="8699415912859"/>
    <s v="Miel Vigorizante para Hombre  Miracle Honey  VIP 15g-  SECRET MIRACLE HONEY"/>
    <s v="CONSUMIBLE"/>
    <s v="SECRET MIRACLE HONEY"/>
    <n v="3"/>
    <n v="646.56000000000006"/>
  </r>
  <r>
    <x v="13"/>
    <s v="03/01/2026"/>
    <s v="BERTHA SOFIA O BERMEJO"/>
    <s v="7503032300443"/>
    <s v="Zoe bala vibradora RETAIL - CXO"/>
    <s v="JUGUETE PROPIO"/>
    <s v="CXO"/>
    <n v="1"/>
    <n v="155.16999999999999"/>
  </r>
  <r>
    <x v="13"/>
    <s v="04/01/2026"/>
    <s v="GERMAN  GUZMAN AGUIRRE"/>
    <s v="8699415912859"/>
    <s v="Miel Vigorizante para Hombre  Miracle Honey  VIP 15g-  SECRET MIRACLE HONEY"/>
    <s v="CONSUMIBLE"/>
    <s v="SECRET MIRACLE HONEY"/>
    <n v="1"/>
    <n v="215.52"/>
  </r>
  <r>
    <x v="13"/>
    <s v="04/01/2026"/>
    <s v="GERMAN  GUZMAN AGUIRRE"/>
    <s v="6970556030858"/>
    <s v="Multiorgasmico Reno - CXO"/>
    <s v="JUGUETE PROPIO"/>
    <s v="CXO"/>
    <n v="1"/>
    <n v="2327.59"/>
  </r>
  <r>
    <x v="13"/>
    <s v="05/01/2026"/>
    <s v="BERTHA SOFIA O BERMEJO"/>
    <s v="ACG0976SV0WB"/>
    <s v="Dildo Vibrador con Impulsor Estimulador de Clítoris Conny - CXO"/>
    <s v="JUGUETE PROPIO"/>
    <s v="CXO"/>
    <n v="1"/>
    <n v="2198.2800000000002"/>
  </r>
  <r>
    <x v="13"/>
    <s v="05/01/2026"/>
    <s v="BERTHA SOFIA O BERMEJO"/>
    <s v="7503043917142"/>
    <s v="Hank negro anillo vibrador - CXO"/>
    <s v="JUGUETE PROPIO"/>
    <s v="CXO"/>
    <n v="1"/>
    <n v="818.97"/>
  </r>
  <r>
    <x v="13"/>
    <s v="05/01/2026"/>
    <s v="BERTHA SOFIA O BERMEJO"/>
    <s v="7503020596513"/>
    <s v="Liquid Love Natural 20ml - DUSA"/>
    <s v="CONSUMIBLE PROPIO"/>
    <s v="DUSA"/>
    <n v="1"/>
    <n v="258.62"/>
  </r>
  <r>
    <x v="13"/>
    <s v="05/01/2026"/>
    <s v="BERTHA SOFIA O BERMEJO"/>
    <s v="7503013378126"/>
    <s v="Lubricante Body Surf Frio Natural DUSA 60ml"/>
    <s v="CONSUMIBLE PROPIO"/>
    <s v="DUSA"/>
    <n v="1"/>
    <n v="387.93"/>
  </r>
  <r>
    <x v="13"/>
    <s v="05/01/2026"/>
    <s v="BERTHA SOFIA O BERMEJO"/>
    <s v="6959633189726"/>
    <s v="Masturbador Hedy X Control – SVAKOM"/>
    <s v="JUGUETE"/>
    <s v="SVAKOM"/>
    <n v="1"/>
    <n v="181.03"/>
  </r>
  <r>
    <x v="13"/>
    <s v="06/01/2026"/>
    <s v="BERTHA SOFIA O BERMEJO"/>
    <s v="7503013378119"/>
    <s v="Anastasia gema de colores S - CXO"/>
    <s v="JUGUETE PROPIO"/>
    <s v="CXO"/>
    <n v="1"/>
    <n v="396.55"/>
  </r>
  <r>
    <x v="13"/>
    <s v="06/01/2026"/>
    <s v="BERTHA SOFIA O BERMEJO"/>
    <s v="7503043917005"/>
    <s v="Liquid Love Clear 30ml - DUSA"/>
    <s v="CONSUMIBLE PROPIO"/>
    <s v="DUSA"/>
    <n v="1"/>
    <n v="301.72000000000003"/>
  </r>
  <r>
    <x v="13"/>
    <s v="06/01/2026"/>
    <s v="BERTHA SOFIA O BERMEJO"/>
    <s v="7503013378256"/>
    <s v="Sammy - CXO"/>
    <s v="JUGUETE PROPIO"/>
    <s v="CXO"/>
    <n v="1"/>
    <n v="1551.72"/>
  </r>
  <r>
    <x v="13"/>
    <s v="06/01/2026"/>
    <s v="BERTHA SOFIA O BERMEJO"/>
    <s v="7503020596957"/>
    <s v="Shot Shumatsu Fun Hombre - DUSA"/>
    <s v="CONSUMIBLE PROPIO"/>
    <s v="DUSA"/>
    <n v="2"/>
    <n v="344.82"/>
  </r>
  <r>
    <x v="13"/>
    <s v="07/01/2026"/>
    <s v="ALFONSO  M CARBALLAR"/>
    <s v="7503024256154"/>
    <s v="Lubricante Body Surf Termico Cereza DUSA 60ml"/>
    <s v="CONSUMIBLE PROPIO"/>
    <s v="DUSA"/>
    <n v="1"/>
    <n v="387.93"/>
  </r>
  <r>
    <x v="13"/>
    <s v="08/01/2026"/>
    <s v="BERTHA SOFIA O BERMEJO"/>
    <s v="7503050524340"/>
    <s v="Ducha Felix S - CXO"/>
    <s v="JUGUETE PROPIO"/>
    <s v="CXO"/>
    <n v="1"/>
    <n v="612.07000000000005"/>
  </r>
  <r>
    <x v="13"/>
    <s v="08/01/2026"/>
    <s v="BERTHA SOFIA O BERMEJO"/>
    <s v="7503043917005"/>
    <s v="Liquid Love Clear 30ml - DUSA"/>
    <s v="CONSUMIBLE PROPIO"/>
    <s v="DUSA"/>
    <n v="1"/>
    <n v="301.72000000000003"/>
  </r>
  <r>
    <x v="13"/>
    <s v="08/01/2026"/>
    <s v="BERTHA SOFIA O BERMEJO"/>
    <s v="7503032300825"/>
    <s v="Lubricante Sachet natural 2 ml - BANANA SHAKE"/>
    <s v="CONSUMIBLE"/>
    <s v="BANANA SHAKE"/>
    <n v="1"/>
    <n v="17.239999999999998"/>
  </r>
  <r>
    <x v="13"/>
    <s v="08/01/2026"/>
    <s v="BERTHA SOFIA O BERMEJO"/>
    <s v="7503024256635"/>
    <s v="Olive  6.8&quot; rosa - CXO"/>
    <s v="JUGUETE PROPIO"/>
    <s v="CXO"/>
    <n v="1"/>
    <n v="603.45000000000005"/>
  </r>
  <r>
    <x v="13"/>
    <s v="08/01/2026"/>
    <s v="BERTHA SOFIA O BERMEJO"/>
    <s v="6970556032074"/>
    <s v="Plug Anal con 10 modos de Vibracion de 11.5cm  Ramiro- CXO"/>
    <s v="JUGUETE PROPIO"/>
    <s v="CXO"/>
    <n v="1"/>
    <n v="1034.48"/>
  </r>
  <r>
    <x v="13"/>
    <s v="09/01/2026"/>
    <s v="BERTHA SOFIA O BERMEJO"/>
    <s v="7503020112070"/>
    <s v="Bala vibradora recargable Ely – CXO"/>
    <s v="JUGUETE PROPIO"/>
    <s v="CXO"/>
    <n v="1"/>
    <n v="793.1"/>
  </r>
  <r>
    <x v="13"/>
    <s v="09/01/2026"/>
    <s v="BERTHA SOFIA O BERMEJO"/>
    <s v="7503050524401"/>
    <s v="Cuerda shibari rosa 10mts - CXO"/>
    <s v="JUGUETE PROPIO"/>
    <s v="CXO"/>
    <n v="1"/>
    <n v="379.31"/>
  </r>
  <r>
    <x v="13"/>
    <s v="09/01/2026"/>
    <s v="BERTHA SOFIA O BERMEJO"/>
    <s v="7503030102034"/>
    <s v="Dildo vibrador con control Anthony - CXO"/>
    <s v="JUGUETE PROPIO"/>
    <s v="CXO"/>
    <n v="1"/>
    <n v="2112.0700000000002"/>
  </r>
  <r>
    <x v="13"/>
    <s v="09/01/2026"/>
    <s v="BERTHA SOFIA O BERMEJO"/>
    <s v="603912120042"/>
    <s v="Happy Top Tickler funda - PIPEDREAM"/>
    <s v="JUGUETE"/>
    <s v="PIPEDREAM"/>
    <n v="1"/>
    <n v="344.83"/>
  </r>
  <r>
    <x v="13"/>
    <s v="09/01/2026"/>
    <s v="BERTHA SOFIA O BERMEJO"/>
    <s v="7503032300993"/>
    <s v="Liquid Love Pleasure 30ml - DUSA"/>
    <s v="CONSUMIBLE PROPIO"/>
    <s v="DUSA"/>
    <n v="1"/>
    <n v="301.72000000000003"/>
  </r>
  <r>
    <x v="13"/>
    <s v="09/01/2026"/>
    <s v="BERTHA SOFIA O BERMEJO"/>
    <s v="GWPS_BANANASHAKE_001"/>
    <s v="Lub de Regalo - Banana Shake"/>
    <s v="ACTIVACION"/>
    <s v="BANANA SHAKE"/>
    <n v="4"/>
    <n v="0.04"/>
  </r>
  <r>
    <x v="13"/>
    <s v="09/01/2026"/>
    <s v="BERTHA SOFIA O BERMEJO"/>
    <s v="8699415912859"/>
    <s v="Miel Vigorizante para Hombre  Miracle Honey  VIP 15g-  SECRET MIRACLE HONEY"/>
    <s v="CONSUMIBLE"/>
    <s v="SECRET MIRACLE HONEY"/>
    <n v="1"/>
    <n v="215.52"/>
  </r>
  <r>
    <x v="13"/>
    <s v="09/01/2026"/>
    <s v="BERTHA SOFIA O BERMEJO"/>
    <s v="7503050524241"/>
    <s v="Orgasmik 30ml - DUSA"/>
    <s v="CONSUMIBLE PROPIO"/>
    <s v="DUSA"/>
    <n v="1"/>
    <n v="431.03"/>
  </r>
  <r>
    <x v="13"/>
    <s v="09/01/2026"/>
    <s v="BERTHA SOFIA O BERMEJO"/>
    <s v="7503013378010"/>
    <s v="Rigidex 2 pzas - DUSA"/>
    <s v="CONSUMIBLE PROPIO"/>
    <s v="DUSA"/>
    <n v="1"/>
    <n v="431.03"/>
  </r>
  <r>
    <x v="13"/>
    <s v="09/01/2026"/>
    <s v="BERTHA SOFIA O BERMEJO"/>
    <s v="7503024256192"/>
    <s v="Shot Shumatsu Fun Mujer - DUSA"/>
    <s v="CONSUMIBLE PROPIO"/>
    <s v="DUSA"/>
    <n v="1"/>
    <n v="172.41"/>
  </r>
  <r>
    <x v="13"/>
    <s v="09/01/2026"/>
    <s v="BERTHA SOFIA O BERMEJO"/>
    <s v="4061504007533"/>
    <s v="Succionador con App Love Triangle - Satisfayer"/>
    <s v="JUGUETE"/>
    <s v="SATISFAYER"/>
    <n v="1"/>
    <n v="1465.52"/>
  </r>
  <r>
    <x v="13"/>
    <s v="09/01/2026"/>
    <s v="BERTHA SOFIA O BERMEJO"/>
    <s v="4061504060040"/>
    <s v="Succionados Pingüino Edición Navideña - Satisfayer"/>
    <s v="JUGUETE"/>
    <s v="SATISFAYER"/>
    <n v="1"/>
    <n v="1637.93"/>
  </r>
  <r>
    <x v="13"/>
    <s v="09/01/2026"/>
    <s v="BERTHA SOFIA O BERMEJO"/>
    <s v="7503032300443"/>
    <s v="Zoe bala vibradora RETAIL - CXO"/>
    <s v="JUGUETE PROPIO"/>
    <s v="CXO"/>
    <n v="1"/>
    <n v="155.16999999999999"/>
  </r>
  <r>
    <x v="13"/>
    <s v="10/01/2026"/>
    <s v="BERTHA SOFIA O BERMEJO"/>
    <s v="7503013378102"/>
    <s v="Anastasia Gema de Colores M - CXO"/>
    <s v="JUGUETE PROPIO"/>
    <s v="CXO"/>
    <n v="1"/>
    <n v="456.9"/>
  </r>
  <r>
    <x v="13"/>
    <s v="10/01/2026"/>
    <s v="BERTHA SOFIA O BERMEJO"/>
    <s v="7503043917012"/>
    <s v="Liquid Love Backdoor 30ml - DUSA"/>
    <s v="CONSUMIBLE PROPIO"/>
    <s v="DUSA"/>
    <n v="1"/>
    <n v="301.72000000000003"/>
  </r>
  <r>
    <x v="13"/>
    <s v="10/01/2026"/>
    <s v="BERTHA SOFIA O BERMEJO"/>
    <s v="7503024256635"/>
    <s v="Olive  6.8&quot; rosa - CXO"/>
    <s v="JUGUETE PROPIO"/>
    <s v="CXO"/>
    <n v="1"/>
    <n v="603.45000000000005"/>
  </r>
  <r>
    <x v="13"/>
    <s v="10/01/2026"/>
    <s v="BERTHA SOFIA O BERMEJO"/>
    <s v="782421067113"/>
    <s v="P-Curve prostatico OptiMALE - DOC JOHNSON"/>
    <s v="JUGUETE"/>
    <s v="DOC JOHNSON"/>
    <n v="1"/>
    <n v="1991.38"/>
  </r>
  <r>
    <x v="13"/>
    <s v="10/01/2026"/>
    <s v="BERTHA SOFIA O BERMEJO"/>
    <s v="LL-2340-C"/>
    <s v="Pinzas Vibradoras para Pezon Mod. C (Succionador) - CXO"/>
    <s v="JUGUETE PROPIO"/>
    <s v="CXO"/>
    <n v="1"/>
    <n v="301.72000000000003"/>
  </r>
  <r>
    <x v="13"/>
    <s v="10/01/2026"/>
    <s v="BERTHA SOFIA O BERMEJO"/>
    <s v="7503020596957"/>
    <s v="Shot Shumatsu Fun Hombre - DUSA"/>
    <s v="CONSUMIBLE PROPIO"/>
    <s v="DUSA"/>
    <n v="1"/>
    <n v="172.41"/>
  </r>
  <r>
    <x v="13"/>
    <s v="10/01/2026"/>
    <s v="BERTHA SOFIA O BERMEJO"/>
    <s v="7503024256192"/>
    <s v="Shot Shumatsu Fun Mujer - DUSA"/>
    <s v="CONSUMIBLE PROPIO"/>
    <s v="DUSA"/>
    <n v="1"/>
    <n v="172.41"/>
  </r>
  <r>
    <x v="13"/>
    <s v="10/01/2026"/>
    <s v="BERTHA SOFIA O BERMEJO"/>
    <s v="7503032300443"/>
    <s v="Zoe bala vibradora RETAIL - CXO"/>
    <s v="JUGUETE PROPIO"/>
    <s v="CXO"/>
    <n v="1"/>
    <n v="155.16999999999999"/>
  </r>
  <r>
    <x v="13"/>
    <s v="11/01/2026"/>
    <s v="BERTHA SOFIA O BERMEJO"/>
    <s v="7503013378119"/>
    <s v="Anastasia gema de colores S - CXO"/>
    <s v="JUGUETE PROPIO"/>
    <s v="CXO"/>
    <n v="1"/>
    <n v="396.55"/>
  </r>
  <r>
    <x v="14"/>
    <s v="02/01/2026"/>
    <s v="FATIMA CAROLINA  VALENCIA ENRIQUEZ"/>
    <s v="7503014914002"/>
    <s v="CAPSULAS MULTIORGASMICO AMO O-GEN"/>
    <s v="CONSUMIBLE"/>
    <s v="POWER MAN"/>
    <n v="1"/>
    <n v="431.04"/>
  </r>
  <r>
    <x v="14"/>
    <s v="02/01/2026"/>
    <s v="FATIMA CAROLINA  VALENCIA ENRIQUEZ"/>
    <s v="7503024256741"/>
    <s v="Cola de Zorro 45cm café S - CXO"/>
    <s v="JUGUETE PROPIO"/>
    <s v="CXO"/>
    <n v="1"/>
    <n v="258.62"/>
  </r>
  <r>
    <x v="14"/>
    <s v="02/01/2026"/>
    <s v="FATIMA CAROLINA  VALENCIA ENRIQUEZ"/>
    <s v="75037420"/>
    <s v="Dulce Estimulante Sexual Sabor Menta 2 piezas - SXO"/>
    <s v="CONSUMIBLE"/>
    <s v="SXO"/>
    <n v="1"/>
    <n v="120.69"/>
  </r>
  <r>
    <x v="14"/>
    <s v="02/01/2026"/>
    <s v="FATIMA CAROLINA  VALENCIA ENRIQUEZ"/>
    <s v="7350075029332"/>
    <s v="Enigma wave morado - LELO"/>
    <s v="JUGUETE"/>
    <s v="LELO"/>
    <n v="1"/>
    <n v="5862.07"/>
  </r>
  <r>
    <x v="14"/>
    <s v="02/01/2026"/>
    <s v="FATIMA CAROLINA  VALENCIA ENRIQUEZ"/>
    <s v="7503013378652"/>
    <s v="Liquid Love Backdoor 100ml - DUSA"/>
    <s v="CONSUMIBLE PROPIO"/>
    <s v="DUSA"/>
    <n v="1"/>
    <n v="1077.5899999999999"/>
  </r>
  <r>
    <x v="14"/>
    <s v="02/01/2026"/>
    <s v="FATIMA CAROLINA  VALENCIA ENRIQUEZ"/>
    <s v="7503032300993"/>
    <s v="Liquid Love Pleasure 30ml - DUSA"/>
    <s v="CONSUMIBLE PROPIO"/>
    <s v="DUSA"/>
    <n v="2"/>
    <n v="603.44000000000005"/>
  </r>
  <r>
    <x v="14"/>
    <s v="02/01/2026"/>
    <s v="FATIMA CAROLINA  VALENCIA ENRIQUEZ"/>
    <s v="7503013378645"/>
    <s v="Liquid Love Pleasure 100ml - DUSA"/>
    <s v="CONSUMIBLE PROPIO"/>
    <s v="DUSA"/>
    <n v="1"/>
    <n v="775.86"/>
  </r>
  <r>
    <x v="14"/>
    <s v="02/01/2026"/>
    <s v="FATIMA CAROLINA  VALENCIA ENRIQUEZ"/>
    <s v="7503023462242"/>
    <s v="Lubricante Masaje Termico Comestible Uva Dulce FEEL LOVE 4 en 1 60ml"/>
    <s v="LUBRICANTE"/>
    <s v="FEEL LOVE"/>
    <n v="1"/>
    <n v="344.83"/>
  </r>
  <r>
    <x v="14"/>
    <s v="02/01/2026"/>
    <s v="FATIMA CAROLINA  VALENCIA ENRIQUEZ"/>
    <s v="6959633103494"/>
    <s v="Mora Neo multiorgasmico rosa - SVAKOM"/>
    <s v="JUGUETE"/>
    <s v="SVAKOM"/>
    <n v="1"/>
    <n v="1637.93"/>
  </r>
  <r>
    <x v="14"/>
    <s v="02/01/2026"/>
    <s v="FATIMA CAROLINA  VALENCIA ENRIQUEZ"/>
    <s v="7503043917593"/>
    <s v="Nora dildo vibrador - CXO"/>
    <s v="JUGUETE PROPIO"/>
    <s v="CXO"/>
    <n v="1"/>
    <n v="474.14"/>
  </r>
  <r>
    <x v="14"/>
    <s v="02/01/2026"/>
    <s v="FATIMA CAROLINA  VALENCIA ENRIQUEZ"/>
    <s v="7503050524258"/>
    <s v="Sensicool 30ml - DUSA"/>
    <s v="CONSUMIBLE PROPIO"/>
    <s v="DUSA"/>
    <n v="1"/>
    <n v="431.03"/>
  </r>
  <r>
    <x v="14"/>
    <s v="02/01/2026"/>
    <s v="FATIMA CAROLINA  VALENCIA ENRIQUEZ"/>
    <s v="7503013378690"/>
    <s v="Shumatsu 3 pzas - DUSA"/>
    <s v="CONSUMIBLE PROPIO"/>
    <s v="DUSA"/>
    <n v="1"/>
    <n v="577.59"/>
  </r>
  <r>
    <x v="14"/>
    <s v="02/01/2026"/>
    <s v="FATIMA CAROLINA  VALENCIA ENRIQUEZ"/>
    <s v="4032498331652"/>
    <s v="Smartballs Uno  uva/blanco - FUN FACTORY"/>
    <s v="JUGUETE"/>
    <s v="FUN FACTORY"/>
    <n v="1"/>
    <n v="456.9"/>
  </r>
  <r>
    <x v="14"/>
    <s v="03/01/2026"/>
    <s v="ALFONSO  M CARBALLAR"/>
    <s v="7502214980275"/>
    <s v="Condones sabor y aroma soda c/ 3 pzs - PRUDENCE"/>
    <s v="CONSUMIBLE"/>
    <s v="PRUDENCE"/>
    <n v="1"/>
    <n v="60.34"/>
  </r>
  <r>
    <x v="14"/>
    <s v="03/01/2026"/>
    <s v="ALFONSO  M CARBALLAR"/>
    <s v="7503043917586"/>
    <s v="Huevo masturbador wavy - EGG"/>
    <s v="JUGUETE"/>
    <s v="EGG"/>
    <n v="1"/>
    <n v="159.47999999999999"/>
  </r>
  <r>
    <x v="14"/>
    <s v="03/01/2026"/>
    <s v="ALFONSO  M CARBALLAR"/>
    <s v="7503032300993"/>
    <s v="Liquid Love Pleasure 30ml - DUSA"/>
    <s v="CONSUMIBLE PROPIO"/>
    <s v="DUSA"/>
    <n v="1"/>
    <n v="301.72000000000003"/>
  </r>
  <r>
    <x v="14"/>
    <s v="03/01/2026"/>
    <s v="ALFONSO  M CARBALLAR"/>
    <s v="7503013378799"/>
    <s v="Lubricante Body Surf Termico Citricos DUSA 60ml"/>
    <s v="CONSUMIBLE PROPIO"/>
    <s v="DUSA"/>
    <n v="1"/>
    <n v="387.93"/>
  </r>
  <r>
    <x v="14"/>
    <s v="03/01/2026"/>
    <s v="ALFONSO  M CARBALLAR"/>
    <s v="7503013378010"/>
    <s v="Rigidex 2 pzas - DUSA"/>
    <s v="CONSUMIBLE PROPIO"/>
    <s v="DUSA"/>
    <n v="1"/>
    <n v="431.03"/>
  </r>
  <r>
    <x v="14"/>
    <s v="03/01/2026"/>
    <s v="ALFONSO  M CARBALLAR"/>
    <s v="7503024256192"/>
    <s v="Shot Shumatsu Fun Mujer - DUSA"/>
    <s v="CONSUMIBLE PROPIO"/>
    <s v="DUSA"/>
    <n v="1"/>
    <n v="172.41"/>
  </r>
  <r>
    <x v="14"/>
    <s v="03/01/2026"/>
    <s v="ALFONSO  M CARBALLAR"/>
    <s v="7503013378690"/>
    <s v="Shumatsu 3 pzas - DUSA"/>
    <s v="CONSUMIBLE PROPIO"/>
    <s v="DUSA"/>
    <n v="1"/>
    <n v="577.59"/>
  </r>
  <r>
    <x v="14"/>
    <s v="04/01/2026"/>
    <s v="FATIMA CAROLINA  VALENCIA ENRIQUEZ"/>
    <s v="7503020111072"/>
    <s v="Anillo vibrador recargable con textura negra Hank - CXO"/>
    <s v="JUGUETE PROPIO"/>
    <s v="CXO"/>
    <n v="1"/>
    <n v="1267.24"/>
  </r>
  <r>
    <x v="14"/>
    <s v="04/01/2026"/>
    <s v="FATIMA CAROLINA  VALENCIA ENRIQUEZ"/>
    <s v="7503014914002"/>
    <s v="CAPSULAS MULTIORGASMICO AMO O-GEN"/>
    <s v="CONSUMIBLE"/>
    <s v="POWER MAN"/>
    <n v="1"/>
    <n v="431.04"/>
  </r>
  <r>
    <x v="14"/>
    <s v="04/01/2026"/>
    <s v="FATIMA CAROLINA  VALENCIA ENRIQUEZ"/>
    <s v="7503030102034"/>
    <s v="Dildo vibrador con control Anthony - CXO"/>
    <s v="JUGUETE PROPIO"/>
    <s v="CXO"/>
    <n v="1"/>
    <n v="2112.0700000000002"/>
  </r>
  <r>
    <x v="14"/>
    <s v="04/01/2026"/>
    <s v="FATIMA CAROLINA  VALENCIA ENRIQUEZ"/>
    <s v="7503032300993"/>
    <s v="Liquid Love Pleasure 30ml - DUSA"/>
    <s v="CONSUMIBLE PROPIO"/>
    <s v="DUSA"/>
    <n v="3"/>
    <n v="905.16000000000008"/>
  </r>
  <r>
    <x v="14"/>
    <s v="04/01/2026"/>
    <s v="FATIMA CAROLINA  VALENCIA ENRIQUEZ"/>
    <s v="6959633103494"/>
    <s v="Mora Neo multiorgasmico rosa - SVAKOM"/>
    <s v="JUGUETE"/>
    <s v="SVAKOM"/>
    <n v="1"/>
    <n v="1637.93"/>
  </r>
  <r>
    <x v="14"/>
    <s v="04/01/2026"/>
    <s v="FATIMA CAROLINA  VALENCIA ENRIQUEZ"/>
    <s v="6959633127964"/>
    <s v="Sam Neo - SVAKOM"/>
    <s v="JUGUETE"/>
    <s v="SVAKOM"/>
    <n v="1"/>
    <n v="3017.24"/>
  </r>
  <r>
    <x v="14"/>
    <s v="04/01/2026"/>
    <s v="FATIMA CAROLINA  VALENCIA ENRIQUEZ"/>
    <s v="7503020596957"/>
    <s v="Shot Shumatsu Fun Hombre - DUSA"/>
    <s v="CONSUMIBLE PROPIO"/>
    <s v="DUSA"/>
    <n v="1"/>
    <n v="172.41"/>
  </r>
  <r>
    <x v="14"/>
    <s v="04/01/2026"/>
    <s v="FATIMA CAROLINA  VALENCIA ENRIQUEZ"/>
    <s v="7503013378690"/>
    <s v="Shumatsu 3 pzas - DUSA"/>
    <s v="CONSUMIBLE PROPIO"/>
    <s v="DUSA"/>
    <n v="2"/>
    <n v="1155.18"/>
  </r>
  <r>
    <x v="14"/>
    <s v="04/01/2026"/>
    <s v="FATIMA CAROLINA  VALENCIA ENRIQUEZ"/>
    <s v="7503020596063"/>
    <s v="Stallion Regenerador - DUSA"/>
    <s v="CONSUMIBLE PROPIO"/>
    <s v="DUSA"/>
    <n v="1"/>
    <n v="1293.0999999999999"/>
  </r>
  <r>
    <x v="14"/>
    <s v="05/01/2026"/>
    <s v="FATIMA CAROLINA  VALENCIA ENRIQUEZ"/>
    <s v="7508304288887"/>
    <s v="Aceite Fruta de la pasion 60ml - FEEL LOVE"/>
    <s v="CONSUMIBLE"/>
    <s v="FEEL LOVE"/>
    <n v="1"/>
    <n v="327.58999999999997"/>
  </r>
  <r>
    <x v="14"/>
    <s v="05/01/2026"/>
    <s v="FATIMA CAROLINA  VALENCIA ENRIQUEZ"/>
    <s v="7503013378645"/>
    <s v="Liquid Love Pleasure 100ml - DUSA"/>
    <s v="CONSUMIBLE PROPIO"/>
    <s v="DUSA"/>
    <n v="1"/>
    <n v="775.86"/>
  </r>
  <r>
    <x v="14"/>
    <s v="05/01/2026"/>
    <s v="FATIMA CAROLINA  VALENCIA ENRIQUEZ"/>
    <s v="7503024256154"/>
    <s v="Lubricante Body Surf Termico Cereza DUSA 60ml"/>
    <s v="CONSUMIBLE PROPIO"/>
    <s v="DUSA"/>
    <n v="1"/>
    <n v="387.93"/>
  </r>
  <r>
    <x v="14"/>
    <s v="05/01/2026"/>
    <s v="FATIMA CAROLINA  VALENCIA ENRIQUEZ"/>
    <s v="7503023462235"/>
    <s v="Lubricante Masaje Térmico Comestible Piña Colada FEEL LOVE 4 en 1 - 60ml"/>
    <s v="LUBRICANTE"/>
    <s v="FEEL LOVE"/>
    <n v="1"/>
    <n v="344.83"/>
  </r>
  <r>
    <x v="14"/>
    <s v="05/01/2026"/>
    <s v="FATIMA CAROLINA  VALENCIA ENRIQUEZ"/>
    <s v="8699415912859"/>
    <s v="Miel Vigorizante para Hombre  Miracle Honey  VIP 15g-  SECRET MIRACLE HONEY"/>
    <s v="CONSUMIBLE"/>
    <s v="SECRET MIRACLE HONEY"/>
    <n v="1"/>
    <n v="215.52"/>
  </r>
  <r>
    <x v="14"/>
    <s v="05/01/2026"/>
    <s v="FATIMA CAROLINA  VALENCIA ENRIQUEZ"/>
    <s v="75079413"/>
    <s v="Mini Kit Hombre 3 piezas - SXO"/>
    <s v="CONSUMIBLE"/>
    <s v="SXO"/>
    <n v="1"/>
    <n v="284.48"/>
  </r>
  <r>
    <x v="14"/>
    <s v="05/01/2026"/>
    <s v="FATIMA CAROLINA  VALENCIA ENRIQUEZ"/>
    <s v="7503050524241"/>
    <s v="Orgasmik 30ml - DUSA"/>
    <s v="CONSUMIBLE PROPIO"/>
    <s v="DUSA"/>
    <n v="2"/>
    <n v="862.06"/>
  </r>
  <r>
    <x v="14"/>
    <s v="05/01/2026"/>
    <s v="FATIMA CAROLINA  VALENCIA ENRIQUEZ"/>
    <s v="7503013378690"/>
    <s v="Shumatsu 3 pzas - DUSA"/>
    <s v="CONSUMIBLE PROPIO"/>
    <s v="DUSA"/>
    <n v="3"/>
    <n v="1732.77"/>
  </r>
  <r>
    <x v="14"/>
    <s v="05/01/2026"/>
    <s v="FATIMA CAROLINA  VALENCIA ENRIQUEZ"/>
    <s v="7503020104080"/>
    <s v="Vibrador multiorgásmico con doble motor y estimulador de conejito Ara – CXO"/>
    <s v="JUGUETE PROPIO"/>
    <s v="CXO"/>
    <n v="1"/>
    <n v="2163.79"/>
  </r>
  <r>
    <x v="14"/>
    <s v="06/01/2026"/>
    <s v="FATIMA CAROLINA  VALENCIA ENRIQUEZ"/>
    <s v="6959633102800"/>
    <s v="Ava neo vibrador azul - SVAKOM"/>
    <s v="JUGUETE"/>
    <s v="SVAKOM"/>
    <n v="1"/>
    <n v="1810.34"/>
  </r>
  <r>
    <x v="14"/>
    <s v="06/01/2026"/>
    <s v="FATIMA CAROLINA  VALENCIA ENRIQUEZ"/>
    <s v="LL-A2216"/>
    <s v="Huevito con 10 modos de Vibración  Gina - CXO"/>
    <s v="JUGUETE PROPIO"/>
    <s v="CXO"/>
    <n v="1"/>
    <n v="1500"/>
  </r>
  <r>
    <x v="14"/>
    <s v="06/01/2026"/>
    <s v="FATIMA CAROLINA  VALENCIA ENRIQUEZ"/>
    <s v="7503013378645"/>
    <s v="Liquid Love Pleasure 100ml - DUSA"/>
    <s v="CONSUMIBLE PROPIO"/>
    <s v="DUSA"/>
    <n v="1"/>
    <n v="775.86"/>
  </r>
  <r>
    <x v="14"/>
    <s v="06/01/2026"/>
    <s v="FATIMA CAROLINA  VALENCIA ENRIQUEZ"/>
    <s v="7503024256154"/>
    <s v="Lubricante Body Surf Termico Cereza DUSA 60ml"/>
    <s v="CONSUMIBLE PROPIO"/>
    <s v="DUSA"/>
    <n v="1"/>
    <n v="387.93"/>
  </r>
  <r>
    <x v="14"/>
    <s v="06/01/2026"/>
    <s v="FATIMA CAROLINA  VALENCIA ENRIQUEZ"/>
    <s v="7503024256635"/>
    <s v="Olive  6.8&quot; rosa - CXO"/>
    <s v="JUGUETE PROPIO"/>
    <s v="CXO"/>
    <n v="1"/>
    <n v="603.45000000000005"/>
  </r>
  <r>
    <x v="14"/>
    <s v="06/01/2026"/>
    <s v="FATIMA CAROLINA  VALENCIA ENRIQUEZ"/>
    <s v="6959633127964"/>
    <s v="Sam Neo - SVAKOM"/>
    <s v="JUGUETE"/>
    <s v="SVAKOM"/>
    <n v="1"/>
    <n v="3017.24"/>
  </r>
  <r>
    <x v="14"/>
    <s v="06/01/2026"/>
    <s v="FATIMA CAROLINA  VALENCIA ENRIQUEZ"/>
    <s v="7503013378690"/>
    <s v="Shumatsu 3 pzas - DUSA"/>
    <s v="CONSUMIBLE PROPIO"/>
    <s v="DUSA"/>
    <n v="1"/>
    <n v="577.59"/>
  </r>
  <r>
    <x v="14"/>
    <s v="06/01/2026"/>
    <s v="FATIMA CAROLINA  VALENCIA ENRIQUEZ"/>
    <s v="7503020104082"/>
    <s v="Vibrador multiorgásmico con succionador y perlas Andy – CXO"/>
    <s v="JUGUETE PROPIO"/>
    <s v="CXO"/>
    <n v="1"/>
    <n v="2258.62"/>
  </r>
  <r>
    <x v="14"/>
    <s v="07/01/2026"/>
    <s v="FATIMA CAROLINA  VALENCIA ENRIQUEZ"/>
    <s v="7503014914002"/>
    <s v="CAPSULAS MULTIORGASMICO AMO O-GEN"/>
    <s v="CONSUMIBLE"/>
    <s v="POWER MAN"/>
    <n v="1"/>
    <n v="431.04"/>
  </r>
  <r>
    <x v="14"/>
    <s v="07/01/2026"/>
    <s v="FATIMA CAROLINA  VALENCIA ENRIQUEZ"/>
    <s v="7503024256154"/>
    <s v="Lubricante Body Surf Termico Cereza DUSA 60ml"/>
    <s v="CONSUMIBLE PROPIO"/>
    <s v="DUSA"/>
    <n v="1"/>
    <n v="387.93"/>
  </r>
  <r>
    <x v="14"/>
    <s v="07/01/2026"/>
    <s v="FATIMA CAROLINA  VALENCIA ENRIQUEZ"/>
    <s v="7503050524241"/>
    <s v="Orgasmik 30ml - DUSA"/>
    <s v="CONSUMIBLE PROPIO"/>
    <s v="DUSA"/>
    <n v="1"/>
    <n v="431.03"/>
  </r>
  <r>
    <x v="14"/>
    <s v="08/01/2026"/>
    <s v="FATIMA CAROLINA  VALENCIA ENRIQUEZ"/>
    <s v="7503013378102"/>
    <s v="Anastasia Gema de Colores M - CXO"/>
    <s v="JUGUETE PROPIO"/>
    <s v="CXO"/>
    <n v="1"/>
    <n v="456.9"/>
  </r>
  <r>
    <x v="14"/>
    <s v="08/01/2026"/>
    <s v="FATIMA CAROLINA  VALENCIA ENRIQUEZ"/>
    <s v="7503043917081"/>
    <s v="Blade rosa anillo vibrador - CXO"/>
    <s v="JUGUETE PROPIO"/>
    <s v="CXO"/>
    <n v="1"/>
    <n v="81.900000000000006"/>
  </r>
  <r>
    <x v="14"/>
    <s v="08/01/2026"/>
    <s v="FATIMA CAROLINA  VALENCIA ENRIQUEZ"/>
    <s v="7503032300474"/>
    <s v="Cola de Zorro 45cm blanco S - CXO"/>
    <s v="JUGUETE PROPIO"/>
    <s v="CXO"/>
    <n v="1"/>
    <n v="258.62"/>
  </r>
  <r>
    <x v="14"/>
    <s v="08/01/2026"/>
    <s v="FATIMA CAROLINA  VALENCIA ENRIQUEZ"/>
    <s v="7503032300634"/>
    <s v="Kevin violeta - CXO"/>
    <s v="JUGUETE PROPIO"/>
    <s v="CXO"/>
    <n v="1"/>
    <n v="775.86"/>
  </r>
  <r>
    <x v="14"/>
    <s v="08/01/2026"/>
    <s v="FATIMA CAROLINA  VALENCIA ENRIQUEZ"/>
    <s v="7503032300993"/>
    <s v="Liquid Love Pleasure 30ml - DUSA"/>
    <s v="CONSUMIBLE PROPIO"/>
    <s v="DUSA"/>
    <n v="1"/>
    <n v="301.72000000000003"/>
  </r>
  <r>
    <x v="14"/>
    <s v="08/01/2026"/>
    <s v="FATIMA CAROLINA  VALENCIA ENRIQUEZ"/>
    <s v="GWPS_BANANASHAKE_001"/>
    <s v="Lub de Regalo - Banana Shake"/>
    <s v="ACTIVACION"/>
    <s v="BANANA SHAKE"/>
    <n v="7"/>
    <n v="7.0000000000000007E-2"/>
  </r>
  <r>
    <x v="14"/>
    <s v="08/01/2026"/>
    <s v="FATIMA CAROLINA  VALENCIA ENRIQUEZ"/>
    <s v="7503013378126"/>
    <s v="Lubricante Body Surf Frio Natural DUSA 60ml"/>
    <s v="CONSUMIBLE PROPIO"/>
    <s v="DUSA"/>
    <n v="1"/>
    <n v="387.93"/>
  </r>
  <r>
    <x v="14"/>
    <s v="08/01/2026"/>
    <s v="FATIMA CAROLINA  VALENCIA ENRIQUEZ"/>
    <s v="7503024256154"/>
    <s v="Lubricante Body Surf Termico Cereza DUSA 60ml"/>
    <s v="CONSUMIBLE PROPIO"/>
    <s v="DUSA"/>
    <n v="1"/>
    <n v="387.93"/>
  </r>
  <r>
    <x v="14"/>
    <s v="08/01/2026"/>
    <s v="FATIMA CAROLINA  VALENCIA ENRIQUEZ"/>
    <s v="7503013378799"/>
    <s v="Lubricante Body Surf Termico Citricos DUSA 60ml"/>
    <s v="CONSUMIBLE PROPIO"/>
    <s v="DUSA"/>
    <n v="1"/>
    <n v="387.93"/>
  </r>
  <r>
    <x v="14"/>
    <s v="08/01/2026"/>
    <s v="FATIMA CAROLINA  VALENCIA ENRIQUEZ"/>
    <s v="7503013378010"/>
    <s v="Rigidex 2 pzas - DUSA"/>
    <s v="CONSUMIBLE PROPIO"/>
    <s v="DUSA"/>
    <n v="3"/>
    <n v="1293.0999999999999"/>
  </r>
  <r>
    <x v="14"/>
    <s v="08/01/2026"/>
    <s v="FATIMA CAROLINA  VALENCIA ENRIQUEZ"/>
    <s v="7503020596957"/>
    <s v="Shot Shumatsu Fun Hombre - DUSA"/>
    <s v="CONSUMIBLE PROPIO"/>
    <s v="DUSA"/>
    <n v="1"/>
    <n v="172.41"/>
  </r>
  <r>
    <x v="14"/>
    <s v="08/01/2026"/>
    <s v="FATIMA CAROLINA  VALENCIA ENRIQUEZ"/>
    <s v="7503024256192"/>
    <s v="Shot Shumatsu Fun Mujer - DUSA"/>
    <s v="CONSUMIBLE PROPIO"/>
    <s v="DUSA"/>
    <n v="1"/>
    <n v="172.41"/>
  </r>
  <r>
    <x v="14"/>
    <s v="09/01/2026"/>
    <s v="ALFONSO  M CARBALLAR"/>
    <s v="7503020111072"/>
    <s v="Anillo vibrador recargable con textura negra Hank - CXO"/>
    <s v="JUGUETE PROPIO"/>
    <s v="CXO"/>
    <n v="1"/>
    <n v="1267.24"/>
  </r>
  <r>
    <x v="14"/>
    <s v="09/01/2026"/>
    <s v="ALFONSO  M CARBALLAR"/>
    <s v="7503038654007"/>
    <s v="Fragancia con Feromonas Body Breeze Sugar Baby DIAMANTE Dulce 125ml"/>
    <s v="CONSUMIBLE"/>
    <s v="DIAMANTE"/>
    <n v="1"/>
    <n v="413.79"/>
  </r>
  <r>
    <x v="14"/>
    <s v="09/01/2026"/>
    <s v="ALFONSO  M CARBALLAR"/>
    <s v="7503050524265"/>
    <s v="He Plus 30ml - DUSA"/>
    <s v="CONSUMIBLE PROPIO"/>
    <s v="DUSA"/>
    <n v="1"/>
    <n v="431.03"/>
  </r>
  <r>
    <x v="14"/>
    <s v="09/01/2026"/>
    <s v="ALFONSO  M CARBALLAR"/>
    <s v="7503032300634"/>
    <s v="Kevin violeta - CXO"/>
    <s v="JUGUETE PROPIO"/>
    <s v="CXO"/>
    <n v="1"/>
    <n v="775.86"/>
  </r>
  <r>
    <x v="14"/>
    <s v="09/01/2026"/>
    <s v="ALFONSO  M CARBALLAR"/>
    <s v="7503013378645"/>
    <s v="Liquid Love Pleasure 100ml - DUSA"/>
    <s v="CONSUMIBLE PROPIO"/>
    <s v="DUSA"/>
    <n v="1"/>
    <n v="775.86"/>
  </r>
  <r>
    <x v="14"/>
    <s v="09/01/2026"/>
    <s v="ALFONSO  M CARBALLAR"/>
    <s v="SE018"/>
    <s v="Masturbador Jarrón - CXO"/>
    <s v="JUGUETE PROPIO"/>
    <s v="CXO"/>
    <n v="1"/>
    <n v="1034.48"/>
  </r>
  <r>
    <x v="14"/>
    <s v="09/01/2026"/>
    <s v="ALFONSO  M CARBALLAR"/>
    <s v="8699415912859"/>
    <s v="Miel Vigorizante para Hombre  Miracle Honey  VIP 15g-  SECRET MIRACLE HONEY"/>
    <s v="CONSUMIBLE"/>
    <s v="SECRET MIRACLE HONEY"/>
    <n v="1"/>
    <n v="215.52"/>
  </r>
  <r>
    <x v="14"/>
    <s v="09/01/2026"/>
    <s v="ALFONSO  M CARBALLAR"/>
    <s v="7503013378010"/>
    <s v="Rigidex 2 pzas - DUSA"/>
    <s v="CONSUMIBLE PROPIO"/>
    <s v="DUSA"/>
    <n v="1"/>
    <n v="431.03"/>
  </r>
  <r>
    <x v="14"/>
    <s v="09/01/2026"/>
    <s v="ALFONSO  M CARBALLAR"/>
    <s v="7503032300795"/>
    <s v="Sachet lubricante desensibilizador 2 ml - BANANA SHAKE"/>
    <s v="CONSUMIBLE"/>
    <s v="BANANA SHAKE"/>
    <n v="2"/>
    <n v="43.1"/>
  </r>
  <r>
    <x v="14"/>
    <s v="09/01/2026"/>
    <s v="ALFONSO  M CARBALLAR"/>
    <s v="7503032300856"/>
    <s v="Sachet vibrador liquido 2 ml - BANANA SHAKE"/>
    <s v="CONSUMIBLE"/>
    <s v="BANANA SHAKE"/>
    <n v="2"/>
    <n v="34.479999999999997"/>
  </r>
  <r>
    <x v="14"/>
    <s v="09/01/2026"/>
    <s v="ALFONSO  M CARBALLAR"/>
    <s v="7503020596063"/>
    <s v="Stallion Regenerador - DUSA"/>
    <s v="CONSUMIBLE PROPIO"/>
    <s v="DUSA"/>
    <n v="1"/>
    <n v="1293.0999999999999"/>
  </r>
  <r>
    <x v="14"/>
    <s v="10/01/2026"/>
    <s v="FATIMA CAROLINA  VALENCIA ENRIQUEZ"/>
    <s v="7503043917081"/>
    <s v="Blade rosa anillo vibrador - CXO"/>
    <s v="JUGUETE PROPIO"/>
    <s v="CXO"/>
    <n v="1"/>
    <n v="81.900000000000006"/>
  </r>
  <r>
    <x v="14"/>
    <s v="10/01/2026"/>
    <s v="FATIMA CAROLINA  VALENCIA ENRIQUEZ"/>
    <s v="7503014914002"/>
    <s v="CAPSULAS MULTIORGASMICO AMO O-GEN"/>
    <s v="CONSUMIBLE"/>
    <s v="POWER MAN"/>
    <n v="1"/>
    <n v="431.04"/>
  </r>
  <r>
    <x v="14"/>
    <s v="10/01/2026"/>
    <s v="FATIMA CAROLINA  VALENCIA ENRIQUEZ"/>
    <s v="7503032300993"/>
    <s v="Liquid Love Pleasure 30ml - DUSA"/>
    <s v="CONSUMIBLE PROPIO"/>
    <s v="DUSA"/>
    <n v="1"/>
    <n v="301.72000000000003"/>
  </r>
  <r>
    <x v="14"/>
    <s v="10/01/2026"/>
    <s v="FATIMA CAROLINA  VALENCIA ENRIQUEZ"/>
    <s v="7503013378980"/>
    <s v="Lubricante Body Surf Termico Chicle DUSA 60ml"/>
    <s v="CONSUMIBLE PROPIO"/>
    <s v="DUSA"/>
    <n v="1"/>
    <n v="387.93"/>
  </r>
  <r>
    <x v="14"/>
    <s v="10/01/2026"/>
    <s v="FATIMA CAROLINA  VALENCIA ENRIQUEZ"/>
    <s v="7508304289037"/>
    <s v="LUBRICANTE C/FEROMONAS -LUJO- 40ML  RETARDADOR"/>
    <s v="CONSUMIBLE"/>
    <s v="DIAMANTE"/>
    <n v="1"/>
    <n v="508.62"/>
  </r>
  <r>
    <x v="14"/>
    <s v="10/01/2026"/>
    <s v="FATIMA CAROLINA  VALENCIA ENRIQUEZ"/>
    <s v="8699415912859"/>
    <s v="Miel Vigorizante para Hombre  Miracle Honey  VIP 15g-  SECRET MIRACLE HONEY"/>
    <s v="CONSUMIBLE"/>
    <s v="SECRET MIRACLE HONEY"/>
    <n v="1"/>
    <n v="215.52"/>
  </r>
  <r>
    <x v="14"/>
    <s v="10/01/2026"/>
    <s v="FATIMA CAROLINA  VALENCIA ENRIQUEZ"/>
    <s v="7503050524241"/>
    <s v="Orgasmik 30ml - DUSA"/>
    <s v="CONSUMIBLE PROPIO"/>
    <s v="DUSA"/>
    <n v="1"/>
    <n v="431.03"/>
  </r>
  <r>
    <x v="14"/>
    <s v="10/01/2026"/>
    <s v="FATIMA CAROLINA  VALENCIA ENRIQUEZ"/>
    <s v="7503013378010"/>
    <s v="Rigidex 2 pzas - DUSA"/>
    <s v="CONSUMIBLE PROPIO"/>
    <s v="DUSA"/>
    <n v="3"/>
    <n v="1293.0899999999999"/>
  </r>
  <r>
    <x v="14"/>
    <s v="10/01/2026"/>
    <s v="FATIMA CAROLINA  VALENCIA ENRIQUEZ"/>
    <s v="4061504007373"/>
    <s v="Succionador Number Two - Satisfayer"/>
    <s v="JUGUETE"/>
    <s v="SATISFAYER"/>
    <n v="1"/>
    <n v="1637.93"/>
  </r>
  <r>
    <x v="14"/>
    <s v="10/01/2026"/>
    <s v="FATIMA CAROLINA  VALENCIA ENRIQUEZ"/>
    <s v="CBD"/>
    <s v="SUNNY SIDE UP CBD HIPOALERGENICO 10ml"/>
    <s v="CONSUMIBLE"/>
    <s v="SUNNY SIDE UP"/>
    <n v="1"/>
    <n v="301.72000000000003"/>
  </r>
  <r>
    <x v="14"/>
    <s v="11/01/2026"/>
    <s v="FATIMA CAROLINA  VALENCIA ENRIQUEZ"/>
    <s v="7503013378492"/>
    <s v="Clean Whisper 120ml - DUSA"/>
    <s v="CONSUMIBLE PROPIO"/>
    <s v="DUSA"/>
    <n v="1"/>
    <n v="301.72000000000003"/>
  </r>
  <r>
    <x v="14"/>
    <s v="11/01/2026"/>
    <s v="FATIMA CAROLINA  VALENCIA ENRIQUEZ"/>
    <s v="LL-A2216"/>
    <s v="Huevito con 10 modos de Vibración  Gina - CXO"/>
    <s v="JUGUETE PROPIO"/>
    <s v="CXO"/>
    <n v="1"/>
    <n v="1500"/>
  </r>
  <r>
    <x v="14"/>
    <s v="11/01/2026"/>
    <s v="FATIMA CAROLINA  VALENCIA ENRIQUEZ"/>
    <s v="7503050524241"/>
    <s v="Orgasmik 30ml - DUSA"/>
    <s v="CONSUMIBLE PROPIO"/>
    <s v="DUSA"/>
    <n v="1"/>
    <n v="431.03"/>
  </r>
  <r>
    <x v="14"/>
    <s v="11/01/2026"/>
    <s v="FATIMA CAROLINA  VALENCIA ENRIQUEZ"/>
    <s v="7503050524289"/>
    <s v="Oxi bomba de vacio manual - CXO"/>
    <s v="JUGUETE PROPIO"/>
    <s v="CXO"/>
    <n v="1"/>
    <n v="853.45"/>
  </r>
  <r>
    <x v="15"/>
    <s v="02/01/2026"/>
    <s v="NICOLAS H ACEVES"/>
    <s v="7503043917081"/>
    <s v="Blade rosa anillo vibrador - CXO"/>
    <s v="JUGUETE PROPIO"/>
    <s v="CXO"/>
    <n v="2"/>
    <n v="163.80000000000001"/>
  </r>
  <r>
    <x v="15"/>
    <s v="02/01/2026"/>
    <s v="NICOLAS H ACEVES"/>
    <s v="7503013378492"/>
    <s v="Clean Whisper 120ml - DUSA"/>
    <s v="CONSUMIBLE PROPIO"/>
    <s v="DUSA"/>
    <n v="1"/>
    <n v="301.72000000000003"/>
  </r>
  <r>
    <x v="15"/>
    <s v="02/01/2026"/>
    <s v="NICOLAS H ACEVES"/>
    <s v="603912120042"/>
    <s v="Happy Top Tickler funda - PIPEDREAM"/>
    <s v="JUGUETE"/>
    <s v="PIPEDREAM"/>
    <n v="1"/>
    <n v="344.83"/>
  </r>
  <r>
    <x v="15"/>
    <s v="02/01/2026"/>
    <s v="NICOLAS H ACEVES"/>
    <s v="7503043917012"/>
    <s v="Liquid Love Backdoor 30ml - DUSA"/>
    <s v="CONSUMIBLE PROPIO"/>
    <s v="DUSA"/>
    <n v="1"/>
    <n v="301.72000000000003"/>
  </r>
  <r>
    <x v="15"/>
    <s v="02/01/2026"/>
    <s v="NICOLAS H ACEVES"/>
    <s v="7503020596001"/>
    <s v="Liquid Love Clear 100ml - DUSA"/>
    <s v="CONSUMIBLE PROPIO"/>
    <s v="DUSA"/>
    <n v="1"/>
    <n v="775.86"/>
  </r>
  <r>
    <x v="15"/>
    <s v="02/01/2026"/>
    <s v="NICOLAS H ACEVES"/>
    <s v="7503013378645"/>
    <s v="Liquid Love Pleasure 100ml - DUSA"/>
    <s v="CONSUMIBLE PROPIO"/>
    <s v="DUSA"/>
    <n v="1"/>
    <n v="775.86"/>
  </r>
  <r>
    <x v="15"/>
    <s v="02/01/2026"/>
    <s v="NICOLAS H ACEVES"/>
    <s v="7503013378126"/>
    <s v="Lubricante Body Surf Frio Natural DUSA 60ml"/>
    <s v="CONSUMIBLE PROPIO"/>
    <s v="DUSA"/>
    <n v="1"/>
    <n v="387.93"/>
  </r>
  <r>
    <x v="15"/>
    <s v="02/01/2026"/>
    <s v="NICOLAS H ACEVES"/>
    <s v="713001200104"/>
    <s v="Multiorgasmico con estimulador de clitoris de aleteo Marisol - CXO"/>
    <s v="JUGUETE PROPIO"/>
    <s v="CXO"/>
    <n v="1"/>
    <n v="2500"/>
  </r>
  <r>
    <x v="15"/>
    <s v="02/01/2026"/>
    <s v="NICOLAS H ACEVES"/>
    <s v="7503024256635"/>
    <s v="Olive  6.8&quot; rosa - CXO"/>
    <s v="JUGUETE PROPIO"/>
    <s v="CXO"/>
    <n v="1"/>
    <n v="603.45000000000005"/>
  </r>
  <r>
    <x v="15"/>
    <s v="02/01/2026"/>
    <s v="NICOLAS H ACEVES"/>
    <s v="7503013378010"/>
    <s v="Rigidex 2 pzas - DUSA"/>
    <s v="CONSUMIBLE PROPIO"/>
    <s v="DUSA"/>
    <n v="1"/>
    <n v="431.03"/>
  </r>
  <r>
    <x v="15"/>
    <s v="02/01/2026"/>
    <s v="NICOLAS H ACEVES"/>
    <s v="7503020596957"/>
    <s v="Shot Shumatsu Fun Hombre - DUSA"/>
    <s v="CONSUMIBLE PROPIO"/>
    <s v="DUSA"/>
    <n v="1"/>
    <n v="172.41"/>
  </r>
  <r>
    <x v="15"/>
    <s v="02/01/2026"/>
    <s v="NICOLAS H ACEVES"/>
    <s v="7503024256192"/>
    <s v="Shot Shumatsu Fun Mujer - DUSA"/>
    <s v="CONSUMIBLE PROPIO"/>
    <s v="DUSA"/>
    <n v="1"/>
    <n v="172.41"/>
  </r>
  <r>
    <x v="15"/>
    <s v="02/01/2026"/>
    <s v="NICOLAS H ACEVES"/>
    <s v="7503020105084"/>
    <s v="Vibrador para parejas tipo C Trinity – CXO"/>
    <s v="JUGUETE PROPIO"/>
    <s v="CXO"/>
    <n v="1"/>
    <n v="2465.52"/>
  </r>
  <r>
    <x v="15"/>
    <s v="03/01/2026"/>
    <s v="NICOLAS H ACEVES"/>
    <s v="6959633101278"/>
    <s v="Alex Neo 2 azul oscuro - SVAKOM"/>
    <s v="JUGUETE"/>
    <s v="SVAKOM"/>
    <n v="1"/>
    <n v="4482.76"/>
  </r>
  <r>
    <x v="15"/>
    <s v="03/01/2026"/>
    <s v="NICOLAS H ACEVES"/>
    <s v="7503043917081"/>
    <s v="Blade rosa anillo vibrador - CXO"/>
    <s v="JUGUETE PROPIO"/>
    <s v="CXO"/>
    <n v="1"/>
    <n v="81.900000000000006"/>
  </r>
  <r>
    <x v="15"/>
    <s v="03/01/2026"/>
    <s v="NICOLAS H ACEVES"/>
    <s v="7503020310205"/>
    <s v="Dildo Vibrador Termico Realista 3 en 1 con movimiento Hades-CXO"/>
    <s v="JUGUETE PROPIO"/>
    <s v="CXO"/>
    <n v="1"/>
    <n v="2500"/>
  </r>
  <r>
    <x v="15"/>
    <s v="03/01/2026"/>
    <s v="NICOLAS H ACEVES"/>
    <s v="844477014296"/>
    <s v="Eves Rechargeable Pulsating Dual Massager - ADAM AND EVE"/>
    <s v="JUGUETE"/>
    <s v="ADAM &amp; EVE"/>
    <n v="1"/>
    <n v="2482.7600000000002"/>
  </r>
  <r>
    <x v="15"/>
    <s v="03/01/2026"/>
    <s v="NICOLAS H ACEVES"/>
    <s v="7500633010269"/>
    <s v="LIGUERO EN ENCAJE ROJO MEDIANO 01026"/>
    <s v="LENCERIA"/>
    <s v="CHRISLIFERBRA"/>
    <n v="1"/>
    <n v="198.28"/>
  </r>
  <r>
    <x v="15"/>
    <s v="03/01/2026"/>
    <s v="NICOLAS H ACEVES"/>
    <s v="7503043917005"/>
    <s v="Liquid Love Clear 30ml - DUSA"/>
    <s v="CONSUMIBLE PROPIO"/>
    <s v="DUSA"/>
    <n v="1"/>
    <n v="301.72000000000003"/>
  </r>
  <r>
    <x v="15"/>
    <s v="03/01/2026"/>
    <s v="NICOLAS H ACEVES"/>
    <s v="827160112141"/>
    <s v="Lubricante Backdoor 100ml - PJUR"/>
    <s v="CONSUMIBLE"/>
    <s v="PJUR"/>
    <n v="1"/>
    <n v="784.48"/>
  </r>
  <r>
    <x v="15"/>
    <s v="03/01/2026"/>
    <s v="NICOLAS H ACEVES"/>
    <s v="7503024256154"/>
    <s v="Lubricante Body Surf Termico Cereza DUSA 60ml"/>
    <s v="CONSUMIBLE PROPIO"/>
    <s v="DUSA"/>
    <n v="1"/>
    <n v="387.93"/>
  </r>
  <r>
    <x v="15"/>
    <s v="03/01/2026"/>
    <s v="NICOLAS H ACEVES"/>
    <s v="7503013378980"/>
    <s v="Lubricante Body Surf Termico Chicle DUSA 60ml"/>
    <s v="CONSUMIBLE PROPIO"/>
    <s v="DUSA"/>
    <n v="1"/>
    <n v="387.93"/>
  </r>
  <r>
    <x v="15"/>
    <s v="03/01/2026"/>
    <s v="NICOLAS H ACEVES"/>
    <s v="7503032300825"/>
    <s v="Lubricante Sachet natural 2 ml - BANANA SHAKE"/>
    <s v="CONSUMIBLE"/>
    <s v="BANANA SHAKE"/>
    <n v="1"/>
    <n v="17.239999999999998"/>
  </r>
  <r>
    <x v="15"/>
    <s v="03/01/2026"/>
    <s v="NICOLAS H ACEVES"/>
    <s v="7503024256635"/>
    <s v="Olive  6.8&quot; rosa - CXO"/>
    <s v="JUGUETE PROPIO"/>
    <s v="CXO"/>
    <n v="1"/>
    <n v="603.45000000000005"/>
  </r>
  <r>
    <x v="15"/>
    <s v="03/01/2026"/>
    <s v="NICOLAS H ACEVES"/>
    <s v="7503013378010"/>
    <s v="Rigidex 2 pzas - DUSA"/>
    <s v="CONSUMIBLE PROPIO"/>
    <s v="DUSA"/>
    <n v="2"/>
    <n v="862.06"/>
  </r>
  <r>
    <x v="15"/>
    <s v="03/01/2026"/>
    <s v="NICOLAS H ACEVES"/>
    <s v="7503020596957"/>
    <s v="Shot Shumatsu Fun Hombre - DUSA"/>
    <s v="CONSUMIBLE PROPIO"/>
    <s v="DUSA"/>
    <n v="4"/>
    <n v="689.64"/>
  </r>
  <r>
    <x v="15"/>
    <s v="03/01/2026"/>
    <s v="NICOLAS H ACEVES"/>
    <s v="7503024256192"/>
    <s v="Shot Shumatsu Fun Mujer - DUSA"/>
    <s v="CONSUMIBLE PROPIO"/>
    <s v="DUSA"/>
    <n v="1"/>
    <n v="172.41"/>
  </r>
  <r>
    <x v="15"/>
    <s v="03/01/2026"/>
    <s v="NICOLAS H ACEVES"/>
    <s v="4061504007373"/>
    <s v="Succionador Number Two - Satisfayer"/>
    <s v="JUGUETE"/>
    <s v="SATISFAYER"/>
    <n v="1"/>
    <n v="1637.93"/>
  </r>
  <r>
    <x v="15"/>
    <s v="03/01/2026"/>
    <s v="NICOLAS H ACEVES"/>
    <s v="7503032300443"/>
    <s v="Zoe bala vibradora RETAIL - CXO"/>
    <s v="JUGUETE PROPIO"/>
    <s v="CXO"/>
    <n v="2"/>
    <n v="310.33999999999997"/>
  </r>
  <r>
    <x v="15"/>
    <s v="04/01/2026"/>
    <s v="ALFONSO  M CARBALLAR"/>
    <s v="7503050226138"/>
    <s v="Body Abri - OLA MOU"/>
    <s v="LENCERIA"/>
    <s v="OLA MOU"/>
    <n v="1"/>
    <n v="465.52"/>
  </r>
  <r>
    <x v="15"/>
    <s v="04/01/2026"/>
    <s v="ALFONSO  M CARBALLAR"/>
    <s v="7503050226139"/>
    <s v="Body Alma - OLA MOU"/>
    <s v="LENCERIA"/>
    <s v="OLA MOU"/>
    <n v="1"/>
    <n v="387.93"/>
  </r>
  <r>
    <x v="15"/>
    <s v="04/01/2026"/>
    <s v="ALFONSO  M CARBALLAR"/>
    <s v="7503013378492"/>
    <s v="Clean Whisper 120ml - DUSA"/>
    <s v="CONSUMIBLE PROPIO"/>
    <s v="DUSA"/>
    <n v="1"/>
    <n v="301.72000000000003"/>
  </r>
  <r>
    <x v="15"/>
    <s v="04/01/2026"/>
    <s v="ALFONSO  M CARBALLAR"/>
    <s v="7503013378652"/>
    <s v="Liquid Love Backdoor 100ml - DUSA"/>
    <s v="CONSUMIBLE PROPIO"/>
    <s v="DUSA"/>
    <n v="1"/>
    <n v="1077.5899999999999"/>
  </r>
  <r>
    <x v="15"/>
    <s v="04/01/2026"/>
    <s v="ALFONSO  M CARBALLAR"/>
    <s v="7503050524241"/>
    <s v="Orgasmik 30ml - DUSA"/>
    <s v="CONSUMIBLE PROPIO"/>
    <s v="DUSA"/>
    <n v="1"/>
    <n v="431.03"/>
  </r>
  <r>
    <x v="15"/>
    <s v="04/01/2026"/>
    <s v="ALFONSO  M CARBALLAR"/>
    <s v="6970556032074"/>
    <s v="Plug Anal con 10 modos de Vibracion de 11.5cm  Ramiro- CXO"/>
    <s v="JUGUETE PROPIO"/>
    <s v="CXO"/>
    <n v="1"/>
    <n v="1034.48"/>
  </r>
  <r>
    <x v="15"/>
    <s v="04/01/2026"/>
    <s v="ALFONSO  M CARBALLAR"/>
    <s v="7503020104086"/>
    <s v="Vibrador y pulsador multiorgásmico con estimulador para clítoris Carola – CXO"/>
    <s v="JUGUETE PROPIO"/>
    <s v="CXO"/>
    <n v="1"/>
    <n v="2577.59"/>
  </r>
  <r>
    <x v="15"/>
    <s v="04/01/2026"/>
    <s v="ALFONSO  M CARBALLAR"/>
    <s v="7503032300443"/>
    <s v="Zoe bala vibradora RETAIL - CXO"/>
    <s v="JUGUETE PROPIO"/>
    <s v="CXO"/>
    <n v="2"/>
    <n v="310.33999999999997"/>
  </r>
  <r>
    <x v="15"/>
    <s v="05/01/2026"/>
    <s v="NICOLAS H ACEVES"/>
    <s v="7503013378102"/>
    <s v="Anastasia Gema de Colores M - CXO"/>
    <s v="JUGUETE PROPIO"/>
    <s v="CXO"/>
    <n v="1"/>
    <n v="456.9"/>
  </r>
  <r>
    <x v="15"/>
    <s v="05/01/2026"/>
    <s v="NICOLAS H ACEVES"/>
    <s v="7503030211021"/>
    <s v="Anillo desechable para pene Donut - CXO"/>
    <s v="JUGUETE PROPIO"/>
    <s v="CXO"/>
    <n v="1"/>
    <n v="34.479999999999997"/>
  </r>
  <r>
    <x v="15"/>
    <s v="05/01/2026"/>
    <s v="NICOLAS H ACEVES"/>
    <s v="7503014914002"/>
    <s v="CAPSULAS MULTIORGASMICO AMO O-GEN"/>
    <s v="CONSUMIBLE"/>
    <s v="POWER MAN"/>
    <n v="1"/>
    <n v="431.04"/>
  </r>
  <r>
    <x v="15"/>
    <s v="05/01/2026"/>
    <s v="NICOLAS H ACEVES"/>
    <s v="7503013378492"/>
    <s v="Clean Whisper 120ml - DUSA"/>
    <s v="CONSUMIBLE PROPIO"/>
    <s v="DUSA"/>
    <n v="1"/>
    <n v="301.72000000000003"/>
  </r>
  <r>
    <x v="15"/>
    <s v="05/01/2026"/>
    <s v="NICOLAS H ACEVES"/>
    <s v="7503020310205"/>
    <s v="Dildo Vibrador Termico Realista 3 en 1 con movimiento Hades-CXO"/>
    <s v="JUGUETE PROPIO"/>
    <s v="CXO"/>
    <n v="1"/>
    <n v="2500"/>
  </r>
  <r>
    <x v="15"/>
    <s v="05/01/2026"/>
    <s v="NICOLAS H ACEVES"/>
    <s v="7503050524265"/>
    <s v="He Plus 30ml - DUSA"/>
    <s v="CONSUMIBLE PROPIO"/>
    <s v="DUSA"/>
    <n v="1"/>
    <n v="431.03"/>
  </r>
  <r>
    <x v="15"/>
    <s v="05/01/2026"/>
    <s v="NICOLAS H ACEVES"/>
    <s v="7503043917012"/>
    <s v="Liquid Love Backdoor 30ml - DUSA"/>
    <s v="CONSUMIBLE PROPIO"/>
    <s v="DUSA"/>
    <n v="1"/>
    <n v="301.72000000000003"/>
  </r>
  <r>
    <x v="15"/>
    <s v="05/01/2026"/>
    <s v="NICOLAS H ACEVES"/>
    <s v="7503050524241"/>
    <s v="Orgasmik 30ml - DUSA"/>
    <s v="CONSUMIBLE PROPIO"/>
    <s v="DUSA"/>
    <n v="1"/>
    <n v="431.03"/>
  </r>
  <r>
    <x v="15"/>
    <s v="05/01/2026"/>
    <s v="NICOLAS H ACEVES"/>
    <s v="7503013378010"/>
    <s v="Rigidex 2 pzas - DUSA"/>
    <s v="CONSUMIBLE PROPIO"/>
    <s v="DUSA"/>
    <n v="1"/>
    <n v="431.03"/>
  </r>
  <r>
    <x v="15"/>
    <s v="05/01/2026"/>
    <s v="NICOLAS H ACEVES"/>
    <s v="7503020596063"/>
    <s v="Stallion Regenerador - DUSA"/>
    <s v="CONSUMIBLE PROPIO"/>
    <s v="DUSA"/>
    <n v="1"/>
    <n v="1293.0999999999999"/>
  </r>
  <r>
    <x v="15"/>
    <s v="05/01/2026"/>
    <s v="NICOLAS H ACEVES"/>
    <s v="7503020104085"/>
    <s v="Vibrador e impulsor con ventosa Mafer – CXO"/>
    <s v="JUGUETE PROPIO"/>
    <s v="CXO"/>
    <n v="1"/>
    <n v="2413.79"/>
  </r>
  <r>
    <x v="15"/>
    <s v="06/01/2026"/>
    <s v="NICOLAS H ACEVES"/>
    <s v="7503043917081"/>
    <s v="Blade rosa anillo vibrador - CXO"/>
    <s v="JUGUETE PROPIO"/>
    <s v="CXO"/>
    <n v="1"/>
    <n v="81.900000000000006"/>
  </r>
  <r>
    <x v="15"/>
    <s v="06/01/2026"/>
    <s v="NICOLAS H ACEVES"/>
    <s v="7503032300498"/>
    <s v="Cola de Zorro 45cm cafe M - CXO"/>
    <s v="JUGUETE PROPIO"/>
    <s v="CXO"/>
    <n v="1"/>
    <n v="301.72000000000003"/>
  </r>
  <r>
    <x v="15"/>
    <s v="06/01/2026"/>
    <s v="NICOLAS H ACEVES"/>
    <s v="603912320213"/>
    <s v="FETISH FANTASY SERIES LIMITED EDITIONRUBBER PADDLE BLACK"/>
    <s v="JUGUETE"/>
    <s v="PIPEDREAM"/>
    <n v="1"/>
    <n v="275.86"/>
  </r>
  <r>
    <x v="15"/>
    <s v="06/01/2026"/>
    <s v="NICOLAS H ACEVES"/>
    <s v="7503024256154"/>
    <s v="Lubricante Body Surf Termico Cereza DUSA 60ml"/>
    <s v="CONSUMIBLE PROPIO"/>
    <s v="DUSA"/>
    <n v="1"/>
    <n v="387.93"/>
  </r>
  <r>
    <x v="15"/>
    <s v="06/01/2026"/>
    <s v="NICOLAS H ACEVES"/>
    <s v="7503013378010"/>
    <s v="Rigidex 2 pzas - DUSA"/>
    <s v="CONSUMIBLE PROPIO"/>
    <s v="DUSA"/>
    <n v="1"/>
    <n v="431.03"/>
  </r>
  <r>
    <x v="15"/>
    <s v="06/01/2026"/>
    <s v="NICOLAS H ACEVES"/>
    <s v="7503032300443"/>
    <s v="Zoe bala vibradora RETAIL - CXO"/>
    <s v="JUGUETE PROPIO"/>
    <s v="CXO"/>
    <n v="1"/>
    <n v="155.16999999999999"/>
  </r>
  <r>
    <x v="15"/>
    <s v="07/01/2026"/>
    <s v="NICOLAS H ACEVES"/>
    <s v="6959633101278"/>
    <s v="Alex Neo 2 azul oscuro - SVAKOM"/>
    <s v="JUGUETE"/>
    <s v="SVAKOM"/>
    <n v="1"/>
    <n v="4482.76"/>
  </r>
  <r>
    <x v="15"/>
    <s v="07/01/2026"/>
    <s v="NICOLAS H ACEVES"/>
    <s v="7503050226138"/>
    <s v="Body Abri - OLA MOU"/>
    <s v="LENCERIA"/>
    <s v="OLA MOU"/>
    <n v="1"/>
    <n v="465.52"/>
  </r>
  <r>
    <x v="15"/>
    <s v="07/01/2026"/>
    <s v="NICOLAS H ACEVES"/>
    <s v="7503013378492"/>
    <s v="Clean Whisper 120ml - DUSA"/>
    <s v="CONSUMIBLE PROPIO"/>
    <s v="DUSA"/>
    <n v="2"/>
    <n v="603.44000000000005"/>
  </r>
  <r>
    <x v="15"/>
    <s v="07/01/2026"/>
    <s v="NICOLAS H ACEVES"/>
    <s v="7503032300498"/>
    <s v="Cola de Zorro 45cm cafe M - CXO"/>
    <s v="JUGUETE PROPIO"/>
    <s v="CXO"/>
    <n v="1"/>
    <n v="301.72000000000003"/>
  </r>
  <r>
    <x v="15"/>
    <s v="07/01/2026"/>
    <s v="NICOLAS H ACEVES"/>
    <s v="7503030102034"/>
    <s v="Dildo vibrador con control Anthony - CXO"/>
    <s v="JUGUETE PROPIO"/>
    <s v="CXO"/>
    <n v="1"/>
    <n v="2112.0700000000002"/>
  </r>
  <r>
    <x v="15"/>
    <s v="07/01/2026"/>
    <s v="NICOLAS H ACEVES"/>
    <s v="YULOLA002760I"/>
    <s v="Disfraz de Servicio Yuli - OLA MU"/>
    <s v="LENCERIA"/>
    <s v="OLA MOU"/>
    <n v="2"/>
    <n v="862.06"/>
  </r>
  <r>
    <x v="15"/>
    <s v="07/01/2026"/>
    <s v="NICOLAS H ACEVES"/>
    <s v="KUNESPEJOPED"/>
    <s v="Espejo de pedestal - KUNI"/>
    <s v="SKINCARE"/>
    <s v="KUNI"/>
    <n v="1"/>
    <n v="86.21"/>
  </r>
  <r>
    <x v="15"/>
    <s v="07/01/2026"/>
    <s v="NICOLAS H ACEVES"/>
    <s v="7503038654083"/>
    <s v="Garganta profunda 60ml - FEEL LOVE"/>
    <s v="CONSUMIBLE"/>
    <s v="FEEL LOVE"/>
    <n v="1"/>
    <n v="603.45000000000005"/>
  </r>
  <r>
    <x v="15"/>
    <s v="07/01/2026"/>
    <s v="NICOLAS H ACEVES"/>
    <s v="7503013378645"/>
    <s v="Liquid Love Pleasure 100ml - DUSA"/>
    <s v="CONSUMIBLE PROPIO"/>
    <s v="DUSA"/>
    <n v="1"/>
    <n v="775.86"/>
  </r>
  <r>
    <x v="15"/>
    <s v="07/01/2026"/>
    <s v="NICOLAS H ACEVES"/>
    <s v="7503013378010"/>
    <s v="Rigidex 2 pzas - DUSA"/>
    <s v="CONSUMIBLE PROPIO"/>
    <s v="DUSA"/>
    <n v="2"/>
    <n v="862.06"/>
  </r>
  <r>
    <x v="15"/>
    <s v="07/01/2026"/>
    <s v="NICOLAS H ACEVES"/>
    <s v="7503020596063"/>
    <s v="Stallion Regenerador - DUSA"/>
    <s v="CONSUMIBLE PROPIO"/>
    <s v="DUSA"/>
    <n v="1"/>
    <n v="1293.0999999999999"/>
  </r>
  <r>
    <x v="15"/>
    <s v="07/01/2026"/>
    <s v="NICOLAS H ACEVES"/>
    <s v="7503020310409"/>
    <s v="Vibrador estimulador triple rosa Tania  - CXO"/>
    <s v="JUGUETE PROPIO"/>
    <s v="CXO"/>
    <n v="1"/>
    <n v="2801.72"/>
  </r>
  <r>
    <x v="15"/>
    <s v="08/01/2026"/>
    <s v="ANGEL DANILO RODRIGUEZ LOPEZ"/>
    <s v="7503014914002"/>
    <s v="CAPSULAS MULTIORGASMICO AMO O-GEN"/>
    <s v="CONSUMIBLE"/>
    <s v="POWER MAN"/>
    <n v="1"/>
    <n v="431.04"/>
  </r>
  <r>
    <x v="15"/>
    <s v="08/01/2026"/>
    <s v="ANGEL DANILO RODRIGUEZ LOPEZ"/>
    <s v="7503050226130"/>
    <s v="Disfraz Maid - OLA MOU"/>
    <s v="LENCERIA"/>
    <s v="OLA MOU"/>
    <n v="1"/>
    <n v="646.54999999999995"/>
  </r>
  <r>
    <x v="15"/>
    <s v="08/01/2026"/>
    <s v="ANGEL DANILO RODRIGUEZ LOPEZ"/>
    <s v="7508304288436"/>
    <s v="FEROMONAS DIAMANTE EXCLUSIVE SPRAY 25 ML ELLA"/>
    <s v="CONSUMIBLE"/>
    <s v="DIAMANTE"/>
    <n v="1"/>
    <n v="387.93"/>
  </r>
  <r>
    <x v="15"/>
    <s v="08/01/2026"/>
    <s v="ANGEL DANILO RODRIGUEZ LOPEZ"/>
    <s v="DL-ZZ-YJPT-BJ-20250327"/>
    <s v="Funda de Silicon para Pene con 10 modos de Vibración  Raul- CXO"/>
    <s v="JUGUETE PROPIO"/>
    <s v="CXO"/>
    <n v="1"/>
    <n v="1810.34"/>
  </r>
  <r>
    <x v="15"/>
    <s v="08/01/2026"/>
    <s v="ANGEL DANILO RODRIGUEZ LOPEZ"/>
    <s v="7503024256154"/>
    <s v="Lubricante Body Surf Termico Cereza DUSA 60ml"/>
    <s v="CONSUMIBLE PROPIO"/>
    <s v="DUSA"/>
    <n v="1"/>
    <n v="387.93"/>
  </r>
  <r>
    <x v="15"/>
    <s v="08/01/2026"/>
    <s v="ANGEL DANILO RODRIGUEZ LOPEZ"/>
    <s v="6959633185476"/>
    <s v="Masturbador Hedy X Confidence – SVAKOM"/>
    <s v="JUGUETE"/>
    <s v="SVAKOM"/>
    <n v="1"/>
    <n v="181.03"/>
  </r>
  <r>
    <x v="15"/>
    <s v="08/01/2026"/>
    <s v="ANGEL DANILO RODRIGUEZ LOPEZ"/>
    <s v="6959633189726"/>
    <s v="Masturbador Hedy X Control – SVAKOM"/>
    <s v="JUGUETE"/>
    <s v="SVAKOM"/>
    <n v="1"/>
    <n v="181.03"/>
  </r>
  <r>
    <x v="15"/>
    <s v="08/01/2026"/>
    <s v="ANGEL DANILO RODRIGUEZ LOPEZ"/>
    <s v="7503020596971"/>
    <s v="Orgasmik - DUSA"/>
    <s v="CONSUMIBLE PROPIO"/>
    <s v="DUSA"/>
    <n v="1"/>
    <n v="431.03"/>
  </r>
  <r>
    <x v="15"/>
    <s v="08/01/2026"/>
    <s v="ANGEL DANILO RODRIGUEZ LOPEZ"/>
    <s v="7503050524289"/>
    <s v="Oxi bomba de vacio manual - CXO"/>
    <s v="JUGUETE PROPIO"/>
    <s v="CXO"/>
    <n v="1"/>
    <n v="853.45"/>
  </r>
  <r>
    <x v="15"/>
    <s v="08/01/2026"/>
    <s v="ANGEL DANILO RODRIGUEZ LOPEZ"/>
    <s v="7503013378010"/>
    <s v="Rigidex 2 pzas - DUSA"/>
    <s v="CONSUMIBLE PROPIO"/>
    <s v="DUSA"/>
    <n v="2"/>
    <n v="862.06"/>
  </r>
  <r>
    <x v="15"/>
    <s v="08/01/2026"/>
    <s v="ANGEL DANILO RODRIGUEZ LOPEZ"/>
    <s v="6959633105313"/>
    <s v="Vibrador de Prostata con Pulsaciones Iker Neo - SVAKOM"/>
    <s v="JUGUETE"/>
    <s v="SVAKOM"/>
    <n v="1"/>
    <n v="3879.31"/>
  </r>
  <r>
    <x v="15"/>
    <s v="08/01/2026"/>
    <s v="NICOLAS H ACEVES"/>
    <s v="7500464543059"/>
    <s v="Dildo Realista con Ventosa 15.5cms Domi CXO"/>
    <s v="JUGUETE PROPIO"/>
    <s v="CXO"/>
    <n v="1"/>
    <n v="818.97"/>
  </r>
  <r>
    <x v="15"/>
    <s v="08/01/2026"/>
    <s v="NICOLAS H ACEVES"/>
    <s v="6959633118795"/>
    <s v="Edeny - SVAKOM"/>
    <s v="JUGUETE"/>
    <s v="SVAKOM"/>
    <n v="1"/>
    <n v="3275.86"/>
  </r>
  <r>
    <x v="15"/>
    <s v="08/01/2026"/>
    <s v="NICOLAS H ACEVES"/>
    <s v="7503013378645"/>
    <s v="Liquid Love Pleasure 100ml - DUSA"/>
    <s v="CONSUMIBLE PROPIO"/>
    <s v="DUSA"/>
    <n v="1"/>
    <n v="775.86"/>
  </r>
  <r>
    <x v="15"/>
    <s v="08/01/2026"/>
    <s v="NICOLAS H ACEVES"/>
    <s v="7503020104073"/>
    <s v="Vibrador multiorgásmico con textura y estimulación doble Lidia - CXO"/>
    <s v="JUGUETE PROPIO"/>
    <s v="CXO"/>
    <n v="1"/>
    <n v="2008.62"/>
  </r>
  <r>
    <x v="15"/>
    <s v="09/01/2026"/>
    <s v="NICOLAS H ACEVES"/>
    <s v="MAROLA00279IF"/>
    <s v="Disfraz Marinera - OLA MOU"/>
    <s v="LENCERIA"/>
    <s v="OLA MOU"/>
    <n v="1"/>
    <n v="560.34"/>
  </r>
  <r>
    <x v="15"/>
    <s v="09/01/2026"/>
    <s v="NICOLAS H ACEVES"/>
    <s v="7503013378652"/>
    <s v="Liquid Love Backdoor 100ml - DUSA"/>
    <s v="CONSUMIBLE PROPIO"/>
    <s v="DUSA"/>
    <n v="1"/>
    <n v="1077.5899999999999"/>
  </r>
  <r>
    <x v="15"/>
    <s v="09/01/2026"/>
    <s v="NICOLAS H ACEVES"/>
    <s v="7503013378645"/>
    <s v="Liquid Love Pleasure 100ml - DUSA"/>
    <s v="CONSUMIBLE PROPIO"/>
    <s v="DUSA"/>
    <n v="1"/>
    <n v="775.86"/>
  </r>
  <r>
    <x v="15"/>
    <s v="09/01/2026"/>
    <s v="NICOLAS H ACEVES"/>
    <s v="LIZOLA00261ME"/>
    <s v="Media arriba de la rodilla Liz - OLA MOU"/>
    <s v="LENCERIA"/>
    <s v="OLA MOU"/>
    <n v="1"/>
    <n v="250"/>
  </r>
  <r>
    <x v="15"/>
    <s v="09/01/2026"/>
    <s v="NICOLAS H ACEVES"/>
    <s v="JICD91222"/>
    <s v="Plug Anal Vibrador con Textura y Control con 10 modos Ricardo- CXO"/>
    <s v="JUGUETE PROPIO"/>
    <s v="CXO"/>
    <n v="1"/>
    <n v="1508.62"/>
  </r>
  <r>
    <x v="15"/>
    <s v="09/01/2026"/>
    <s v="NICOLAS H ACEVES"/>
    <s v="7503032300856"/>
    <s v="Sachet vibrador liquido 2 ml - BANANA SHAKE"/>
    <s v="CONSUMIBLE"/>
    <s v="BANANA SHAKE"/>
    <n v="5"/>
    <n v="86.2"/>
  </r>
  <r>
    <x v="15"/>
    <s v="09/01/2026"/>
    <s v="NICOLAS H ACEVES"/>
    <s v="7503050524258"/>
    <s v="Sensicool 30ml - DUSA"/>
    <s v="CONSUMIBLE PROPIO"/>
    <s v="DUSA"/>
    <n v="1"/>
    <n v="431.03"/>
  </r>
  <r>
    <x v="15"/>
    <s v="09/01/2026"/>
    <s v="NICOLAS H ACEVES"/>
    <s v="7503024256192"/>
    <s v="Shot Shumatsu Fun Mujer - DUSA"/>
    <s v="CONSUMIBLE PROPIO"/>
    <s v="DUSA"/>
    <n v="1"/>
    <n v="172.41"/>
  </r>
  <r>
    <x v="15"/>
    <s v="10/01/2026"/>
    <s v="NICOLAS H ACEVES"/>
    <s v="7503043917036"/>
    <s v="Arnes universal de argolla negro - CXO"/>
    <s v="JUGUETE PROPIO"/>
    <s v="CXO"/>
    <n v="1"/>
    <n v="474.14"/>
  </r>
  <r>
    <x v="15"/>
    <s v="10/01/2026"/>
    <s v="NICOLAS H ACEVES"/>
    <s v="7707167956333"/>
    <s v="Body Mod 507198 XL - EA"/>
    <s v="LENCERIA"/>
    <s v="EA"/>
    <n v="1"/>
    <n v="444"/>
  </r>
  <r>
    <x v="15"/>
    <s v="10/01/2026"/>
    <s v="NICOLAS H ACEVES"/>
    <s v="7503013378492"/>
    <s v="Clean Whisper 120ml - DUSA"/>
    <s v="CONSUMIBLE PROPIO"/>
    <s v="DUSA"/>
    <n v="2"/>
    <n v="603.44000000000005"/>
  </r>
  <r>
    <x v="15"/>
    <s v="10/01/2026"/>
    <s v="NICOLAS H ACEVES"/>
    <s v="7503030102034"/>
    <s v="Dildo vibrador con control Anthony - CXO"/>
    <s v="JUGUETE PROPIO"/>
    <s v="CXO"/>
    <n v="1"/>
    <n v="2112.0700000000002"/>
  </r>
  <r>
    <x v="15"/>
    <s v="10/01/2026"/>
    <s v="NICOLAS H ACEVES"/>
    <s v="7350075029332"/>
    <s v="Enigma wave morado - LELO"/>
    <s v="JUGUETE"/>
    <s v="LELO"/>
    <n v="1"/>
    <n v="5862.07"/>
  </r>
  <r>
    <x v="15"/>
    <s v="10/01/2026"/>
    <s v="NICOLAS H ACEVES"/>
    <s v="7503050524265"/>
    <s v="He Plus 30ml - DUSA"/>
    <s v="CONSUMIBLE PROPIO"/>
    <s v="DUSA"/>
    <n v="1"/>
    <n v="431.03"/>
  </r>
  <r>
    <x v="15"/>
    <s v="10/01/2026"/>
    <s v="NICOLAS H ACEVES"/>
    <s v="7503013378652"/>
    <s v="Liquid Love Backdoor 100ml - DUSA"/>
    <s v="CONSUMIBLE PROPIO"/>
    <s v="DUSA"/>
    <n v="1"/>
    <n v="1077.5899999999999"/>
  </r>
  <r>
    <x v="15"/>
    <s v="10/01/2026"/>
    <s v="NICOLAS H ACEVES"/>
    <s v="7503020596001"/>
    <s v="Liquid Love Clear 100ml - DUSA"/>
    <s v="CONSUMIBLE PROPIO"/>
    <s v="DUSA"/>
    <n v="1"/>
    <n v="775.86"/>
  </r>
  <r>
    <x v="15"/>
    <s v="10/01/2026"/>
    <s v="NICOLAS H ACEVES"/>
    <s v="7503013378645"/>
    <s v="Liquid Love Pleasure 100ml - DUSA"/>
    <s v="CONSUMIBLE PROPIO"/>
    <s v="DUSA"/>
    <n v="3"/>
    <n v="2327.58"/>
  </r>
  <r>
    <x v="15"/>
    <s v="10/01/2026"/>
    <s v="NICOLAS H ACEVES"/>
    <s v="7503013378799"/>
    <s v="Lubricante Body Surf Termico Citricos DUSA 60ml"/>
    <s v="CONSUMIBLE PROPIO"/>
    <s v="DUSA"/>
    <n v="1"/>
    <n v="387.93"/>
  </r>
  <r>
    <x v="15"/>
    <s v="10/01/2026"/>
    <s v="NICOLAS H ACEVES"/>
    <s v="6959633185476"/>
    <s v="Masturbador Hedy X Confidence – SVAKOM"/>
    <s v="JUGUETE"/>
    <s v="SVAKOM"/>
    <n v="1"/>
    <n v="181.03"/>
  </r>
  <r>
    <x v="15"/>
    <s v="10/01/2026"/>
    <s v="NICOLAS H ACEVES"/>
    <s v="6959633189726"/>
    <s v="Masturbador Hedy X Control – SVAKOM"/>
    <s v="JUGUETE"/>
    <s v="SVAKOM"/>
    <n v="1"/>
    <n v="181.03"/>
  </r>
  <r>
    <x v="15"/>
    <s v="10/01/2026"/>
    <s v="NICOLAS H ACEVES"/>
    <s v="7503024256635"/>
    <s v="Olive  6.8&quot; rosa - CXO"/>
    <s v="JUGUETE PROPIO"/>
    <s v="CXO"/>
    <n v="1"/>
    <n v="603.45000000000005"/>
  </r>
  <r>
    <x v="15"/>
    <s v="10/01/2026"/>
    <s v="NICOLAS H ACEVES"/>
    <s v="7503023462921"/>
    <s v="ORAL SEX Beso Irlandes 30ml  - DIAMANTE"/>
    <s v="CONSUMIBLE"/>
    <s v="FEEL LOVE"/>
    <n v="1"/>
    <n v="310.35000000000002"/>
  </r>
  <r>
    <x v="15"/>
    <s v="10/01/2026"/>
    <s v="NICOLAS H ACEVES"/>
    <s v="7503013378010"/>
    <s v="Rigidex 2 pzas - DUSA"/>
    <s v="CONSUMIBLE PROPIO"/>
    <s v="DUSA"/>
    <n v="1"/>
    <n v="431.03"/>
  </r>
  <r>
    <x v="15"/>
    <s v="10/01/2026"/>
    <s v="NICOLAS H ACEVES"/>
    <s v="7503050524258"/>
    <s v="Sensicool 30ml - DUSA"/>
    <s v="CONSUMIBLE PROPIO"/>
    <s v="DUSA"/>
    <n v="1"/>
    <n v="431.03"/>
  </r>
  <r>
    <x v="15"/>
    <s v="11/01/2026"/>
    <s v="ALFONSO  M CARBALLAR"/>
    <s v="7503013378492"/>
    <s v="Clean Whisper 120ml - DUSA"/>
    <s v="CONSUMIBLE PROPIO"/>
    <s v="DUSA"/>
    <n v="1"/>
    <n v="301.72000000000003"/>
  </r>
  <r>
    <x v="15"/>
    <s v="11/01/2026"/>
    <s v="ALFONSO  M CARBALLAR"/>
    <s v="7502214980053"/>
    <s v="CONDON TRUST NATURAL CON 3 MAQ - PRUDENCE"/>
    <s v="CONSUMIBLE"/>
    <s v="PRUDENCE"/>
    <n v="1"/>
    <n v="77.59"/>
  </r>
  <r>
    <x v="15"/>
    <s v="11/01/2026"/>
    <s v="ALFONSO  M CARBALLAR"/>
    <s v="7503050524265"/>
    <s v="He Plus 30ml - DUSA"/>
    <s v="CONSUMIBLE PROPIO"/>
    <s v="DUSA"/>
    <n v="2"/>
    <n v="862.06"/>
  </r>
  <r>
    <x v="15"/>
    <s v="11/01/2026"/>
    <s v="ALFONSO  M CARBALLAR"/>
    <s v="7503013378645"/>
    <s v="Liquid Love Pleasure 100ml - DUSA"/>
    <s v="CONSUMIBLE PROPIO"/>
    <s v="DUSA"/>
    <n v="2"/>
    <n v="1551.72"/>
  </r>
  <r>
    <x v="15"/>
    <s v="11/01/2026"/>
    <s v="ALFONSO  M CARBALLAR"/>
    <s v="7503024256154"/>
    <s v="Lubricante Body Surf Termico Cereza DUSA 60ml"/>
    <s v="CONSUMIBLE PROPIO"/>
    <s v="DUSA"/>
    <n v="1"/>
    <n v="387.93"/>
  </r>
  <r>
    <x v="15"/>
    <s v="11/01/2026"/>
    <s v="ALFONSO  M CARBALLAR"/>
    <s v="7503013378010"/>
    <s v="Rigidex 2 pzas - DUSA"/>
    <s v="CONSUMIBLE PROPIO"/>
    <s v="DUSA"/>
    <n v="4"/>
    <n v="1724.1299999999999"/>
  </r>
  <r>
    <x v="15"/>
    <s v="11/01/2026"/>
    <s v="ALFONSO  M CARBALLAR"/>
    <s v="819835020677"/>
    <s v="Sin City D5 - AVANT"/>
    <s v="JUGUETE"/>
    <s v="BLUSH"/>
    <n v="1"/>
    <n v="1448.28"/>
  </r>
  <r>
    <x v="15"/>
    <s v="11/01/2026"/>
    <s v="ALFONSO  M CARBALLAR"/>
    <s v="7503010217048"/>
    <s v="Vela para masaje rose - DUSA"/>
    <s v="CONSUMIBLE PROPIO"/>
    <s v="DUSA"/>
    <n v="1"/>
    <n v="241.38"/>
  </r>
  <r>
    <x v="15"/>
    <s v="11/01/2026"/>
    <s v="ALFONSO  M CARBALLAR"/>
    <s v="603912332117"/>
    <s v="VIBRADOR ANAL FANTASY VIBRATING THRUSTER"/>
    <s v="JUGUETE"/>
    <s v="PIPEDREAM"/>
    <n v="1"/>
    <n v="2038.79"/>
  </r>
  <r>
    <x v="16"/>
    <s v="02/01/2026"/>
    <s v="BRYAN ALEJANDRO V BERNAL"/>
    <s v="7503026484685"/>
    <s v="Aceite térmico vainilla 60ml - FEEL LOVE"/>
    <s v="CONSUMIBLE"/>
    <s v="FEEL LOVE"/>
    <n v="1"/>
    <n v="327.58999999999997"/>
  </r>
  <r>
    <x v="16"/>
    <s v="02/01/2026"/>
    <s v="BRYAN ALEJANDRO V BERNAL"/>
    <s v="7503014914002"/>
    <s v="CAPSULAS MULTIORGASMICO AMO O-GEN"/>
    <s v="CONSUMIBLE"/>
    <s v="POWER MAN"/>
    <n v="1"/>
    <n v="431.04"/>
  </r>
  <r>
    <x v="16"/>
    <s v="02/01/2026"/>
    <s v="BRYAN ALEJANDRO V BERNAL"/>
    <s v="7500464543059"/>
    <s v="Dildo Realista con Ventosa 15.5cms Domi CXO"/>
    <s v="JUGUETE PROPIO"/>
    <s v="CXO"/>
    <n v="1"/>
    <n v="818.97"/>
  </r>
  <r>
    <x v="16"/>
    <s v="02/01/2026"/>
    <s v="BRYAN ALEJANDRO V BERNAL"/>
    <s v="7503050524265"/>
    <s v="He Plus 30ml - DUSA"/>
    <s v="CONSUMIBLE PROPIO"/>
    <s v="DUSA"/>
    <n v="1"/>
    <n v="431.03"/>
  </r>
  <r>
    <x v="16"/>
    <s v="02/01/2026"/>
    <s v="BRYAN ALEJANDRO V BERNAL"/>
    <s v="7503043917005"/>
    <s v="Liquid Love Clear 30ml - DUSA"/>
    <s v="CONSUMIBLE PROPIO"/>
    <s v="DUSA"/>
    <n v="2"/>
    <n v="603.44000000000005"/>
  </r>
  <r>
    <x v="16"/>
    <s v="02/01/2026"/>
    <s v="BRYAN ALEJANDRO V BERNAL"/>
    <s v="7503032300993"/>
    <s v="Liquid Love Pleasure 30ml - DUSA"/>
    <s v="CONSUMIBLE PROPIO"/>
    <s v="DUSA"/>
    <n v="1"/>
    <n v="301.72000000000003"/>
  </r>
  <r>
    <x v="16"/>
    <s v="02/01/2026"/>
    <s v="BRYAN ALEJANDRO V BERNAL"/>
    <s v="7503013378980"/>
    <s v="Lubricante Body Surf Termico Chicle DUSA 60ml"/>
    <s v="CONSUMIBLE PROPIO"/>
    <s v="DUSA"/>
    <n v="1"/>
    <n v="387.93"/>
  </r>
  <r>
    <x v="16"/>
    <s v="02/01/2026"/>
    <s v="BRYAN ALEJANDRO V BERNAL"/>
    <s v="7503013378010"/>
    <s v="Rigidex 2 pzas - DUSA"/>
    <s v="CONSUMIBLE PROPIO"/>
    <s v="DUSA"/>
    <n v="3"/>
    <n v="1293.0899999999999"/>
  </r>
  <r>
    <x v="16"/>
    <s v="03/01/2026"/>
    <s v="ANGEL DANILO RODRIGUEZ LOPEZ"/>
    <s v="7503030102034"/>
    <s v="Dildo vibrador con control Anthony - CXO"/>
    <s v="JUGUETE PROPIO"/>
    <s v="CXO"/>
    <n v="1"/>
    <n v="2112.0700000000002"/>
  </r>
  <r>
    <x v="16"/>
    <s v="03/01/2026"/>
    <s v="ANGEL DANILO RODRIGUEZ LOPEZ"/>
    <s v="7503013378645"/>
    <s v="Liquid Love Pleasure 100ml - DUSA"/>
    <s v="CONSUMIBLE PROPIO"/>
    <s v="DUSA"/>
    <n v="1"/>
    <n v="775.86"/>
  </r>
  <r>
    <x v="16"/>
    <s v="03/01/2026"/>
    <s v="ANGEL DANILO RODRIGUEZ LOPEZ"/>
    <s v="7503013378980"/>
    <s v="Lubricante Body Surf Termico Chicle DUSA 60ml"/>
    <s v="CONSUMIBLE PROPIO"/>
    <s v="DUSA"/>
    <n v="1"/>
    <n v="387.93"/>
  </r>
  <r>
    <x v="16"/>
    <s v="03/01/2026"/>
    <s v="ANGEL DANILO RODRIGUEZ LOPEZ"/>
    <s v="6959633185940"/>
    <s v="Masturbador Hedy X Reaction – SVAKOM"/>
    <s v="JUGUETE"/>
    <s v="SVAKOM"/>
    <n v="1"/>
    <n v="181.03"/>
  </r>
  <r>
    <x v="16"/>
    <s v="03/01/2026"/>
    <s v="ANGEL DANILO RODRIGUEZ LOPEZ"/>
    <s v="4061504007496"/>
    <s v="Succionado con App Curvy 1+ - Satisfayer"/>
    <s v="JUGUETE"/>
    <s v="SATISFAYER"/>
    <n v="1"/>
    <n v="1810.34"/>
  </r>
  <r>
    <x v="16"/>
    <s v="04/01/2026"/>
    <s v="BRYAN ALEJANDRO V BERNAL"/>
    <s v="7503032300887"/>
    <s v="Anahi L - CXO"/>
    <s v="JUGUETE PROPIO"/>
    <s v="CXO"/>
    <n v="1"/>
    <n v="521.54999999999995"/>
  </r>
  <r>
    <x v="16"/>
    <s v="04/01/2026"/>
    <s v="BRYAN ALEJANDRO V BERNAL"/>
    <s v="7503043917081"/>
    <s v="Blade rosa anillo vibrador - CXO"/>
    <s v="JUGUETE PROPIO"/>
    <s v="CXO"/>
    <n v="1"/>
    <n v="81.900000000000006"/>
  </r>
  <r>
    <x v="16"/>
    <s v="04/01/2026"/>
    <s v="BRYAN ALEJANDRO V BERNAL"/>
    <s v="ACG0976SV0WB"/>
    <s v="Dildo Vibrador con Impulsor Estimulador de Clítoris Conny - CXO"/>
    <s v="JUGUETE PROPIO"/>
    <s v="CXO"/>
    <n v="1"/>
    <n v="2198.2800000000002"/>
  </r>
  <r>
    <x v="16"/>
    <s v="04/01/2026"/>
    <s v="BRYAN ALEJANDRO V BERNAL"/>
    <s v="7503050524340"/>
    <s v="Ducha Felix S - CXO"/>
    <s v="JUGUETE PROPIO"/>
    <s v="CXO"/>
    <n v="1"/>
    <n v="612.07000000000005"/>
  </r>
  <r>
    <x v="16"/>
    <s v="04/01/2026"/>
    <s v="BRYAN ALEJANDRO V BERNAL"/>
    <s v="7503043917005"/>
    <s v="Liquid Love Clear 30ml - DUSA"/>
    <s v="CONSUMIBLE PROPIO"/>
    <s v="DUSA"/>
    <n v="2"/>
    <n v="603.44000000000005"/>
  </r>
  <r>
    <x v="16"/>
    <s v="04/01/2026"/>
    <s v="BRYAN ALEJANDRO V BERNAL"/>
    <s v="7503024256635"/>
    <s v="Olive  6.8&quot; rosa - CXO"/>
    <s v="JUGUETE PROPIO"/>
    <s v="CXO"/>
    <n v="1"/>
    <n v="603.45000000000005"/>
  </r>
  <r>
    <x v="16"/>
    <s v="04/01/2026"/>
    <s v="BRYAN ALEJANDRO V BERNAL"/>
    <s v="6959633156094"/>
    <s v="Robin - SVAKOM"/>
    <s v="JUGUETE"/>
    <s v="SVAKOM"/>
    <n v="1"/>
    <n v="1318.97"/>
  </r>
  <r>
    <x v="16"/>
    <s v="05/01/2026"/>
    <s v="BRYAN ALEJANDRO V BERNAL"/>
    <s v="7503030118033"/>
    <s v="Kit vibrador + estimulante para clitoris Lau - CXO"/>
    <s v="JUGUETE PROPIO"/>
    <s v="CXO"/>
    <n v="1"/>
    <n v="1706.9"/>
  </r>
  <r>
    <x v="16"/>
    <s v="05/01/2026"/>
    <s v="BRYAN ALEJANDRO V BERNAL"/>
    <s v="7503032300993"/>
    <s v="Liquid Love Pleasure 30ml - DUSA"/>
    <s v="CONSUMIBLE PROPIO"/>
    <s v="DUSA"/>
    <n v="1"/>
    <n v="301.72000000000003"/>
  </r>
  <r>
    <x v="16"/>
    <s v="05/01/2026"/>
    <s v="BRYAN ALEJANDRO V BERNAL"/>
    <s v="7503024256635"/>
    <s v="Olive  6.8&quot; rosa - CXO"/>
    <s v="JUGUETE PROPIO"/>
    <s v="CXO"/>
    <n v="1"/>
    <n v="603.45000000000005"/>
  </r>
  <r>
    <x v="16"/>
    <s v="05/01/2026"/>
    <s v="BRYAN ALEJANDRO V BERNAL"/>
    <s v="7503020596957"/>
    <s v="Shot Shumatsu Fun Hombre - DUSA"/>
    <s v="CONSUMIBLE PROPIO"/>
    <s v="DUSA"/>
    <n v="1"/>
    <n v="172.41"/>
  </r>
  <r>
    <x v="16"/>
    <s v="05/01/2026"/>
    <s v="BRYAN ALEJANDRO V BERNAL"/>
    <s v="7503024256192"/>
    <s v="Shot Shumatsu Fun Mujer - DUSA"/>
    <s v="CONSUMIBLE PROPIO"/>
    <s v="DUSA"/>
    <n v="1"/>
    <n v="172.41"/>
  </r>
  <r>
    <x v="16"/>
    <s v="05/01/2026"/>
    <s v="BRYAN ALEJANDRO V BERNAL"/>
    <s v="7503020596063"/>
    <s v="Stallion Regenerador - DUSA"/>
    <s v="CONSUMIBLE PROPIO"/>
    <s v="DUSA"/>
    <n v="1"/>
    <n v="1293.0999999999999"/>
  </r>
  <r>
    <x v="16"/>
    <s v="05/01/2026"/>
    <s v="BRYAN ALEJANDRO V BERNAL"/>
    <s v="7503032300443"/>
    <s v="Zoe bala vibradora RETAIL - CXO"/>
    <s v="JUGUETE PROPIO"/>
    <s v="CXO"/>
    <n v="3"/>
    <n v="465.52"/>
  </r>
  <r>
    <x v="16"/>
    <s v="06/01/2026"/>
    <s v="BRYAN ALEJANDRO V BERNAL"/>
    <s v="667940006051"/>
    <s v="ACEITE TOUCHE HOMME 60 ML PASION"/>
    <s v="CONSUMIBLE"/>
    <s v="TOUCHE"/>
    <n v="1"/>
    <n v="215.52"/>
  </r>
  <r>
    <x v="16"/>
    <s v="06/01/2026"/>
    <s v="BRYAN ALEJANDRO V BERNAL"/>
    <s v="7503013378416"/>
    <s v="Angie - CXO"/>
    <s v="JUGUETE PROPIO"/>
    <s v="CXO"/>
    <n v="1"/>
    <n v="689.66"/>
  </r>
  <r>
    <x v="16"/>
    <s v="06/01/2026"/>
    <s v="BRYAN ALEJANDRO V BERNAL"/>
    <s v="6959633103500"/>
    <s v="Chika multiorgasmico turqueza - SVAKOM"/>
    <s v="JUGUETE"/>
    <s v="SVAKOM"/>
    <n v="1"/>
    <n v="2155.17"/>
  </r>
  <r>
    <x v="16"/>
    <s v="06/01/2026"/>
    <s v="BRYAN ALEJANDRO V BERNAL"/>
    <s v="7502214985805"/>
    <s v="CONDON PRUDENCE VETE A LA VERSH  C/3"/>
    <s v="CONSUMIBLE"/>
    <s v="PRUDENCE"/>
    <n v="1"/>
    <n v="77.59"/>
  </r>
  <r>
    <x v="16"/>
    <s v="06/01/2026"/>
    <s v="BRYAN ALEJANDRO V BERNAL"/>
    <s v="7502214982811"/>
    <s v="Condones Mix Sabor y Aroma 5 pzs - PRUDENCE"/>
    <s v="CONSUMIBLE"/>
    <s v="PRUDENCE"/>
    <n v="1"/>
    <n v="77.59"/>
  </r>
  <r>
    <x v="16"/>
    <s v="06/01/2026"/>
    <s v="BRYAN ALEJANDRO V BERNAL"/>
    <s v="7503032300856"/>
    <s v="Sachet vibrador liquido 2 ml - BANANA SHAKE"/>
    <s v="CONSUMIBLE"/>
    <s v="BANANA SHAKE"/>
    <n v="5"/>
    <n v="86.2"/>
  </r>
  <r>
    <x v="16"/>
    <s v="06/01/2026"/>
    <s v="BRYAN ALEJANDRO V BERNAL"/>
    <s v="7503020596957"/>
    <s v="Shot Shumatsu Fun Hombre - DUSA"/>
    <s v="CONSUMIBLE PROPIO"/>
    <s v="DUSA"/>
    <n v="1"/>
    <n v="172.41"/>
  </r>
  <r>
    <x v="16"/>
    <s v="06/01/2026"/>
    <s v="BRYAN ALEJANDRO V BERNAL"/>
    <s v="7503020104082"/>
    <s v="Vibrador multiorgásmico con succionador y perlas Andy – CXO"/>
    <s v="JUGUETE PROPIO"/>
    <s v="CXO"/>
    <n v="1"/>
    <n v="2258.62"/>
  </r>
  <r>
    <x v="16"/>
    <s v="07/01/2026"/>
    <s v="BRYAN ALEJANDRO V BERNAL"/>
    <s v="7503013378980"/>
    <s v="Lubricante Body Surf Termico Chicle DUSA 60ml"/>
    <s v="CONSUMIBLE PROPIO"/>
    <s v="DUSA"/>
    <n v="2"/>
    <n v="775.86"/>
  </r>
  <r>
    <x v="16"/>
    <s v="07/01/2026"/>
    <s v="BRYAN ALEJANDRO V BERNAL"/>
    <s v="SE016"/>
    <s v="Masturbador Vagina -  CXO"/>
    <s v="JUGUETE PROPIO"/>
    <s v="CXO"/>
    <n v="1"/>
    <n v="948.28"/>
  </r>
  <r>
    <x v="16"/>
    <s v="07/01/2026"/>
    <s v="BRYAN ALEJANDRO V BERNAL"/>
    <s v="7503050524241"/>
    <s v="Orgasmik 30ml - DUSA"/>
    <s v="CONSUMIBLE PROPIO"/>
    <s v="DUSA"/>
    <n v="2"/>
    <n v="862.06"/>
  </r>
  <r>
    <x v="16"/>
    <s v="07/01/2026"/>
    <s v="BRYAN ALEJANDRO V BERNAL"/>
    <s v="7503024256192"/>
    <s v="Shot Shumatsu Fun Mujer - DUSA"/>
    <s v="CONSUMIBLE PROPIO"/>
    <s v="DUSA"/>
    <n v="1"/>
    <n v="172.41"/>
  </r>
  <r>
    <x v="16"/>
    <s v="08/01/2026"/>
    <s v="BRYAN ALEJANDRO V BERNAL"/>
    <s v="7503014914002"/>
    <s v="CAPSULAS MULTIORGASMICO AMO O-GEN"/>
    <s v="CONSUMIBLE"/>
    <s v="POWER MAN"/>
    <n v="1"/>
    <n v="431.04"/>
  </r>
  <r>
    <x v="16"/>
    <s v="08/01/2026"/>
    <s v="BRYAN ALEJANDRO V BERNAL"/>
    <s v="713001200104"/>
    <s v="Multiorgasmico con estimulador de clitoris de aleteo Marisol - CXO"/>
    <s v="JUGUETE PROPIO"/>
    <s v="CXO"/>
    <n v="1"/>
    <n v="2500"/>
  </r>
  <r>
    <x v="16"/>
    <s v="08/01/2026"/>
    <s v="BRYAN ALEJANDRO V BERNAL"/>
    <s v="7503013378010"/>
    <s v="Rigidex 2 pzas - DUSA"/>
    <s v="CONSUMIBLE PROPIO"/>
    <s v="DUSA"/>
    <n v="5"/>
    <n v="2155.16"/>
  </r>
  <r>
    <x v="16"/>
    <s v="08/01/2026"/>
    <s v="BRYAN ALEJANDRO V BERNAL"/>
    <s v="7503020596063"/>
    <s v="Stallion Regenerador - DUSA"/>
    <s v="CONSUMIBLE PROPIO"/>
    <s v="DUSA"/>
    <n v="1"/>
    <n v="1293.0999999999999"/>
  </r>
  <r>
    <x v="16"/>
    <s v="09/01/2026"/>
    <s v="BRYAN ALEJANDRO V BERNAL"/>
    <s v="7503043917081"/>
    <s v="Blade rosa anillo vibrador - CXO"/>
    <s v="JUGUETE PROPIO"/>
    <s v="CXO"/>
    <n v="1"/>
    <n v="81.900000000000006"/>
  </r>
  <r>
    <x v="16"/>
    <s v="09/01/2026"/>
    <s v="BRYAN ALEJANDRO V BERNAL"/>
    <s v="7502214982491"/>
    <s v="CONDON PRUDENCE EXTRA TIME UVA"/>
    <s v="CONSUMIBLE"/>
    <s v="PRUDENCE"/>
    <n v="1"/>
    <n v="60.34"/>
  </r>
  <r>
    <x v="16"/>
    <s v="09/01/2026"/>
    <s v="BRYAN ALEJANDRO V BERNAL"/>
    <s v="7503030118033"/>
    <s v="Kit vibrador + estimulante para clitoris Lau - CXO"/>
    <s v="JUGUETE PROPIO"/>
    <s v="CXO"/>
    <n v="1"/>
    <n v="1706.9"/>
  </r>
  <r>
    <x v="16"/>
    <s v="09/01/2026"/>
    <s v="BRYAN ALEJANDRO V BERNAL"/>
    <s v="7503032300993"/>
    <s v="Liquid Love Pleasure 30ml - DUSA"/>
    <s v="CONSUMIBLE PROPIO"/>
    <s v="DUSA"/>
    <n v="1"/>
    <n v="301.72000000000003"/>
  </r>
  <r>
    <x v="16"/>
    <s v="09/01/2026"/>
    <s v="BRYAN ALEJANDRO V BERNAL"/>
    <s v="7503013378645"/>
    <s v="Liquid Love Pleasure 100ml - DUSA"/>
    <s v="CONSUMIBLE PROPIO"/>
    <s v="DUSA"/>
    <n v="1"/>
    <n v="775.86"/>
  </r>
  <r>
    <x v="16"/>
    <s v="09/01/2026"/>
    <s v="BRYAN ALEJANDRO V BERNAL"/>
    <s v="6970784913251"/>
    <s v="Multiorgasmico con Conejito con 10 modos Nika - CXO"/>
    <s v="JUGUETE PROPIO"/>
    <s v="CXO"/>
    <n v="1"/>
    <n v="2672.41"/>
  </r>
  <r>
    <x v="16"/>
    <s v="10/01/2026"/>
    <s v="ANGEL DANILO RODRIGUEZ LOPEZ"/>
    <s v="7503043917081"/>
    <s v="Blade rosa anillo vibrador - CXO"/>
    <s v="JUGUETE PROPIO"/>
    <s v="CXO"/>
    <n v="1"/>
    <n v="81.900000000000006"/>
  </r>
  <r>
    <x v="16"/>
    <s v="10/01/2026"/>
    <s v="ANGEL DANILO RODRIGUEZ LOPEZ"/>
    <s v="7503050524265"/>
    <s v="He Plus 30ml - DUSA"/>
    <s v="CONSUMIBLE PROPIO"/>
    <s v="DUSA"/>
    <n v="1"/>
    <n v="431.03"/>
  </r>
  <r>
    <x v="16"/>
    <s v="10/01/2026"/>
    <s v="ANGEL DANILO RODRIGUEZ LOPEZ"/>
    <s v="7503043917012"/>
    <s v="Liquid Love Backdoor 30ml - DUSA"/>
    <s v="CONSUMIBLE PROPIO"/>
    <s v="DUSA"/>
    <n v="1"/>
    <n v="301.72000000000003"/>
  </r>
  <r>
    <x v="16"/>
    <s v="10/01/2026"/>
    <s v="ANGEL DANILO RODRIGUEZ LOPEZ"/>
    <s v="7503032300993"/>
    <s v="Liquid Love Pleasure 30ml - DUSA"/>
    <s v="CONSUMIBLE PROPIO"/>
    <s v="DUSA"/>
    <n v="1"/>
    <n v="301.72000000000003"/>
  </r>
  <r>
    <x v="16"/>
    <s v="11/01/2026"/>
    <s v="BRYAN ALEJANDRO V BERNAL"/>
    <s v="7503030211021"/>
    <s v="Anillo desechable para pene Donut - CXO"/>
    <s v="JUGUETE PROPIO"/>
    <s v="CXO"/>
    <n v="2"/>
    <n v="68.97"/>
  </r>
  <r>
    <x v="16"/>
    <s v="11/01/2026"/>
    <s v="BRYAN ALEJANDRO V BERNAL"/>
    <s v="7503043917081"/>
    <s v="Blade rosa anillo vibrador - CXO"/>
    <s v="JUGUETE PROPIO"/>
    <s v="CXO"/>
    <n v="1"/>
    <n v="81.900000000000006"/>
  </r>
  <r>
    <x v="16"/>
    <s v="11/01/2026"/>
    <s v="BRYAN ALEJANDRO V BERNAL"/>
    <s v="7503043917012"/>
    <s v="Liquid Love Backdoor 30ml - DUSA"/>
    <s v="CONSUMIBLE PROPIO"/>
    <s v="DUSA"/>
    <n v="1"/>
    <n v="301.7200000000000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8">
  <r>
    <x v="0"/>
    <s v="12/01/2026"/>
    <s v="NOE JONAS D CEL"/>
    <s v="6959633156094"/>
    <s v="Robin - SVAKOM"/>
    <s v="JUGUETE"/>
    <s v="SVAKOM"/>
    <n v="1"/>
    <n v="1318.97"/>
  </r>
  <r>
    <x v="0"/>
    <s v="12/01/2026"/>
    <s v="NOE JONAS D CEL"/>
    <s v="7503032300443"/>
    <s v="Zoe bala vibradora RETAIL - CXO"/>
    <s v="JUGUETE PROPIO"/>
    <s v="CXO"/>
    <n v="1"/>
    <n v="155.16999999999999"/>
  </r>
  <r>
    <x v="0"/>
    <s v="13/01/2026"/>
    <s v="NOE JONAS D CEL"/>
    <s v="7503043917081"/>
    <s v="Blade rosa anillo vibrador - CXO"/>
    <s v="JUGUETE PROPIO"/>
    <s v="CXO"/>
    <n v="3"/>
    <n v="245.70000000000002"/>
  </r>
  <r>
    <x v="0"/>
    <s v="13/01/2026"/>
    <s v="NOE JONAS D CEL"/>
    <s v="68892L"/>
    <s v="Conjunto Leonor con pedreria negro 2 piezas M"/>
    <s v="LENCERIA"/>
    <s v="OLA MOU"/>
    <n v="1"/>
    <n v="260.33999999999997"/>
  </r>
  <r>
    <x v="0"/>
    <s v="13/01/2026"/>
    <s v="NOE JONAS D CEL"/>
    <s v="75080471"/>
    <s v="Dulces Garganta Profunda 2 piezas Sabor Uva - SXO"/>
    <s v="CONSUMIBLE"/>
    <s v="SXO"/>
    <n v="1"/>
    <n v="120.69"/>
  </r>
  <r>
    <x v="0"/>
    <s v="13/01/2026"/>
    <s v="NOE JONAS D CEL"/>
    <s v="7503013378645"/>
    <s v="Liquid Love Pleasure 100ml - DUSA"/>
    <s v="CONSUMIBLE PROPIO"/>
    <s v="DUSA"/>
    <n v="2"/>
    <n v="1551.72"/>
  </r>
  <r>
    <x v="0"/>
    <s v="13/01/2026"/>
    <s v="NOE JONAS D CEL"/>
    <s v="GWPS_BANANASHAKE_001"/>
    <s v="Lub de Regalo - Banana Shake"/>
    <s v="ACTIVACION"/>
    <s v="BANANA SHAKE"/>
    <n v="1"/>
    <n v="0.01"/>
  </r>
  <r>
    <x v="0"/>
    <s v="13/01/2026"/>
    <s v="NOE JONAS D CEL"/>
    <s v="7503013378010"/>
    <s v="Rigidex 2 pzas - DUSA"/>
    <s v="CONSUMIBLE PROPIO"/>
    <s v="DUSA"/>
    <n v="3"/>
    <n v="1293.0999999999999"/>
  </r>
  <r>
    <x v="0"/>
    <s v="13/01/2026"/>
    <s v="NOE JONAS D CEL"/>
    <s v="7503032300443"/>
    <s v="Zoe bala vibradora RETAIL - CXO"/>
    <s v="JUGUETE PROPIO"/>
    <s v="CXO"/>
    <n v="1"/>
    <n v="155.16999999999999"/>
  </r>
  <r>
    <x v="0"/>
    <s v="14/01/2026"/>
    <s v="NOE JONAS D CEL"/>
    <s v="6959633103500"/>
    <s v="Chika multiorgasmico turqueza - SVAKOM"/>
    <s v="JUGUETE"/>
    <s v="SVAKOM"/>
    <n v="1"/>
    <n v="2155.17"/>
  </r>
  <r>
    <x v="0"/>
    <s v="14/01/2026"/>
    <s v="NOE JONAS D CEL"/>
    <s v="7503013378645"/>
    <s v="Liquid Love Pleasure 100ml - DUSA"/>
    <s v="CONSUMIBLE PROPIO"/>
    <s v="DUSA"/>
    <n v="1"/>
    <n v="775.86"/>
  </r>
  <r>
    <x v="0"/>
    <s v="14/01/2026"/>
    <s v="NOE JONAS D CEL"/>
    <s v="7503013378010"/>
    <s v="Rigidex 2 pzas - DUSA"/>
    <s v="CONSUMIBLE PROPIO"/>
    <s v="DUSA"/>
    <n v="1"/>
    <n v="431.03"/>
  </r>
  <r>
    <x v="0"/>
    <s v="14/01/2026"/>
    <s v="NOE JONAS D CEL"/>
    <s v="7503020596957"/>
    <s v="Shot Shumatsu Fun Hombre - DUSA"/>
    <s v="CONSUMIBLE PROPIO"/>
    <s v="DUSA"/>
    <n v="3"/>
    <n v="517.23"/>
  </r>
  <r>
    <x v="0"/>
    <s v="14/01/2026"/>
    <s v="NOE JONAS D CEL"/>
    <s v="7503024256192"/>
    <s v="Shot Shumatsu Fun Mujer - DUSA"/>
    <s v="CONSUMIBLE PROPIO"/>
    <s v="DUSA"/>
    <n v="2"/>
    <n v="344.82"/>
  </r>
  <r>
    <x v="0"/>
    <s v="14/01/2026"/>
    <s v="NOE JONAS D CEL"/>
    <s v="7503032300443"/>
    <s v="Zoe bala vibradora RETAIL - CXO"/>
    <s v="JUGUETE PROPIO"/>
    <s v="CXO"/>
    <n v="1"/>
    <n v="155.16999999999999"/>
  </r>
  <r>
    <x v="0"/>
    <s v="15/01/2026"/>
    <s v="NOE JONAS D CEL"/>
    <s v="7503043917081"/>
    <s v="Blade rosa anillo vibrador - CXO"/>
    <s v="JUGUETE PROPIO"/>
    <s v="CXO"/>
    <n v="2"/>
    <n v="163.80000000000001"/>
  </r>
  <r>
    <x v="0"/>
    <s v="15/01/2026"/>
    <s v="NOE JONAS D CEL"/>
    <s v="7503013378492"/>
    <s v="Clean Whisper 120ml - DUSA"/>
    <s v="CONSUMIBLE PROPIO"/>
    <s v="DUSA"/>
    <n v="2"/>
    <n v="603.44000000000005"/>
  </r>
  <r>
    <x v="0"/>
    <s v="15/01/2026"/>
    <s v="NOE JONAS D CEL"/>
    <s v="68877F"/>
    <s v="Conjunto cafe tipo red Fernanda 2 piezas M"/>
    <s v="LENCERIA"/>
    <s v="OLA MOU"/>
    <n v="1"/>
    <n v="312.07"/>
  </r>
  <r>
    <x v="0"/>
    <s v="15/01/2026"/>
    <s v="NOE JONAS D CEL"/>
    <s v="68862J"/>
    <s v="Conjunto leopardo Jennifer 3 piezas G"/>
    <s v="LENCERIA"/>
    <s v="OLA MOU"/>
    <n v="1"/>
    <n v="646.54999999999995"/>
  </r>
  <r>
    <x v="0"/>
    <s v="15/01/2026"/>
    <s v="NOE JONAS D CEL"/>
    <s v="6959633166963"/>
    <s v="Ella Neo rojo- SVAKOM"/>
    <s v="JUGUETE"/>
    <s v="SVAKOM"/>
    <n v="1"/>
    <n v="3017.24"/>
  </r>
  <r>
    <x v="0"/>
    <s v="15/01/2026"/>
    <s v="NOE JONAS D CEL"/>
    <s v="7508304288429"/>
    <s v="Feromonas en gel 20ml unisex - DIAMANTE"/>
    <s v="CONSUMIBLE"/>
    <s v="DIAMANTE"/>
    <n v="1"/>
    <n v="379.31"/>
  </r>
  <r>
    <x v="0"/>
    <s v="15/01/2026"/>
    <s v="NOE JONAS D CEL"/>
    <s v="GWPS_BANANASHAKE_001"/>
    <s v="Lub de Regalo - Banana Shake"/>
    <s v="ACTIVACION"/>
    <s v="BANANA SHAKE"/>
    <n v="1"/>
    <n v="0.01"/>
  </r>
  <r>
    <x v="0"/>
    <s v="15/01/2026"/>
    <s v="NOE JONAS D CEL"/>
    <s v="7503013378799"/>
    <s v="Lubricante Body Surf Termico Citricos DUSA 60ml"/>
    <s v="CONSUMIBLE PROPIO"/>
    <s v="DUSA"/>
    <n v="1"/>
    <n v="387.93"/>
  </r>
  <r>
    <x v="0"/>
    <s v="15/01/2026"/>
    <s v="NOE JONAS D CEL"/>
    <s v="7503023462259"/>
    <s v="Lubricante Masaje Térmico Comestible Frutas Prohibidas FEEL LOVE 4 en 1 - 60ml"/>
    <s v="LUBRICANTE"/>
    <s v="FEEL LOVE"/>
    <n v="1"/>
    <n v="344.83"/>
  </r>
  <r>
    <x v="0"/>
    <s v="15/01/2026"/>
    <s v="NOE JONAS D CEL"/>
    <s v="695963319882"/>
    <s v="Masturbador  Recargable Hannes NEO - SVAKOM"/>
    <s v=""/>
    <s v="SVAKOM"/>
    <n v="1"/>
    <n v="2586.21"/>
  </r>
  <r>
    <x v="0"/>
    <s v="15/01/2026"/>
    <s v="NOE JONAS D CEL"/>
    <s v="75079413"/>
    <s v="Mini Kit Hombre 3 piezas - SXO"/>
    <s v="CONSUMIBLE"/>
    <s v="SXO"/>
    <n v="1"/>
    <n v="284.48"/>
  </r>
  <r>
    <x v="0"/>
    <s v="15/01/2026"/>
    <s v="NOE JONAS D CEL"/>
    <s v="75079390"/>
    <s v="Mini Kit Mujer 3 piezas- SXO"/>
    <s v="CONSUMIBLE"/>
    <s v="SXO"/>
    <n v="2"/>
    <n v="568.97"/>
  </r>
  <r>
    <x v="0"/>
    <s v="15/01/2026"/>
    <s v="NOE JONAS D CEL"/>
    <s v="USK-V11"/>
    <s v="Multiorgasmico con Lenguita Ceci - CXO"/>
    <s v="JUGUETE PROPIO"/>
    <s v="CXO"/>
    <n v="1"/>
    <n v="2474.14"/>
  </r>
  <r>
    <x v="0"/>
    <s v="15/01/2026"/>
    <s v="NOE JONAS D CEL"/>
    <s v="7503050524241"/>
    <s v="Orgasmik 30ml - DUSA"/>
    <s v="CONSUMIBLE PROPIO"/>
    <s v="DUSA"/>
    <n v="3"/>
    <n v="1293.0899999999999"/>
  </r>
  <r>
    <x v="0"/>
    <s v="15/01/2026"/>
    <s v="NOE JONAS D CEL"/>
    <s v="7503013378010"/>
    <s v="Rigidex 2 pzas - DUSA"/>
    <s v="CONSUMIBLE PROPIO"/>
    <s v="DUSA"/>
    <n v="1"/>
    <n v="431.03"/>
  </r>
  <r>
    <x v="0"/>
    <s v="15/01/2026"/>
    <s v="NOE JONAS D CEL"/>
    <s v="6959633156094"/>
    <s v="Robin - SVAKOM"/>
    <s v="JUGUETE"/>
    <s v="SVAKOM"/>
    <n v="1"/>
    <n v="1318.97"/>
  </r>
  <r>
    <x v="0"/>
    <s v="15/01/2026"/>
    <s v="NOE JONAS D CEL"/>
    <s v="7503020596049"/>
    <s v="Sensicool - DUSA"/>
    <s v="CONSUMIBLE PROPIO"/>
    <s v="DUSA"/>
    <n v="1"/>
    <n v="431.03"/>
  </r>
  <r>
    <x v="0"/>
    <s v="15/01/2026"/>
    <s v="NOE JONAS D CEL"/>
    <s v="7503050524258"/>
    <s v="Sensicool 30ml - DUSA"/>
    <s v="CONSUMIBLE PROPIO"/>
    <s v="DUSA"/>
    <n v="2"/>
    <n v="862.07"/>
  </r>
  <r>
    <x v="0"/>
    <s v="15/01/2026"/>
    <s v="NOE JONAS D CEL"/>
    <s v="7503032300443"/>
    <s v="Zoe bala vibradora RETAIL - CXO"/>
    <s v="JUGUETE PROPIO"/>
    <s v="CXO"/>
    <n v="1"/>
    <n v="155.16999999999999"/>
  </r>
  <r>
    <x v="0"/>
    <s v="16/01/2026"/>
    <s v="NOE JONAS D CEL"/>
    <s v="7503013378690"/>
    <s v="Shumatsu 3 pzas - DUSA"/>
    <s v="CONSUMIBLE PROPIO"/>
    <s v="DUSA"/>
    <n v="1"/>
    <n v="577.59"/>
  </r>
  <r>
    <x v="0"/>
    <s v="17/01/2026"/>
    <s v="NOE JONAS D CEL"/>
    <s v="7503030211021"/>
    <s v="Anillo desechable para pene Donut - CXO"/>
    <s v="JUGUETE PROPIO"/>
    <s v="CXO"/>
    <n v="1"/>
    <n v="34.479999999999997"/>
  </r>
  <r>
    <x v="0"/>
    <s v="17/01/2026"/>
    <s v="NOE JONAS D CEL"/>
    <s v="7503020111072"/>
    <s v="Anillo vibrador recargable con textura negra Hank - CXO"/>
    <s v="JUGUETE PROPIO"/>
    <s v="CXO"/>
    <n v="1"/>
    <n v="1267.24"/>
  </r>
  <r>
    <x v="0"/>
    <s v="17/01/2026"/>
    <s v="NOE JONAS D CEL"/>
    <s v="7503043917081"/>
    <s v="Blade rosa anillo vibrador - CXO"/>
    <s v="JUGUETE PROPIO"/>
    <s v="CXO"/>
    <n v="3"/>
    <n v="245.70000000000002"/>
  </r>
  <r>
    <x v="0"/>
    <s v="17/01/2026"/>
    <s v="NOE JONAS D CEL"/>
    <s v="7503014914002"/>
    <s v="CAPSULAS MULTIORGASMICO AMO O-GEN"/>
    <s v="CONSUMIBLE"/>
    <s v="POWER MAN"/>
    <n v="1"/>
    <n v="431.04"/>
  </r>
  <r>
    <x v="0"/>
    <s v="17/01/2026"/>
    <s v="NOE JONAS D CEL"/>
    <s v="7503032300474"/>
    <s v="Cola de Zorro 45cm blanco S - CXO"/>
    <s v="JUGUETE PROPIO"/>
    <s v="CXO"/>
    <n v="1"/>
    <n v="258.62"/>
  </r>
  <r>
    <x v="0"/>
    <s v="17/01/2026"/>
    <s v="NOE JONAS D CEL"/>
    <s v="7502214985805"/>
    <s v="CONDON PRUDENCE VETE A LA VERSH  C/3"/>
    <s v="CONSUMIBLE"/>
    <s v="PRUDENCE"/>
    <n v="1"/>
    <n v="77.59"/>
  </r>
  <r>
    <x v="0"/>
    <s v="17/01/2026"/>
    <s v="NOE JONAS D CEL"/>
    <s v="7502214980275"/>
    <s v="Condones sabor y aroma soda c/ 3 pzs - PRUDENCE"/>
    <s v="CONSUMIBLE"/>
    <s v="PRUDENCE"/>
    <n v="1"/>
    <n v="60.34"/>
  </r>
  <r>
    <x v="0"/>
    <s v="17/01/2026"/>
    <s v="NOE JONAS D CEL"/>
    <s v="7503050226150"/>
    <s v="Disfraz Kitten - OLA MOU"/>
    <s v="LENCERIA"/>
    <s v="OLA MOU"/>
    <n v="1"/>
    <n v="344.83"/>
  </r>
  <r>
    <x v="0"/>
    <s v="17/01/2026"/>
    <s v="NOE JONAS D CEL"/>
    <s v="7503020220077"/>
    <s v="Juego de mesa sensual para parejas – CXO"/>
    <s v="JUGUETE PROPIO"/>
    <s v="CXO"/>
    <n v="1"/>
    <n v="637.92999999999995"/>
  </r>
  <r>
    <x v="0"/>
    <s v="17/01/2026"/>
    <s v="NOE JONAS D CEL"/>
    <s v="7503013378645"/>
    <s v="Liquid Love Pleasure 100ml - DUSA"/>
    <s v="CONSUMIBLE PROPIO"/>
    <s v="DUSA"/>
    <n v="1"/>
    <n v="775.86"/>
  </r>
  <r>
    <x v="0"/>
    <s v="17/01/2026"/>
    <s v="NOE JONAS D CEL"/>
    <s v="GWPS_BANANASHAKE_001"/>
    <s v="Lub de Regalo - Banana Shake"/>
    <s v="ACTIVACION"/>
    <s v="BANANA SHAKE"/>
    <n v="1"/>
    <n v="0.01"/>
  </r>
  <r>
    <x v="0"/>
    <s v="17/01/2026"/>
    <s v="NOE JONAS D CEL"/>
    <s v="7503023462204"/>
    <s v="Lubricante Masaje Térmico Comestible Manzana del Edén FEEL LOVE 4 en 1 - 60ml"/>
    <s v="LUBRICANTE"/>
    <s v="FEEL LOVE"/>
    <n v="1"/>
    <n v="344.83"/>
  </r>
  <r>
    <x v="0"/>
    <s v="17/01/2026"/>
    <s v="NOE JONAS D CEL"/>
    <s v="7503013378690"/>
    <s v="Shumatsu 3 pzas - DUSA"/>
    <s v="CONSUMIBLE PROPIO"/>
    <s v="DUSA"/>
    <n v="3"/>
    <n v="1732.77"/>
  </r>
  <r>
    <x v="0"/>
    <s v="17/01/2026"/>
    <s v="NOE JONAS D CEL"/>
    <s v="4061504007359"/>
    <s v="Succionador Pingüino - Satisfayer"/>
    <s v="JUGUETE"/>
    <s v="SATISFAYER"/>
    <n v="1"/>
    <n v="1379.31"/>
  </r>
  <r>
    <x v="0"/>
    <s v="17/01/2026"/>
    <s v="NOE JONAS D CEL"/>
    <s v="782421080785"/>
    <s v="Supositorios A-Playmanteca de cacao y CBD - DOC JHONSON"/>
    <s v="CONSUMIBLE"/>
    <s v="DOC JOHNSON"/>
    <n v="1"/>
    <n v="1034.48"/>
  </r>
  <r>
    <x v="0"/>
    <s v="17/01/2026"/>
    <s v="NOE JONAS D CEL"/>
    <s v="7503032300443"/>
    <s v="Zoe bala vibradora RETAIL - CXO"/>
    <s v="JUGUETE PROPIO"/>
    <s v="CXO"/>
    <n v="3"/>
    <n v="465.51"/>
  </r>
  <r>
    <x v="0"/>
    <s v="18/01/2026"/>
    <s v="GERMAN  GUZMAN AGUIRRE"/>
    <s v="7503013378492"/>
    <s v="Clean Whisper 120ml - DUSA"/>
    <s v="CONSUMIBLE PROPIO"/>
    <s v="DUSA"/>
    <n v="1"/>
    <n v="301.72000000000003"/>
  </r>
  <r>
    <x v="0"/>
    <s v="18/01/2026"/>
    <s v="GERMAN  GUZMAN AGUIRRE"/>
    <s v="6959633118795"/>
    <s v="Edeny - SVAKOM"/>
    <s v="JUGUETE"/>
    <s v="SVAKOM"/>
    <n v="1"/>
    <n v="3275.86"/>
  </r>
  <r>
    <x v="0"/>
    <s v="18/01/2026"/>
    <s v="GERMAN  GUZMAN AGUIRRE"/>
    <s v="7503013378645"/>
    <s v="Liquid Love Pleasure 100ml - DUSA"/>
    <s v="CONSUMIBLE PROPIO"/>
    <s v="DUSA"/>
    <n v="1"/>
    <n v="775.86"/>
  </r>
  <r>
    <x v="0"/>
    <s v="18/01/2026"/>
    <s v="GERMAN  GUZMAN AGUIRRE"/>
    <s v="8699415912859"/>
    <s v="Miel Vigorizante para Hombre  Miracle Honey  VIP 15g-  SECRET MIRACLE HONEY"/>
    <s v="CONSUMIBLE"/>
    <s v="SECRET MIRACLE HONEY"/>
    <n v="1"/>
    <n v="215.52"/>
  </r>
  <r>
    <x v="0"/>
    <s v="18/01/2026"/>
    <s v="GERMAN  GUZMAN AGUIRRE"/>
    <s v="7503026484845"/>
    <s v="Oral Sex Erotic Nut 5g - Feel Love"/>
    <s v="CONSUMIBLE"/>
    <s v="DIAMANTE"/>
    <n v="1"/>
    <n v="51.72"/>
  </r>
  <r>
    <x v="1"/>
    <s v="12/01/2026"/>
    <s v="ALFONSO  M CARBALLAR"/>
    <s v="7503023462198"/>
    <s v="Lubricante Masaje Térmico Comestible Plátano Excitante FEEL LOVE 4 en 1 - 60ml"/>
    <s v="LUBRICANTE"/>
    <s v="FEEL LOVE"/>
    <n v="1"/>
    <n v="344.83"/>
  </r>
  <r>
    <x v="1"/>
    <s v="12/01/2026"/>
    <s v="JESUS ALBERTO M GARCIA"/>
    <s v="7503032300214"/>
    <s v="Cola de Zorro Arcoiris 38cm S - CXO"/>
    <s v="JUGUETE PROPIO"/>
    <s v="CXO"/>
    <n v="1"/>
    <n v="258.62"/>
  </r>
  <r>
    <x v="1"/>
    <s v="12/01/2026"/>
    <s v="JESUS ALBERTO M GARCIA"/>
    <s v="7503043917142"/>
    <s v="Hank negro anillo vibrador - CXO"/>
    <s v="JUGUETE PROPIO"/>
    <s v="CXO"/>
    <n v="1"/>
    <n v="818.97"/>
  </r>
  <r>
    <x v="1"/>
    <s v="12/01/2026"/>
    <s v="JESUS ALBERTO M GARCIA"/>
    <s v="LL-A2216"/>
    <s v="Huevito con 10 modos de Vibración  Gina - CXO"/>
    <s v="JUGUETE PROPIO"/>
    <s v="CXO"/>
    <n v="1"/>
    <n v="1500"/>
  </r>
  <r>
    <x v="1"/>
    <s v="12/01/2026"/>
    <s v="JESUS ALBERTO M GARCIA"/>
    <s v="7503043917593"/>
    <s v="Nora dildo vibrador - CXO"/>
    <s v="JUGUETE PROPIO"/>
    <s v="CXO"/>
    <n v="1"/>
    <n v="474.14"/>
  </r>
  <r>
    <x v="1"/>
    <s v="12/01/2026"/>
    <s v="JESUS ALBERTO M GARCIA"/>
    <s v="7503024256635"/>
    <s v="Olive  6.8&quot; rosa - CXO"/>
    <s v="JUGUETE PROPIO"/>
    <s v="CXO"/>
    <n v="1"/>
    <n v="603.45000000000005"/>
  </r>
  <r>
    <x v="1"/>
    <s v="12/01/2026"/>
    <s v="JESUS ALBERTO M GARCIA"/>
    <s v="7503050524241"/>
    <s v="Orgasmik 30ml - DUSA"/>
    <s v="CONSUMIBLE PROPIO"/>
    <s v="DUSA"/>
    <n v="1"/>
    <n v="431.03"/>
  </r>
  <r>
    <x v="1"/>
    <s v="12/01/2026"/>
    <s v="JESUS ALBERTO M GARCIA"/>
    <s v="7503020596957"/>
    <s v="Shot Shumatsu Fun Hombre - DUSA"/>
    <s v="CONSUMIBLE PROPIO"/>
    <s v="DUSA"/>
    <n v="1"/>
    <n v="172.41"/>
  </r>
  <r>
    <x v="1"/>
    <s v="12/01/2026"/>
    <s v="JESUS ALBERTO M GARCIA"/>
    <s v="7503024256192"/>
    <s v="Shot Shumatsu Fun Mujer - DUSA"/>
    <s v="CONSUMIBLE PROPIO"/>
    <s v="DUSA"/>
    <n v="1"/>
    <n v="172.41"/>
  </r>
  <r>
    <x v="1"/>
    <s v="13/01/2026"/>
    <s v="JESUS ALBERTO M GARCIA"/>
    <s v="7503050226156"/>
    <s v="Body Alicia - OLA MOU"/>
    <s v="LENCERIA"/>
    <s v="OLA MOU"/>
    <n v="1"/>
    <n v="775.86"/>
  </r>
  <r>
    <x v="1"/>
    <s v="13/01/2026"/>
    <s v="JESUS ALBERTO M GARCIA"/>
    <s v="FM1002"/>
    <s v="FEROMONAS DIAMANTE CONCENTRADO HOMBRE"/>
    <s v="CONSUMIBLE"/>
    <s v="DIAMANTE"/>
    <n v="1"/>
    <n v="413.79"/>
  </r>
  <r>
    <x v="1"/>
    <s v="13/01/2026"/>
    <s v="JESUS ALBERTO M GARCIA"/>
    <s v="7503032300993"/>
    <s v="Liquid Love Pleasure 30ml - DUSA"/>
    <s v="CONSUMIBLE PROPIO"/>
    <s v="DUSA"/>
    <n v="1"/>
    <n v="301.72000000000003"/>
  </r>
  <r>
    <x v="1"/>
    <s v="13/01/2026"/>
    <s v="JESUS ALBERTO M GARCIA"/>
    <s v="7503013378645"/>
    <s v="Liquid Love Pleasure 100ml - DUSA"/>
    <s v="CONSUMIBLE PROPIO"/>
    <s v="DUSA"/>
    <n v="1"/>
    <n v="775.86"/>
  </r>
  <r>
    <x v="1"/>
    <s v="13/01/2026"/>
    <s v="JESUS ALBERTO M GARCIA"/>
    <s v="7503050226162"/>
    <s v="Plug Anal con Vibración y Control Roberto - CXO"/>
    <s v="JUGUETE PROPIO"/>
    <s v="CXO"/>
    <n v="1"/>
    <n v="1293.0999999999999"/>
  </r>
  <r>
    <x v="1"/>
    <s v="13/01/2026"/>
    <s v="JESUS ALBERTO M GARCIA"/>
    <s v="7503013378010"/>
    <s v="Rigidex 2 pzas - DUSA"/>
    <s v="CONSUMIBLE PROPIO"/>
    <s v="DUSA"/>
    <n v="1"/>
    <n v="431.03"/>
  </r>
  <r>
    <x v="1"/>
    <s v="14/01/2026"/>
    <s v="JESUS ALBERTO M GARCIA"/>
    <s v="7503013378102"/>
    <s v="Anastasia Gema de Colores M - CXO"/>
    <s v="JUGUETE PROPIO"/>
    <s v="CXO"/>
    <n v="1"/>
    <n v="456.9"/>
  </r>
  <r>
    <x v="1"/>
    <s v="14/01/2026"/>
    <s v="JESUS ALBERTO M GARCIA"/>
    <s v="7503043917081"/>
    <s v="Blade rosa anillo vibrador - CXO"/>
    <s v="JUGUETE PROPIO"/>
    <s v="CXO"/>
    <n v="1"/>
    <n v="81.900000000000006"/>
  </r>
  <r>
    <x v="1"/>
    <s v="14/01/2026"/>
    <s v="JESUS ALBERTO M GARCIA"/>
    <s v="7503032300993"/>
    <s v="Liquid Love Pleasure 30ml - DUSA"/>
    <s v="CONSUMIBLE PROPIO"/>
    <s v="DUSA"/>
    <n v="1"/>
    <n v="301.72000000000003"/>
  </r>
  <r>
    <x v="1"/>
    <s v="14/01/2026"/>
    <s v="JESUS ALBERTO M GARCIA"/>
    <s v="7503013378980"/>
    <s v="Lubricante Body Surf Termico Chicle DUSA 60ml"/>
    <s v="CONSUMIBLE PROPIO"/>
    <s v="DUSA"/>
    <n v="1"/>
    <n v="387.93"/>
  </r>
  <r>
    <x v="1"/>
    <s v="14/01/2026"/>
    <s v="JESUS ALBERTO M GARCIA"/>
    <s v="6959633103494"/>
    <s v="Mora Neo multiorgasmico rosa - SVAKOM"/>
    <s v="JUGUETE"/>
    <s v="SVAKOM"/>
    <n v="1"/>
    <n v="1637.93"/>
  </r>
  <r>
    <x v="1"/>
    <s v="14/01/2026"/>
    <s v="JESUS ALBERTO M GARCIA"/>
    <s v="7503024256604"/>
    <s v="Olivia 6.5&quot; rosa - CXO"/>
    <s v="JUGUETE PROPIO"/>
    <s v="CXO"/>
    <n v="1"/>
    <n v="603.45000000000005"/>
  </r>
  <r>
    <x v="1"/>
    <s v="14/01/2026"/>
    <s v="JESUS ALBERTO M GARCIA"/>
    <s v="7503032300443"/>
    <s v="Zoe bala vibradora RETAIL - CXO"/>
    <s v="JUGUETE PROPIO"/>
    <s v="CXO"/>
    <n v="1"/>
    <n v="155.16999999999999"/>
  </r>
  <r>
    <x v="1"/>
    <s v="15/01/2026"/>
    <s v="JESUS ALBERTO M GARCIA"/>
    <s v="7503050524265"/>
    <s v="He Plus 30ml - DUSA"/>
    <s v="CONSUMIBLE PROPIO"/>
    <s v="DUSA"/>
    <n v="1"/>
    <n v="431.03"/>
  </r>
  <r>
    <x v="1"/>
    <s v="15/01/2026"/>
    <s v="JESUS ALBERTO M GARCIA"/>
    <s v="7503032300443"/>
    <s v="Zoe bala vibradora RETAIL - CXO"/>
    <s v="JUGUETE PROPIO"/>
    <s v="CXO"/>
    <n v="1"/>
    <n v="155.16999999999999"/>
  </r>
  <r>
    <x v="1"/>
    <s v="16/01/2026"/>
    <s v="JESUS ALBERTO M GARCIA"/>
    <s v="7503013378492"/>
    <s v="Clean Whisper 120ml - DUSA"/>
    <s v="CONSUMIBLE PROPIO"/>
    <s v="DUSA"/>
    <n v="1"/>
    <n v="301.72000000000003"/>
  </r>
  <r>
    <x v="1"/>
    <s v="16/01/2026"/>
    <s v="JESUS ALBERTO M GARCIA"/>
    <s v="603912332612"/>
    <s v="VIBRADOR ANAL FANTASY VIBRATING ASS BLATER"/>
    <s v="JUGUETE"/>
    <s v="PIPEDREAM"/>
    <n v="1"/>
    <n v="2081.9"/>
  </r>
  <r>
    <x v="1"/>
    <s v="16/01/2026"/>
    <s v="JESUS ALBERTO M GARCIA"/>
    <s v="7503032300443"/>
    <s v="Zoe bala vibradora RETAIL - CXO"/>
    <s v="JUGUETE PROPIO"/>
    <s v="CXO"/>
    <n v="1"/>
    <n v="155.16999999999999"/>
  </r>
  <r>
    <x v="1"/>
    <s v="17/01/2026"/>
    <s v="JESUS ALBERTO M GARCIA"/>
    <s v="7503013378102"/>
    <s v="Anastasia Gema de Colores M - CXO"/>
    <s v="JUGUETE PROPIO"/>
    <s v="CXO"/>
    <n v="1"/>
    <n v="456.9"/>
  </r>
  <r>
    <x v="1"/>
    <s v="17/01/2026"/>
    <s v="JESUS ALBERTO M GARCIA"/>
    <s v="7503020111072"/>
    <s v="Anillo vibrador recargable con textura negra Hank - CXO"/>
    <s v="JUGUETE PROPIO"/>
    <s v="CXO"/>
    <n v="1"/>
    <n v="1267.24"/>
  </r>
  <r>
    <x v="1"/>
    <s v="17/01/2026"/>
    <s v="JESUS ALBERTO M GARCIA"/>
    <s v="7503014914002"/>
    <s v="CAPSULAS MULTIORGASMICO AMO O-GEN"/>
    <s v="CONSUMIBLE"/>
    <s v="POWER MAN"/>
    <n v="1"/>
    <n v="431.04"/>
  </r>
  <r>
    <x v="1"/>
    <s v="17/01/2026"/>
    <s v="JESUS ALBERTO M GARCIA"/>
    <s v="7503030102198"/>
    <s v="Dildo realista vibrador con ventosa Ulises - CXO"/>
    <s v="JUGUETE PROPIO"/>
    <s v="CXO"/>
    <n v="1"/>
    <n v="2000"/>
  </r>
  <r>
    <x v="1"/>
    <s v="17/01/2026"/>
    <s v="JESUS ALBERTO M GARCIA"/>
    <s v="7503030128197"/>
    <s v="Ducha anal con vibracion Hector - CXO"/>
    <s v="JUGUETE PROPIO"/>
    <s v="CXO"/>
    <n v="1"/>
    <n v="1862.07"/>
  </r>
  <r>
    <x v="1"/>
    <s v="17/01/2026"/>
    <s v="JESUS ALBERTO M GARCIA"/>
    <s v="7503043917012"/>
    <s v="Liquid Love Backdoor 30ml - DUSA"/>
    <s v="CONSUMIBLE PROPIO"/>
    <s v="DUSA"/>
    <n v="1"/>
    <n v="301.72000000000003"/>
  </r>
  <r>
    <x v="1"/>
    <s v="17/01/2026"/>
    <s v="JESUS ALBERTO M GARCIA"/>
    <s v="7503032300993"/>
    <s v="Liquid Love Pleasure 30ml - DUSA"/>
    <s v="CONSUMIBLE PROPIO"/>
    <s v="DUSA"/>
    <n v="2"/>
    <n v="603.44000000000005"/>
  </r>
  <r>
    <x v="1"/>
    <s v="17/01/2026"/>
    <s v="JESUS ALBERTO M GARCIA"/>
    <s v="7503013378645"/>
    <s v="Liquid Love Pleasure 100ml - DUSA"/>
    <s v="CONSUMIBLE PROPIO"/>
    <s v="DUSA"/>
    <n v="3"/>
    <n v="2327.58"/>
  </r>
  <r>
    <x v="1"/>
    <s v="17/01/2026"/>
    <s v="JESUS ALBERTO M GARCIA"/>
    <s v="7503020596957"/>
    <s v="Shot Shumatsu Fun Hombre - DUSA"/>
    <s v="CONSUMIBLE PROPIO"/>
    <s v="DUSA"/>
    <n v="1"/>
    <n v="172.41"/>
  </r>
  <r>
    <x v="1"/>
    <s v="17/01/2026"/>
    <s v="JESUS ALBERTO M GARCIA"/>
    <s v="7503013378690"/>
    <s v="Shumatsu 3 pzas - DUSA"/>
    <s v="CONSUMIBLE PROPIO"/>
    <s v="DUSA"/>
    <n v="5"/>
    <n v="2887.95"/>
  </r>
  <r>
    <x v="1"/>
    <s v="17/01/2026"/>
    <s v="JESUS ALBERTO M GARCIA"/>
    <s v="7503032300443"/>
    <s v="Zoe bala vibradora RETAIL - CXO"/>
    <s v="JUGUETE PROPIO"/>
    <s v="CXO"/>
    <n v="2"/>
    <n v="310.33999999999997"/>
  </r>
  <r>
    <x v="1"/>
    <s v="18/01/2026"/>
    <s v="JESUS ALBERTO M GARCIA"/>
    <s v="MBS0530"/>
    <s v="Esposas de broche - CXO"/>
    <s v="JUGUETE PROPIO"/>
    <s v="CXO"/>
    <n v="1"/>
    <n v="172.41"/>
  </r>
  <r>
    <x v="1"/>
    <s v="18/01/2026"/>
    <s v="JESUS ALBERTO M GARCIA"/>
    <s v="7503043917012"/>
    <s v="Liquid Love Backdoor 30ml - DUSA"/>
    <s v="CONSUMIBLE PROPIO"/>
    <s v="DUSA"/>
    <n v="1"/>
    <n v="301.72000000000003"/>
  </r>
  <r>
    <x v="1"/>
    <s v="18/01/2026"/>
    <s v="JESUS ALBERTO M GARCIA"/>
    <s v="7503013378645"/>
    <s v="Liquid Love Pleasure 100ml - DUSA"/>
    <s v="CONSUMIBLE PROPIO"/>
    <s v="DUSA"/>
    <n v="1"/>
    <n v="775.86"/>
  </r>
  <r>
    <x v="1"/>
    <s v="18/01/2026"/>
    <s v="JESUS ALBERTO M GARCIA"/>
    <s v="7798309441916"/>
    <s v="Love Potion Hot Kisses - Sexitive"/>
    <s v="JUGUETE"/>
    <s v="SEXITIVE"/>
    <n v="1"/>
    <n v="146.55000000000001"/>
  </r>
  <r>
    <x v="1"/>
    <s v="18/01/2026"/>
    <s v="JESUS ALBERTO M GARCIA"/>
    <s v="7503023462198"/>
    <s v="Lubricante Masaje Térmico Comestible Plátano Excitante FEEL LOVE 4 en 1 - 60ml"/>
    <s v="LUBRICANTE"/>
    <s v="FEEL LOVE"/>
    <n v="1"/>
    <n v="344.83"/>
  </r>
  <r>
    <x v="1"/>
    <s v="18/01/2026"/>
    <s v="JESUS ALBERTO M GARCIA"/>
    <s v="7503020104212"/>
    <s v="Vibrador multiorgasmico con aleta estimuladora Megan - CXO"/>
    <s v="JUGUETE PROPIO"/>
    <s v="CXO"/>
    <n v="1"/>
    <n v="2413.79"/>
  </r>
  <r>
    <x v="1"/>
    <s v="18/01/2026"/>
    <s v="JESUS ALBERTO M GARCIA"/>
    <s v="7503032300443"/>
    <s v="Zoe bala vibradora RETAIL - CXO"/>
    <s v="JUGUETE PROPIO"/>
    <s v="CXO"/>
    <n v="1"/>
    <n v="155.16999999999999"/>
  </r>
  <r>
    <x v="2"/>
    <s v="12/01/2026"/>
    <s v="ANGEL DANILO RODRIGUEZ LOPEZ"/>
    <s v="7503032300337"/>
    <s v="Ducha Felix M - CXO"/>
    <s v="JUGUETE PROPIO"/>
    <s v="CXO"/>
    <n v="1"/>
    <n v="568.97"/>
  </r>
  <r>
    <x v="2"/>
    <s v="12/01/2026"/>
    <s v="ANGEL DANILO RODRIGUEZ LOPEZ"/>
    <s v="7503050524340"/>
    <s v="Ducha Felix S - CXO"/>
    <s v="JUGUETE PROPIO"/>
    <s v="CXO"/>
    <n v="1"/>
    <n v="612.07000000000005"/>
  </r>
  <r>
    <x v="2"/>
    <s v="12/01/2026"/>
    <s v="ANGEL DANILO RODRIGUEZ LOPEZ"/>
    <s v="7503032300993"/>
    <s v="Liquid Love Pleasure 30ml - DUSA"/>
    <s v="CONSUMIBLE PROPIO"/>
    <s v="DUSA"/>
    <n v="1"/>
    <n v="301.72000000000003"/>
  </r>
  <r>
    <x v="2"/>
    <s v="12/01/2026"/>
    <s v="ANGEL DANILO RODRIGUEZ LOPEZ"/>
    <s v="7503013378010"/>
    <s v="Rigidex 2 pzas - DUSA"/>
    <s v="CONSUMIBLE PROPIO"/>
    <s v="DUSA"/>
    <n v="1"/>
    <n v="431.03"/>
  </r>
  <r>
    <x v="2"/>
    <s v="13/01/2026"/>
    <s v="IRIS CRISTINA RIVERA PEREZ CELESTERRA"/>
    <s v="7503014914002"/>
    <s v="CAPSULAS MULTIORGASMICO AMO O-GEN"/>
    <s v="CONSUMIBLE"/>
    <s v="POWER MAN"/>
    <n v="1"/>
    <n v="431.04"/>
  </r>
  <r>
    <x v="2"/>
    <s v="13/01/2026"/>
    <s v="IRIS CRISTINA RIVERA PEREZ CELESTERRA"/>
    <s v="7502214980015"/>
    <s v="Condon Clasico 3 pzs - PRUDENCE"/>
    <s v="CONSUMIBLE"/>
    <s v="PRUDENCE"/>
    <n v="1"/>
    <n v="60.34"/>
  </r>
  <r>
    <x v="2"/>
    <s v="13/01/2026"/>
    <s v="IRIS CRISTINA RIVERA PEREZ CELESTERRA"/>
    <s v="7502214980077"/>
    <s v="CONDON TRUST FRESA CON 3 MAQ - PRUDENCE"/>
    <s v="CONSUMIBLE"/>
    <s v="PRUDENCE"/>
    <n v="1"/>
    <n v="77.59"/>
  </r>
  <r>
    <x v="2"/>
    <s v="13/01/2026"/>
    <s v="IRIS CRISTINA RIVERA PEREZ CELESTERRA"/>
    <s v="7500464543059"/>
    <s v="Dildo Realista con Ventosa 15.5cms Domi CXO"/>
    <s v="JUGUETE PROPIO"/>
    <s v="CXO"/>
    <n v="1"/>
    <n v="818.97"/>
  </r>
  <r>
    <x v="2"/>
    <s v="13/01/2026"/>
    <s v="IRIS CRISTINA RIVERA PEREZ CELESTERRA"/>
    <s v="7503043917548"/>
    <s v="Huevo masturbador silky - EGG"/>
    <s v="JUGUETE"/>
    <s v="EGG"/>
    <n v="1"/>
    <n v="159.47999999999999"/>
  </r>
  <r>
    <x v="2"/>
    <s v="13/01/2026"/>
    <s v="IRIS CRISTINA RIVERA PEREZ CELESTERRA"/>
    <s v="7503032300030"/>
    <s v="Kit de Zorro Arcoiris - CXO"/>
    <s v="JUGUETE PROPIO"/>
    <s v="CXO"/>
    <n v="1"/>
    <n v="1025.8599999999999"/>
  </r>
  <r>
    <x v="2"/>
    <s v="13/01/2026"/>
    <s v="IRIS CRISTINA RIVERA PEREZ CELESTERRA"/>
    <s v="7503013378652"/>
    <s v="Liquid Love Backdoor 100ml - DUSA"/>
    <s v="CONSUMIBLE PROPIO"/>
    <s v="DUSA"/>
    <n v="1"/>
    <n v="1077.5899999999999"/>
  </r>
  <r>
    <x v="2"/>
    <s v="13/01/2026"/>
    <s v="IRIS CRISTINA RIVERA PEREZ CELESTERRA"/>
    <s v="7503043917005"/>
    <s v="Liquid Love Clear 30ml - DUSA"/>
    <s v="CONSUMIBLE PROPIO"/>
    <s v="DUSA"/>
    <n v="1"/>
    <n v="301.72000000000003"/>
  </r>
  <r>
    <x v="2"/>
    <s v="13/01/2026"/>
    <s v="IRIS CRISTINA RIVERA PEREZ CELESTERRA"/>
    <s v="7503032300993"/>
    <s v="Liquid Love Pleasure 30ml - DUSA"/>
    <s v="CONSUMIBLE PROPIO"/>
    <s v="DUSA"/>
    <n v="1"/>
    <n v="301.72000000000003"/>
  </r>
  <r>
    <x v="2"/>
    <s v="13/01/2026"/>
    <s v="IRIS CRISTINA RIVERA PEREZ CELESTERRA"/>
    <s v="GWPS_BANANASHAKE_001"/>
    <s v="Lub de Regalo - Banana Shake"/>
    <s v="ACTIVACION"/>
    <s v="BANANA SHAKE"/>
    <n v="1"/>
    <n v="0.01"/>
  </r>
  <r>
    <x v="2"/>
    <s v="13/01/2026"/>
    <s v="IRIS CRISTINA RIVERA PEREZ CELESTERRA"/>
    <s v="7503024256154"/>
    <s v="Lubricante Body Surf Termico Cereza DUSA 60ml"/>
    <s v="CONSUMIBLE PROPIO"/>
    <s v="DUSA"/>
    <n v="1"/>
    <n v="387.93"/>
  </r>
  <r>
    <x v="2"/>
    <s v="13/01/2026"/>
    <s v="IRIS CRISTINA RIVERA PEREZ CELESTERRA"/>
    <s v="7503013378980"/>
    <s v="Lubricante Body Surf Termico Chicle DUSA 60ml"/>
    <s v="CONSUMIBLE PROPIO"/>
    <s v="DUSA"/>
    <n v="1"/>
    <n v="387.93"/>
  </r>
  <r>
    <x v="2"/>
    <s v="13/01/2026"/>
    <s v="IRIS CRISTINA RIVERA PEREZ CELESTERRA"/>
    <s v="6959633103494"/>
    <s v="Mora Neo multiorgasmico rosa - SVAKOM"/>
    <s v="JUGUETE"/>
    <s v="SVAKOM"/>
    <n v="1"/>
    <n v="1637.93"/>
  </r>
  <r>
    <x v="2"/>
    <s v="13/01/2026"/>
    <s v="IRIS CRISTINA RIVERA PEREZ CELESTERRA"/>
    <s v="6959633134559"/>
    <s v="Phoenix Neo 2 rojo - SVAKOM"/>
    <s v="JUGUETE"/>
    <s v="SVAKOM"/>
    <n v="1"/>
    <n v="3534.48"/>
  </r>
  <r>
    <x v="2"/>
    <s v="13/01/2026"/>
    <s v="IRIS CRISTINA RIVERA PEREZ CELESTERRA"/>
    <s v="7503050226162"/>
    <s v="Plug Anal con Vibración y Control Roberto - CXO"/>
    <s v="JUGUETE PROPIO"/>
    <s v="CXO"/>
    <n v="1"/>
    <n v="1293.0999999999999"/>
  </r>
  <r>
    <x v="2"/>
    <s v="13/01/2026"/>
    <s v="IRIS CRISTINA RIVERA PEREZ CELESTERRA"/>
    <s v="7503013378010"/>
    <s v="Rigidex 2 pzas - DUSA"/>
    <s v="CONSUMIBLE PROPIO"/>
    <s v="DUSA"/>
    <n v="1"/>
    <n v="431.03"/>
  </r>
  <r>
    <x v="2"/>
    <s v="14/01/2026"/>
    <s v="IRIS CRISTINA RIVERA PEREZ CELESTERRA"/>
    <s v="7503030103028"/>
    <s v="Huevito vibrador con control a distancia Daniela - CXO"/>
    <s v="JUGUETE PROPIO"/>
    <s v="CXO"/>
    <n v="1"/>
    <n v="1500"/>
  </r>
  <r>
    <x v="2"/>
    <s v="14/01/2026"/>
    <s v="IRIS CRISTINA RIVERA PEREZ CELESTERRA"/>
    <s v="7503013378652"/>
    <s v="Liquid Love Backdoor 100ml - DUSA"/>
    <s v="CONSUMIBLE PROPIO"/>
    <s v="DUSA"/>
    <n v="1"/>
    <n v="1077.5899999999999"/>
  </r>
  <r>
    <x v="2"/>
    <s v="14/01/2026"/>
    <s v="IRIS CRISTINA RIVERA PEREZ CELESTERRA"/>
    <s v="7503013378980"/>
    <s v="Lubricante Body Surf Termico Chicle DUSA 60ml"/>
    <s v="CONSUMIBLE PROPIO"/>
    <s v="DUSA"/>
    <n v="1"/>
    <n v="387.93"/>
  </r>
  <r>
    <x v="2"/>
    <s v="14/01/2026"/>
    <s v="IRIS CRISTINA RIVERA PEREZ CELESTERRA"/>
    <s v="7503013378010"/>
    <s v="Rigidex 2 pzas - DUSA"/>
    <s v="CONSUMIBLE PROPIO"/>
    <s v="DUSA"/>
    <n v="1"/>
    <n v="431.03"/>
  </r>
  <r>
    <x v="2"/>
    <s v="14/01/2026"/>
    <s v="IRIS CRISTINA RIVERA PEREZ CELESTERRA"/>
    <s v="4061504007496"/>
    <s v="Succionado con App Curvy 1+ - Satisfayer"/>
    <s v="JUGUETE"/>
    <s v="SATISFAYER"/>
    <n v="1"/>
    <n v="1810.34"/>
  </r>
  <r>
    <x v="2"/>
    <s v="16/01/2026"/>
    <s v="IRIS CRISTINA RIVERA PEREZ CELESTERRA"/>
    <s v="7503013378492"/>
    <s v="Clean Whisper 120ml - DUSA"/>
    <s v="CONSUMIBLE PROPIO"/>
    <s v="DUSA"/>
    <n v="2"/>
    <n v="603.44000000000005"/>
  </r>
  <r>
    <x v="2"/>
    <s v="16/01/2026"/>
    <s v="IRIS CRISTINA RIVERA PEREZ CELESTERRA"/>
    <s v="7503020202213"/>
    <s v="Dildo realista con ventosa Nick - CXO"/>
    <s v="JUGUETE PROPIO"/>
    <s v="CXO"/>
    <n v="1"/>
    <n v="818.97"/>
  </r>
  <r>
    <x v="2"/>
    <s v="16/01/2026"/>
    <s v="IRIS CRISTINA RIVERA PEREZ CELESTERRA"/>
    <s v="7503020596001"/>
    <s v="Liquid Love Clear 100ml - DUSA"/>
    <s v="CONSUMIBLE PROPIO"/>
    <s v="DUSA"/>
    <n v="1"/>
    <n v="775.86"/>
  </r>
  <r>
    <x v="2"/>
    <s v="16/01/2026"/>
    <s v="IRIS CRISTINA RIVERA PEREZ CELESTERRA"/>
    <s v="7503013378645"/>
    <s v="Liquid Love Pleasure 100ml - DUSA"/>
    <s v="CONSUMIBLE PROPIO"/>
    <s v="DUSA"/>
    <n v="1"/>
    <n v="775.86"/>
  </r>
  <r>
    <x v="2"/>
    <s v="16/01/2026"/>
    <s v="IRIS CRISTINA RIVERA PEREZ CELESTERRA"/>
    <s v="7503013378980"/>
    <s v="Lubricante Body Surf Termico Chicle DUSA 60ml"/>
    <s v="CONSUMIBLE PROPIO"/>
    <s v="DUSA"/>
    <n v="1"/>
    <n v="387.93"/>
  </r>
  <r>
    <x v="2"/>
    <s v="16/01/2026"/>
    <s v="IRIS CRISTINA RIVERA PEREZ CELESTERRA"/>
    <s v="7503032300856"/>
    <s v="Sachet vibrador liquido 2 ml - BANANA SHAKE"/>
    <s v="CONSUMIBLE"/>
    <s v="BANANA SHAKE"/>
    <n v="4"/>
    <n v="68.959999999999994"/>
  </r>
  <r>
    <x v="2"/>
    <s v="16/01/2026"/>
    <s v="IRIS CRISTINA RIVERA PEREZ CELESTERRA"/>
    <s v="4061504007533"/>
    <s v="Succionador con App Love Triangle - Satisfayer"/>
    <s v="JUGUETE"/>
    <s v="SATISFAYER"/>
    <n v="2"/>
    <n v="2931.04"/>
  </r>
  <r>
    <x v="2"/>
    <s v="17/01/2026"/>
    <s v="IRIS CRISTINA RIVERA PEREZ CELESTERRA"/>
    <s v="7503013378492"/>
    <s v="Clean Whisper 120ml - DUSA"/>
    <s v="CONSUMIBLE PROPIO"/>
    <s v="DUSA"/>
    <n v="1"/>
    <n v="301.72000000000003"/>
  </r>
  <r>
    <x v="2"/>
    <s v="17/01/2026"/>
    <s v="IRIS CRISTINA RIVERA PEREZ CELESTERRA"/>
    <s v="CON01CH03400175B"/>
    <s v="Conjunto Brianne 75B"/>
    <s v="LENCERIA"/>
    <s v="OLA MOU"/>
    <n v="1"/>
    <n v="468.1"/>
  </r>
  <r>
    <x v="2"/>
    <s v="17/01/2026"/>
    <s v="IRIS CRISTINA RIVERA PEREZ CELESTERRA"/>
    <s v="7503050226117"/>
    <s v="Conjunto Isabella - OLA MOU"/>
    <s v="LENCERIA"/>
    <s v="OLA MOU"/>
    <n v="1"/>
    <n v="517.24"/>
  </r>
  <r>
    <x v="2"/>
    <s v="17/01/2026"/>
    <s v="IRIS CRISTINA RIVERA PEREZ CELESTERRA"/>
    <s v="7503030202035"/>
    <s v="Dildo con testiculos y ventosa Mr. Garcia - CXO"/>
    <s v="JUGUETE PROPIO"/>
    <s v="CXO"/>
    <n v="1"/>
    <n v="646.54999999999995"/>
  </r>
  <r>
    <x v="2"/>
    <s v="17/01/2026"/>
    <s v="IRIS CRISTINA RIVERA PEREZ CELESTERRA"/>
    <s v="7503020596513"/>
    <s v="Liquid Love Natural 20ml - DUSA"/>
    <s v="CONSUMIBLE PROPIO"/>
    <s v="DUSA"/>
    <n v="1"/>
    <n v="258.62"/>
  </r>
  <r>
    <x v="2"/>
    <s v="17/01/2026"/>
    <s v="IRIS CRISTINA RIVERA PEREZ CELESTERRA"/>
    <s v="7503013378645"/>
    <s v="Liquid Love Pleasure 100ml - DUSA"/>
    <s v="CONSUMIBLE PROPIO"/>
    <s v="DUSA"/>
    <n v="1"/>
    <n v="775.86"/>
  </r>
  <r>
    <x v="2"/>
    <s v="17/01/2026"/>
    <s v="IRIS CRISTINA RIVERA PEREZ CELESTERRA"/>
    <s v="GWPS_BANANASHAKE_001"/>
    <s v="Lub de Regalo - Banana Shake"/>
    <s v="ACTIVACION"/>
    <s v="BANANA SHAKE"/>
    <n v="1"/>
    <n v="0.01"/>
  </r>
  <r>
    <x v="2"/>
    <s v="17/01/2026"/>
    <s v="IRIS CRISTINA RIVERA PEREZ CELESTERRA"/>
    <s v="7503013378799"/>
    <s v="Lubricante Body Surf Termico Citricos DUSA 60ml"/>
    <s v="CONSUMIBLE PROPIO"/>
    <s v="DUSA"/>
    <n v="1"/>
    <n v="387.93"/>
  </r>
  <r>
    <x v="2"/>
    <s v="17/01/2026"/>
    <s v="IRIS CRISTINA RIVERA PEREZ CELESTERRA"/>
    <s v="7503023462235"/>
    <s v="Lubricante Masaje Térmico Comestible Piña Colada FEEL LOVE 4 en 1 - 60ml"/>
    <s v="LUBRICANTE"/>
    <s v="FEEL LOVE"/>
    <n v="1"/>
    <n v="344.83"/>
  </r>
  <r>
    <x v="2"/>
    <s v="17/01/2026"/>
    <s v="IRIS CRISTINA RIVERA PEREZ CELESTERRA"/>
    <s v="7503023462198"/>
    <s v="Lubricante Masaje Térmico Comestible Plátano Excitante FEEL LOVE 4 en 1 - 60ml"/>
    <s v="LUBRICANTE"/>
    <s v="FEEL LOVE"/>
    <n v="1"/>
    <n v="344.83"/>
  </r>
  <r>
    <x v="2"/>
    <s v="17/01/2026"/>
    <s v="IRIS CRISTINA RIVERA PEREZ CELESTERRA"/>
    <s v="SE016"/>
    <s v="Masturbador Vagina -  CXO"/>
    <s v="JUGUETE PROPIO"/>
    <s v="CXO"/>
    <n v="1"/>
    <n v="948.28"/>
  </r>
  <r>
    <x v="2"/>
    <s v="17/01/2026"/>
    <s v="IRIS CRISTINA RIVERA PEREZ CELESTERRA"/>
    <s v="7503020104212"/>
    <s v="Vibrador multiorgasmico con aleta estimuladora Megan - CXO"/>
    <s v="JUGUETE PROPIO"/>
    <s v="CXO"/>
    <n v="1"/>
    <n v="2413.79"/>
  </r>
  <r>
    <x v="2"/>
    <s v="17/01/2026"/>
    <s v="IRIS CRISTINA RIVERA PEREZ CELESTERRA"/>
    <s v="7503020104082"/>
    <s v="Vibrador multiorgásmico con succionador y perlas Andy – CXO"/>
    <s v="JUGUETE PROPIO"/>
    <s v="CXO"/>
    <n v="1"/>
    <n v="2258.62"/>
  </r>
  <r>
    <x v="2"/>
    <s v="18/01/2026"/>
    <s v="IRIS CRISTINA RIVERA PEREZ CELESTERRA"/>
    <s v="7503043917005"/>
    <s v="Liquid Love Clear 30ml - DUSA"/>
    <s v="CONSUMIBLE PROPIO"/>
    <s v="DUSA"/>
    <n v="1"/>
    <n v="301.72000000000003"/>
  </r>
  <r>
    <x v="2"/>
    <s v="18/01/2026"/>
    <s v="IRIS CRISTINA RIVERA PEREZ CELESTERRA"/>
    <s v="7503013378645"/>
    <s v="Liquid Love Pleasure 100ml - DUSA"/>
    <s v="CONSUMIBLE PROPIO"/>
    <s v="DUSA"/>
    <n v="2"/>
    <n v="1551.72"/>
  </r>
  <r>
    <x v="2"/>
    <s v="18/01/2026"/>
    <s v="IRIS CRISTINA RIVERA PEREZ CELESTERRA"/>
    <s v="7503023462198"/>
    <s v="Lubricante Masaje Térmico Comestible Plátano Excitante FEEL LOVE 4 en 1 - 60ml"/>
    <s v="LUBRICANTE"/>
    <s v="FEEL LOVE"/>
    <n v="1"/>
    <n v="344.83"/>
  </r>
  <r>
    <x v="2"/>
    <s v="18/01/2026"/>
    <s v="IRIS CRISTINA RIVERA PEREZ CELESTERRA"/>
    <s v="4560220552780"/>
    <s v="MASTURBADOR TENGA EGGS HARD BOILED SURFER TENGA"/>
    <s v="JUGUETE"/>
    <s v="TENGA"/>
    <n v="1"/>
    <n v="301.72000000000003"/>
  </r>
  <r>
    <x v="2"/>
    <s v="18/01/2026"/>
    <s v="IRIS CRISTINA RIVERA PEREZ CELESTERRA"/>
    <s v="7503024256635"/>
    <s v="Olive  6.8&quot; rosa - CXO"/>
    <s v="JUGUETE PROPIO"/>
    <s v="CXO"/>
    <n v="1"/>
    <n v="603.45000000000005"/>
  </r>
  <r>
    <x v="3"/>
    <s v="12/01/2026"/>
    <s v="HECTOR MANUEL P CELEST"/>
    <s v="7503030211021"/>
    <s v="Anillo desechable para pene Donut - CXO"/>
    <s v="JUGUETE PROPIO"/>
    <s v="CXO"/>
    <n v="2"/>
    <n v="68.97"/>
  </r>
  <r>
    <x v="3"/>
    <s v="12/01/2026"/>
    <s v="HECTOR MANUEL P CELEST"/>
    <s v="7503043917012"/>
    <s v="Liquid Love Backdoor 30ml - DUSA"/>
    <s v="CONSUMIBLE PROPIO"/>
    <s v="DUSA"/>
    <n v="1"/>
    <n v="301.72000000000003"/>
  </r>
  <r>
    <x v="3"/>
    <s v="12/01/2026"/>
    <s v="HECTOR MANUEL P CELEST"/>
    <s v="7503013378652"/>
    <s v="Liquid Love Backdoor 100ml - DUSA"/>
    <s v="CONSUMIBLE PROPIO"/>
    <s v="DUSA"/>
    <n v="1"/>
    <n v="1077.5899999999999"/>
  </r>
  <r>
    <x v="3"/>
    <s v="12/01/2026"/>
    <s v="HECTOR MANUEL P CELEST"/>
    <s v="7503043917005"/>
    <s v="Liquid Love Clear 30ml - DUSA"/>
    <s v="CONSUMIBLE PROPIO"/>
    <s v="DUSA"/>
    <n v="1"/>
    <n v="301.72000000000003"/>
  </r>
  <r>
    <x v="3"/>
    <s v="12/01/2026"/>
    <s v="HECTOR MANUEL P CELEST"/>
    <s v="7503013378645"/>
    <s v="Liquid Love Pleasure 100ml - DUSA"/>
    <s v="CONSUMIBLE PROPIO"/>
    <s v="DUSA"/>
    <n v="1"/>
    <n v="775.86"/>
  </r>
  <r>
    <x v="3"/>
    <s v="12/01/2026"/>
    <s v="HECTOR MANUEL P CELEST"/>
    <s v="7503032300382"/>
    <s v="Mon - CXO"/>
    <s v="JUGUETE PROPIO"/>
    <s v="CXO"/>
    <n v="1"/>
    <n v="517.24"/>
  </r>
  <r>
    <x v="3"/>
    <s v="12/01/2026"/>
    <s v="HECTOR MANUEL P CELEST"/>
    <s v="7503050226162"/>
    <s v="Plug Anal con Vibración y Control Roberto - CXO"/>
    <s v="JUGUETE PROPIO"/>
    <s v="CXO"/>
    <n v="1"/>
    <n v="1293.0999999999999"/>
  </r>
  <r>
    <x v="3"/>
    <s v="12/01/2026"/>
    <s v="HECTOR MANUEL P CELEST"/>
    <s v="7503013378010"/>
    <s v="Rigidex 2 pzas - DUSA"/>
    <s v="CONSUMIBLE PROPIO"/>
    <s v="DUSA"/>
    <n v="1"/>
    <n v="431.03"/>
  </r>
  <r>
    <x v="3"/>
    <s v="13/01/2026"/>
    <s v="ALFONSO  M CARBALLAR"/>
    <s v="75030205968724"/>
    <s v="Funda texturizada transparente con bala vibradora  - CXO"/>
    <s v="JUGUETE PROPIO"/>
    <s v="CXO"/>
    <n v="1"/>
    <n v="474.14"/>
  </r>
  <r>
    <x v="3"/>
    <s v="13/01/2026"/>
    <s v="ALFONSO  M CARBALLAR"/>
    <s v="7503043917142"/>
    <s v="Hank negro anillo vibrador - CXO"/>
    <s v="JUGUETE PROPIO"/>
    <s v="CXO"/>
    <n v="1"/>
    <n v="818.97"/>
  </r>
  <r>
    <x v="3"/>
    <s v="13/01/2026"/>
    <s v="ALFONSO  M CARBALLAR"/>
    <s v="7503024256154"/>
    <s v="Lubricante Body Surf Termico Cereza DUSA 60ml"/>
    <s v="CONSUMIBLE PROPIO"/>
    <s v="DUSA"/>
    <n v="1"/>
    <n v="387.93"/>
  </r>
  <r>
    <x v="3"/>
    <s v="14/01/2026"/>
    <s v="HECTOR MANUEL P CELEST"/>
    <s v="7503032300474"/>
    <s v="Cola de Zorro 45cm blanco S - CXO"/>
    <s v="JUGUETE PROPIO"/>
    <s v="CXO"/>
    <n v="1"/>
    <n v="258.62"/>
  </r>
  <r>
    <x v="3"/>
    <s v="14/01/2026"/>
    <s v="HECTOR MANUEL P CELEST"/>
    <s v="7503043917005"/>
    <s v="Liquid Love Clear 30ml - DUSA"/>
    <s v="CONSUMIBLE PROPIO"/>
    <s v="DUSA"/>
    <n v="1"/>
    <n v="301.72000000000003"/>
  </r>
  <r>
    <x v="3"/>
    <s v="14/01/2026"/>
    <s v="HECTOR MANUEL P CELEST"/>
    <s v="SE018"/>
    <s v="Masturbador Jarrón - CXO"/>
    <s v="JUGUETE PROPIO"/>
    <s v="CXO"/>
    <n v="1"/>
    <n v="1034.48"/>
  </r>
  <r>
    <x v="3"/>
    <s v="14/01/2026"/>
    <s v="HECTOR MANUEL P CELEST"/>
    <s v="6970556034061"/>
    <s v="Multiorgasmico con succion y extensor Anna - CXO"/>
    <s v="JUGUETE PROPIO"/>
    <s v="CXO"/>
    <n v="1"/>
    <n v="1982.76"/>
  </r>
  <r>
    <x v="3"/>
    <s v="14/01/2026"/>
    <s v="HECTOR MANUEL P CELEST"/>
    <s v="7503043917593"/>
    <s v="Nora dildo vibrador - CXO"/>
    <s v="JUGUETE PROPIO"/>
    <s v="CXO"/>
    <n v="1"/>
    <n v="474.14"/>
  </r>
  <r>
    <x v="3"/>
    <s v="14/01/2026"/>
    <s v="HECTOR MANUEL P CELEST"/>
    <s v="7503020596957"/>
    <s v="Shot Shumatsu Fun Hombre - DUSA"/>
    <s v="CONSUMIBLE PROPIO"/>
    <s v="DUSA"/>
    <n v="1"/>
    <n v="172.41"/>
  </r>
  <r>
    <x v="3"/>
    <s v="14/01/2026"/>
    <s v="HECTOR MANUEL P CELEST"/>
    <s v="7503024256192"/>
    <s v="Shot Shumatsu Fun Mujer - DUSA"/>
    <s v="CONSUMIBLE PROPIO"/>
    <s v="DUSA"/>
    <n v="1"/>
    <n v="172.41"/>
  </r>
  <r>
    <x v="3"/>
    <s v="15/01/2026"/>
    <s v="HECTOR MANUEL P CELEST"/>
    <s v="7503013378645"/>
    <s v="Liquid Love Pleasure 100ml - DUSA"/>
    <s v="CONSUMIBLE PROPIO"/>
    <s v="DUSA"/>
    <n v="1"/>
    <n v="775.86"/>
  </r>
  <r>
    <x v="3"/>
    <s v="16/01/2026"/>
    <s v="HECTOR MANUEL P CELEST"/>
    <s v="7503024256727"/>
    <s v="Cola de Zorro 45cm negro S - CXO"/>
    <s v="JUGUETE PROPIO"/>
    <s v="CXO"/>
    <n v="1"/>
    <n v="258.62"/>
  </r>
  <r>
    <x v="3"/>
    <s v="16/01/2026"/>
    <s v="HECTOR MANUEL P CELEST"/>
    <s v="7503032300214"/>
    <s v="Cola de Zorro Arcoiris 38cm S - CXO"/>
    <s v="JUGUETE PROPIO"/>
    <s v="CXO"/>
    <n v="1"/>
    <n v="258.62"/>
  </r>
  <r>
    <x v="3"/>
    <s v="16/01/2026"/>
    <s v="HECTOR MANUEL P CELEST"/>
    <s v="ACG0976SV0WB"/>
    <s v="Dildo Vibrador con Impulsor Estimulador de Clítoris Conny - CXO"/>
    <s v="JUGUETE PROPIO"/>
    <s v="CXO"/>
    <n v="1"/>
    <n v="2198.2800000000002"/>
  </r>
  <r>
    <x v="3"/>
    <s v="16/01/2026"/>
    <s v="HECTOR MANUEL P CELEST"/>
    <s v="7503043917012"/>
    <s v="Liquid Love Backdoor 30ml - DUSA"/>
    <s v="CONSUMIBLE PROPIO"/>
    <s v="DUSA"/>
    <n v="1"/>
    <n v="301.72000000000003"/>
  </r>
  <r>
    <x v="3"/>
    <s v="16/01/2026"/>
    <s v="HECTOR MANUEL P CELEST"/>
    <s v="7503032300993"/>
    <s v="Liquid Love Pleasure 30ml - DUSA"/>
    <s v="CONSUMIBLE PROPIO"/>
    <s v="DUSA"/>
    <n v="1"/>
    <n v="301.72000000000003"/>
  </r>
  <r>
    <x v="3"/>
    <s v="16/01/2026"/>
    <s v="HECTOR MANUEL P CELEST"/>
    <s v="7503013378645"/>
    <s v="Liquid Love Pleasure 100ml - DUSA"/>
    <s v="CONSUMIBLE PROPIO"/>
    <s v="DUSA"/>
    <n v="2"/>
    <n v="1551.72"/>
  </r>
  <r>
    <x v="3"/>
    <s v="16/01/2026"/>
    <s v="HECTOR MANUEL P CELEST"/>
    <s v="7503024256154"/>
    <s v="Lubricante Body Surf Termico Cereza DUSA 60ml"/>
    <s v="CONSUMIBLE PROPIO"/>
    <s v="DUSA"/>
    <n v="1"/>
    <n v="387.93"/>
  </r>
  <r>
    <x v="3"/>
    <s v="16/01/2026"/>
    <s v="HECTOR MANUEL P CELEST"/>
    <s v="7503013378799"/>
    <s v="Lubricante Body Surf Termico Citricos DUSA 60ml"/>
    <s v="CONSUMIBLE PROPIO"/>
    <s v="DUSA"/>
    <n v="1"/>
    <n v="387.93"/>
  </r>
  <r>
    <x v="3"/>
    <s v="16/01/2026"/>
    <s v="HECTOR MANUEL P CELEST"/>
    <s v="75078737"/>
    <s v="Mini Kit Dulces 2 piezas - SXO"/>
    <s v="CONSUMIBLE"/>
    <s v="SXO"/>
    <n v="1"/>
    <n v="120.69"/>
  </r>
  <r>
    <x v="3"/>
    <s v="16/01/2026"/>
    <s v="HECTOR MANUEL P CELEST"/>
    <s v="7503032300856"/>
    <s v="Sachet vibrador liquido 2 ml - BANANA SHAKE"/>
    <s v="CONSUMIBLE"/>
    <s v="BANANA SHAKE"/>
    <n v="10"/>
    <n v="172.4"/>
  </r>
  <r>
    <x v="3"/>
    <s v="16/01/2026"/>
    <s v="HECTOR MANUEL P CELEST"/>
    <s v="7503020596957"/>
    <s v="Shot Shumatsu Fun Hombre - DUSA"/>
    <s v="CONSUMIBLE PROPIO"/>
    <s v="DUSA"/>
    <n v="2"/>
    <n v="344.82"/>
  </r>
  <r>
    <x v="3"/>
    <s v="16/01/2026"/>
    <s v="HECTOR MANUEL P CELEST"/>
    <s v="7503024256192"/>
    <s v="Shot Shumatsu Fun Mujer - DUSA"/>
    <s v="CONSUMIBLE PROPIO"/>
    <s v="DUSA"/>
    <n v="2"/>
    <n v="344.82"/>
  </r>
  <r>
    <x v="3"/>
    <s v="16/01/2026"/>
    <s v="HECTOR MANUEL P CELEST"/>
    <s v="7503013378690"/>
    <s v="Shumatsu 3 pzas - DUSA"/>
    <s v="CONSUMIBLE PROPIO"/>
    <s v="DUSA"/>
    <n v="3"/>
    <n v="1732.77"/>
  </r>
  <r>
    <x v="3"/>
    <s v="16/01/2026"/>
    <s v="HECTOR MANUEL P CELEST"/>
    <s v="4061504051604"/>
    <s v="Succionador Cutie Heart - Satisfayer"/>
    <s v="JUGUETE"/>
    <s v="SATISFAYER"/>
    <n v="1"/>
    <n v="1896.55"/>
  </r>
  <r>
    <x v="3"/>
    <s v="16/01/2026"/>
    <s v="HECTOR MANUEL P CELEST"/>
    <s v="782421081294"/>
    <s v="Vibrador Expander anal - DOC JOHNSON"/>
    <s v="JUGUETE"/>
    <s v="DOC JOHNSON"/>
    <n v="1"/>
    <n v="2758.62"/>
  </r>
  <r>
    <x v="3"/>
    <s v="17/01/2026"/>
    <s v="HECTOR MANUEL P CELEST"/>
    <s v="7503020111072"/>
    <s v="Anillo vibrador recargable con textura negra Hank - CXO"/>
    <s v="JUGUETE PROPIO"/>
    <s v="CXO"/>
    <n v="1"/>
    <n v="1267.24"/>
  </r>
  <r>
    <x v="3"/>
    <s v="17/01/2026"/>
    <s v="HECTOR MANUEL P CELEST"/>
    <s v="7503043917081"/>
    <s v="Blade rosa anillo vibrador - CXO"/>
    <s v="JUGUETE PROPIO"/>
    <s v="CXO"/>
    <n v="1"/>
    <n v="81.900000000000006"/>
  </r>
  <r>
    <x v="3"/>
    <s v="17/01/2026"/>
    <s v="HECTOR MANUEL P CELEST"/>
    <s v="7503032300498"/>
    <s v="Cola de Zorro 45cm cafe M - CXO"/>
    <s v="JUGUETE PROPIO"/>
    <s v="CXO"/>
    <n v="1"/>
    <n v="301.72000000000003"/>
  </r>
  <r>
    <x v="3"/>
    <s v="17/01/2026"/>
    <s v="HECTOR MANUEL P CELEST"/>
    <s v="75080471"/>
    <s v="Dulces Garganta Profunda 2 piezas Sabor Uva - SXO"/>
    <s v="CONSUMIBLE"/>
    <s v="SXO"/>
    <n v="1"/>
    <n v="120.69"/>
  </r>
  <r>
    <x v="3"/>
    <s v="17/01/2026"/>
    <s v="HECTOR MANUEL P CELEST"/>
    <s v="7503013378645"/>
    <s v="Liquid Love Pleasure 100ml - DUSA"/>
    <s v="CONSUMIBLE PROPIO"/>
    <s v="DUSA"/>
    <n v="1"/>
    <n v="775.86"/>
  </r>
  <r>
    <x v="3"/>
    <s v="17/01/2026"/>
    <s v="HECTOR MANUEL P CELEST"/>
    <s v="7503023462198"/>
    <s v="Lubricante Masaje Térmico Comestible Plátano Excitante FEEL LOVE 4 en 1 - 60ml"/>
    <s v="LUBRICANTE"/>
    <s v="FEEL LOVE"/>
    <n v="1"/>
    <n v="344.83"/>
  </r>
  <r>
    <x v="3"/>
    <s v="17/01/2026"/>
    <s v="HECTOR MANUEL P CELEST"/>
    <s v="7503032300856"/>
    <s v="Sachet vibrador liquido 2 ml - BANANA SHAKE"/>
    <s v="CONSUMIBLE"/>
    <s v="BANANA SHAKE"/>
    <n v="10"/>
    <n v="172.4"/>
  </r>
  <r>
    <x v="3"/>
    <s v="17/01/2026"/>
    <s v="HECTOR MANUEL P CELEST"/>
    <s v="7503020596957"/>
    <s v="Shot Shumatsu Fun Hombre - DUSA"/>
    <s v="CONSUMIBLE PROPIO"/>
    <s v="DUSA"/>
    <n v="2"/>
    <n v="344.82"/>
  </r>
  <r>
    <x v="3"/>
    <s v="17/01/2026"/>
    <s v="HECTOR MANUEL P CELEST"/>
    <s v="7503024256192"/>
    <s v="Shot Shumatsu Fun Mujer - DUSA"/>
    <s v="CONSUMIBLE PROPIO"/>
    <s v="DUSA"/>
    <n v="1"/>
    <n v="172.41"/>
  </r>
  <r>
    <x v="3"/>
    <s v="17/01/2026"/>
    <s v="HECTOR MANUEL P CELEST"/>
    <s v="7503013378690"/>
    <s v="Shumatsu 3 pzas - DUSA"/>
    <s v="CONSUMIBLE PROPIO"/>
    <s v="DUSA"/>
    <n v="1"/>
    <n v="577.59"/>
  </r>
  <r>
    <x v="3"/>
    <s v="17/01/2026"/>
    <s v="HECTOR MANUEL P CELEST"/>
    <s v="4061504007496"/>
    <s v="Succionado con App Curvy 1+ - Satisfayer"/>
    <s v="JUGUETE"/>
    <s v="SATISFAYER"/>
    <n v="1"/>
    <n v="1810.34"/>
  </r>
  <r>
    <x v="3"/>
    <s v="17/01/2026"/>
    <s v="HECTOR MANUEL P CELEST"/>
    <s v="7503032300443"/>
    <s v="Zoe bala vibradora RETAIL - CXO"/>
    <s v="JUGUETE PROPIO"/>
    <s v="CXO"/>
    <n v="1"/>
    <n v="155.16999999999999"/>
  </r>
  <r>
    <x v="3"/>
    <s v="18/01/2026"/>
    <s v="HECTOR MANUEL P CELEST"/>
    <s v="7503024256154"/>
    <s v="Lubricante Body Surf Termico Cereza DUSA 60ml"/>
    <s v="CONSUMIBLE PROPIO"/>
    <s v="DUSA"/>
    <n v="1"/>
    <n v="387.93"/>
  </r>
  <r>
    <x v="3"/>
    <s v="18/01/2026"/>
    <s v="HECTOR MANUEL P CELEST"/>
    <s v="7503013378010"/>
    <s v="Rigidex 2 pzas - DUSA"/>
    <s v="CONSUMIBLE PROPIO"/>
    <s v="DUSA"/>
    <n v="1"/>
    <n v="431.03"/>
  </r>
  <r>
    <x v="4"/>
    <s v="12/01/2026"/>
    <s v="MARIA EDUWIGES DEL TORO ORTEGA"/>
    <s v="7503013378492"/>
    <s v="Clean Whisper 120ml - DUSA"/>
    <s v="CONSUMIBLE PROPIO"/>
    <s v="DUSA"/>
    <n v="1"/>
    <n v="301.72000000000003"/>
  </r>
  <r>
    <x v="4"/>
    <s v="12/01/2026"/>
    <s v="MARIA EDUWIGES DEL TORO ORTEGA"/>
    <s v="7503032300634"/>
    <s v="Kevin violeta - CXO"/>
    <s v="JUGUETE PROPIO"/>
    <s v="CXO"/>
    <n v="1"/>
    <n v="775.86"/>
  </r>
  <r>
    <x v="4"/>
    <s v="12/01/2026"/>
    <s v="MARIA EDUWIGES DEL TORO ORTEGA"/>
    <s v="7503032300795"/>
    <s v="Sachet lubricante desensibilizador 2 ml - BANANA SHAKE"/>
    <s v="CONSUMIBLE"/>
    <s v="BANANA SHAKE"/>
    <n v="4"/>
    <n v="86.2"/>
  </r>
  <r>
    <x v="4"/>
    <s v="12/01/2026"/>
    <s v="MARIA EDUWIGES DEL TORO ORTEGA"/>
    <s v="7503013378690"/>
    <s v="Shumatsu 3 pzas - DUSA"/>
    <s v="CONSUMIBLE PROPIO"/>
    <s v="DUSA"/>
    <n v="1"/>
    <n v="577.59"/>
  </r>
  <r>
    <x v="4"/>
    <s v="13/01/2026"/>
    <s v="MARIA EDUWIGES DEL TORO ORTEGA"/>
    <s v="7503043917081"/>
    <s v="Blade rosa anillo vibrador - CXO"/>
    <s v="JUGUETE PROPIO"/>
    <s v="CXO"/>
    <n v="1"/>
    <n v="81.900000000000006"/>
  </r>
  <r>
    <x v="4"/>
    <s v="13/01/2026"/>
    <s v="MARIA EDUWIGES DEL TORO ORTEGA"/>
    <s v="7503043917005"/>
    <s v="Liquid Love Clear 30ml - DUSA"/>
    <s v="CONSUMIBLE PROPIO"/>
    <s v="DUSA"/>
    <n v="1"/>
    <n v="301.72000000000003"/>
  </r>
  <r>
    <x v="4"/>
    <s v="13/01/2026"/>
    <s v="MARIA EDUWIGES DEL TORO ORTEGA"/>
    <s v="SE016"/>
    <s v="Masturbador Vagina -  CXO"/>
    <s v="JUGUETE PROPIO"/>
    <s v="CXO"/>
    <n v="1"/>
    <n v="948.28"/>
  </r>
  <r>
    <x v="4"/>
    <s v="13/01/2026"/>
    <s v="MARIA EDUWIGES DEL TORO ORTEGA"/>
    <s v="7503013378690"/>
    <s v="Shumatsu 3 pzas - DUSA"/>
    <s v="CONSUMIBLE PROPIO"/>
    <s v="DUSA"/>
    <n v="1"/>
    <n v="577.59"/>
  </r>
  <r>
    <x v="4"/>
    <s v="14/01/2026"/>
    <s v="MARIA EDUWIGES DEL TORO ORTEGA"/>
    <s v="7503032300993"/>
    <s v="Liquid Love Pleasure 30ml - DUSA"/>
    <s v="CONSUMIBLE PROPIO"/>
    <s v="DUSA"/>
    <n v="1"/>
    <n v="301.72000000000003"/>
  </r>
  <r>
    <x v="4"/>
    <s v="15/01/2026"/>
    <s v="MARIA EDUWIGES DEL TORO ORTEGA"/>
    <s v="7503020111072"/>
    <s v="Anillo vibrador recargable con textura negra Hank - CXO"/>
    <s v="JUGUETE PROPIO"/>
    <s v="CXO"/>
    <n v="1"/>
    <n v="1267.24"/>
  </r>
  <r>
    <x v="4"/>
    <s v="15/01/2026"/>
    <s v="MARIA EDUWIGES DEL TORO ORTEGA"/>
    <s v="FM1002"/>
    <s v="FEROMONAS DIAMANTE CONCENTRADO HOMBRE"/>
    <s v="CONSUMIBLE"/>
    <s v="DIAMANTE"/>
    <n v="3"/>
    <n v="1241.3800000000001"/>
  </r>
  <r>
    <x v="4"/>
    <s v="15/01/2026"/>
    <s v="MARIA EDUWIGES DEL TORO ORTEGA"/>
    <s v="7508304288412"/>
    <s v="FEROMONAS EN GEL 20ML HOMBRE HOMBRE"/>
    <s v="CONSUMIBLE"/>
    <s v="DIAMANTE"/>
    <n v="1"/>
    <n v="379.31"/>
  </r>
  <r>
    <x v="4"/>
    <s v="15/01/2026"/>
    <s v="MARIA EDUWIGES DEL TORO ORTEGA"/>
    <s v="7508304288429"/>
    <s v="Feromonas en gel 20ml unisex - DIAMANTE"/>
    <s v="CONSUMIBLE"/>
    <s v="DIAMANTE"/>
    <n v="1"/>
    <n v="379.31"/>
  </r>
  <r>
    <x v="4"/>
    <s v="15/01/2026"/>
    <s v="MARIA EDUWIGES DEL TORO ORTEGA"/>
    <s v="75079413"/>
    <s v="Mini Kit Hombre 3 piezas - SXO"/>
    <s v="CONSUMIBLE"/>
    <s v="SXO"/>
    <n v="4"/>
    <n v="1137.93"/>
  </r>
  <r>
    <x v="4"/>
    <s v="15/01/2026"/>
    <s v="MARIA EDUWIGES DEL TORO ORTEGA"/>
    <s v="7503013378690"/>
    <s v="Shumatsu 3 pzas - DUSA"/>
    <s v="CONSUMIBLE PROPIO"/>
    <s v="DUSA"/>
    <n v="5"/>
    <n v="2887.9500000000003"/>
  </r>
  <r>
    <x v="4"/>
    <s v="15/01/2026"/>
    <s v="MARIA EDUWIGES DEL TORO ORTEGA"/>
    <s v="6959633105313"/>
    <s v="Vibrador de Prostata con Pulsaciones Iker Neo - SVAKOM"/>
    <s v="JUGUETE"/>
    <s v="SVAKOM"/>
    <n v="1"/>
    <n v="3879.31"/>
  </r>
  <r>
    <x v="4"/>
    <s v="16/01/2026"/>
    <s v="MARIA EDUWIGES DEL TORO ORTEGA"/>
    <s v="7503043917012"/>
    <s v="Liquid Love Backdoor 30ml - DUSA"/>
    <s v="CONSUMIBLE PROPIO"/>
    <s v="DUSA"/>
    <n v="1"/>
    <n v="301.72000000000003"/>
  </r>
  <r>
    <x v="4"/>
    <s v="16/01/2026"/>
    <s v="MARIA EDUWIGES DEL TORO ORTEGA"/>
    <s v="7503026484845"/>
    <s v="Oral Sex Erotic Nut 5g - Feel Love"/>
    <s v="CONSUMIBLE"/>
    <s v="DIAMANTE"/>
    <n v="1"/>
    <n v="51.72"/>
  </r>
  <r>
    <x v="4"/>
    <s v="17/01/2026"/>
    <s v="MARIA EDUWIGES DEL TORO ORTEGA"/>
    <s v="7503020202214"/>
    <s v="Dildo realista con ventosa y testiculos Eddy - CXO"/>
    <s v="JUGUETE PROPIO"/>
    <s v="CXO"/>
    <n v="1"/>
    <n v="948.28"/>
  </r>
  <r>
    <x v="4"/>
    <s v="17/01/2026"/>
    <s v="MARIA EDUWIGES DEL TORO ORTEGA"/>
    <s v="7503013378010"/>
    <s v="Rigidex 2 pzas - DUSA"/>
    <s v="CONSUMIBLE PROPIO"/>
    <s v="DUSA"/>
    <n v="4"/>
    <n v="1724.14"/>
  </r>
  <r>
    <x v="4"/>
    <s v="17/01/2026"/>
    <s v="MARIA EDUWIGES DEL TORO ORTEGA"/>
    <s v="6959633156094"/>
    <s v="Robin - SVAKOM"/>
    <s v="JUGUETE"/>
    <s v="SVAKOM"/>
    <n v="1"/>
    <n v="1318.97"/>
  </r>
  <r>
    <x v="4"/>
    <s v="18/01/2026"/>
    <s v="MARIA EDUWIGES DEL TORO ORTEGA"/>
    <s v="7503030202035"/>
    <s v="Dildo con testiculos y ventosa Mr. Garcia - CXO"/>
    <s v="JUGUETE PROPIO"/>
    <s v="CXO"/>
    <n v="1"/>
    <n v="646.54999999999995"/>
  </r>
  <r>
    <x v="4"/>
    <s v="18/01/2026"/>
    <s v="MARIA EDUWIGES DEL TORO ORTEGA"/>
    <s v="7503020596957"/>
    <s v="Shot Shumatsu Fun Hombre - DUSA"/>
    <s v="CONSUMIBLE PROPIO"/>
    <s v="DUSA"/>
    <n v="1"/>
    <n v="172.41"/>
  </r>
  <r>
    <x v="4"/>
    <s v="18/01/2026"/>
    <s v="MARIA EDUWIGES DEL TORO ORTEGA"/>
    <s v="7503013378690"/>
    <s v="Shumatsu 3 pzas - DUSA"/>
    <s v="CONSUMIBLE PROPIO"/>
    <s v="DUSA"/>
    <n v="1"/>
    <n v="577.59"/>
  </r>
  <r>
    <x v="5"/>
    <s v="12/01/2026"/>
    <s v="CELINA HERMILA  M GUILLEN"/>
    <s v="603912300871"/>
    <s v="ARNES FETISH FANTASY ELITE 8 STRAPLESS STRAP ON ROSA"/>
    <s v="JUGUETE"/>
    <s v="PIPEDREAM"/>
    <n v="1"/>
    <n v="1517.24"/>
  </r>
  <r>
    <x v="5"/>
    <s v="12/01/2026"/>
    <s v="CELINA HERMILA  M GUILLEN"/>
    <s v="7503013378492"/>
    <s v="Clean Whisper 120ml - DUSA"/>
    <s v="CONSUMIBLE PROPIO"/>
    <s v="DUSA"/>
    <n v="1"/>
    <n v="301.72000000000003"/>
  </r>
  <r>
    <x v="5"/>
    <s v="12/01/2026"/>
    <s v="CELINA HERMILA  M GUILLEN"/>
    <s v="MBS0530"/>
    <s v="Esposas de broche - CXO"/>
    <s v="JUGUETE PROPIO"/>
    <s v="CXO"/>
    <n v="1"/>
    <n v="172.41"/>
  </r>
  <r>
    <x v="5"/>
    <s v="12/01/2026"/>
    <s v="CELINA HERMILA  M GUILLEN"/>
    <s v="7503013378980"/>
    <s v="Lubricante Body Surf Termico Chicle DUSA 60ml"/>
    <s v="CONSUMIBLE PROPIO"/>
    <s v="DUSA"/>
    <n v="2"/>
    <n v="775.86"/>
  </r>
  <r>
    <x v="5"/>
    <s v="12/01/2026"/>
    <s v="CELINA HERMILA  M GUILLEN"/>
    <s v="8699415912859"/>
    <s v="Miel Vigorizante para Hombre  Miracle Honey  VIP 15g-  SECRET MIRACLE HONEY"/>
    <s v="CONSUMIBLE"/>
    <s v="SECRET MIRACLE HONEY"/>
    <n v="1"/>
    <n v="215.52"/>
  </r>
  <r>
    <x v="5"/>
    <s v="12/01/2026"/>
    <s v="CELINA HERMILA  M GUILLEN"/>
    <s v="7503026484845"/>
    <s v="Oral Sex Erotic Nut 5g - Feel Love"/>
    <s v="CONSUMIBLE"/>
    <s v="DIAMANTE"/>
    <n v="1"/>
    <n v="51.72"/>
  </r>
  <r>
    <x v="5"/>
    <s v="12/01/2026"/>
    <s v="CELINA HERMILA  M GUILLEN"/>
    <s v="7503032300856"/>
    <s v="Sachet vibrador liquido 2 ml - BANANA SHAKE"/>
    <s v="CONSUMIBLE"/>
    <s v="BANANA SHAKE"/>
    <n v="5"/>
    <n v="86.2"/>
  </r>
  <r>
    <x v="5"/>
    <s v="12/01/2026"/>
    <s v="CELINA HERMILA  M GUILLEN"/>
    <s v="7503020596063"/>
    <s v="Stallion Regenerador - DUSA"/>
    <s v="CONSUMIBLE PROPIO"/>
    <s v="DUSA"/>
    <n v="1"/>
    <n v="1293.0999999999999"/>
  </r>
  <r>
    <x v="5"/>
    <s v="13/01/2026"/>
    <s v="CELINA HERMILA  M GUILLEN"/>
    <s v="7503030220044"/>
    <s v="Dados con posiciones 2 piezas - CXO"/>
    <s v="JUGUETE PROPIO"/>
    <s v="CXO"/>
    <n v="1"/>
    <n v="77.59"/>
  </r>
  <r>
    <x v="5"/>
    <s v="13/01/2026"/>
    <s v="CELINA HERMILA  M GUILLEN"/>
    <s v="7503032300993"/>
    <s v="Liquid Love Pleasure 30ml - DUSA"/>
    <s v="CONSUMIBLE PROPIO"/>
    <s v="DUSA"/>
    <n v="1"/>
    <n v="301.72000000000003"/>
  </r>
  <r>
    <x v="5"/>
    <s v="13/01/2026"/>
    <s v="CELINA HERMILA  M GUILLEN"/>
    <s v="7503026484845"/>
    <s v="Oral Sex Erotic Nut 5g - Feel Love"/>
    <s v="CONSUMIBLE"/>
    <s v="DIAMANTE"/>
    <n v="2"/>
    <n v="103.45"/>
  </r>
  <r>
    <x v="5"/>
    <s v="13/01/2026"/>
    <s v="CELINA HERMILA  M GUILLEN"/>
    <s v="7503013378010"/>
    <s v="Rigidex 2 pzas - DUSA"/>
    <s v="CONSUMIBLE PROPIO"/>
    <s v="DUSA"/>
    <n v="1"/>
    <n v="431.03"/>
  </r>
  <r>
    <x v="5"/>
    <s v="14/01/2026"/>
    <s v="GERMAN  GUZMAN AGUIRRE"/>
    <s v="7503043917005"/>
    <s v="Liquid Love Clear 30ml - DUSA"/>
    <s v="CONSUMIBLE PROPIO"/>
    <s v="DUSA"/>
    <n v="1"/>
    <n v="301.72000000000003"/>
  </r>
  <r>
    <x v="5"/>
    <s v="14/01/2026"/>
    <s v="GERMAN  GUZMAN AGUIRRE"/>
    <s v="782421083922"/>
    <s v="Sol pulsador beige - RITUAL"/>
    <s v="JUGUETE"/>
    <s v="RITUAL"/>
    <n v="1"/>
    <n v="1637.93"/>
  </r>
  <r>
    <x v="5"/>
    <s v="14/01/2026"/>
    <s v="GERMAN  GUZMAN AGUIRRE"/>
    <s v="7503032300443"/>
    <s v="Zoe bala vibradora RETAIL - CXO"/>
    <s v="JUGUETE PROPIO"/>
    <s v="CXO"/>
    <n v="2"/>
    <n v="310.33999999999997"/>
  </r>
  <r>
    <x v="5"/>
    <s v="15/01/2026"/>
    <s v="CELINA HERMILA  M GUILLEN"/>
    <s v="7503024256734"/>
    <s v="Cola de Zorro 45cm blanco M - CXO"/>
    <s v="JUGUETE PROPIO"/>
    <s v="CXO"/>
    <n v="1"/>
    <n v="301.72000000000003"/>
  </r>
  <r>
    <x v="5"/>
    <s v="15/01/2026"/>
    <s v="CELINA HERMILA  M GUILLEN"/>
    <s v="782421007805"/>
    <s v="Deep throat desensibilizador spray menta 59 ml - GOODHEAD"/>
    <s v="CONSUMIBLE"/>
    <s v="GOODHEAD"/>
    <n v="1"/>
    <n v="362.07"/>
  </r>
  <r>
    <x v="5"/>
    <s v="15/01/2026"/>
    <s v="CELINA HERMILA  M GUILLEN"/>
    <s v="7503043917012"/>
    <s v="Liquid Love Backdoor 30ml - DUSA"/>
    <s v="CONSUMIBLE PROPIO"/>
    <s v="DUSA"/>
    <n v="1"/>
    <n v="301.72000000000003"/>
  </r>
  <r>
    <x v="5"/>
    <s v="15/01/2026"/>
    <s v="CELINA HERMILA  M GUILLEN"/>
    <s v="7503043917005"/>
    <s v="Liquid Love Clear 30ml - DUSA"/>
    <s v="CONSUMIBLE PROPIO"/>
    <s v="DUSA"/>
    <n v="1"/>
    <n v="301.72000000000003"/>
  </r>
  <r>
    <x v="5"/>
    <s v="15/01/2026"/>
    <s v="CELINA HERMILA  M GUILLEN"/>
    <s v="7503013378645"/>
    <s v="Liquid Love Pleasure 100ml - DUSA"/>
    <s v="CONSUMIBLE PROPIO"/>
    <s v="DUSA"/>
    <n v="1"/>
    <n v="775.86"/>
  </r>
  <r>
    <x v="5"/>
    <s v="15/01/2026"/>
    <s v="CELINA HERMILA  M GUILLEN"/>
    <s v="75079390"/>
    <s v="Mini Kit Mujer 3 piezas- SXO"/>
    <s v="CONSUMIBLE"/>
    <s v="SXO"/>
    <n v="1"/>
    <n v="284.48"/>
  </r>
  <r>
    <x v="5"/>
    <s v="16/01/2026"/>
    <s v="CELINA HERMILA  M GUILLEN"/>
    <s v="7503013378102"/>
    <s v="Anastasia Gema de Colores M - CXO"/>
    <s v="JUGUETE PROPIO"/>
    <s v="CXO"/>
    <n v="1"/>
    <n v="456.9"/>
  </r>
  <r>
    <x v="5"/>
    <s v="16/01/2026"/>
    <s v="CELINA HERMILA  M GUILLEN"/>
    <s v="7503030111031"/>
    <s v="Anillo vibrador de aro doble con estimulador y dildo Javier - CXO"/>
    <s v="JUGUETE PROPIO"/>
    <s v="CXO"/>
    <n v="1"/>
    <n v="1681.03"/>
  </r>
  <r>
    <x v="5"/>
    <s v="16/01/2026"/>
    <s v="CELINA HERMILA  M GUILLEN"/>
    <s v="7503043917524"/>
    <s v="Kit Lisboa 8 pzs - CXO"/>
    <s v="JUGUETE PROPIO"/>
    <s v="CXO"/>
    <n v="1"/>
    <n v="465.52"/>
  </r>
  <r>
    <x v="5"/>
    <s v="16/01/2026"/>
    <s v="CELINA HERMILA  M GUILLEN"/>
    <s v="7503013378010"/>
    <s v="Rigidex 2 pzas - DUSA"/>
    <s v="CONSUMIBLE PROPIO"/>
    <s v="DUSA"/>
    <n v="1"/>
    <n v="431.03"/>
  </r>
  <r>
    <x v="5"/>
    <s v="16/01/2026"/>
    <s v="CELINA HERMILA  M GUILLEN"/>
    <s v="7503024256192"/>
    <s v="Shot Shumatsu Fun Mujer - DUSA"/>
    <s v="CONSUMIBLE PROPIO"/>
    <s v="DUSA"/>
    <n v="3"/>
    <n v="517.23"/>
  </r>
  <r>
    <x v="5"/>
    <s v="16/01/2026"/>
    <s v="CELINA HERMILA  M GUILLEN"/>
    <s v="7503013378690"/>
    <s v="Shumatsu 3 pzas - DUSA"/>
    <s v="CONSUMIBLE PROPIO"/>
    <s v="DUSA"/>
    <n v="2"/>
    <n v="1155.18"/>
  </r>
  <r>
    <x v="5"/>
    <s v="16/01/2026"/>
    <s v="CELINA HERMILA  M GUILLEN"/>
    <s v="7503032300443"/>
    <s v="Zoe bala vibradora RETAIL - CXO"/>
    <s v="JUGUETE PROPIO"/>
    <s v="CXO"/>
    <n v="1"/>
    <n v="155.16999999999999"/>
  </r>
  <r>
    <x v="5"/>
    <s v="17/01/2026"/>
    <s v="CELINA HERMILA  M GUILLEN"/>
    <s v="7503030102198"/>
    <s v="Dildo realista vibrador con ventosa Ulises - CXO"/>
    <s v="JUGUETE PROPIO"/>
    <s v="CXO"/>
    <n v="1"/>
    <n v="2000"/>
  </r>
  <r>
    <x v="5"/>
    <s v="17/01/2026"/>
    <s v="CELINA HERMILA  M GUILLEN"/>
    <s v="7503043917012"/>
    <s v="Liquid Love Backdoor 30ml - DUSA"/>
    <s v="CONSUMIBLE PROPIO"/>
    <s v="DUSA"/>
    <n v="1"/>
    <n v="301.72000000000003"/>
  </r>
  <r>
    <x v="5"/>
    <s v="17/01/2026"/>
    <s v="CELINA HERMILA  M GUILLEN"/>
    <s v="7503020596001"/>
    <s v="Liquid Love Clear 100ml - DUSA"/>
    <s v="CONSUMIBLE PROPIO"/>
    <s v="DUSA"/>
    <n v="1"/>
    <n v="775.86"/>
  </r>
  <r>
    <x v="5"/>
    <s v="17/01/2026"/>
    <s v="CELINA HERMILA  M GUILLEN"/>
    <s v="7503013378690"/>
    <s v="Shumatsu 3 pzas - DUSA"/>
    <s v="CONSUMIBLE PROPIO"/>
    <s v="DUSA"/>
    <n v="1"/>
    <n v="577.59"/>
  </r>
  <r>
    <x v="5"/>
    <s v="18/01/2026"/>
    <s v="CELINA HERMILA  M GUILLEN"/>
    <s v="7503030220043"/>
    <s v="Dados para juegos 2 piezas - CXO"/>
    <s v="JUGUETE PROPIO"/>
    <s v="CXO"/>
    <n v="1"/>
    <n v="112.07"/>
  </r>
  <r>
    <x v="5"/>
    <s v="18/01/2026"/>
    <s v="CELINA HERMILA  M GUILLEN"/>
    <s v="7503020596957"/>
    <s v="Shot Shumatsu Fun Hombre - DUSA"/>
    <s v="CONSUMIBLE PROPIO"/>
    <s v="DUSA"/>
    <n v="1"/>
    <n v="172.41"/>
  </r>
  <r>
    <x v="6"/>
    <s v="12/01/2026"/>
    <s v="ALFONSO  M CARBALLAR"/>
    <s v="7503043917005"/>
    <s v="Liquid Love Clear 30ml - DUSA"/>
    <s v="CONSUMIBLE PROPIO"/>
    <s v="DUSA"/>
    <n v="1"/>
    <n v="301.72000000000003"/>
  </r>
  <r>
    <x v="6"/>
    <s v="13/01/2026"/>
    <s v="GERMAN  GUZMAN AGUIRRE"/>
    <s v="7503013378690"/>
    <s v="Shumatsu 3 pzas - DUSA"/>
    <s v="CONSUMIBLE PROPIO"/>
    <s v="DUSA"/>
    <n v="1"/>
    <n v="577.59"/>
  </r>
  <r>
    <x v="6"/>
    <s v="15/01/2026"/>
    <s v="GERMAN  GUZMAN AGUIRRE"/>
    <s v="7503032300856"/>
    <s v="Sachet vibrador liquido 2 ml - BANANA SHAKE"/>
    <s v="CONSUMIBLE"/>
    <s v="BANANA SHAKE"/>
    <n v="5"/>
    <n v="86.2"/>
  </r>
  <r>
    <x v="6"/>
    <s v="15/01/2026"/>
    <s v="GERMAN  GUZMAN AGUIRRE"/>
    <s v="7503013378690"/>
    <s v="Shumatsu 3 pzas - DUSA"/>
    <s v="CONSUMIBLE PROPIO"/>
    <s v="DUSA"/>
    <n v="1"/>
    <n v="577.59"/>
  </r>
  <r>
    <x v="6"/>
    <s v="17/01/2026"/>
    <s v="NINOSCHKA VILLAREAL GONZALEZ"/>
    <s v="7503030111031"/>
    <s v="Anillo vibrador de aro doble con estimulador y dildo Javier - CXO"/>
    <s v="JUGUETE PROPIO"/>
    <s v="CXO"/>
    <n v="1"/>
    <n v="1681.03"/>
  </r>
  <r>
    <x v="6"/>
    <s v="17/01/2026"/>
    <s v="NINOSCHKA VILLAREAL GONZALEZ"/>
    <s v="7502214985362"/>
    <s v="CONDON MUTUAL SENSATION C/3 - PRUDENCE"/>
    <s v="CONSUMIBLE"/>
    <s v="PRUDENCE"/>
    <n v="1"/>
    <n v="77.59"/>
  </r>
  <r>
    <x v="6"/>
    <s v="17/01/2026"/>
    <s v="NINOSCHKA VILLAREAL GONZALEZ"/>
    <s v="7503043917012"/>
    <s v="Liquid Love Backdoor 30ml - DUSA"/>
    <s v="CONSUMIBLE PROPIO"/>
    <s v="DUSA"/>
    <n v="2"/>
    <n v="603.44000000000005"/>
  </r>
  <r>
    <x v="6"/>
    <s v="17/01/2026"/>
    <s v="NINOSCHKA VILLAREAL GONZALEZ"/>
    <s v="7503024256154"/>
    <s v="Lubricante Body Surf Termico Cereza DUSA 60ml"/>
    <s v="CONSUMIBLE PROPIO"/>
    <s v="DUSA"/>
    <n v="1"/>
    <n v="387.93"/>
  </r>
  <r>
    <x v="6"/>
    <s v="17/01/2026"/>
    <s v="NINOSCHKA VILLAREAL GONZALEZ"/>
    <s v="7503013378980"/>
    <s v="Lubricante Body Surf Termico Chicle DUSA 60ml"/>
    <s v="CONSUMIBLE PROPIO"/>
    <s v="DUSA"/>
    <n v="1"/>
    <n v="387.93"/>
  </r>
  <r>
    <x v="6"/>
    <s v="17/01/2026"/>
    <s v="NINOSCHKA VILLAREAL GONZALEZ"/>
    <s v="7503020596957"/>
    <s v="Shot Shumatsu Fun Hombre - DUSA"/>
    <s v="CONSUMIBLE PROPIO"/>
    <s v="DUSA"/>
    <n v="3"/>
    <n v="517.23"/>
  </r>
  <r>
    <x v="6"/>
    <s v="17/01/2026"/>
    <s v="NINOSCHKA VILLAREAL GONZALEZ"/>
    <s v="7503024256192"/>
    <s v="Shot Shumatsu Fun Mujer - DUSA"/>
    <s v="CONSUMIBLE PROPIO"/>
    <s v="DUSA"/>
    <n v="2"/>
    <n v="344.82"/>
  </r>
  <r>
    <x v="7"/>
    <s v="12/01/2026"/>
    <s v="Rodolfo  Serrano Amezcua"/>
    <s v="7503032300634"/>
    <s v="Kevin violeta - CXO"/>
    <s v="JUGUETE PROPIO"/>
    <s v="CXO"/>
    <n v="1"/>
    <n v="775.86"/>
  </r>
  <r>
    <x v="7"/>
    <s v="12/01/2026"/>
    <s v="Rodolfo  Serrano Amezcua"/>
    <s v="7503013378652"/>
    <s v="Liquid Love Backdoor 100ml - DUSA"/>
    <s v="CONSUMIBLE PROPIO"/>
    <s v="DUSA"/>
    <n v="1"/>
    <n v="1077.5899999999999"/>
  </r>
  <r>
    <x v="7"/>
    <s v="13/01/2026"/>
    <s v="Rodolfo  Serrano Amezcua"/>
    <s v="7508304288917"/>
    <s v="Aceite de Almendras 130ml EROTICA -DIAMANTE"/>
    <s v="CONSUMIBLE"/>
    <s v="DIAMANTE"/>
    <n v="1"/>
    <n v="448.28"/>
  </r>
  <r>
    <x v="7"/>
    <s v="13/01/2026"/>
    <s v="Rodolfo  Serrano Amezcua"/>
    <s v="7503013378416"/>
    <s v="Angie - CXO"/>
    <s v="JUGUETE PROPIO"/>
    <s v="CXO"/>
    <n v="1"/>
    <n v="689.66"/>
  </r>
  <r>
    <x v="7"/>
    <s v="13/01/2026"/>
    <s v="Rodolfo  Serrano Amezcua"/>
    <s v="7503030211021"/>
    <s v="Anillo desechable para pene Donut - CXO"/>
    <s v="JUGUETE PROPIO"/>
    <s v="CXO"/>
    <n v="1"/>
    <n v="34.479999999999997"/>
  </r>
  <r>
    <x v="7"/>
    <s v="13/01/2026"/>
    <s v="Rodolfo  Serrano Amezcua"/>
    <s v="7503043917081"/>
    <s v="Blade rosa anillo vibrador - CXO"/>
    <s v="JUGUETE PROPIO"/>
    <s v="CXO"/>
    <n v="1"/>
    <n v="81.900000000000006"/>
  </r>
  <r>
    <x v="7"/>
    <s v="13/01/2026"/>
    <s v="Rodolfo  Serrano Amezcua"/>
    <s v="7502214985362"/>
    <s v="CONDON MUTUAL SENSATION C/3 - PRUDENCE"/>
    <s v="CONSUMIBLE"/>
    <s v="PRUDENCE"/>
    <n v="1"/>
    <n v="77.59"/>
  </r>
  <r>
    <x v="7"/>
    <s v="13/01/2026"/>
    <s v="Rodolfo  Serrano Amezcua"/>
    <s v="7502214986598"/>
    <s v="Condones Zero c/ 3 pzs - PRUDENCE"/>
    <s v="CONSUMIBLE"/>
    <s v="PRUDENCE"/>
    <n v="1"/>
    <n v="77.59"/>
  </r>
  <r>
    <x v="7"/>
    <s v="13/01/2026"/>
    <s v="Rodolfo  Serrano Amezcua"/>
    <s v="7503013378980"/>
    <s v="Lubricante Body Surf Termico Chicle DUSA 60ml"/>
    <s v="CONSUMIBLE PROPIO"/>
    <s v="DUSA"/>
    <n v="1"/>
    <n v="387.93"/>
  </r>
  <r>
    <x v="7"/>
    <s v="13/01/2026"/>
    <s v="Rodolfo  Serrano Amezcua"/>
    <s v="SE016"/>
    <s v="Masturbador Vagina -  CXO"/>
    <s v="JUGUETE PROPIO"/>
    <s v="CXO"/>
    <n v="1"/>
    <n v="948.28"/>
  </r>
  <r>
    <x v="7"/>
    <s v="13/01/2026"/>
    <s v="Rodolfo  Serrano Amezcua"/>
    <s v="7503013378690"/>
    <s v="Shumatsu 3 pzas - DUSA"/>
    <s v="CONSUMIBLE PROPIO"/>
    <s v="DUSA"/>
    <n v="2"/>
    <n v="1155.18"/>
  </r>
  <r>
    <x v="7"/>
    <s v="14/01/2026"/>
    <s v="Rodolfo  Serrano Amezcua"/>
    <s v="7503043917081"/>
    <s v="Blade rosa anillo vibrador - CXO"/>
    <s v="JUGUETE PROPIO"/>
    <s v="CXO"/>
    <n v="1"/>
    <n v="81.900000000000006"/>
  </r>
  <r>
    <x v="7"/>
    <s v="14/01/2026"/>
    <s v="Rodolfo  Serrano Amezcua"/>
    <s v="7503050524265"/>
    <s v="He Plus 30ml - DUSA"/>
    <s v="CONSUMIBLE PROPIO"/>
    <s v="DUSA"/>
    <n v="1"/>
    <n v="431.03"/>
  </r>
  <r>
    <x v="7"/>
    <s v="14/01/2026"/>
    <s v="Rodolfo  Serrano Amezcua"/>
    <s v="7503013378980"/>
    <s v="Lubricante Body Surf Termico Chicle DUSA 60ml"/>
    <s v="CONSUMIBLE PROPIO"/>
    <s v="DUSA"/>
    <n v="1"/>
    <n v="387.93"/>
  </r>
  <r>
    <x v="7"/>
    <s v="14/01/2026"/>
    <s v="Rodolfo  Serrano Amezcua"/>
    <s v="7503013378857"/>
    <s v="Micrófono Vaginal"/>
    <s v="JUGUETE PROPIO"/>
    <s v="CXO"/>
    <n v="1"/>
    <n v="310.33999999999997"/>
  </r>
  <r>
    <x v="7"/>
    <s v="14/01/2026"/>
    <s v="Rodolfo  Serrano Amezcua"/>
    <s v="7503032300443"/>
    <s v="Zoe bala vibradora RETAIL - CXO"/>
    <s v="JUGUETE PROPIO"/>
    <s v="CXO"/>
    <n v="2"/>
    <n v="310.33999999999997"/>
  </r>
  <r>
    <x v="7"/>
    <s v="15/01/2026"/>
    <s v="Rodolfo  Serrano Amezcua"/>
    <s v="7503030211021"/>
    <s v="Anillo desechable para pene Donut - CXO"/>
    <s v="JUGUETE PROPIO"/>
    <s v="CXO"/>
    <n v="2"/>
    <n v="68.959999999999994"/>
  </r>
  <r>
    <x v="7"/>
    <s v="15/01/2026"/>
    <s v="Rodolfo  Serrano Amezcua"/>
    <s v="7503020112070"/>
    <s v="Bala vibradora recargable Ely – CXO"/>
    <s v="JUGUETE PROPIO"/>
    <s v="CXO"/>
    <n v="2"/>
    <n v="1586.2"/>
  </r>
  <r>
    <x v="7"/>
    <s v="15/01/2026"/>
    <s v="Rodolfo  Serrano Amezcua"/>
    <s v="7503043917081"/>
    <s v="Blade rosa anillo vibrador - CXO"/>
    <s v="JUGUETE PROPIO"/>
    <s v="CXO"/>
    <n v="1"/>
    <n v="81.900000000000006"/>
  </r>
  <r>
    <x v="7"/>
    <s v="15/01/2026"/>
    <s v="Rodolfo  Serrano Amezcua"/>
    <s v="7502214980015"/>
    <s v="Condon Clasico 3 pzs - PRUDENCE"/>
    <s v="CONSUMIBLE"/>
    <s v="PRUDENCE"/>
    <n v="1"/>
    <n v="60.34"/>
  </r>
  <r>
    <x v="7"/>
    <s v="15/01/2026"/>
    <s v="Rodolfo  Serrano Amezcua"/>
    <s v="MBS0530"/>
    <s v="Esposas de broche - CXO"/>
    <s v="JUGUETE PROPIO"/>
    <s v="CXO"/>
    <n v="1"/>
    <n v="172.41"/>
  </r>
  <r>
    <x v="7"/>
    <s v="15/01/2026"/>
    <s v="Rodolfo  Serrano Amezcua"/>
    <s v="7503024256154"/>
    <s v="Lubricante Body Surf Termico Cereza DUSA 60ml"/>
    <s v="CONSUMIBLE PROPIO"/>
    <s v="DUSA"/>
    <n v="1"/>
    <n v="387.93"/>
  </r>
  <r>
    <x v="7"/>
    <s v="15/01/2026"/>
    <s v="Rodolfo  Serrano Amezcua"/>
    <s v="7503013378980"/>
    <s v="Lubricante Body Surf Termico Chicle DUSA 60ml"/>
    <s v="CONSUMIBLE PROPIO"/>
    <s v="DUSA"/>
    <n v="1"/>
    <n v="387.93"/>
  </r>
  <r>
    <x v="7"/>
    <s v="15/01/2026"/>
    <s v="Rodolfo  Serrano Amezcua"/>
    <s v="75078737"/>
    <s v="Mini Kit Dulces 2 piezas - SXO"/>
    <s v="CONSUMIBLE"/>
    <s v="SXO"/>
    <n v="1"/>
    <n v="120.69"/>
  </r>
  <r>
    <x v="7"/>
    <s v="15/01/2026"/>
    <s v="Rodolfo  Serrano Amezcua"/>
    <s v="6970556032074"/>
    <s v="Plug Anal con 10 modos de Vibracion de 11.5cm  Ramiro- CXO"/>
    <s v="JUGUETE PROPIO"/>
    <s v="CXO"/>
    <n v="1"/>
    <n v="1034.48"/>
  </r>
  <r>
    <x v="7"/>
    <s v="15/01/2026"/>
    <s v="Rodolfo  Serrano Amezcua"/>
    <s v="7503032300795"/>
    <s v="Sachet lubricante desensibilizador 2 ml - BANANA SHAKE"/>
    <s v="CONSUMIBLE"/>
    <s v="BANANA SHAKE"/>
    <n v="5"/>
    <n v="107.75"/>
  </r>
  <r>
    <x v="7"/>
    <s v="15/01/2026"/>
    <s v="Rodolfo  Serrano Amezcua"/>
    <s v="7503032300856"/>
    <s v="Sachet vibrador liquido 2 ml - BANANA SHAKE"/>
    <s v="CONSUMIBLE"/>
    <s v="BANANA SHAKE"/>
    <n v="6"/>
    <n v="103.44"/>
  </r>
  <r>
    <x v="7"/>
    <s v="15/01/2026"/>
    <s v="Rodolfo  Serrano Amezcua"/>
    <s v="7503024256192"/>
    <s v="Shot Shumatsu Fun Mujer - DUSA"/>
    <s v="CONSUMIBLE PROPIO"/>
    <s v="DUSA"/>
    <n v="1"/>
    <n v="172.41"/>
  </r>
  <r>
    <x v="7"/>
    <s v="16/01/2026"/>
    <s v="Rodolfo  Serrano Amezcua"/>
    <s v="7502214986598"/>
    <s v="Condones Zero c/ 3 pzs - PRUDENCE"/>
    <s v="CONSUMIBLE"/>
    <s v="PRUDENCE"/>
    <n v="1"/>
    <n v="77.59"/>
  </r>
  <r>
    <x v="7"/>
    <s v="16/01/2026"/>
    <s v="Rodolfo  Serrano Amezcua"/>
    <s v="7503020310205"/>
    <s v="Dildo Vibrador Termico Realista 3 en 1 con movimiento Hades-CXO"/>
    <s v="JUGUETE PROPIO"/>
    <s v="CXO"/>
    <n v="1"/>
    <n v="2500"/>
  </r>
  <r>
    <x v="7"/>
    <s v="16/01/2026"/>
    <s v="Rodolfo  Serrano Amezcua"/>
    <s v="LL-A2216"/>
    <s v="Huevito con 10 modos de Vibración  Gina - CXO"/>
    <s v="JUGUETE PROPIO"/>
    <s v="CXO"/>
    <n v="1"/>
    <n v="1500"/>
  </r>
  <r>
    <x v="7"/>
    <s v="16/01/2026"/>
    <s v="Rodolfo  Serrano Amezcua"/>
    <s v="7503032300993"/>
    <s v="Liquid Love Pleasure 30ml - DUSA"/>
    <s v="CONSUMIBLE PROPIO"/>
    <s v="DUSA"/>
    <n v="1"/>
    <n v="301.72000000000003"/>
  </r>
  <r>
    <x v="7"/>
    <s v="16/01/2026"/>
    <s v="Rodolfo  Serrano Amezcua"/>
    <s v="SC258C01"/>
    <s v="Multiorgasmico dual con estimulador de clitoris 360 con 10 modos Dany - CXO"/>
    <s v="JUGUETE PROPIO"/>
    <s v="CXO"/>
    <n v="1"/>
    <n v="3017.24"/>
  </r>
  <r>
    <x v="7"/>
    <s v="16/01/2026"/>
    <s v="Rodolfo  Serrano Amezcua"/>
    <s v="7503020596957"/>
    <s v="Shot Shumatsu Fun Hombre - DUSA"/>
    <s v="CONSUMIBLE PROPIO"/>
    <s v="DUSA"/>
    <n v="1"/>
    <n v="172.41"/>
  </r>
  <r>
    <x v="7"/>
    <s v="16/01/2026"/>
    <s v="Rodolfo  Serrano Amezcua"/>
    <s v="7503013378690"/>
    <s v="Shumatsu 3 pzas - DUSA"/>
    <s v="CONSUMIBLE PROPIO"/>
    <s v="DUSA"/>
    <n v="1"/>
    <n v="577.59"/>
  </r>
  <r>
    <x v="7"/>
    <s v="17/01/2026"/>
    <s v="Rodolfo  Serrano Amezcua"/>
    <s v="7503050524265"/>
    <s v="He Plus 30ml - DUSA"/>
    <s v="CONSUMIBLE PROPIO"/>
    <s v="DUSA"/>
    <n v="1"/>
    <n v="431.03"/>
  </r>
  <r>
    <x v="7"/>
    <s v="17/01/2026"/>
    <s v="Rodolfo  Serrano Amezcua"/>
    <s v="7503032300825"/>
    <s v="Lubricante Sachet natural 2 ml - BANANA SHAKE"/>
    <s v="CONSUMIBLE"/>
    <s v="BANANA SHAKE"/>
    <n v="1"/>
    <n v="17.239999999999998"/>
  </r>
  <r>
    <x v="7"/>
    <s v="17/01/2026"/>
    <s v="Rodolfo  Serrano Amezcua"/>
    <s v="6959633103494"/>
    <s v="Mora Neo multiorgasmico rosa - SVAKOM"/>
    <s v="JUGUETE"/>
    <s v="SVAKOM"/>
    <n v="1"/>
    <n v="1637.93"/>
  </r>
  <r>
    <x v="7"/>
    <s v="17/01/2026"/>
    <s v="Rodolfo  Serrano Amezcua"/>
    <s v="4061504007359"/>
    <s v="Succionador Pingüino - Satisfayer"/>
    <s v="JUGUETE"/>
    <s v="SATISFAYER"/>
    <n v="1"/>
    <n v="1379.31"/>
  </r>
  <r>
    <x v="7"/>
    <s v="17/01/2026"/>
    <s v="Rodolfo  Serrano Amezcua"/>
    <s v="7503032300443"/>
    <s v="Zoe bala vibradora RETAIL - CXO"/>
    <s v="JUGUETE PROPIO"/>
    <s v="CXO"/>
    <n v="1"/>
    <n v="155.16999999999999"/>
  </r>
  <r>
    <x v="8"/>
    <s v="14/01/2026"/>
    <s v="EDGAR MOISES A NAVARRO"/>
    <s v="7503024256154"/>
    <s v="Lubricante Body Surf Termico Cereza DUSA 60ml"/>
    <s v="CONSUMIBLE PROPIO"/>
    <s v="DUSA"/>
    <n v="1"/>
    <n v="387.93"/>
  </r>
  <r>
    <x v="8"/>
    <s v="14/01/2026"/>
    <s v="EDGAR MOISES A NAVARRO"/>
    <s v="7503024256192"/>
    <s v="Shot Shumatsu Fun Mujer - DUSA"/>
    <s v="CONSUMIBLE PROPIO"/>
    <s v="DUSA"/>
    <n v="1"/>
    <n v="172.41"/>
  </r>
  <r>
    <x v="8"/>
    <s v="14/01/2026"/>
    <s v="EDGAR MOISES A NAVARRO"/>
    <s v="7503032300443"/>
    <s v="Zoe bala vibradora RETAIL - CXO"/>
    <s v="JUGUETE PROPIO"/>
    <s v="CXO"/>
    <n v="1"/>
    <n v="155.16999999999999"/>
  </r>
  <r>
    <x v="8"/>
    <s v="15/01/2026"/>
    <s v="EDGAR MOISES A NAVARRO"/>
    <s v="75082048"/>
    <s v="Miel Estimulante Hombre 18ml - SXO"/>
    <s v="CONSUMIBLE"/>
    <s v="SXO"/>
    <n v="2"/>
    <n v="603.45000000000005"/>
  </r>
  <r>
    <x v="8"/>
    <s v="15/01/2026"/>
    <s v="EDGAR MOISES A NAVARRO"/>
    <s v="7503013378010"/>
    <s v="Rigidex 2 pzas - DUSA"/>
    <s v="CONSUMIBLE PROPIO"/>
    <s v="DUSA"/>
    <n v="1"/>
    <n v="431.03"/>
  </r>
  <r>
    <x v="8"/>
    <s v="15/01/2026"/>
    <s v="EDGAR MOISES A NAVARRO"/>
    <s v="7503024256192"/>
    <s v="Shot Shumatsu Fun Mujer - DUSA"/>
    <s v="CONSUMIBLE PROPIO"/>
    <s v="DUSA"/>
    <n v="2"/>
    <n v="344.82"/>
  </r>
  <r>
    <x v="8"/>
    <s v="17/01/2026"/>
    <s v="EDGAR MOISES A NAVARRO"/>
    <s v="6959633102800"/>
    <s v="Ava neo vibrador azul - SVAKOM"/>
    <s v="JUGUETE"/>
    <s v="SVAKOM"/>
    <n v="1"/>
    <n v="1810.34"/>
  </r>
  <r>
    <x v="8"/>
    <s v="17/01/2026"/>
    <s v="EDGAR MOISES A NAVARRO"/>
    <s v="7503024256727"/>
    <s v="Cola de Zorro 45cm negro S - CXO"/>
    <s v="JUGUETE PROPIO"/>
    <s v="CXO"/>
    <n v="1"/>
    <n v="258.62"/>
  </r>
  <r>
    <x v="8"/>
    <s v="17/01/2026"/>
    <s v="EDGAR MOISES A NAVARRO"/>
    <s v="7502214985386"/>
    <s v="CONDON EXTRA PLEASURE C/3 -PRUDENCE"/>
    <s v="CONSUMIBLE"/>
    <s v="PRUDENCE"/>
    <n v="1"/>
    <n v="77.59"/>
  </r>
  <r>
    <x v="8"/>
    <s v="17/01/2026"/>
    <s v="EDGAR MOISES A NAVARRO"/>
    <s v="7502214982439"/>
    <s v="Condon Extra Time Retardante 3 pzs - PRUDENCE"/>
    <s v="CONSUMIBLE"/>
    <s v="PRUDENCE"/>
    <n v="1"/>
    <n v="77.59"/>
  </r>
  <r>
    <x v="8"/>
    <s v="17/01/2026"/>
    <s v="EDGAR MOISES A NAVARRO"/>
    <s v="7502214985362"/>
    <s v="CONDON MUTUAL SENSATION C/3 - PRUDENCE"/>
    <s v="CONSUMIBLE"/>
    <s v="PRUDENCE"/>
    <n v="1"/>
    <n v="77.59"/>
  </r>
  <r>
    <x v="8"/>
    <s v="17/01/2026"/>
    <s v="EDGAR MOISES A NAVARRO"/>
    <s v="7503050524265"/>
    <s v="He Plus 30ml - DUSA"/>
    <s v="CONSUMIBLE PROPIO"/>
    <s v="DUSA"/>
    <n v="1"/>
    <n v="431.03"/>
  </r>
  <r>
    <x v="8"/>
    <s v="17/01/2026"/>
    <s v="EDGAR MOISES A NAVARRO"/>
    <s v="7503032300993"/>
    <s v="Liquid Love Pleasure 30ml - DUSA"/>
    <s v="CONSUMIBLE PROPIO"/>
    <s v="DUSA"/>
    <n v="1"/>
    <n v="301.72000000000003"/>
  </r>
  <r>
    <x v="8"/>
    <s v="17/01/2026"/>
    <s v="EDGAR MOISES A NAVARRO"/>
    <s v="7503024256154"/>
    <s v="Lubricante Body Surf Termico Cereza DUSA 60ml"/>
    <s v="CONSUMIBLE PROPIO"/>
    <s v="DUSA"/>
    <n v="1"/>
    <n v="387.93"/>
  </r>
  <r>
    <x v="8"/>
    <s v="17/01/2026"/>
    <s v="EDGAR MOISES A NAVARRO"/>
    <s v="7503013378799"/>
    <s v="Lubricante Body Surf Termico Citricos DUSA 60ml"/>
    <s v="CONSUMIBLE PROPIO"/>
    <s v="DUSA"/>
    <n v="1"/>
    <n v="387.93"/>
  </r>
  <r>
    <x v="8"/>
    <s v="17/01/2026"/>
    <s v="EDGAR MOISES A NAVARRO"/>
    <s v="6959633185476"/>
    <s v="Masturbador Hedy X Confidence – SVAKOM"/>
    <s v="JUGUETE"/>
    <s v="SVAKOM"/>
    <n v="1"/>
    <n v="181.03"/>
  </r>
  <r>
    <x v="8"/>
    <s v="17/01/2026"/>
    <s v="EDGAR MOISES A NAVARRO"/>
    <s v="7503050226162"/>
    <s v="Plug Anal con Vibración y Control Roberto - CXO"/>
    <s v="JUGUETE PROPIO"/>
    <s v="CXO"/>
    <n v="1"/>
    <n v="1293.0999999999999"/>
  </r>
  <r>
    <x v="8"/>
    <s v="17/01/2026"/>
    <s v="EDGAR MOISES A NAVARRO"/>
    <s v="782421007607"/>
    <s v="Reverse Tightening gel 0.25oz - DOC JOHNSON"/>
    <s v="CONSUMIBLE"/>
    <s v="DOC JOHNSON"/>
    <n v="1"/>
    <n v="68.97"/>
  </r>
  <r>
    <x v="8"/>
    <s v="17/01/2026"/>
    <s v="EDGAR MOISES A NAVARRO"/>
    <s v="7503032300856"/>
    <s v="Sachet vibrador liquido 2 ml - BANANA SHAKE"/>
    <s v="CONSUMIBLE"/>
    <s v="BANANA SHAKE"/>
    <n v="2"/>
    <n v="34.479999999999997"/>
  </r>
  <r>
    <x v="8"/>
    <s v="17/01/2026"/>
    <s v="EDGAR MOISES A NAVARRO"/>
    <s v="7503024256192"/>
    <s v="Shot Shumatsu Fun Mujer - DUSA"/>
    <s v="CONSUMIBLE PROPIO"/>
    <s v="DUSA"/>
    <n v="1"/>
    <n v="172.41"/>
  </r>
  <r>
    <x v="9"/>
    <s v="12/01/2026"/>
    <s v="ANTONIO EDMUNDO E CAMBEROS"/>
    <s v="7502235091431"/>
    <s v="Aumentador de Semen - Lions Power"/>
    <s v="CONSUMIBLE"/>
    <s v="SXO"/>
    <n v="1"/>
    <n v="482.76"/>
  </r>
  <r>
    <x v="9"/>
    <s v="12/01/2026"/>
    <s v="ANTONIO EDMUNDO E CAMBEROS"/>
    <s v="7503013378492"/>
    <s v="Clean Whisper 120ml - DUSA"/>
    <s v="CONSUMIBLE PROPIO"/>
    <s v="DUSA"/>
    <n v="2"/>
    <n v="603.44000000000005"/>
  </r>
  <r>
    <x v="9"/>
    <s v="12/01/2026"/>
    <s v="ANTONIO EDMUNDO E CAMBEROS"/>
    <s v="7503020310205"/>
    <s v="Dildo Vibrador Termico Realista 3 en 1 con movimiento Hades-CXO"/>
    <s v="JUGUETE PROPIO"/>
    <s v="CXO"/>
    <n v="2"/>
    <n v="5000"/>
  </r>
  <r>
    <x v="9"/>
    <s v="12/01/2026"/>
    <s v="ANTONIO EDMUNDO E CAMBEROS"/>
    <s v="7503030118033"/>
    <s v="Kit vibrador + estimulante para clitoris Lau - CXO"/>
    <s v="JUGUETE PROPIO"/>
    <s v="CXO"/>
    <n v="1"/>
    <n v="1706.9"/>
  </r>
  <r>
    <x v="9"/>
    <s v="12/01/2026"/>
    <s v="ANTONIO EDMUNDO E CAMBEROS"/>
    <s v="7503032300993"/>
    <s v="Liquid Love Pleasure 30ml - DUSA"/>
    <s v="CONSUMIBLE PROPIO"/>
    <s v="DUSA"/>
    <n v="1"/>
    <n v="301.72000000000003"/>
  </r>
  <r>
    <x v="9"/>
    <s v="12/01/2026"/>
    <s v="ANTONIO EDMUNDO E CAMBEROS"/>
    <s v="7503013378645"/>
    <s v="Liquid Love Pleasure 100ml - DUSA"/>
    <s v="CONSUMIBLE PROPIO"/>
    <s v="DUSA"/>
    <n v="1"/>
    <n v="775.86"/>
  </r>
  <r>
    <x v="9"/>
    <s v="13/01/2026"/>
    <s v="ANTONIO EDMUNDO E CAMBEROS"/>
    <s v="7503043917081"/>
    <s v="Blade rosa anillo vibrador - CXO"/>
    <s v="JUGUETE PROPIO"/>
    <s v="CXO"/>
    <n v="2"/>
    <n v="163.80000000000001"/>
  </r>
  <r>
    <x v="9"/>
    <s v="13/01/2026"/>
    <s v="ANTONIO EDMUNDO E CAMBEROS"/>
    <s v="6959633166963"/>
    <s v="Ella Neo rojo- SVAKOM"/>
    <s v="JUGUETE"/>
    <s v="SVAKOM"/>
    <n v="1"/>
    <n v="3017.24"/>
  </r>
  <r>
    <x v="9"/>
    <s v="13/01/2026"/>
    <s v="ANTONIO EDMUNDO E CAMBEROS"/>
    <s v="D07003"/>
    <s v="Kit BDSM 7 piezas - CXO"/>
    <s v="JUGUETE PROPIO"/>
    <s v="CXO"/>
    <n v="1"/>
    <n v="474.14"/>
  </r>
  <r>
    <x v="9"/>
    <s v="13/01/2026"/>
    <s v="ANTONIO EDMUNDO E CAMBEROS"/>
    <s v="7503032300993"/>
    <s v="Liquid Love Pleasure 30ml - DUSA"/>
    <s v="CONSUMIBLE PROPIO"/>
    <s v="DUSA"/>
    <n v="2"/>
    <n v="603.44000000000005"/>
  </r>
  <r>
    <x v="9"/>
    <s v="13/01/2026"/>
    <s v="ANTONIO EDMUNDO E CAMBEROS"/>
    <s v="6959633185476"/>
    <s v="Masturbador Hedy X Confidence – SVAKOM"/>
    <s v="JUGUETE"/>
    <s v="SVAKOM"/>
    <n v="1"/>
    <n v="181.03"/>
  </r>
  <r>
    <x v="9"/>
    <s v="14/01/2026"/>
    <s v="ANTONIO EDMUNDO E CAMBEROS"/>
    <s v="03030211"/>
    <s v="Delineador liquido negro - BISSU"/>
    <s v="SKINCARE"/>
    <s v="BISSU"/>
    <n v="1"/>
    <n v="60.34"/>
  </r>
  <r>
    <x v="9"/>
    <s v="14/01/2026"/>
    <s v="ANTONIO EDMUNDO E CAMBEROS"/>
    <s v="03031237"/>
    <s v="Delineador plumin cafe - BISSU"/>
    <s v="SKINCARE"/>
    <s v="BISSU"/>
    <n v="1"/>
    <n v="68.97"/>
  </r>
  <r>
    <x v="9"/>
    <s v="14/01/2026"/>
    <s v="ANTONIO EDMUNDO E CAMBEROS"/>
    <s v="7503030118033"/>
    <s v="Kit vibrador + estimulante para clitoris Lau - CXO"/>
    <s v="JUGUETE PROPIO"/>
    <s v="CXO"/>
    <n v="1"/>
    <n v="1706.9"/>
  </r>
  <r>
    <x v="9"/>
    <s v="14/01/2026"/>
    <s v="ANTONIO EDMUNDO E CAMBEROS"/>
    <s v="8699415912859"/>
    <s v="Miel Vigorizante para Hombre  Miracle Honey  VIP 15g-  SECRET MIRACLE HONEY"/>
    <s v="CONSUMIBLE"/>
    <s v="SECRET MIRACLE HONEY"/>
    <n v="1"/>
    <n v="215.52"/>
  </r>
  <r>
    <x v="9"/>
    <s v="14/01/2026"/>
    <s v="ANTONIO EDMUNDO E CAMBEROS"/>
    <s v="7503013378010"/>
    <s v="Rigidex 2 pzas - DUSA"/>
    <s v="CONSUMIBLE PROPIO"/>
    <s v="DUSA"/>
    <n v="1"/>
    <n v="431.03"/>
  </r>
  <r>
    <x v="9"/>
    <s v="15/01/2026"/>
    <s v="ANTONIO EDMUNDO E CAMBEROS"/>
    <s v="7503014914002"/>
    <s v="CAPSULAS MULTIORGASMICO AMO O-GEN"/>
    <s v="CONSUMIBLE"/>
    <s v="POWER MAN"/>
    <n v="1"/>
    <n v="431.04"/>
  </r>
  <r>
    <x v="9"/>
    <s v="15/01/2026"/>
    <s v="ANTONIO EDMUNDO E CAMBEROS"/>
    <s v="7503013378010"/>
    <s v="Rigidex 2 pzas - DUSA"/>
    <s v="CONSUMIBLE PROPIO"/>
    <s v="DUSA"/>
    <n v="1"/>
    <n v="431.03"/>
  </r>
  <r>
    <x v="9"/>
    <s v="15/01/2026"/>
    <s v="ANTONIO EDMUNDO E CAMBEROS"/>
    <s v="7503013378690"/>
    <s v="Shumatsu 3 pzas - DUSA"/>
    <s v="CONSUMIBLE PROPIO"/>
    <s v="DUSA"/>
    <n v="7"/>
    <n v="4043.13"/>
  </r>
  <r>
    <x v="9"/>
    <s v="16/01/2026"/>
    <s v="ANTONIO EDMUNDO E CAMBEROS"/>
    <s v="7503020111072"/>
    <s v="Anillo vibrador recargable con textura negra Hank - CXO"/>
    <s v="JUGUETE PROPIO"/>
    <s v="CXO"/>
    <n v="1"/>
    <n v="1267.24"/>
  </r>
  <r>
    <x v="9"/>
    <s v="16/01/2026"/>
    <s v="ANTONIO EDMUNDO E CAMBEROS"/>
    <s v="7503014914002"/>
    <s v="CAPSULAS MULTIORGASMICO AMO O-GEN"/>
    <s v="CONSUMIBLE"/>
    <s v="POWER MAN"/>
    <n v="2"/>
    <n v="862.08"/>
  </r>
  <r>
    <x v="9"/>
    <s v="16/01/2026"/>
    <s v="ANTONIO EDMUNDO E CAMBEROS"/>
    <s v="7503020596513"/>
    <s v="Liquid Love Natural 20ml - DUSA"/>
    <s v="CONSUMIBLE PROPIO"/>
    <s v="DUSA"/>
    <n v="1"/>
    <n v="258.62"/>
  </r>
  <r>
    <x v="9"/>
    <s v="16/01/2026"/>
    <s v="ANTONIO EDMUNDO E CAMBEROS"/>
    <s v="7503032300993"/>
    <s v="Liquid Love Pleasure 30ml - DUSA"/>
    <s v="CONSUMIBLE PROPIO"/>
    <s v="DUSA"/>
    <n v="3"/>
    <n v="905.16000000000008"/>
  </r>
  <r>
    <x v="9"/>
    <s v="16/01/2026"/>
    <s v="ANTONIO EDMUNDO E CAMBEROS"/>
    <s v="7503013378645"/>
    <s v="Liquid Love Pleasure 100ml - DUSA"/>
    <s v="CONSUMIBLE PROPIO"/>
    <s v="DUSA"/>
    <n v="1"/>
    <n v="775.86"/>
  </r>
  <r>
    <x v="9"/>
    <s v="16/01/2026"/>
    <s v="ANTONIO EDMUNDO E CAMBEROS"/>
    <s v="8699415912859"/>
    <s v="Miel Vigorizante para Hombre  Miracle Honey  VIP 15g-  SECRET MIRACLE HONEY"/>
    <s v="CONSUMIBLE"/>
    <s v="SECRET MIRACLE HONEY"/>
    <n v="2"/>
    <n v="431.03"/>
  </r>
  <r>
    <x v="9"/>
    <s v="16/01/2026"/>
    <s v="ANTONIO EDMUNDO E CAMBEROS"/>
    <s v="7503032300382"/>
    <s v="Mon - CXO"/>
    <s v="JUGUETE PROPIO"/>
    <s v="CXO"/>
    <n v="1"/>
    <n v="517.24"/>
  </r>
  <r>
    <x v="9"/>
    <s v="16/01/2026"/>
    <s v="ANTONIO EDMUNDO E CAMBEROS"/>
    <s v="7503020596957"/>
    <s v="Shot Shumatsu Fun Hombre - DUSA"/>
    <s v="CONSUMIBLE PROPIO"/>
    <s v="DUSA"/>
    <n v="2"/>
    <n v="344.82"/>
  </r>
  <r>
    <x v="9"/>
    <s v="16/01/2026"/>
    <s v="ANTONIO EDMUNDO E CAMBEROS"/>
    <s v="7503024256192"/>
    <s v="Shot Shumatsu Fun Mujer - DUSA"/>
    <s v="CONSUMIBLE PROPIO"/>
    <s v="DUSA"/>
    <n v="1"/>
    <n v="172.41"/>
  </r>
  <r>
    <x v="9"/>
    <s v="16/01/2026"/>
    <s v="ANTONIO EDMUNDO E CAMBEROS"/>
    <s v="7503013378690"/>
    <s v="Shumatsu 3 pzas - DUSA"/>
    <s v="CONSUMIBLE PROPIO"/>
    <s v="DUSA"/>
    <n v="2"/>
    <n v="1155.18"/>
  </r>
  <r>
    <x v="9"/>
    <s v="16/01/2026"/>
    <s v="ANTONIO EDMUNDO E CAMBEROS"/>
    <s v="839289006805"/>
    <s v="Verge - WE VIBE"/>
    <s v="JUGUETE"/>
    <s v="WE VIBE"/>
    <n v="1"/>
    <n v="3879.31"/>
  </r>
  <r>
    <x v="9"/>
    <s v="17/01/2026"/>
    <s v="ANTONIO EDMUNDO E CAMBEROS"/>
    <s v="7503030111031"/>
    <s v="Anillo vibrador de aro doble con estimulador y dildo Javier - CXO"/>
    <s v="JUGUETE PROPIO"/>
    <s v="CXO"/>
    <n v="1"/>
    <n v="1681.03"/>
  </r>
  <r>
    <x v="9"/>
    <s v="17/01/2026"/>
    <s v="ANTONIO EDMUNDO E CAMBEROS"/>
    <s v="7503014914002"/>
    <s v="CAPSULAS MULTIORGASMICO AMO O-GEN"/>
    <s v="CONSUMIBLE"/>
    <s v="POWER MAN"/>
    <n v="1"/>
    <n v="431.04"/>
  </r>
  <r>
    <x v="9"/>
    <s v="17/01/2026"/>
    <s v="ANTONIO EDMUNDO E CAMBEROS"/>
    <s v="7503032300993"/>
    <s v="Liquid Love Pleasure 30ml - DUSA"/>
    <s v="CONSUMIBLE PROPIO"/>
    <s v="DUSA"/>
    <n v="1"/>
    <n v="301.72000000000003"/>
  </r>
  <r>
    <x v="9"/>
    <s v="17/01/2026"/>
    <s v="ANTONIO EDMUNDO E CAMBEROS"/>
    <s v="7503013378645"/>
    <s v="Liquid Love Pleasure 100ml - DUSA"/>
    <s v="CONSUMIBLE PROPIO"/>
    <s v="DUSA"/>
    <n v="1"/>
    <n v="775.86"/>
  </r>
  <r>
    <x v="9"/>
    <s v="17/01/2026"/>
    <s v="ANTONIO EDMUNDO E CAMBEROS"/>
    <s v="7503023462198"/>
    <s v="Lubricante Masaje Térmico Comestible Plátano Excitante FEEL LOVE 4 en 1 - 60ml"/>
    <s v="LUBRICANTE"/>
    <s v="FEEL LOVE"/>
    <n v="1"/>
    <n v="344.83"/>
  </r>
  <r>
    <x v="9"/>
    <s v="17/01/2026"/>
    <s v="ANTONIO EDMUNDO E CAMBEROS"/>
    <s v="8699415912859"/>
    <s v="Miel Vigorizante para Hombre  Miracle Honey  VIP 15g-  SECRET MIRACLE HONEY"/>
    <s v="CONSUMIBLE"/>
    <s v="SECRET MIRACLE HONEY"/>
    <n v="2"/>
    <n v="431.03"/>
  </r>
  <r>
    <x v="9"/>
    <s v="17/01/2026"/>
    <s v="ANTONIO EDMUNDO E CAMBEROS"/>
    <s v="7503050226162"/>
    <s v="Plug Anal con Vibración y Control Roberto - CXO"/>
    <s v="JUGUETE PROPIO"/>
    <s v="CXO"/>
    <n v="1"/>
    <n v="1293.0999999999999"/>
  </r>
  <r>
    <x v="9"/>
    <s v="17/01/2026"/>
    <s v="ANTONIO EDMUNDO E CAMBEROS"/>
    <s v="7503013378690"/>
    <s v="Shumatsu 3 pzas - DUSA"/>
    <s v="CONSUMIBLE PROPIO"/>
    <s v="DUSA"/>
    <n v="1"/>
    <n v="577.59"/>
  </r>
  <r>
    <x v="9"/>
    <s v="17/01/2026"/>
    <s v="ANTONIO EDMUNDO E CAMBEROS"/>
    <s v="7503010217046"/>
    <s v="Vela para masaje bear - DUSA"/>
    <s v="CONSUMIBLE PROPIO"/>
    <s v="DUSA"/>
    <n v="1"/>
    <n v="310.33999999999997"/>
  </r>
  <r>
    <x v="9"/>
    <s v="18/01/2026"/>
    <s v="ANGEL DANILO RODRIGUEZ LOPEZ"/>
    <s v="7503043917005"/>
    <s v="Liquid Love Clear 30ml - DUSA"/>
    <s v="CONSUMIBLE PROPIO"/>
    <s v="DUSA"/>
    <n v="2"/>
    <n v="603.44000000000005"/>
  </r>
  <r>
    <x v="9"/>
    <s v="18/01/2026"/>
    <s v="ANGEL DANILO RODRIGUEZ LOPEZ"/>
    <s v="7503013378690"/>
    <s v="Shumatsu 3 pzas - DUSA"/>
    <s v="CONSUMIBLE PROPIO"/>
    <s v="DUSA"/>
    <n v="2"/>
    <n v="1155.18"/>
  </r>
  <r>
    <x v="10"/>
    <s v="12/01/2026"/>
    <s v="DELIA AGUIRRE CERVANTES"/>
    <s v="7503043917036"/>
    <s v="Arnes universal de argolla negro - CXO"/>
    <s v="JUGUETE PROPIO"/>
    <s v="CXO"/>
    <n v="1"/>
    <n v="474.14"/>
  </r>
  <r>
    <x v="10"/>
    <s v="12/01/2026"/>
    <s v="DELIA AGUIRRE CERVANTES"/>
    <s v="7502214982514"/>
    <s v="Condon Chocolate 3 pzs - PRUDENCE"/>
    <s v="CONSUMIBLE"/>
    <s v="PRUDENCE"/>
    <n v="1"/>
    <n v="60.34"/>
  </r>
  <r>
    <x v="10"/>
    <s v="12/01/2026"/>
    <s v="DELIA AGUIRRE CERVANTES"/>
    <s v="7503043917005"/>
    <s v="Liquid Love Clear 30ml - DUSA"/>
    <s v="CONSUMIBLE PROPIO"/>
    <s v="DUSA"/>
    <n v="1"/>
    <n v="301.72000000000003"/>
  </r>
  <r>
    <x v="10"/>
    <s v="12/01/2026"/>
    <s v="DELIA AGUIRRE CERVANTES"/>
    <s v="7503032300993"/>
    <s v="Liquid Love Pleasure 30ml - DUSA"/>
    <s v="CONSUMIBLE PROPIO"/>
    <s v="DUSA"/>
    <n v="1"/>
    <n v="301.72000000000003"/>
  </r>
  <r>
    <x v="10"/>
    <s v="12/01/2026"/>
    <s v="DELIA AGUIRRE CERVANTES"/>
    <s v="7503023462235"/>
    <s v="Lubricante Masaje Térmico Comestible Piña Colada FEEL LOVE 4 en 1 - 60ml"/>
    <s v="LUBRICANTE"/>
    <s v="FEEL LOVE"/>
    <n v="1"/>
    <n v="344.83"/>
  </r>
  <r>
    <x v="10"/>
    <s v="12/01/2026"/>
    <s v="DELIA AGUIRRE CERVANTES"/>
    <s v="7503026484845"/>
    <s v="Oral Sex Erotic Nut 5g - Feel Love"/>
    <s v="CONSUMIBLE"/>
    <s v="DIAMANTE"/>
    <n v="1"/>
    <n v="51.72"/>
  </r>
  <r>
    <x v="10"/>
    <s v="12/01/2026"/>
    <s v="DELIA AGUIRRE CERVANTES"/>
    <s v="4061504007496"/>
    <s v="Succionado con App Curvy 1+ - Satisfayer"/>
    <s v="JUGUETE"/>
    <s v="SATISFAYER"/>
    <n v="1"/>
    <n v="1810.34"/>
  </r>
  <r>
    <x v="10"/>
    <s v="13/01/2026"/>
    <s v="DELIA AGUIRRE CERVANTES"/>
    <s v="7508304288887"/>
    <s v="Aceite Fruta de la pasion 60ml - FEEL LOVE"/>
    <s v="CONSUMIBLE"/>
    <s v="FEEL LOVE"/>
    <n v="1"/>
    <n v="327.58999999999997"/>
  </r>
  <r>
    <x v="10"/>
    <s v="13/01/2026"/>
    <s v="DELIA AGUIRRE CERVANTES"/>
    <s v="7503043917081"/>
    <s v="Blade rosa anillo vibrador - CXO"/>
    <s v="JUGUETE PROPIO"/>
    <s v="CXO"/>
    <n v="1"/>
    <n v="81.900000000000006"/>
  </r>
  <r>
    <x v="10"/>
    <s v="13/01/2026"/>
    <s v="DELIA AGUIRRE CERVANTES"/>
    <s v="7503043917593"/>
    <s v="Nora dildo vibrador - CXO"/>
    <s v="JUGUETE PROPIO"/>
    <s v="CXO"/>
    <n v="1"/>
    <n v="474.14"/>
  </r>
  <r>
    <x v="10"/>
    <s v="13/01/2026"/>
    <s v="DELIA AGUIRRE CERVANTES"/>
    <s v="7503013378690"/>
    <s v="Shumatsu 3 pzas - DUSA"/>
    <s v="CONSUMIBLE PROPIO"/>
    <s v="DUSA"/>
    <n v="1"/>
    <n v="577.59"/>
  </r>
  <r>
    <x v="10"/>
    <s v="13/01/2026"/>
    <s v="DELIA AGUIRRE CERVANTES"/>
    <s v="7503030104027"/>
    <s v="Vibrador con doble estimulacion y control a distancia Zafiro - CXO"/>
    <s v="JUGUETE PROPIO"/>
    <s v="CXO"/>
    <n v="1"/>
    <n v="1715.52"/>
  </r>
  <r>
    <x v="10"/>
    <s v="14/01/2026"/>
    <s v="ANGEL DANILO RODRIGUEZ LOPEZ"/>
    <s v="4061504007496"/>
    <s v="Succionado con App Curvy 1+ - Satisfayer"/>
    <s v="JUGUETE"/>
    <s v="SATISFAYER"/>
    <n v="1"/>
    <n v="1810.34"/>
  </r>
  <r>
    <x v="10"/>
    <s v="15/01/2026"/>
    <s v="DELIA AGUIRRE CERVANTES"/>
    <s v="7503024256635"/>
    <s v="Olive  6.8&quot; rosa - CXO"/>
    <s v="JUGUETE PROPIO"/>
    <s v="CXO"/>
    <n v="1"/>
    <n v="603.45000000000005"/>
  </r>
  <r>
    <x v="10"/>
    <s v="15/01/2026"/>
    <s v="DELIA AGUIRRE CERVANTES"/>
    <s v="7503020596957"/>
    <s v="Shot Shumatsu Fun Hombre - DUSA"/>
    <s v="CONSUMIBLE PROPIO"/>
    <s v="DUSA"/>
    <n v="1"/>
    <n v="172.41"/>
  </r>
  <r>
    <x v="10"/>
    <s v="16/01/2026"/>
    <s v="DELIA AGUIRRE CERVANTES"/>
    <s v="7503013378775"/>
    <s v="Amy violeta - CXO"/>
    <s v="JUGUETE PROPIO"/>
    <s v="CXO"/>
    <n v="1"/>
    <n v="366.38"/>
  </r>
  <r>
    <x v="10"/>
    <s v="16/01/2026"/>
    <s v="DELIA AGUIRRE CERVANTES"/>
    <s v="7503013378393"/>
    <s v="Anillo de Acero con bola - CXO"/>
    <s v="JUGUETE PROPIO"/>
    <s v="CXO"/>
    <n v="1"/>
    <n v="137.93"/>
  </r>
  <r>
    <x v="10"/>
    <s v="16/01/2026"/>
    <s v="DELIA AGUIRRE CERVANTES"/>
    <s v="7503043917081"/>
    <s v="Blade rosa anillo vibrador - CXO"/>
    <s v="JUGUETE PROPIO"/>
    <s v="CXO"/>
    <n v="2"/>
    <n v="163.80000000000001"/>
  </r>
  <r>
    <x v="10"/>
    <s v="16/01/2026"/>
    <s v="DELIA AGUIRRE CERVANTES"/>
    <s v="7503014914002"/>
    <s v="CAPSULAS MULTIORGASMICO AMO O-GEN"/>
    <s v="CONSUMIBLE"/>
    <s v="POWER MAN"/>
    <n v="1"/>
    <n v="431.04"/>
  </r>
  <r>
    <x v="10"/>
    <s v="16/01/2026"/>
    <s v="DELIA AGUIRRE CERVANTES"/>
    <s v="7503013378492"/>
    <s v="Clean Whisper 120ml - DUSA"/>
    <s v="CONSUMIBLE PROPIO"/>
    <s v="DUSA"/>
    <n v="1"/>
    <n v="301.72000000000003"/>
  </r>
  <r>
    <x v="10"/>
    <s v="16/01/2026"/>
    <s v="DELIA AGUIRRE CERVANTES"/>
    <s v="7503050524265"/>
    <s v="He Plus 30ml - DUSA"/>
    <s v="CONSUMIBLE PROPIO"/>
    <s v="DUSA"/>
    <n v="2"/>
    <n v="862.06"/>
  </r>
  <r>
    <x v="10"/>
    <s v="16/01/2026"/>
    <s v="DELIA AGUIRRE CERVANTES"/>
    <s v="7503043917012"/>
    <s v="Liquid Love Backdoor 30ml - DUSA"/>
    <s v="CONSUMIBLE PROPIO"/>
    <s v="DUSA"/>
    <n v="1"/>
    <n v="301.72000000000003"/>
  </r>
  <r>
    <x v="10"/>
    <s v="16/01/2026"/>
    <s v="DELIA AGUIRRE CERVANTES"/>
    <s v="6959633103494"/>
    <s v="Mora Neo multiorgasmico rosa - SVAKOM"/>
    <s v="JUGUETE"/>
    <s v="SVAKOM"/>
    <n v="1"/>
    <n v="1637.93"/>
  </r>
  <r>
    <x v="10"/>
    <s v="16/01/2026"/>
    <s v="DELIA AGUIRRE CERVANTES"/>
    <s v="6970556034061"/>
    <s v="Multiorgasmico con succion y extensor Anna - CXO"/>
    <s v="JUGUETE PROPIO"/>
    <s v="CXO"/>
    <n v="1"/>
    <n v="1982.76"/>
  </r>
  <r>
    <x v="10"/>
    <s v="16/01/2026"/>
    <s v="DELIA AGUIRRE CERVANTES"/>
    <s v="7503050524241"/>
    <s v="Orgasmik 30ml - DUSA"/>
    <s v="CONSUMIBLE PROPIO"/>
    <s v="DUSA"/>
    <n v="1"/>
    <n v="431.03"/>
  </r>
  <r>
    <x v="10"/>
    <s v="16/01/2026"/>
    <s v="DELIA AGUIRRE CERVANTES"/>
    <s v="7503050226162"/>
    <s v="Plug Anal con Vibración y Control Roberto - CXO"/>
    <s v="JUGUETE PROPIO"/>
    <s v="CXO"/>
    <n v="1"/>
    <n v="1293.0999999999999"/>
  </r>
  <r>
    <x v="10"/>
    <s v="16/01/2026"/>
    <s v="DELIA AGUIRRE CERVANTES"/>
    <s v="7503013378010"/>
    <s v="Rigidex 2 pzas - DUSA"/>
    <s v="CONSUMIBLE PROPIO"/>
    <s v="DUSA"/>
    <n v="1"/>
    <n v="431.03"/>
  </r>
  <r>
    <x v="10"/>
    <s v="16/01/2026"/>
    <s v="DELIA AGUIRRE CERVANTES"/>
    <s v="7503032300856"/>
    <s v="Sachet vibrador liquido 2 ml - BANANA SHAKE"/>
    <s v="CONSUMIBLE"/>
    <s v="BANANA SHAKE"/>
    <n v="15"/>
    <n v="258.60000000000002"/>
  </r>
  <r>
    <x v="10"/>
    <s v="16/01/2026"/>
    <s v="DELIA AGUIRRE CERVANTES"/>
    <s v="7503013378690"/>
    <s v="Shumatsu 3 pzas - DUSA"/>
    <s v="CONSUMIBLE PROPIO"/>
    <s v="DUSA"/>
    <n v="1"/>
    <n v="577.59"/>
  </r>
  <r>
    <x v="10"/>
    <s v="16/01/2026"/>
    <s v="DELIA AGUIRRE CERVANTES"/>
    <s v="7503020104083"/>
    <s v="Vibrador multiorgásmico 3 en 1 Mich – CXO"/>
    <s v="JUGUETE PROPIO"/>
    <s v="CXO"/>
    <n v="1"/>
    <n v="2232.7600000000002"/>
  </r>
  <r>
    <x v="10"/>
    <s v="16/01/2026"/>
    <s v="DELIA AGUIRRE CERVANTES"/>
    <s v="7503032300443"/>
    <s v="Zoe bala vibradora RETAIL - CXO"/>
    <s v="JUGUETE PROPIO"/>
    <s v="CXO"/>
    <n v="1"/>
    <n v="155.16999999999999"/>
  </r>
  <r>
    <x v="10"/>
    <s v="17/01/2026"/>
    <s v="DELIA AGUIRRE CERVANTES"/>
    <s v="7503020112070"/>
    <s v="Bala vibradora recargable Ely – CXO"/>
    <s v="JUGUETE PROPIO"/>
    <s v="CXO"/>
    <n v="1"/>
    <n v="793.1"/>
  </r>
  <r>
    <x v="10"/>
    <s v="17/01/2026"/>
    <s v="DELIA AGUIRRE CERVANTES"/>
    <s v="7502214986598"/>
    <s v="Condones Zero c/ 3 pzs - PRUDENCE"/>
    <s v="CONSUMIBLE"/>
    <s v="PRUDENCE"/>
    <n v="1"/>
    <n v="77.59"/>
  </r>
  <r>
    <x v="10"/>
    <s v="17/01/2026"/>
    <s v="DELIA AGUIRRE CERVANTES"/>
    <s v="FM1001"/>
    <s v="FEROMONAS DIAMANTE CONCENTRADO MUJER"/>
    <s v="CONSUMIBLE"/>
    <s v="DIAMANTE"/>
    <n v="2"/>
    <n v="827.58"/>
  </r>
  <r>
    <x v="10"/>
    <s v="17/01/2026"/>
    <s v="DELIA AGUIRRE CERVANTES"/>
    <s v="7503013378010"/>
    <s v="Rigidex 2 pzas - DUSA"/>
    <s v="CONSUMIBLE PROPIO"/>
    <s v="DUSA"/>
    <n v="1"/>
    <n v="431.03"/>
  </r>
  <r>
    <x v="10"/>
    <s v="17/01/2026"/>
    <s v="DELIA AGUIRRE CERVANTES"/>
    <s v="7503032300856"/>
    <s v="Sachet vibrador liquido 2 ml - BANANA SHAKE"/>
    <s v="CONSUMIBLE"/>
    <s v="BANANA SHAKE"/>
    <n v="5"/>
    <n v="86.2"/>
  </r>
  <r>
    <x v="10"/>
    <s v="17/01/2026"/>
    <s v="DELIA AGUIRRE CERVANTES"/>
    <s v="7503013378690"/>
    <s v="Shumatsu 3 pzas - DUSA"/>
    <s v="CONSUMIBLE PROPIO"/>
    <s v="DUSA"/>
    <n v="1"/>
    <n v="577.59"/>
  </r>
  <r>
    <x v="10"/>
    <s v="18/01/2026"/>
    <s v="DELIA AGUIRRE CERVANTES"/>
    <s v="7503043917081"/>
    <s v="Blade rosa anillo vibrador - CXO"/>
    <s v="JUGUETE PROPIO"/>
    <s v="CXO"/>
    <n v="1"/>
    <n v="81.900000000000006"/>
  </r>
  <r>
    <x v="10"/>
    <s v="18/01/2026"/>
    <s v="DELIA AGUIRRE CERVANTES"/>
    <s v="7503032300207"/>
    <s v="Chibi - CXO"/>
    <s v="JUGUETE PROPIO"/>
    <s v="CXO"/>
    <n v="1"/>
    <n v="806.03"/>
  </r>
  <r>
    <x v="10"/>
    <s v="18/01/2026"/>
    <s v="DELIA AGUIRRE CERVANTES"/>
    <s v="7503013378904"/>
    <s v="Dildo Mr. Hernandez - CXO"/>
    <s v="JUGUETE PROPIO"/>
    <s v="CXO"/>
    <n v="1"/>
    <n v="517.24"/>
  </r>
  <r>
    <x v="10"/>
    <s v="18/01/2026"/>
    <s v="DELIA AGUIRRE CERVANTES"/>
    <s v="6959633166963"/>
    <s v="Ella Neo rojo- SVAKOM"/>
    <s v="JUGUETE"/>
    <s v="SVAKOM"/>
    <n v="1"/>
    <n v="3017.24"/>
  </r>
  <r>
    <x v="10"/>
    <s v="18/01/2026"/>
    <s v="DELIA AGUIRRE CERVANTES"/>
    <s v="7503050524265"/>
    <s v="He Plus 30ml - DUSA"/>
    <s v="CONSUMIBLE PROPIO"/>
    <s v="DUSA"/>
    <n v="1"/>
    <n v="431.03"/>
  </r>
  <r>
    <x v="10"/>
    <s v="18/01/2026"/>
    <s v="DELIA AGUIRRE CERVANTES"/>
    <s v="7503020220077"/>
    <s v="Juego de mesa sensual para parejas – CXO"/>
    <s v="JUGUETE PROPIO"/>
    <s v="CXO"/>
    <n v="1"/>
    <n v="637.92999999999995"/>
  </r>
  <r>
    <x v="10"/>
    <s v="18/01/2026"/>
    <s v="DELIA AGUIRRE CERVANTES"/>
    <s v="D07003"/>
    <s v="Kit BDSM 7 piezas - CXO"/>
    <s v="JUGUETE PROPIO"/>
    <s v="CXO"/>
    <n v="1"/>
    <n v="474.14"/>
  </r>
  <r>
    <x v="10"/>
    <s v="18/01/2026"/>
    <s v="DELIA AGUIRRE CERVANTES"/>
    <s v="7503013378645"/>
    <s v="Liquid Love Pleasure 100ml - DUSA"/>
    <s v="CONSUMIBLE PROPIO"/>
    <s v="DUSA"/>
    <n v="1"/>
    <n v="775.86"/>
  </r>
  <r>
    <x v="10"/>
    <s v="18/01/2026"/>
    <s v="DELIA AGUIRRE CERVANTES"/>
    <s v="7503024256154"/>
    <s v="Lubricante Body Surf Termico Cereza DUSA 60ml"/>
    <s v="CONSUMIBLE PROPIO"/>
    <s v="DUSA"/>
    <n v="1"/>
    <n v="387.93"/>
  </r>
  <r>
    <x v="10"/>
    <s v="18/01/2026"/>
    <s v="DELIA AGUIRRE CERVANTES"/>
    <s v="7503032300382"/>
    <s v="Mon - CXO"/>
    <s v="JUGUETE PROPIO"/>
    <s v="CXO"/>
    <n v="1"/>
    <n v="517.24"/>
  </r>
  <r>
    <x v="10"/>
    <s v="18/01/2026"/>
    <s v="DELIA AGUIRRE CERVANTES"/>
    <s v="7503030128202"/>
    <s v="Plug Anal con 10 modos de vibracion y rotacion 360 Beto - CXO"/>
    <s v="JUGUETE PROPIO"/>
    <s v="CXO"/>
    <n v="1"/>
    <n v="1577.59"/>
  </r>
  <r>
    <x v="11"/>
    <s v="12/01/2026"/>
    <s v="OSCAR ANTONIO L CEL"/>
    <s v="7503050524265"/>
    <s v="He Plus 30ml - DUSA"/>
    <s v="CONSUMIBLE PROPIO"/>
    <s v="DUSA"/>
    <n v="1"/>
    <n v="431.03"/>
  </r>
  <r>
    <x v="11"/>
    <s v="12/01/2026"/>
    <s v="OSCAR ANTONIO L CEL"/>
    <s v="LL-A2216"/>
    <s v="Huevito con 10 modos de Vibración  Gina - CXO"/>
    <s v="JUGUETE PROPIO"/>
    <s v="CXO"/>
    <n v="1"/>
    <n v="1500"/>
  </r>
  <r>
    <x v="11"/>
    <s v="12/01/2026"/>
    <s v="OSCAR ANTONIO L CEL"/>
    <s v="4560220552766"/>
    <s v="Masturbador en huevo Cloudy - TENGA"/>
    <s v="JUGUETE"/>
    <s v="TENGA"/>
    <n v="1"/>
    <n v="301.72000000000003"/>
  </r>
  <r>
    <x v="11"/>
    <s v="12/01/2026"/>
    <s v="OSCAR ANTONIO L CEL"/>
    <s v="7503032300856"/>
    <s v="Sachet vibrador liquido 2 ml - BANANA SHAKE"/>
    <s v="CONSUMIBLE"/>
    <s v="BANANA SHAKE"/>
    <n v="3"/>
    <n v="51.72"/>
  </r>
  <r>
    <x v="11"/>
    <s v="12/01/2026"/>
    <s v="OSCAR ANTONIO L CEL"/>
    <s v="7503020596957"/>
    <s v="Shot Shumatsu Fun Hombre - DUSA"/>
    <s v="CONSUMIBLE PROPIO"/>
    <s v="DUSA"/>
    <n v="1"/>
    <n v="172.41"/>
  </r>
  <r>
    <x v="11"/>
    <s v="13/01/2026"/>
    <s v="OSCAR ANTONIO L CEL"/>
    <s v="75037543"/>
    <s v="Dulce Estimulante Sexual Sabor Fresa  2 piezas - SXO"/>
    <s v="CONSUMIBLE"/>
    <s v="SXO"/>
    <n v="1"/>
    <n v="120.69"/>
  </r>
  <r>
    <x v="11"/>
    <s v="13/01/2026"/>
    <s v="OSCAR ANTONIO L CEL"/>
    <s v="7503024256154"/>
    <s v="Lubricante Body Surf Termico Cereza DUSA 60ml"/>
    <s v="CONSUMIBLE PROPIO"/>
    <s v="DUSA"/>
    <n v="1"/>
    <n v="387.93"/>
  </r>
  <r>
    <x v="11"/>
    <s v="13/01/2026"/>
    <s v="OSCAR ANTONIO L CEL"/>
    <s v="7503013378010"/>
    <s v="Rigidex 2 pzas - DUSA"/>
    <s v="CONSUMIBLE PROPIO"/>
    <s v="DUSA"/>
    <n v="1"/>
    <n v="431.03"/>
  </r>
  <r>
    <x v="11"/>
    <s v="13/01/2026"/>
    <s v="OSCAR ANTONIO L CEL"/>
    <s v="7503020596063"/>
    <s v="Stallion Regenerador - DUSA"/>
    <s v="CONSUMIBLE PROPIO"/>
    <s v="DUSA"/>
    <n v="1"/>
    <n v="1293.0999999999999"/>
  </r>
  <r>
    <x v="11"/>
    <s v="14/01/2026"/>
    <s v="OSCAR ANTONIO L CEL"/>
    <s v="DL-ZZ-YJPT-BJ-20250327"/>
    <s v="Funda de Silicon para Pene con 10 modos de Vibración  Raul- CXO"/>
    <s v="JUGUETE PROPIO"/>
    <s v="CXO"/>
    <n v="1"/>
    <n v="1810.34"/>
  </r>
  <r>
    <x v="11"/>
    <s v="14/01/2026"/>
    <s v="OSCAR ANTONIO L CEL"/>
    <s v="7503013378645"/>
    <s v="Liquid Love Pleasure 100ml - DUSA"/>
    <s v="CONSUMIBLE PROPIO"/>
    <s v="DUSA"/>
    <n v="2"/>
    <n v="1551.72"/>
  </r>
  <r>
    <x v="11"/>
    <s v="14/01/2026"/>
    <s v="OSCAR ANTONIO L CEL"/>
    <s v="7503013378010"/>
    <s v="Rigidex 2 pzas - DUSA"/>
    <s v="CONSUMIBLE PROPIO"/>
    <s v="DUSA"/>
    <n v="3"/>
    <n v="1293.0999999999999"/>
  </r>
  <r>
    <x v="11"/>
    <s v="15/01/2026"/>
    <s v="ALFONSO  M CARBALLAR"/>
    <s v="7503043917081"/>
    <s v="Blade rosa anillo vibrador - CXO"/>
    <s v="JUGUETE PROPIO"/>
    <s v="CXO"/>
    <n v="2"/>
    <n v="163.80000000000001"/>
  </r>
  <r>
    <x v="11"/>
    <s v="15/01/2026"/>
    <s v="ALFONSO  M CARBALLAR"/>
    <s v="7503043917012"/>
    <s v="Liquid Love Backdoor 30ml - DUSA"/>
    <s v="CONSUMIBLE PROPIO"/>
    <s v="DUSA"/>
    <n v="1"/>
    <n v="301.72000000000003"/>
  </r>
  <r>
    <x v="11"/>
    <s v="15/01/2026"/>
    <s v="ALFONSO  M CARBALLAR"/>
    <s v="7503043917005"/>
    <s v="Liquid Love Clear 30ml - DUSA"/>
    <s v="CONSUMIBLE PROPIO"/>
    <s v="DUSA"/>
    <n v="1"/>
    <n v="301.72000000000003"/>
  </r>
  <r>
    <x v="11"/>
    <s v="15/01/2026"/>
    <s v="ALFONSO  M CARBALLAR"/>
    <s v="7503013378645"/>
    <s v="Liquid Love Pleasure 100ml - DUSA"/>
    <s v="CONSUMIBLE PROPIO"/>
    <s v="DUSA"/>
    <n v="1"/>
    <n v="775.86"/>
  </r>
  <r>
    <x v="11"/>
    <s v="15/01/2026"/>
    <s v="ALFONSO  M CARBALLAR"/>
    <s v="7503024256154"/>
    <s v="Lubricante Body Surf Termico Cereza DUSA 60ml"/>
    <s v="CONSUMIBLE PROPIO"/>
    <s v="DUSA"/>
    <n v="1"/>
    <n v="387.93"/>
  </r>
  <r>
    <x v="11"/>
    <s v="15/01/2026"/>
    <s v="ALFONSO  M CARBALLAR"/>
    <s v="7503013378010"/>
    <s v="Rigidex 2 pzas - DUSA"/>
    <s v="CONSUMIBLE PROPIO"/>
    <s v="DUSA"/>
    <n v="1"/>
    <n v="431.03"/>
  </r>
  <r>
    <x v="11"/>
    <s v="15/01/2026"/>
    <s v="ALFONSO  M CARBALLAR"/>
    <s v="7502235091523"/>
    <s v="Spray Garganta Profunda Sabor Fresa 4.5 ml - SXO"/>
    <s v="CONSUMIBLE"/>
    <s v="SXO"/>
    <n v="1"/>
    <n v="129.31"/>
  </r>
  <r>
    <x v="11"/>
    <s v="15/01/2026"/>
    <s v="ALFONSO  M CARBALLAR"/>
    <s v="7503020105084"/>
    <s v="Vibrador para parejas tipo C Trinity – CXO"/>
    <s v="JUGUETE PROPIO"/>
    <s v="CXO"/>
    <n v="1"/>
    <n v="2465.52"/>
  </r>
  <r>
    <x v="11"/>
    <s v="15/01/2026"/>
    <s v="ALFONSO  M CARBALLAR"/>
    <s v="7503032300443"/>
    <s v="Zoe bala vibradora RETAIL - CXO"/>
    <s v="JUGUETE PROPIO"/>
    <s v="CXO"/>
    <n v="1"/>
    <n v="155.16999999999999"/>
  </r>
  <r>
    <x v="11"/>
    <s v="16/01/2026"/>
    <s v="OSCAR ANTONIO L CEL"/>
    <s v="7503013378850"/>
    <s v="Amy fucsia - CXO"/>
    <s v="JUGUETE PROPIO"/>
    <s v="CXO"/>
    <n v="1"/>
    <n v="431.03"/>
  </r>
  <r>
    <x v="11"/>
    <s v="16/01/2026"/>
    <s v="OSCAR ANTONIO L CEL"/>
    <s v="7503013378119"/>
    <s v="Anastasia gema de colores S - CXO"/>
    <s v="JUGUETE PROPIO"/>
    <s v="CXO"/>
    <n v="1"/>
    <n v="396.55"/>
  </r>
  <r>
    <x v="11"/>
    <s v="16/01/2026"/>
    <s v="OSCAR ANTONIO L CEL"/>
    <s v="7503043917081"/>
    <s v="Blade rosa anillo vibrador - CXO"/>
    <s v="JUGUETE PROPIO"/>
    <s v="CXO"/>
    <n v="2"/>
    <n v="163.80000000000001"/>
  </r>
  <r>
    <x v="11"/>
    <s v="16/01/2026"/>
    <s v="OSCAR ANTONIO L CEL"/>
    <s v="75037420"/>
    <s v="Dulce Estimulante Sexual Sabor Menta 2 piezas - SXO"/>
    <s v="CONSUMIBLE"/>
    <s v="SXO"/>
    <n v="1"/>
    <n v="120.69"/>
  </r>
  <r>
    <x v="11"/>
    <s v="16/01/2026"/>
    <s v="OSCAR ANTONIO L CEL"/>
    <s v="75037628"/>
    <s v="Dulces Garganta Profunda 2 piezas Sabor Fresa - SXO"/>
    <s v="CONSUMIBLE"/>
    <s v="SXO"/>
    <n v="1"/>
    <n v="120.69"/>
  </r>
  <r>
    <x v="11"/>
    <s v="16/01/2026"/>
    <s v="OSCAR ANTONIO L CEL"/>
    <s v="7508304288429"/>
    <s v="Feromonas en gel 20ml unisex - DIAMANTE"/>
    <s v="CONSUMIBLE"/>
    <s v="DIAMANTE"/>
    <n v="1"/>
    <n v="379.31"/>
  </r>
  <r>
    <x v="11"/>
    <s v="16/01/2026"/>
    <s v="OSCAR ANTONIO L CEL"/>
    <s v="7503013378652"/>
    <s v="Liquid Love Backdoor 100ml - DUSA"/>
    <s v="CONSUMIBLE PROPIO"/>
    <s v="DUSA"/>
    <n v="1"/>
    <n v="1077.5899999999999"/>
  </r>
  <r>
    <x v="11"/>
    <s v="16/01/2026"/>
    <s v="OSCAR ANTONIO L CEL"/>
    <s v="7503032300993"/>
    <s v="Liquid Love Pleasure 30ml - DUSA"/>
    <s v="CONSUMIBLE PROPIO"/>
    <s v="DUSA"/>
    <n v="1"/>
    <n v="301.72000000000003"/>
  </r>
  <r>
    <x v="11"/>
    <s v="16/01/2026"/>
    <s v="OSCAR ANTONIO L CEL"/>
    <s v="7503013378645"/>
    <s v="Liquid Love Pleasure 100ml - DUSA"/>
    <s v="CONSUMIBLE PROPIO"/>
    <s v="DUSA"/>
    <n v="1"/>
    <n v="775.86"/>
  </r>
  <r>
    <x v="11"/>
    <s v="16/01/2026"/>
    <s v="OSCAR ANTONIO L CEL"/>
    <s v="7503024256154"/>
    <s v="Lubricante Body Surf Termico Cereza DUSA 60ml"/>
    <s v="CONSUMIBLE PROPIO"/>
    <s v="DUSA"/>
    <n v="1"/>
    <n v="387.93"/>
  </r>
  <r>
    <x v="11"/>
    <s v="16/01/2026"/>
    <s v="OSCAR ANTONIO L CEL"/>
    <s v="7503032300856"/>
    <s v="Sachet vibrador liquido 2 ml - BANANA SHAKE"/>
    <s v="CONSUMIBLE"/>
    <s v="BANANA SHAKE"/>
    <n v="2"/>
    <n v="34.479999999999997"/>
  </r>
  <r>
    <x v="11"/>
    <s v="16/01/2026"/>
    <s v="OSCAR ANTONIO L CEL"/>
    <s v="7503020596957"/>
    <s v="Shot Shumatsu Fun Hombre - DUSA"/>
    <s v="CONSUMIBLE PROPIO"/>
    <s v="DUSA"/>
    <n v="1"/>
    <n v="172.41"/>
  </r>
  <r>
    <x v="11"/>
    <s v="16/01/2026"/>
    <s v="OSCAR ANTONIO L CEL"/>
    <s v="7503013378690"/>
    <s v="Shumatsu 3 pzas - DUSA"/>
    <s v="CONSUMIBLE PROPIO"/>
    <s v="DUSA"/>
    <n v="2"/>
    <n v="1155.18"/>
  </r>
  <r>
    <x v="11"/>
    <s v="16/01/2026"/>
    <s v="OSCAR ANTONIO L CEL"/>
    <s v="7503032300443"/>
    <s v="Zoe bala vibradora RETAIL - CXO"/>
    <s v="JUGUETE PROPIO"/>
    <s v="CXO"/>
    <n v="2"/>
    <n v="310.33999999999997"/>
  </r>
  <r>
    <x v="11"/>
    <s v="17/01/2026"/>
    <s v="OSCAR ANTONIO L CEL"/>
    <s v="7503043917081"/>
    <s v="Blade rosa anillo vibrador - CXO"/>
    <s v="JUGUETE PROPIO"/>
    <s v="CXO"/>
    <n v="1"/>
    <n v="81.900000000000006"/>
  </r>
  <r>
    <x v="11"/>
    <s v="17/01/2026"/>
    <s v="OSCAR ANTONIO L CEL"/>
    <s v="7503050524388"/>
    <s v="Cuerda shibari negra 10mts - CXO"/>
    <s v="JUGUETE PROPIO"/>
    <s v="CXO"/>
    <n v="1"/>
    <n v="379.31"/>
  </r>
  <r>
    <x v="11"/>
    <s v="17/01/2026"/>
    <s v="OSCAR ANTONIO L CEL"/>
    <s v="7503030220044"/>
    <s v="Dados con posiciones 2 piezas - CXO"/>
    <s v="JUGUETE PROPIO"/>
    <s v="CXO"/>
    <n v="1"/>
    <n v="77.59"/>
  </r>
  <r>
    <x v="11"/>
    <s v="17/01/2026"/>
    <s v="OSCAR ANTONIO L CEL"/>
    <s v="7503024256192"/>
    <s v="Shot Shumatsu Fun Mujer - DUSA"/>
    <s v="CONSUMIBLE PROPIO"/>
    <s v="DUSA"/>
    <n v="1"/>
    <n v="172.41"/>
  </r>
  <r>
    <x v="11"/>
    <s v="17/01/2026"/>
    <s v="OSCAR ANTONIO L CEL"/>
    <s v="7503013378690"/>
    <s v="Shumatsu 3 pzas - DUSA"/>
    <s v="CONSUMIBLE PROPIO"/>
    <s v="DUSA"/>
    <n v="1"/>
    <n v="577.59"/>
  </r>
  <r>
    <x v="11"/>
    <s v="17/01/2026"/>
    <s v="OSCAR ANTONIO L CEL"/>
    <s v="7503010217046"/>
    <s v="Vela para masaje bear - DUSA"/>
    <s v="CONSUMIBLE PROPIO"/>
    <s v="DUSA"/>
    <n v="1"/>
    <n v="310.33999999999997"/>
  </r>
  <r>
    <x v="11"/>
    <s v="18/01/2026"/>
    <s v="OSCAR ANTONIO L CEL"/>
    <s v="7503030220044"/>
    <s v="Dados con posiciones 2 piezas - CXO"/>
    <s v="JUGUETE PROPIO"/>
    <s v="CXO"/>
    <n v="1"/>
    <n v="77.59"/>
  </r>
  <r>
    <x v="11"/>
    <s v="18/01/2026"/>
    <s v="OSCAR ANTONIO L CEL"/>
    <s v="75037420"/>
    <s v="Dulce Estimulante Sexual Sabor Menta 2 piezas - SXO"/>
    <s v="CONSUMIBLE"/>
    <s v="SXO"/>
    <n v="1"/>
    <n v="120.69"/>
  </r>
  <r>
    <x v="11"/>
    <s v="18/01/2026"/>
    <s v="OSCAR ANTONIO L CEL"/>
    <s v="FM1001"/>
    <s v="FEROMONAS DIAMANTE CONCENTRADO MUJER"/>
    <s v="CONSUMIBLE"/>
    <s v="DIAMANTE"/>
    <n v="1"/>
    <n v="413.79"/>
  </r>
  <r>
    <x v="11"/>
    <s v="18/01/2026"/>
    <s v="OSCAR ANTONIO L CEL"/>
    <s v="7503032300993"/>
    <s v="Liquid Love Pleasure 30ml - DUSA"/>
    <s v="CONSUMIBLE PROPIO"/>
    <s v="DUSA"/>
    <n v="1"/>
    <n v="301.72000000000003"/>
  </r>
  <r>
    <x v="11"/>
    <s v="18/01/2026"/>
    <s v="OSCAR ANTONIO L CEL"/>
    <s v="75078737"/>
    <s v="Mini Kit Dulces 2 piezas - SXO"/>
    <s v="CONSUMIBLE"/>
    <s v="SXO"/>
    <n v="1"/>
    <n v="120.69"/>
  </r>
  <r>
    <x v="11"/>
    <s v="18/01/2026"/>
    <s v="OSCAR ANTONIO L CEL"/>
    <s v="7503020596957"/>
    <s v="Shot Shumatsu Fun Hombre - DUSA"/>
    <s v="CONSUMIBLE PROPIO"/>
    <s v="DUSA"/>
    <n v="1"/>
    <n v="172.41"/>
  </r>
  <r>
    <x v="11"/>
    <s v="18/01/2026"/>
    <s v="OSCAR ANTONIO L CEL"/>
    <s v="7503024256192"/>
    <s v="Shot Shumatsu Fun Mujer - DUSA"/>
    <s v="CONSUMIBLE PROPIO"/>
    <s v="DUSA"/>
    <n v="1"/>
    <n v="172.41"/>
  </r>
  <r>
    <x v="12"/>
    <s v="12/01/2026"/>
    <s v="JESáS ULISES PEREZ VARGAS"/>
    <s v="7503043917005"/>
    <s v="Liquid Love Clear 30ml - DUSA"/>
    <s v="CONSUMIBLE PROPIO"/>
    <s v="DUSA"/>
    <n v="1"/>
    <n v="301.72000000000003"/>
  </r>
  <r>
    <x v="12"/>
    <s v="12/01/2026"/>
    <s v="JESáS ULISES PEREZ VARGAS"/>
    <s v="7503013378010"/>
    <s v="Rigidex 2 pzas - DUSA"/>
    <s v="CONSUMIBLE PROPIO"/>
    <s v="DUSA"/>
    <n v="1"/>
    <n v="431.03"/>
  </r>
  <r>
    <x v="12"/>
    <s v="13/01/2026"/>
    <s v="ANGEL DANILO RODRIGUEZ LOPEZ"/>
    <s v="S146 AAT1002"/>
    <s v="Bomba para Pene Automatica - S146 AAT1002"/>
    <s v="JUGUETE PROPIO"/>
    <s v="CXO"/>
    <n v="1"/>
    <n v="1551.72"/>
  </r>
  <r>
    <x v="12"/>
    <s v="13/01/2026"/>
    <s v="ANGEL DANILO RODRIGUEZ LOPEZ"/>
    <s v="7503050226141"/>
    <s v="Conjunto Aitana - OLA MOU"/>
    <s v="LENCERIA"/>
    <s v="OLA MOU"/>
    <n v="1"/>
    <n v="431.03"/>
  </r>
  <r>
    <x v="12"/>
    <s v="13/01/2026"/>
    <s v="ANGEL DANILO RODRIGUEZ LOPEZ"/>
    <s v="7503043917005"/>
    <s v="Liquid Love Clear 30ml - DUSA"/>
    <s v="CONSUMIBLE PROPIO"/>
    <s v="DUSA"/>
    <n v="2"/>
    <n v="603.44000000000005"/>
  </r>
  <r>
    <x v="12"/>
    <s v="13/01/2026"/>
    <s v="ANGEL DANILO RODRIGUEZ LOPEZ"/>
    <s v="6959633183120"/>
    <s v="Masturbador Hedy X Speed – SVAKOM"/>
    <s v="JUGUETE"/>
    <s v="SVAKOM"/>
    <n v="1"/>
    <n v="181.03"/>
  </r>
  <r>
    <x v="12"/>
    <s v="13/01/2026"/>
    <s v="ANGEL DANILO RODRIGUEZ LOPEZ"/>
    <s v="7502235091615"/>
    <s v="Miel Estimulante Mujer 18ml"/>
    <s v="CONSUMIBLE"/>
    <s v="SXO"/>
    <n v="1"/>
    <n v="301.72000000000003"/>
  </r>
  <r>
    <x v="12"/>
    <s v="13/01/2026"/>
    <s v="ANGEL DANILO RODRIGUEZ LOPEZ"/>
    <s v="7503023462914"/>
    <s v="ORAL SEX CREAM´S LIPS NUT 30 ML"/>
    <s v="CONSUMIBLE"/>
    <s v="FEEL LOVE"/>
    <n v="1"/>
    <n v="310.35000000000002"/>
  </r>
  <r>
    <x v="12"/>
    <s v="13/01/2026"/>
    <s v="ANGEL DANILO RODRIGUEZ LOPEZ"/>
    <s v="7503023462891"/>
    <s v="ORAL SEX Exotic Nut 30ml - DIAMANTE"/>
    <s v="CONSUMIBLE"/>
    <s v="DIAMANTE"/>
    <n v="1"/>
    <n v="310.33999999999997"/>
  </r>
  <r>
    <x v="12"/>
    <s v="13/01/2026"/>
    <s v="ANGEL DANILO RODRIGUEZ LOPEZ"/>
    <s v="7503050524241"/>
    <s v="Orgasmik 30ml - DUSA"/>
    <s v="CONSUMIBLE PROPIO"/>
    <s v="DUSA"/>
    <n v="3"/>
    <n v="1293.0899999999999"/>
  </r>
  <r>
    <x v="12"/>
    <s v="13/01/2026"/>
    <s v="ANGEL DANILO RODRIGUEZ LOPEZ"/>
    <s v="7503032300443"/>
    <s v="Zoe bala vibradora RETAIL - CXO"/>
    <s v="JUGUETE PROPIO"/>
    <s v="CXO"/>
    <n v="1"/>
    <n v="155.16999999999999"/>
  </r>
  <r>
    <x v="12"/>
    <s v="14/01/2026"/>
    <s v="ALFONSO  M CARBALLAR"/>
    <s v="7503013378652"/>
    <s v="Liquid Love Backdoor 100ml - DUSA"/>
    <s v="CONSUMIBLE PROPIO"/>
    <s v="DUSA"/>
    <n v="1"/>
    <n v="1077.5899999999999"/>
  </r>
  <r>
    <x v="12"/>
    <s v="14/01/2026"/>
    <s v="ALFONSO  M CARBALLAR"/>
    <s v="7503043917005"/>
    <s v="Liquid Love Clear 30ml - DUSA"/>
    <s v="CONSUMIBLE PROPIO"/>
    <s v="DUSA"/>
    <n v="1"/>
    <n v="301.72000000000003"/>
  </r>
  <r>
    <x v="12"/>
    <s v="14/01/2026"/>
    <s v="ALFONSO  M CARBALLAR"/>
    <s v="7503050524241"/>
    <s v="Orgasmik 30ml - DUSA"/>
    <s v="CONSUMIBLE PROPIO"/>
    <s v="DUSA"/>
    <n v="1"/>
    <n v="431.03"/>
  </r>
  <r>
    <x v="12"/>
    <s v="14/01/2026"/>
    <s v="ALFONSO  M CARBALLAR"/>
    <s v="7503013378010"/>
    <s v="Rigidex 2 pzas - DUSA"/>
    <s v="CONSUMIBLE PROPIO"/>
    <s v="DUSA"/>
    <n v="3"/>
    <n v="1293.0899999999999"/>
  </r>
  <r>
    <x v="12"/>
    <s v="14/01/2026"/>
    <s v="ALFONSO  M CARBALLAR"/>
    <s v="7503020596957"/>
    <s v="Shot Shumatsu Fun Hombre - DUSA"/>
    <s v="CONSUMIBLE PROPIO"/>
    <s v="DUSA"/>
    <n v="1"/>
    <n v="172.41"/>
  </r>
  <r>
    <x v="12"/>
    <s v="14/01/2026"/>
    <s v="ALFONSO  M CARBALLAR"/>
    <s v="7503032300443"/>
    <s v="Zoe bala vibradora RETAIL - CXO"/>
    <s v="JUGUETE PROPIO"/>
    <s v="CXO"/>
    <n v="1"/>
    <n v="155.16999999999999"/>
  </r>
  <r>
    <x v="12"/>
    <s v="15/01/2026"/>
    <s v="ANGEL DANILO RODRIGUEZ LOPEZ"/>
    <s v="7500464543059"/>
    <s v="Dildo Realista con Ventosa 15.5cms Domi CXO"/>
    <s v="JUGUETE PROPIO"/>
    <s v="CXO"/>
    <n v="1"/>
    <n v="818.97"/>
  </r>
  <r>
    <x v="12"/>
    <s v="15/01/2026"/>
    <s v="ANGEL DANILO RODRIGUEZ LOPEZ"/>
    <s v="7503024256635"/>
    <s v="Olive  6.8&quot; rosa - CXO"/>
    <s v="JUGUETE PROPIO"/>
    <s v="CXO"/>
    <n v="1"/>
    <n v="603.45000000000005"/>
  </r>
  <r>
    <x v="12"/>
    <s v="15/01/2026"/>
    <s v="ANGEL DANILO RODRIGUEZ LOPEZ"/>
    <s v="7503013378010"/>
    <s v="Rigidex 2 pzas - DUSA"/>
    <s v="CONSUMIBLE PROPIO"/>
    <s v="DUSA"/>
    <n v="2"/>
    <n v="862.06"/>
  </r>
  <r>
    <x v="12"/>
    <s v="15/01/2026"/>
    <s v="ANGEL DANILO RODRIGUEZ LOPEZ"/>
    <s v="CBD"/>
    <s v="SUNNY SIDE UP CBD HIPOALERGENICO 10ml"/>
    <s v="CONSUMIBLE"/>
    <s v="SUNNY SIDE UP"/>
    <n v="1"/>
    <n v="301.72000000000003"/>
  </r>
  <r>
    <x v="12"/>
    <s v="15/01/2026"/>
    <s v="ANGEL DANILO RODRIGUEZ LOPEZ"/>
    <s v="6959633104668"/>
    <s v="Vibrador Ava Neo Rosa Durazno - SVAKOM"/>
    <s v="JUGUETE"/>
    <s v="SVAKOM"/>
    <n v="1"/>
    <n v="1810.34"/>
  </r>
  <r>
    <x v="12"/>
    <s v="16/01/2026"/>
    <s v="ANGEL DANILO RODRIGUEZ LOPEZ"/>
    <s v="7503013378409"/>
    <s v="Anillo de Acero Grueso - CXO"/>
    <s v="JUGUETE PROPIO"/>
    <s v="CXO"/>
    <n v="1"/>
    <n v="474.14"/>
  </r>
  <r>
    <x v="12"/>
    <s v="16/01/2026"/>
    <s v="ANGEL DANILO RODRIGUEZ LOPEZ"/>
    <s v="7503014914002"/>
    <s v="CAPSULAS MULTIORGASMICO AMO O-GEN"/>
    <s v="CONSUMIBLE"/>
    <s v="POWER MAN"/>
    <n v="1"/>
    <n v="431.04"/>
  </r>
  <r>
    <x v="12"/>
    <s v="16/01/2026"/>
    <s v="ANGEL DANILO RODRIGUEZ LOPEZ"/>
    <s v="7503043917012"/>
    <s v="Liquid Love Backdoor 30ml - DUSA"/>
    <s v="CONSUMIBLE PROPIO"/>
    <s v="DUSA"/>
    <n v="1"/>
    <n v="301.72000000000003"/>
  </r>
  <r>
    <x v="12"/>
    <s v="16/01/2026"/>
    <s v="ANGEL DANILO RODRIGUEZ LOPEZ"/>
    <s v="7503043917005"/>
    <s v="Liquid Love Clear 30ml - DUSA"/>
    <s v="CONSUMIBLE PROPIO"/>
    <s v="DUSA"/>
    <n v="1"/>
    <n v="301.72000000000003"/>
  </r>
  <r>
    <x v="12"/>
    <s v="16/01/2026"/>
    <s v="ANGEL DANILO RODRIGUEZ LOPEZ"/>
    <s v="7503023462907"/>
    <s v="ORAL SEX Moka 30ml  - DIAMANTE"/>
    <s v="CONSUMIBLE"/>
    <s v="DIAMANTE"/>
    <n v="1"/>
    <n v="310.35000000000002"/>
  </r>
  <r>
    <x v="12"/>
    <s v="16/01/2026"/>
    <s v="ANGEL DANILO RODRIGUEZ LOPEZ"/>
    <s v="7503050226162"/>
    <s v="Plug Anal con Vibración y Control Roberto - CXO"/>
    <s v="JUGUETE PROPIO"/>
    <s v="CXO"/>
    <n v="1"/>
    <n v="1293.0999999999999"/>
  </r>
  <r>
    <x v="12"/>
    <s v="16/01/2026"/>
    <s v="ANGEL DANILO RODRIGUEZ LOPEZ"/>
    <s v="7503013378010"/>
    <s v="Rigidex 2 pzas - DUSA"/>
    <s v="CONSUMIBLE PROPIO"/>
    <s v="DUSA"/>
    <n v="1"/>
    <n v="431.03"/>
  </r>
  <r>
    <x v="12"/>
    <s v="16/01/2026"/>
    <s v="ANGEL DANILO RODRIGUEZ LOPEZ"/>
    <s v="7503024256192"/>
    <s v="Shot Shumatsu Fun Mujer - DUSA"/>
    <s v="CONSUMIBLE PROPIO"/>
    <s v="DUSA"/>
    <n v="1"/>
    <n v="172.41"/>
  </r>
  <r>
    <x v="12"/>
    <s v="16/01/2026"/>
    <s v="ANGEL DANILO RODRIGUEZ LOPEZ"/>
    <s v="7503013378690"/>
    <s v="Shumatsu 3 pzas - DUSA"/>
    <s v="CONSUMIBLE PROPIO"/>
    <s v="DUSA"/>
    <n v="1"/>
    <n v="577.59"/>
  </r>
  <r>
    <x v="12"/>
    <s v="17/01/2026"/>
    <s v="ALFONSO  M CARBALLAR"/>
    <s v="7503043917081"/>
    <s v="Blade rosa anillo vibrador - CXO"/>
    <s v="JUGUETE PROPIO"/>
    <s v="CXO"/>
    <n v="1"/>
    <n v="81.900000000000006"/>
  </r>
  <r>
    <x v="12"/>
    <s v="17/01/2026"/>
    <s v="ALFONSO  M CARBALLAR"/>
    <s v="7503043917012"/>
    <s v="Liquid Love Backdoor 30ml - DUSA"/>
    <s v="CONSUMIBLE PROPIO"/>
    <s v="DUSA"/>
    <n v="1"/>
    <n v="301.72000000000003"/>
  </r>
  <r>
    <x v="12"/>
    <s v="17/01/2026"/>
    <s v="ALFONSO  M CARBALLAR"/>
    <s v="7503043917005"/>
    <s v="Liquid Love Clear 30ml - DUSA"/>
    <s v="CONSUMIBLE PROPIO"/>
    <s v="DUSA"/>
    <n v="1"/>
    <n v="301.72000000000003"/>
  </r>
  <r>
    <x v="12"/>
    <s v="17/01/2026"/>
    <s v="ALFONSO  M CARBALLAR"/>
    <s v="CZC-ZDB-004"/>
    <s v="Multiorgasmico con Lengua giratoria - CXO"/>
    <s v="JUGUETE PROPIO"/>
    <s v="CXO"/>
    <n v="1"/>
    <n v="2379.31"/>
  </r>
  <r>
    <x v="12"/>
    <s v="17/01/2026"/>
    <s v="ALFONSO  M CARBALLAR"/>
    <s v="6970556032074"/>
    <s v="Plug Anal con 10 modos de Vibracion de 11.5cm  Ramiro- CXO"/>
    <s v="JUGUETE PROPIO"/>
    <s v="CXO"/>
    <n v="1"/>
    <n v="1034.48"/>
  </r>
  <r>
    <x v="12"/>
    <s v="17/01/2026"/>
    <s v="ALFONSO  M CARBALLAR"/>
    <s v="7503050524258"/>
    <s v="Sensicool 30ml - DUSA"/>
    <s v="CONSUMIBLE PROPIO"/>
    <s v="DUSA"/>
    <n v="1"/>
    <n v="431.03"/>
  </r>
  <r>
    <x v="12"/>
    <s v="17/01/2026"/>
    <s v="ALFONSO  M CARBALLAR"/>
    <s v="7503020596957"/>
    <s v="Shot Shumatsu Fun Hombre - DUSA"/>
    <s v="CONSUMIBLE PROPIO"/>
    <s v="DUSA"/>
    <n v="1"/>
    <n v="172.41"/>
  </r>
  <r>
    <x v="12"/>
    <s v="17/01/2026"/>
    <s v="ALFONSO  M CARBALLAR"/>
    <s v="7503013378690"/>
    <s v="Shumatsu 3 pzas - DUSA"/>
    <s v="CONSUMIBLE PROPIO"/>
    <s v="DUSA"/>
    <n v="1"/>
    <n v="577.59"/>
  </r>
  <r>
    <x v="13"/>
    <s v="12/01/2026"/>
    <s v="GERMAN  GUZMAN AGUIRRE"/>
    <s v="7503014914002"/>
    <s v="CAPSULAS MULTIORGASMICO AMO O-GEN"/>
    <s v="CONSUMIBLE"/>
    <s v="POWER MAN"/>
    <n v="1"/>
    <n v="431.04"/>
  </r>
  <r>
    <x v="13"/>
    <s v="12/01/2026"/>
    <s v="GERMAN  GUZMAN AGUIRRE"/>
    <s v="7503032300993"/>
    <s v="Liquid Love Pleasure 30ml - DUSA"/>
    <s v="CONSUMIBLE PROPIO"/>
    <s v="DUSA"/>
    <n v="1"/>
    <n v="301.72000000000003"/>
  </r>
  <r>
    <x v="13"/>
    <s v="12/01/2026"/>
    <s v="GERMAN  GUZMAN AGUIRRE"/>
    <s v="SE020"/>
    <s v="Masturbador 2 en 1 Vagina y Boca - CXO"/>
    <s v="JUGUETE PROPIO"/>
    <s v="CXO"/>
    <n v="1"/>
    <n v="1293.0999999999999"/>
  </r>
  <r>
    <x v="13"/>
    <s v="12/01/2026"/>
    <s v="GERMAN  GUZMAN AGUIRRE"/>
    <s v="4251460601283"/>
    <s v="Romp Jazz"/>
    <s v="JUGUETE"/>
    <s v="ROMP"/>
    <n v="1"/>
    <n v="2155.17"/>
  </r>
  <r>
    <x v="13"/>
    <s v="12/01/2026"/>
    <s v="GERMAN  GUZMAN AGUIRRE"/>
    <s v="6959633127964"/>
    <s v="Sam Neo - SVAKOM"/>
    <s v="JUGUETE"/>
    <s v="SVAKOM"/>
    <n v="1"/>
    <n v="3017.24"/>
  </r>
  <r>
    <x v="13"/>
    <s v="12/01/2026"/>
    <s v="GERMAN  GUZMAN AGUIRRE"/>
    <s v="7503020596957"/>
    <s v="Shot Shumatsu Fun Hombre - DUSA"/>
    <s v="CONSUMIBLE PROPIO"/>
    <s v="DUSA"/>
    <n v="1"/>
    <n v="172.41"/>
  </r>
  <r>
    <x v="13"/>
    <s v="12/01/2026"/>
    <s v="GERMAN  GUZMAN AGUIRRE"/>
    <s v="7503020596063"/>
    <s v="Stallion Regenerador - DUSA"/>
    <s v="CONSUMIBLE PROPIO"/>
    <s v="DUSA"/>
    <n v="1"/>
    <n v="1293.0999999999999"/>
  </r>
  <r>
    <x v="13"/>
    <s v="13/01/2026"/>
    <s v="BERTHA SOFIA O BERMEJO"/>
    <s v="7503013378102"/>
    <s v="Anastasia Gema de Colores M - CXO"/>
    <s v="JUGUETE PROPIO"/>
    <s v="CXO"/>
    <n v="1"/>
    <n v="456.9"/>
  </r>
  <r>
    <x v="13"/>
    <s v="13/01/2026"/>
    <s v="BERTHA SOFIA O BERMEJO"/>
    <s v="7503032300221"/>
    <s v="Cola de Zorro Arcoiris 38cm M - CXO"/>
    <s v="JUGUETE PROPIO"/>
    <s v="CXO"/>
    <n v="1"/>
    <n v="301.72000000000003"/>
  </r>
  <r>
    <x v="13"/>
    <s v="13/01/2026"/>
    <s v="BERTHA SOFIA O BERMEJO"/>
    <s v="7503030103028"/>
    <s v="Huevito vibrador con control a distancia Daniela - CXO"/>
    <s v="JUGUETE PROPIO"/>
    <s v="CXO"/>
    <n v="1"/>
    <n v="1500"/>
  </r>
  <r>
    <x v="13"/>
    <s v="13/01/2026"/>
    <s v="BERTHA SOFIA O BERMEJO"/>
    <s v="7503032300382"/>
    <s v="Mon - CXO"/>
    <s v="JUGUETE PROPIO"/>
    <s v="CXO"/>
    <n v="1"/>
    <n v="517.24"/>
  </r>
  <r>
    <x v="13"/>
    <s v="13/01/2026"/>
    <s v="BERTHA SOFIA O BERMEJO"/>
    <s v="7350075026157"/>
    <s v="Sona cerise - LELO"/>
    <s v="JUGUETE"/>
    <s v="LELO"/>
    <n v="1"/>
    <n v="2068.9699999999998"/>
  </r>
  <r>
    <x v="13"/>
    <s v="14/01/2026"/>
    <s v="BERTHA SOFIA O BERMEJO"/>
    <s v="7503013378102"/>
    <s v="Anastasia Gema de Colores M - CXO"/>
    <s v="JUGUETE PROPIO"/>
    <s v="CXO"/>
    <n v="1"/>
    <n v="456.9"/>
  </r>
  <r>
    <x v="13"/>
    <s v="14/01/2026"/>
    <s v="BERTHA SOFIA O BERMEJO"/>
    <s v="S146 AAT1002"/>
    <s v="Bomba para Pene Automatica - S146 AAT1002"/>
    <s v="JUGUETE PROPIO"/>
    <s v="CXO"/>
    <n v="1"/>
    <n v="1551.72"/>
  </r>
  <r>
    <x v="13"/>
    <s v="14/01/2026"/>
    <s v="BERTHA SOFIA O BERMEJO"/>
    <s v="7503030118033"/>
    <s v="Kit vibrador + estimulante para clitoris Lau - CXO"/>
    <s v="JUGUETE PROPIO"/>
    <s v="CXO"/>
    <n v="1"/>
    <n v="1706.9"/>
  </r>
  <r>
    <x v="13"/>
    <s v="14/01/2026"/>
    <s v="BERTHA SOFIA O BERMEJO"/>
    <s v="7503043917012"/>
    <s v="Liquid Love Backdoor 30ml - DUSA"/>
    <s v="CONSUMIBLE PROPIO"/>
    <s v="DUSA"/>
    <n v="1"/>
    <n v="301.72000000000003"/>
  </r>
  <r>
    <x v="13"/>
    <s v="14/01/2026"/>
    <s v="BERTHA SOFIA O BERMEJO"/>
    <s v="7503032300993"/>
    <s v="Liquid Love Pleasure 30ml - DUSA"/>
    <s v="CONSUMIBLE PROPIO"/>
    <s v="DUSA"/>
    <n v="1"/>
    <n v="301.72000000000003"/>
  </r>
  <r>
    <x v="13"/>
    <s v="14/01/2026"/>
    <s v="BERTHA SOFIA O BERMEJO"/>
    <s v="7503013378010"/>
    <s v="Rigidex 2 pzas - DUSA"/>
    <s v="CONSUMIBLE PROPIO"/>
    <s v="DUSA"/>
    <n v="1"/>
    <n v="431.03"/>
  </r>
  <r>
    <x v="13"/>
    <s v="14/01/2026"/>
    <s v="BERTHA SOFIA O BERMEJO"/>
    <s v="7503024256192"/>
    <s v="Shot Shumatsu Fun Mujer - DUSA"/>
    <s v="CONSUMIBLE PROPIO"/>
    <s v="DUSA"/>
    <n v="1"/>
    <n v="172.41"/>
  </r>
  <r>
    <x v="13"/>
    <s v="14/01/2026"/>
    <s v="BERTHA SOFIA O BERMEJO"/>
    <s v="4630017971008"/>
    <s v="Titan gel original - TITAN"/>
    <s v="CONSUMIBLE"/>
    <s v="TITAN"/>
    <n v="1"/>
    <n v="517.24"/>
  </r>
  <r>
    <x v="13"/>
    <s v="14/01/2026"/>
    <s v="BERTHA SOFIA O BERMEJO"/>
    <s v="7503020105074"/>
    <s v="Vibrador para parejas con doble estimulación Hanna -  CXO"/>
    <s v="JUGUETE PROPIO"/>
    <s v="CXO"/>
    <n v="1"/>
    <n v="2163.79"/>
  </r>
  <r>
    <x v="13"/>
    <s v="15/01/2026"/>
    <s v="BERTHA SOFIA O BERMEJO"/>
    <s v="7503013378393"/>
    <s v="Anillo de Acero con bola - CXO"/>
    <s v="JUGUETE PROPIO"/>
    <s v="CXO"/>
    <n v="1"/>
    <n v="137.93"/>
  </r>
  <r>
    <x v="13"/>
    <s v="15/01/2026"/>
    <s v="BERTHA SOFIA O BERMEJO"/>
    <s v="FM1001"/>
    <s v="FEROMONAS DIAMANTE CONCENTRADO MUJER"/>
    <s v="CONSUMIBLE"/>
    <s v="DIAMANTE"/>
    <n v="1"/>
    <n v="413.79"/>
  </r>
  <r>
    <x v="13"/>
    <s v="15/01/2026"/>
    <s v="BERTHA SOFIA O BERMEJO"/>
    <s v="7503013378126"/>
    <s v="Lubricante Body Surf Frio Natural DUSA 60ml"/>
    <s v="CONSUMIBLE PROPIO"/>
    <s v="DUSA"/>
    <n v="1"/>
    <n v="387.93"/>
  </r>
  <r>
    <x v="13"/>
    <s v="15/01/2026"/>
    <s v="BERTHA SOFIA O BERMEJO"/>
    <s v="7503050524241"/>
    <s v="Orgasmik 30ml - DUSA"/>
    <s v="CONSUMIBLE PROPIO"/>
    <s v="DUSA"/>
    <n v="1"/>
    <n v="431.03"/>
  </r>
  <r>
    <x v="13"/>
    <s v="15/01/2026"/>
    <s v="BERTHA SOFIA O BERMEJO"/>
    <s v="7503050226162"/>
    <s v="Plug Anal con Vibración y Control Roberto - CXO"/>
    <s v="JUGUETE PROPIO"/>
    <s v="CXO"/>
    <n v="1"/>
    <n v="1293.0999999999999"/>
  </r>
  <r>
    <x v="13"/>
    <s v="15/01/2026"/>
    <s v="BERTHA SOFIA O BERMEJO"/>
    <s v="7350075026157"/>
    <s v="Sona cerise - LELO"/>
    <s v="JUGUETE"/>
    <s v="LELO"/>
    <n v="1"/>
    <n v="2068.9699999999998"/>
  </r>
  <r>
    <x v="13"/>
    <s v="15/01/2026"/>
    <s v="BERTHA SOFIA O BERMEJO"/>
    <s v="7503032300443"/>
    <s v="Zoe bala vibradora RETAIL - CXO"/>
    <s v="JUGUETE PROPIO"/>
    <s v="CXO"/>
    <n v="1"/>
    <n v="155.16999999999999"/>
  </r>
  <r>
    <x v="13"/>
    <s v="16/01/2026"/>
    <s v="GERMAN  GUZMAN AGUIRRE"/>
    <s v="7503013378102"/>
    <s v="Anastasia Gema de Colores M - CXO"/>
    <s v="JUGUETE PROPIO"/>
    <s v="CXO"/>
    <n v="1"/>
    <n v="456.9"/>
  </r>
  <r>
    <x v="13"/>
    <s v="16/01/2026"/>
    <s v="GERMAN  GUZMAN AGUIRRE"/>
    <s v="7502214980053"/>
    <s v="CONDON TRUST NATURAL CON 3 MAQ - PRUDENCE"/>
    <s v="CONSUMIBLE"/>
    <s v="PRUDENCE"/>
    <n v="2"/>
    <n v="155.18"/>
  </r>
  <r>
    <x v="13"/>
    <s v="16/01/2026"/>
    <s v="GERMAN  GUZMAN AGUIRRE"/>
    <s v="7503032300627"/>
    <s v="Kevin - CXO"/>
    <s v="JUGUETE PROPIO"/>
    <s v="CXO"/>
    <n v="1"/>
    <n v="775.86"/>
  </r>
  <r>
    <x v="13"/>
    <s v="16/01/2026"/>
    <s v="GERMAN  GUZMAN AGUIRRE"/>
    <s v="7503032300993"/>
    <s v="Liquid Love Pleasure 30ml - DUSA"/>
    <s v="CONSUMIBLE PROPIO"/>
    <s v="DUSA"/>
    <n v="1"/>
    <n v="301.72000000000003"/>
  </r>
  <r>
    <x v="13"/>
    <s v="16/01/2026"/>
    <s v="GERMAN  GUZMAN AGUIRRE"/>
    <s v="7503050524241"/>
    <s v="Orgasmik 30ml - DUSA"/>
    <s v="CONSUMIBLE PROPIO"/>
    <s v="DUSA"/>
    <n v="1"/>
    <n v="431.03"/>
  </r>
  <r>
    <x v="13"/>
    <s v="16/01/2026"/>
    <s v="GERMAN  GUZMAN AGUIRRE"/>
    <s v="7503013378010"/>
    <s v="Rigidex 2 pzas - DUSA"/>
    <s v="CONSUMIBLE PROPIO"/>
    <s v="DUSA"/>
    <n v="1"/>
    <n v="431.03"/>
  </r>
  <r>
    <x v="13"/>
    <s v="17/01/2026"/>
    <s v="BERTHA SOFIA O BERMEJO"/>
    <s v="7503043917081"/>
    <s v="Blade rosa anillo vibrador - CXO"/>
    <s v="JUGUETE PROPIO"/>
    <s v="CXO"/>
    <n v="1"/>
    <n v="81.900000000000006"/>
  </r>
  <r>
    <x v="13"/>
    <s v="17/01/2026"/>
    <s v="BERTHA SOFIA O BERMEJO"/>
    <s v="7503032300993"/>
    <s v="Liquid Love Pleasure 30ml - DUSA"/>
    <s v="CONSUMIBLE PROPIO"/>
    <s v="DUSA"/>
    <n v="1"/>
    <n v="301.72000000000003"/>
  </r>
  <r>
    <x v="13"/>
    <s v="17/01/2026"/>
    <s v="BERTHA SOFIA O BERMEJO"/>
    <s v="7503023462235"/>
    <s v="Lubricante Masaje Térmico Comestible Piña Colada FEEL LOVE 4 en 1 - 60ml"/>
    <s v="LUBRICANTE"/>
    <s v="FEEL LOVE"/>
    <n v="1"/>
    <n v="344.83"/>
  </r>
  <r>
    <x v="13"/>
    <s v="17/01/2026"/>
    <s v="BERTHA SOFIA O BERMEJO"/>
    <s v="7503020596957"/>
    <s v="Shot Shumatsu Fun Hombre - DUSA"/>
    <s v="CONSUMIBLE PROPIO"/>
    <s v="DUSA"/>
    <n v="1"/>
    <n v="172.41"/>
  </r>
  <r>
    <x v="13"/>
    <s v="17/01/2026"/>
    <s v="BERTHA SOFIA O BERMEJO"/>
    <s v="7503024256192"/>
    <s v="Shot Shumatsu Fun Mujer - DUSA"/>
    <s v="CONSUMIBLE PROPIO"/>
    <s v="DUSA"/>
    <n v="1"/>
    <n v="172.41"/>
  </r>
  <r>
    <x v="13"/>
    <s v="17/01/2026"/>
    <s v="BERTHA SOFIA O BERMEJO"/>
    <s v="7503013378690"/>
    <s v="Shumatsu 3 pzas - DUSA"/>
    <s v="CONSUMIBLE PROPIO"/>
    <s v="DUSA"/>
    <n v="1"/>
    <n v="577.59"/>
  </r>
  <r>
    <x v="13"/>
    <s v="18/01/2026"/>
    <s v="BERTHA SOFIA O BERMEJO"/>
    <s v="7503030211021"/>
    <s v="Anillo desechable para pene Donut - CXO"/>
    <s v="JUGUETE PROPIO"/>
    <s v="CXO"/>
    <n v="2"/>
    <n v="68.97"/>
  </r>
  <r>
    <x v="13"/>
    <s v="18/01/2026"/>
    <s v="BERTHA SOFIA O BERMEJO"/>
    <s v="7503014914002"/>
    <s v="CAPSULAS MULTIORGASMICO AMO O-GEN"/>
    <s v="CONSUMIBLE"/>
    <s v="POWER MAN"/>
    <n v="1"/>
    <n v="431.04"/>
  </r>
  <r>
    <x v="13"/>
    <s v="18/01/2026"/>
    <s v="BERTHA SOFIA O BERMEJO"/>
    <s v="7503013378492"/>
    <s v="Clean Whisper 120ml - DUSA"/>
    <s v="CONSUMIBLE PROPIO"/>
    <s v="DUSA"/>
    <n v="1"/>
    <n v="301.72000000000003"/>
  </r>
  <r>
    <x v="13"/>
    <s v="18/01/2026"/>
    <s v="BERTHA SOFIA O BERMEJO"/>
    <s v="7503032300993"/>
    <s v="Liquid Love Pleasure 30ml - DUSA"/>
    <s v="CONSUMIBLE PROPIO"/>
    <s v="DUSA"/>
    <n v="1"/>
    <n v="301.72000000000003"/>
  </r>
  <r>
    <x v="13"/>
    <s v="18/01/2026"/>
    <s v="BERTHA SOFIA O BERMEJO"/>
    <s v="7503013378126"/>
    <s v="Lubricante Body Surf Frio Natural DUSA 60ml"/>
    <s v="CONSUMIBLE PROPIO"/>
    <s v="DUSA"/>
    <n v="1"/>
    <n v="387.93"/>
  </r>
  <r>
    <x v="13"/>
    <s v="18/01/2026"/>
    <s v="BERTHA SOFIA O BERMEJO"/>
    <s v="7503013378799"/>
    <s v="Lubricante Body Surf Termico Citricos DUSA 60ml"/>
    <s v="CONSUMIBLE PROPIO"/>
    <s v="DUSA"/>
    <n v="1"/>
    <n v="387.93"/>
  </r>
  <r>
    <x v="13"/>
    <s v="18/01/2026"/>
    <s v="BERTHA SOFIA O BERMEJO"/>
    <s v="7503024256635"/>
    <s v="Olive  6.8&quot; rosa - CXO"/>
    <s v="JUGUETE PROPIO"/>
    <s v="CXO"/>
    <n v="1"/>
    <n v="603.45000000000005"/>
  </r>
  <r>
    <x v="13"/>
    <s v="18/01/2026"/>
    <s v="BERTHA SOFIA O BERMEJO"/>
    <s v="7503024256192"/>
    <s v="Shot Shumatsu Fun Mujer - DUSA"/>
    <s v="CONSUMIBLE PROPIO"/>
    <s v="DUSA"/>
    <n v="1"/>
    <n v="172.41"/>
  </r>
  <r>
    <x v="13"/>
    <s v="18/01/2026"/>
    <s v="BERTHA SOFIA O BERMEJO"/>
    <s v="7503030104190"/>
    <s v="Vibrador multiorgasmico con 10 modos de vibracion Norma - CXO"/>
    <s v="JUGUETE PROPIO"/>
    <s v="CXO"/>
    <n v="1"/>
    <n v="2396.5500000000002"/>
  </r>
  <r>
    <x v="14"/>
    <s v="13/01/2026"/>
    <s v="FATIMA CAROLINA  VALENCIA ENRIQUEZ"/>
    <s v="7503014914002"/>
    <s v="CAPSULAS MULTIORGASMICO AMO O-GEN"/>
    <s v="CONSUMIBLE"/>
    <s v="POWER MAN"/>
    <n v="1"/>
    <n v="431.04"/>
  </r>
  <r>
    <x v="14"/>
    <s v="13/01/2026"/>
    <s v="FATIMA CAROLINA  VALENCIA ENRIQUEZ"/>
    <s v="6959633103500"/>
    <s v="Chika multiorgasmico turqueza - SVAKOM"/>
    <s v="JUGUETE"/>
    <s v="SVAKOM"/>
    <n v="1"/>
    <n v="2155.17"/>
  </r>
  <r>
    <x v="14"/>
    <s v="13/01/2026"/>
    <s v="FATIMA CAROLINA  VALENCIA ENRIQUEZ"/>
    <s v="7503032300993"/>
    <s v="Liquid Love Pleasure 30ml - DUSA"/>
    <s v="CONSUMIBLE PROPIO"/>
    <s v="DUSA"/>
    <n v="1"/>
    <n v="301.72000000000003"/>
  </r>
  <r>
    <x v="14"/>
    <s v="13/01/2026"/>
    <s v="FATIMA CAROLINA  VALENCIA ENRIQUEZ"/>
    <s v="7503013378010"/>
    <s v="Rigidex 2 pzas - DUSA"/>
    <s v="CONSUMIBLE PROPIO"/>
    <s v="DUSA"/>
    <n v="1"/>
    <n v="431.03"/>
  </r>
  <r>
    <x v="14"/>
    <s v="13/01/2026"/>
    <s v="FATIMA CAROLINA  VALENCIA ENRIQUEZ"/>
    <s v="7503024256192"/>
    <s v="Shot Shumatsu Fun Mujer - DUSA"/>
    <s v="CONSUMIBLE PROPIO"/>
    <s v="DUSA"/>
    <n v="1"/>
    <n v="172.41"/>
  </r>
  <r>
    <x v="14"/>
    <s v="14/01/2026"/>
    <s v="FATIMA CAROLINA  VALENCIA ENRIQUEZ"/>
    <s v="7503020112070"/>
    <s v="Bala vibradora recargable Ely – CXO"/>
    <s v="JUGUETE PROPIO"/>
    <s v="CXO"/>
    <n v="1"/>
    <n v="793.1"/>
  </r>
  <r>
    <x v="14"/>
    <s v="14/01/2026"/>
    <s v="FATIMA CAROLINA  VALENCIA ENRIQUEZ"/>
    <s v="7503013378492"/>
    <s v="Clean Whisper 120ml - DUSA"/>
    <s v="CONSUMIBLE PROPIO"/>
    <s v="DUSA"/>
    <n v="2"/>
    <n v="603.44000000000005"/>
  </r>
  <r>
    <x v="14"/>
    <s v="14/01/2026"/>
    <s v="FATIMA CAROLINA  VALENCIA ENRIQUEZ"/>
    <s v="GWPS_BANANASHAKE_001"/>
    <s v="Lub de Regalo - Banana Shake"/>
    <s v="ACTIVACION"/>
    <s v="BANANA SHAKE"/>
    <n v="3"/>
    <n v="0.03"/>
  </r>
  <r>
    <x v="14"/>
    <s v="14/01/2026"/>
    <s v="FATIMA CAROLINA  VALENCIA ENRIQUEZ"/>
    <s v="7503013378980"/>
    <s v="Lubricante Body Surf Termico Chicle DUSA 60ml"/>
    <s v="CONSUMIBLE PROPIO"/>
    <s v="DUSA"/>
    <n v="1"/>
    <n v="387.93"/>
  </r>
  <r>
    <x v="14"/>
    <s v="14/01/2026"/>
    <s v="FATIMA CAROLINA  VALENCIA ENRIQUEZ"/>
    <s v="7503013378799"/>
    <s v="Lubricante Body Surf Termico Citricos DUSA 60ml"/>
    <s v="CONSUMIBLE PROPIO"/>
    <s v="DUSA"/>
    <n v="1"/>
    <n v="387.93"/>
  </r>
  <r>
    <x v="14"/>
    <s v="14/01/2026"/>
    <s v="FATIMA CAROLINA  VALENCIA ENRIQUEZ"/>
    <s v="7503013378010"/>
    <s v="Rigidex 2 pzas - DUSA"/>
    <s v="CONSUMIBLE PROPIO"/>
    <s v="DUSA"/>
    <n v="2"/>
    <n v="862.06"/>
  </r>
  <r>
    <x v="14"/>
    <s v="14/01/2026"/>
    <s v="FATIMA CAROLINA  VALENCIA ENRIQUEZ"/>
    <s v="4061504007359"/>
    <s v="Succionador Pingüino - Satisfayer"/>
    <s v="JUGUETE"/>
    <s v="SATISFAYER"/>
    <n v="1"/>
    <n v="1379.31"/>
  </r>
  <r>
    <x v="14"/>
    <s v="14/01/2026"/>
    <s v="FATIMA CAROLINA  VALENCIA ENRIQUEZ"/>
    <s v="LL-B2224"/>
    <s v="Vibrador Recargable con 10 modos Liry - CXO"/>
    <s v="JUGUETE PROPIO"/>
    <s v="CXO"/>
    <n v="1"/>
    <n v="1508.62"/>
  </r>
  <r>
    <x v="14"/>
    <s v="15/01/2026"/>
    <s v="FATIMA CAROLINA  VALENCIA ENRIQUEZ"/>
    <s v="7503026484678"/>
    <s v="Aceite térmico fresa 60ml - FEEL LOVE"/>
    <s v="CONSUMIBLE"/>
    <s v="FEEL LOVE"/>
    <n v="1"/>
    <n v="327.58999999999997"/>
  </r>
  <r>
    <x v="14"/>
    <s v="15/01/2026"/>
    <s v="FATIMA CAROLINA  VALENCIA ENRIQUEZ"/>
    <s v="6959633103500"/>
    <s v="Chika multiorgasmico turqueza - SVAKOM"/>
    <s v="JUGUETE"/>
    <s v="SVAKOM"/>
    <n v="1"/>
    <n v="2155.17"/>
  </r>
  <r>
    <x v="14"/>
    <s v="15/01/2026"/>
    <s v="FATIMA CAROLINA  VALENCIA ENRIQUEZ"/>
    <s v="ENFOLA0027719"/>
    <s v="Disfraz Enfermera - OLA MOU"/>
    <s v="LENCERIA"/>
    <s v="OLA MOU"/>
    <n v="1"/>
    <n v="508.62"/>
  </r>
  <r>
    <x v="14"/>
    <s v="15/01/2026"/>
    <s v="FATIMA CAROLINA  VALENCIA ENRIQUEZ"/>
    <s v="7503032300993"/>
    <s v="Liquid Love Pleasure 30ml - DUSA"/>
    <s v="CONSUMIBLE PROPIO"/>
    <s v="DUSA"/>
    <n v="1"/>
    <n v="301.72000000000003"/>
  </r>
  <r>
    <x v="14"/>
    <s v="15/01/2026"/>
    <s v="FATIMA CAROLINA  VALENCIA ENRIQUEZ"/>
    <s v="7503013378980"/>
    <s v="Lubricante Body Surf Termico Chicle DUSA 60ml"/>
    <s v="CONSUMIBLE PROPIO"/>
    <s v="DUSA"/>
    <n v="1"/>
    <n v="387.93"/>
  </r>
  <r>
    <x v="14"/>
    <s v="16/01/2026"/>
    <s v="FATIMA CAROLINA  VALENCIA ENRIQUEZ"/>
    <s v="FM1002"/>
    <s v="FEROMONAS DIAMANTE CONCENTRADO HOMBRE"/>
    <s v="CONSUMIBLE"/>
    <s v="DIAMANTE"/>
    <n v="1"/>
    <n v="413.79"/>
  </r>
  <r>
    <x v="14"/>
    <s v="16/01/2026"/>
    <s v="FATIMA CAROLINA  VALENCIA ENRIQUEZ"/>
    <s v="GWPS_BANANASHAKE_001"/>
    <s v="Lub de Regalo - Banana Shake"/>
    <s v="ACTIVACION"/>
    <s v="BANANA SHAKE"/>
    <n v="3"/>
    <n v="0.03"/>
  </r>
  <r>
    <x v="14"/>
    <s v="16/01/2026"/>
    <s v="FATIMA CAROLINA  VALENCIA ENRIQUEZ"/>
    <s v="7503013378799"/>
    <s v="Lubricante Body Surf Termico Citricos DUSA 60ml"/>
    <s v="CONSUMIBLE PROPIO"/>
    <s v="DUSA"/>
    <n v="1"/>
    <n v="387.93"/>
  </r>
  <r>
    <x v="14"/>
    <s v="16/01/2026"/>
    <s v="FATIMA CAROLINA  VALENCIA ENRIQUEZ"/>
    <s v="7503023462242"/>
    <s v="Lubricante Masaje Termico Comestible Uva Dulce FEEL LOVE 4 en 1 60ml"/>
    <s v="LUBRICANTE"/>
    <s v="FEEL LOVE"/>
    <n v="1"/>
    <n v="344.83"/>
  </r>
  <r>
    <x v="14"/>
    <s v="16/01/2026"/>
    <s v="FATIMA CAROLINA  VALENCIA ENRIQUEZ"/>
    <s v="7503050524241"/>
    <s v="Orgasmik 30ml - DUSA"/>
    <s v="CONSUMIBLE PROPIO"/>
    <s v="DUSA"/>
    <n v="1"/>
    <n v="431.03"/>
  </r>
  <r>
    <x v="14"/>
    <s v="16/01/2026"/>
    <s v="FATIMA CAROLINA  VALENCIA ENRIQUEZ"/>
    <s v="7503013378010"/>
    <s v="Rigidex 2 pzas - DUSA"/>
    <s v="CONSUMIBLE PROPIO"/>
    <s v="DUSA"/>
    <n v="1"/>
    <n v="431.03"/>
  </r>
  <r>
    <x v="14"/>
    <s v="17/01/2026"/>
    <s v="JESáS ULISES PEREZ VARGAS"/>
    <s v="7503030215199"/>
    <s v="Arnes para doble penetracion - CXO"/>
    <s v="JUGUETE PROPIO"/>
    <s v="CXO"/>
    <n v="1"/>
    <n v="1422.41"/>
  </r>
  <r>
    <x v="14"/>
    <s v="17/01/2026"/>
    <s v="JESáS ULISES PEREZ VARGAS"/>
    <s v="7503043917081"/>
    <s v="Blade rosa anillo vibrador - CXO"/>
    <s v="JUGUETE PROPIO"/>
    <s v="CXO"/>
    <n v="1"/>
    <n v="81.900000000000006"/>
  </r>
  <r>
    <x v="14"/>
    <s v="17/01/2026"/>
    <s v="JESáS ULISES PEREZ VARGAS"/>
    <s v="7503050226135"/>
    <s v="Body Julia - OLA MOU"/>
    <s v="LENCERIA"/>
    <s v="OLA MOU"/>
    <n v="1"/>
    <n v="517.24"/>
  </r>
  <r>
    <x v="14"/>
    <s v="17/01/2026"/>
    <s v="JESáS ULISES PEREZ VARGAS"/>
    <s v="7502214982811"/>
    <s v="Condones Mix Sabor y Aroma 5 pzs - PRUDENCE"/>
    <s v="CONSUMIBLE"/>
    <s v="PRUDENCE"/>
    <n v="1"/>
    <n v="77.59"/>
  </r>
  <r>
    <x v="14"/>
    <s v="17/01/2026"/>
    <s v="JESáS ULISES PEREZ VARGAS"/>
    <s v="7503032300993"/>
    <s v="Liquid Love Pleasure 30ml - DUSA"/>
    <s v="CONSUMIBLE PROPIO"/>
    <s v="DUSA"/>
    <n v="1"/>
    <n v="301.72000000000003"/>
  </r>
  <r>
    <x v="14"/>
    <s v="17/01/2026"/>
    <s v="JESáS ULISES PEREZ VARGAS"/>
    <s v="7503032300825"/>
    <s v="Lubricante Sachet natural 2 ml - BANANA SHAKE"/>
    <s v="CONSUMIBLE"/>
    <s v="BANANA SHAKE"/>
    <n v="1"/>
    <n v="17.239999999999998"/>
  </r>
  <r>
    <x v="14"/>
    <s v="17/01/2026"/>
    <s v="JESáS ULISES PEREZ VARGAS"/>
    <s v="8699415912859"/>
    <s v="Miel Vigorizante para Hombre  Miracle Honey  VIP 15g-  SECRET MIRACLE HONEY"/>
    <s v="CONSUMIBLE"/>
    <s v="SECRET MIRACLE HONEY"/>
    <n v="2"/>
    <n v="431.03"/>
  </r>
  <r>
    <x v="14"/>
    <s v="17/01/2026"/>
    <s v="JESáS ULISES PEREZ VARGAS"/>
    <s v="7503032300795"/>
    <s v="Sachet lubricante desensibilizador 2 ml - BANANA SHAKE"/>
    <s v="CONSUMIBLE"/>
    <s v="BANANA SHAKE"/>
    <n v="2"/>
    <n v="43.1"/>
  </r>
  <r>
    <x v="14"/>
    <s v="17/01/2026"/>
    <s v="JESáS ULISES PEREZ VARGAS"/>
    <s v="7503020596957"/>
    <s v="Shot Shumatsu Fun Hombre - DUSA"/>
    <s v="CONSUMIBLE PROPIO"/>
    <s v="DUSA"/>
    <n v="1"/>
    <n v="172.41"/>
  </r>
  <r>
    <x v="14"/>
    <s v="17/01/2026"/>
    <s v="JESáS ULISES PEREZ VARGAS"/>
    <s v="7503013378690"/>
    <s v="Shumatsu 3 pzas - DUSA"/>
    <s v="CONSUMIBLE PROPIO"/>
    <s v="DUSA"/>
    <n v="3"/>
    <n v="1732.77"/>
  </r>
  <r>
    <x v="14"/>
    <s v="18/01/2026"/>
    <s v="JESáS ULISES PEREZ VARGAS"/>
    <s v="7503043917005"/>
    <s v="Liquid Love Clear 30ml - DUSA"/>
    <s v="CONSUMIBLE PROPIO"/>
    <s v="DUSA"/>
    <n v="1"/>
    <n v="301.72000000000003"/>
  </r>
  <r>
    <x v="14"/>
    <s v="18/01/2026"/>
    <s v="JESáS ULISES PEREZ VARGAS"/>
    <s v="7503020596957"/>
    <s v="Shot Shumatsu Fun Hombre - DUSA"/>
    <s v="CONSUMIBLE PROPIO"/>
    <s v="DUSA"/>
    <n v="1"/>
    <n v="172.41"/>
  </r>
  <r>
    <x v="14"/>
    <s v="18/01/2026"/>
    <s v="JESáS ULISES PEREZ VARGAS"/>
    <s v="848518049926"/>
    <s v="Teardrop collar vibrador - CHARMED"/>
    <s v="JUGUETE"/>
    <s v="CHARMED"/>
    <n v="1"/>
    <n v="1293.0999999999999"/>
  </r>
  <r>
    <x v="15"/>
    <s v="12/01/2026"/>
    <s v="NICOLAS H ACEVES"/>
    <s v="7350075029332"/>
    <s v="Enigma wave morado - LELO"/>
    <s v="JUGUETE"/>
    <s v="LELO"/>
    <n v="1"/>
    <n v="5862.07"/>
  </r>
  <r>
    <x v="15"/>
    <s v="12/01/2026"/>
    <s v="NICOLAS H ACEVES"/>
    <s v="7503013378645"/>
    <s v="Liquid Love Pleasure 100ml - DUSA"/>
    <s v="CONSUMIBLE PROPIO"/>
    <s v="DUSA"/>
    <n v="1"/>
    <n v="775.86"/>
  </r>
  <r>
    <x v="15"/>
    <s v="12/01/2026"/>
    <s v="NICOLAS H ACEVES"/>
    <s v="7503024256154"/>
    <s v="Lubricante Body Surf Termico Cereza DUSA 60ml"/>
    <s v="CONSUMIBLE PROPIO"/>
    <s v="DUSA"/>
    <n v="1"/>
    <n v="387.93"/>
  </r>
  <r>
    <x v="15"/>
    <s v="12/01/2026"/>
    <s v="NICOLAS H ACEVES"/>
    <s v="827160100773"/>
    <s v="Lubricante original super concentrated 100 ml - PJUR"/>
    <s v="CONSUMIBLE"/>
    <s v="PJUR"/>
    <n v="1"/>
    <n v="775.86"/>
  </r>
  <r>
    <x v="15"/>
    <s v="12/01/2026"/>
    <s v="NICOLAS H ACEVES"/>
    <s v="7503020596971"/>
    <s v="Orgasmik - DUSA"/>
    <s v="CONSUMIBLE PROPIO"/>
    <s v="DUSA"/>
    <n v="1"/>
    <n v="431.03"/>
  </r>
  <r>
    <x v="15"/>
    <s v="12/01/2026"/>
    <s v="NICOLAS H ACEVES"/>
    <s v="7503050524258"/>
    <s v="Sensicool 30ml - DUSA"/>
    <s v="CONSUMIBLE PROPIO"/>
    <s v="DUSA"/>
    <n v="1"/>
    <n v="431.03"/>
  </r>
  <r>
    <x v="15"/>
    <s v="13/01/2026"/>
    <s v="NICOLAS H ACEVES"/>
    <s v="7503030211021"/>
    <s v="Anillo desechable para pene Donut - CXO"/>
    <s v="JUGUETE PROPIO"/>
    <s v="CXO"/>
    <n v="1"/>
    <n v="34.479999999999997"/>
  </r>
  <r>
    <x v="15"/>
    <s v="13/01/2026"/>
    <s v="NICOLAS H ACEVES"/>
    <s v="7503020420814"/>
    <s v="Bomba de vacio manual Noah - CXO"/>
    <s v="JUGUETE PROPIO"/>
    <s v="CXO"/>
    <n v="1"/>
    <n v="818.97"/>
  </r>
  <r>
    <x v="15"/>
    <s v="13/01/2026"/>
    <s v="NICOLAS H ACEVES"/>
    <s v="7503032300993"/>
    <s v="Liquid Love Pleasure 30ml - DUSA"/>
    <s v="CONSUMIBLE PROPIO"/>
    <s v="DUSA"/>
    <n v="1"/>
    <n v="301.72000000000003"/>
  </r>
  <r>
    <x v="15"/>
    <s v="13/01/2026"/>
    <s v="NICOLAS H ACEVES"/>
    <s v="7503013378645"/>
    <s v="Liquid Love Pleasure 100ml - DUSA"/>
    <s v="CONSUMIBLE PROPIO"/>
    <s v="DUSA"/>
    <n v="1"/>
    <n v="775.86"/>
  </r>
  <r>
    <x v="15"/>
    <s v="13/01/2026"/>
    <s v="NICOLAS H ACEVES"/>
    <s v="827160112073"/>
    <s v="Lubricante Basic Silicone  100ml - PJUR"/>
    <s v="CONSUMIBLE"/>
    <s v="PJUR"/>
    <n v="1"/>
    <n v="620.69000000000005"/>
  </r>
  <r>
    <x v="15"/>
    <s v="13/01/2026"/>
    <s v="NICOLAS H ACEVES"/>
    <s v="7503013378980"/>
    <s v="Lubricante Body Surf Termico Chicle DUSA 60ml"/>
    <s v="CONSUMIBLE PROPIO"/>
    <s v="DUSA"/>
    <n v="1"/>
    <n v="387.93"/>
  </r>
  <r>
    <x v="15"/>
    <s v="13/01/2026"/>
    <s v="NICOLAS H ACEVES"/>
    <s v="SC258C01"/>
    <s v="Multiorgasmico dual con estimulador de clitoris 360 con 10 modos Dany - CXO"/>
    <s v="JUGUETE PROPIO"/>
    <s v="CXO"/>
    <n v="1"/>
    <n v="3017.24"/>
  </r>
  <r>
    <x v="15"/>
    <s v="13/01/2026"/>
    <s v="NICOLAS H ACEVES"/>
    <s v="683609866521"/>
    <s v="Pinzas Para Cejas Rosa Pastel - BEAUTY CREATIONS"/>
    <s v="MODA"/>
    <s v="BEAUTY CREATIONS"/>
    <n v="1"/>
    <n v="43.1"/>
  </r>
  <r>
    <x v="15"/>
    <s v="13/01/2026"/>
    <s v="NICOLAS H ACEVES"/>
    <s v="839289006904"/>
    <s v="Pivot - WE VIBE"/>
    <s v="JUGUETE"/>
    <s v="WE VIBE"/>
    <n v="1"/>
    <n v="3448.28"/>
  </r>
  <r>
    <x v="15"/>
    <s v="13/01/2026"/>
    <s v="NICOLAS H ACEVES"/>
    <s v="4061504007496"/>
    <s v="Succionado con App Curvy 1+ - Satisfayer"/>
    <s v="JUGUETE"/>
    <s v="SATISFAYER"/>
    <n v="1"/>
    <n v="1810.34"/>
  </r>
  <r>
    <x v="15"/>
    <s v="13/01/2026"/>
    <s v="NICOLAS H ACEVES"/>
    <s v="4251460622905"/>
    <s v="Sync O morado - WE VIBE"/>
    <s v="JUGUETE"/>
    <s v="WE VIBE"/>
    <n v="1"/>
    <n v="5172.41"/>
  </r>
  <r>
    <x v="15"/>
    <s v="13/01/2026"/>
    <s v="NICOLAS H ACEVES"/>
    <s v="7503032300443"/>
    <s v="Zoe bala vibradora RETAIL - CXO"/>
    <s v="JUGUETE PROPIO"/>
    <s v="CXO"/>
    <n v="2"/>
    <n v="310.33999999999997"/>
  </r>
  <r>
    <x v="15"/>
    <s v="14/01/2026"/>
    <s v="NICOLAS H ACEVES"/>
    <s v="7503043917142"/>
    <s v="Hank negro anillo vibrador - CXO"/>
    <s v="JUGUETE PROPIO"/>
    <s v="CXO"/>
    <n v="1"/>
    <n v="818.97"/>
  </r>
  <r>
    <x v="15"/>
    <s v="14/01/2026"/>
    <s v="NICOLAS H ACEVES"/>
    <s v="7503043917012"/>
    <s v="Liquid Love Backdoor 30ml - DUSA"/>
    <s v="CONSUMIBLE PROPIO"/>
    <s v="DUSA"/>
    <n v="1"/>
    <n v="301.72000000000003"/>
  </r>
  <r>
    <x v="15"/>
    <s v="14/01/2026"/>
    <s v="NICOLAS H ACEVES"/>
    <s v="7503013378652"/>
    <s v="Liquid Love Backdoor 100ml - DUSA"/>
    <s v="CONSUMIBLE PROPIO"/>
    <s v="DUSA"/>
    <n v="1"/>
    <n v="1077.5899999999999"/>
  </r>
  <r>
    <x v="15"/>
    <s v="14/01/2026"/>
    <s v="NICOLAS H ACEVES"/>
    <s v="7503032300993"/>
    <s v="Liquid Love Pleasure 30ml - DUSA"/>
    <s v="CONSUMIBLE PROPIO"/>
    <s v="DUSA"/>
    <n v="2"/>
    <n v="603.44000000000005"/>
  </r>
  <r>
    <x v="15"/>
    <s v="14/01/2026"/>
    <s v="NICOLAS H ACEVES"/>
    <s v="7503013378645"/>
    <s v="Liquid Love Pleasure 100ml - DUSA"/>
    <s v="CONSUMIBLE PROPIO"/>
    <s v="DUSA"/>
    <n v="2"/>
    <n v="1551.72"/>
  </r>
  <r>
    <x v="15"/>
    <s v="14/01/2026"/>
    <s v="NICOLAS H ACEVES"/>
    <s v="7503023462914"/>
    <s v="ORAL SEX CREAM´S LIPS NUT 30 ML"/>
    <s v="CONSUMIBLE"/>
    <s v="FEEL LOVE"/>
    <n v="1"/>
    <n v="310.35000000000002"/>
  </r>
  <r>
    <x v="15"/>
    <s v="14/01/2026"/>
    <s v="NICOLAS H ACEVES"/>
    <s v="7503050524258"/>
    <s v="Sensicool 30ml - DUSA"/>
    <s v="CONSUMIBLE PROPIO"/>
    <s v="DUSA"/>
    <n v="1"/>
    <n v="431.03"/>
  </r>
  <r>
    <x v="15"/>
    <s v="14/01/2026"/>
    <s v="NICOLAS H ACEVES"/>
    <s v="7350075028571"/>
    <s v="Sila Cruise aqua - LELO"/>
    <s v="JUGUETE"/>
    <s v="LELO"/>
    <n v="1"/>
    <n v="4396.55"/>
  </r>
  <r>
    <x v="15"/>
    <s v="14/01/2026"/>
    <s v="NICOLAS H ACEVES"/>
    <s v="7350075028564"/>
    <s v="Sila Cruise pink - LELO"/>
    <s v="JUGUETE"/>
    <s v="LELO"/>
    <n v="1"/>
    <n v="4396.55"/>
  </r>
  <r>
    <x v="15"/>
    <s v="14/01/2026"/>
    <s v="NICOLAS H ACEVES"/>
    <s v="6959633105313"/>
    <s v="Vibrador de Prostata con Pulsaciones Iker Neo - SVAKOM"/>
    <s v="JUGUETE"/>
    <s v="SVAKOM"/>
    <n v="1"/>
    <n v="3879.31"/>
  </r>
  <r>
    <x v="15"/>
    <s v="14/01/2026"/>
    <s v="NICOLAS H ACEVES"/>
    <s v="7503020104086"/>
    <s v="Vibrador y pulsador multiorgásmico con estimulador para clítoris Carola – CXO"/>
    <s v="JUGUETE PROPIO"/>
    <s v="CXO"/>
    <n v="1"/>
    <n v="2577.59"/>
  </r>
  <r>
    <x v="15"/>
    <s v="15/01/2026"/>
    <s v="NICOLAS H ACEVES"/>
    <s v="7503013378102"/>
    <s v="Anastasia Gema de Colores M - CXO"/>
    <s v="JUGUETE PROPIO"/>
    <s v="CXO"/>
    <n v="1"/>
    <n v="456.9"/>
  </r>
  <r>
    <x v="15"/>
    <s v="15/01/2026"/>
    <s v="NICOLAS H ACEVES"/>
    <s v="7503014914002"/>
    <s v="CAPSULAS MULTIORGASMICO AMO O-GEN"/>
    <s v="CONSUMIBLE"/>
    <s v="POWER MAN"/>
    <n v="1"/>
    <n v="431.04"/>
  </r>
  <r>
    <x v="15"/>
    <s v="15/01/2026"/>
    <s v="NICOLAS H ACEVES"/>
    <s v="7503050226133"/>
    <s v="Conjunto Olivia con liguero - OLA MOU"/>
    <s v="LENCERIA"/>
    <s v="OLA MOU"/>
    <n v="1"/>
    <n v="534.48"/>
  </r>
  <r>
    <x v="15"/>
    <s v="15/01/2026"/>
    <s v="NICOLAS H ACEVES"/>
    <s v="6959633118795"/>
    <s v="Edeny - SVAKOM"/>
    <s v="JUGUETE"/>
    <s v="SVAKOM"/>
    <n v="1"/>
    <n v="3275.86"/>
  </r>
  <r>
    <x v="15"/>
    <s v="15/01/2026"/>
    <s v="NICOLAS H ACEVES"/>
    <s v="7350075029288"/>
    <s v="HUGO 2 Remote Green - LELO"/>
    <s v="JUGUETE"/>
    <s v="LELO"/>
    <n v="1"/>
    <n v="5172.41"/>
  </r>
  <r>
    <x v="15"/>
    <s v="15/01/2026"/>
    <s v="NICOLAS H ACEVES"/>
    <s v="7503032300993"/>
    <s v="Liquid Love Pleasure 30ml - DUSA"/>
    <s v="CONSUMIBLE PROPIO"/>
    <s v="DUSA"/>
    <n v="1"/>
    <n v="301.72000000000003"/>
  </r>
  <r>
    <x v="15"/>
    <s v="15/01/2026"/>
    <s v="NICOLAS H ACEVES"/>
    <s v="7503013378645"/>
    <s v="Liquid Love Pleasure 100ml - DUSA"/>
    <s v="CONSUMIBLE PROPIO"/>
    <s v="DUSA"/>
    <n v="1"/>
    <n v="775.86"/>
  </r>
  <r>
    <x v="15"/>
    <s v="15/01/2026"/>
    <s v="NICOLAS H ACEVES"/>
    <s v="7503013378010"/>
    <s v="Rigidex 2 pzas - DUSA"/>
    <s v="CONSUMIBLE PROPIO"/>
    <s v="DUSA"/>
    <n v="2"/>
    <n v="862.06"/>
  </r>
  <r>
    <x v="15"/>
    <s v="16/01/2026"/>
    <s v="ALFONSO  M CARBALLAR"/>
    <s v="7503013378102"/>
    <s v="Anastasia Gema de Colores M - CXO"/>
    <s v="JUGUETE PROPIO"/>
    <s v="CXO"/>
    <n v="1"/>
    <n v="456.9"/>
  </r>
  <r>
    <x v="15"/>
    <s v="16/01/2026"/>
    <s v="ALFONSO  M CARBALLAR"/>
    <s v="75030205968724"/>
    <s v="Funda texturizada transparente con bala vibradora  - CXO"/>
    <s v="JUGUETE PROPIO"/>
    <s v="CXO"/>
    <n v="1"/>
    <n v="474.14"/>
  </r>
  <r>
    <x v="15"/>
    <s v="16/01/2026"/>
    <s v="ALFONSO  M CARBALLAR"/>
    <s v="7503013378652"/>
    <s v="Liquid Love Backdoor 100ml - DUSA"/>
    <s v="CONSUMIBLE PROPIO"/>
    <s v="DUSA"/>
    <n v="1"/>
    <n v="1077.5899999999999"/>
  </r>
  <r>
    <x v="15"/>
    <s v="16/01/2026"/>
    <s v="ALFONSO  M CARBALLAR"/>
    <s v="7503013378645"/>
    <s v="Liquid Love Pleasure 100ml - DUSA"/>
    <s v="CONSUMIBLE PROPIO"/>
    <s v="DUSA"/>
    <n v="1"/>
    <n v="775.86"/>
  </r>
  <r>
    <x v="15"/>
    <s v="16/01/2026"/>
    <s v="ALFONSO  M CARBALLAR"/>
    <s v="7503013378980"/>
    <s v="Lubricante Body Surf Termico Chicle DUSA 60ml"/>
    <s v="CONSUMIBLE PROPIO"/>
    <s v="DUSA"/>
    <n v="1"/>
    <n v="387.93"/>
  </r>
  <r>
    <x v="15"/>
    <s v="16/01/2026"/>
    <s v="ALFONSO  M CARBALLAR"/>
    <s v="7503013378010"/>
    <s v="Rigidex 2 pzas - DUSA"/>
    <s v="CONSUMIBLE PROPIO"/>
    <s v="DUSA"/>
    <n v="1"/>
    <n v="431.03"/>
  </r>
  <r>
    <x v="15"/>
    <s v="17/01/2026"/>
    <s v="NICOLAS H ACEVES"/>
    <s v="7503020111072"/>
    <s v="Anillo vibrador recargable con textura negra Hank - CXO"/>
    <s v="JUGUETE PROPIO"/>
    <s v="CXO"/>
    <n v="1"/>
    <n v="1267.24"/>
  </r>
  <r>
    <x v="15"/>
    <s v="17/01/2026"/>
    <s v="NICOLAS H ACEVES"/>
    <s v="7503013378492"/>
    <s v="Clean Whisper 120ml - DUSA"/>
    <s v="CONSUMIBLE PROPIO"/>
    <s v="DUSA"/>
    <n v="1"/>
    <n v="301.72000000000003"/>
  </r>
  <r>
    <x v="15"/>
    <s v="17/01/2026"/>
    <s v="NICOLAS H ACEVES"/>
    <s v="7503030207201"/>
    <s v="Funda semi realista para pene Rodolfo - CXO"/>
    <s v="JUGUETE PROPIO"/>
    <s v="CXO"/>
    <n v="1"/>
    <n v="1137.93"/>
  </r>
  <r>
    <x v="15"/>
    <s v="17/01/2026"/>
    <s v="NICOLAS H ACEVES"/>
    <s v="6959633185476"/>
    <s v="Masturbador Hedy X Confidence – SVAKOM"/>
    <s v="JUGUETE"/>
    <s v="SVAKOM"/>
    <n v="1"/>
    <n v="181.03"/>
  </r>
  <r>
    <x v="15"/>
    <s v="17/01/2026"/>
    <s v="NICOLAS H ACEVES"/>
    <s v="6959633189726"/>
    <s v="Masturbador Hedy X Control – SVAKOM"/>
    <s v="JUGUETE"/>
    <s v="SVAKOM"/>
    <n v="1"/>
    <n v="181.03"/>
  </r>
  <r>
    <x v="15"/>
    <s v="17/01/2026"/>
    <s v="NICOLAS H ACEVES"/>
    <s v="7503030128202"/>
    <s v="Plug Anal con 10 modos de vibracion y rotacion 360 Beto - CXO"/>
    <s v="JUGUETE PROPIO"/>
    <s v="CXO"/>
    <n v="1"/>
    <n v="1577.59"/>
  </r>
  <r>
    <x v="15"/>
    <s v="18/01/2026"/>
    <s v="ALFONSO  M CARBALLAR"/>
    <s v="7502214980275"/>
    <s v="Condones sabor y aroma soda c/ 3 pzs - PRUDENCE"/>
    <s v="CONSUMIBLE"/>
    <s v="PRUDENCE"/>
    <n v="1"/>
    <n v="60.34"/>
  </r>
  <r>
    <x v="15"/>
    <s v="18/01/2026"/>
    <s v="ALFONSO  M CARBALLAR"/>
    <s v="7503013378652"/>
    <s v="Liquid Love Backdoor 100ml - DUSA"/>
    <s v="CONSUMIBLE PROPIO"/>
    <s v="DUSA"/>
    <n v="1"/>
    <n v="1077.5899999999999"/>
  </r>
  <r>
    <x v="15"/>
    <s v="18/01/2026"/>
    <s v="ALFONSO  M CARBALLAR"/>
    <s v="7503020596971"/>
    <s v="Orgasmik - DUSA"/>
    <s v="CONSUMIBLE PROPIO"/>
    <s v="DUSA"/>
    <n v="1"/>
    <n v="431.03"/>
  </r>
  <r>
    <x v="15"/>
    <s v="18/01/2026"/>
    <s v="ALFONSO  M CARBALLAR"/>
    <s v="7503013378690"/>
    <s v="Shumatsu 3 pzas - DUSA"/>
    <s v="CONSUMIBLE PROPIO"/>
    <s v="DUSA"/>
    <n v="2"/>
    <n v="1155.18"/>
  </r>
  <r>
    <x v="16"/>
    <s v="12/01/2026"/>
    <s v="BRYAN ALEJANDRO V BERNAL"/>
    <s v="7503032300214"/>
    <s v="Cola de Zorro Arcoiris 38cm S - CXO"/>
    <s v="JUGUETE PROPIO"/>
    <s v="CXO"/>
    <n v="1"/>
    <n v="258.62"/>
  </r>
  <r>
    <x v="16"/>
    <s v="12/01/2026"/>
    <s v="BRYAN ALEJANDRO V BERNAL"/>
    <s v="7503043917524"/>
    <s v="Kit Lisboa 8 pzs - CXO"/>
    <s v="JUGUETE PROPIO"/>
    <s v="CXO"/>
    <n v="1"/>
    <n v="465.52"/>
  </r>
  <r>
    <x v="16"/>
    <s v="12/01/2026"/>
    <s v="BRYAN ALEJANDRO V BERNAL"/>
    <s v="7503024256154"/>
    <s v="Lubricante Body Surf Termico Cereza DUSA 60ml"/>
    <s v="CONSUMIBLE PROPIO"/>
    <s v="DUSA"/>
    <n v="1"/>
    <n v="387.93"/>
  </r>
  <r>
    <x v="16"/>
    <s v="12/01/2026"/>
    <s v="BRYAN ALEJANDRO V BERNAL"/>
    <s v="6959633103494"/>
    <s v="Mora Neo multiorgasmico rosa - SVAKOM"/>
    <s v="JUGUETE"/>
    <s v="SVAKOM"/>
    <n v="1"/>
    <n v="1637.93"/>
  </r>
  <r>
    <x v="16"/>
    <s v="12/01/2026"/>
    <s v="BRYAN ALEJANDRO V BERNAL"/>
    <s v="7503024256192"/>
    <s v="Shot Shumatsu Fun Mujer - DUSA"/>
    <s v="CONSUMIBLE PROPIO"/>
    <s v="DUSA"/>
    <n v="1"/>
    <n v="172.41"/>
  </r>
  <r>
    <x v="16"/>
    <s v="13/01/2026"/>
    <s v="BRYAN ALEJANDRO V BERNAL"/>
    <s v="7503032300382"/>
    <s v="Mon - CXO"/>
    <s v="JUGUETE PROPIO"/>
    <s v="CXO"/>
    <n v="1"/>
    <n v="517.24"/>
  </r>
  <r>
    <x v="16"/>
    <s v="13/01/2026"/>
    <s v="BRYAN ALEJANDRO V BERNAL"/>
    <s v="6959633156094"/>
    <s v="Robin - SVAKOM"/>
    <s v="JUGUETE"/>
    <s v="SVAKOM"/>
    <n v="1"/>
    <n v="1318.97"/>
  </r>
  <r>
    <x v="16"/>
    <s v="14/01/2026"/>
    <s v="BRYAN ALEJANDRO V BERNAL"/>
    <s v="7503043917081"/>
    <s v="Blade rosa anillo vibrador - CXO"/>
    <s v="JUGUETE PROPIO"/>
    <s v="CXO"/>
    <n v="1"/>
    <n v="81.900000000000006"/>
  </r>
  <r>
    <x v="16"/>
    <s v="14/01/2026"/>
    <s v="BRYAN ALEJANDRO V BERNAL"/>
    <s v="7503013378010"/>
    <s v="Rigidex 2 pzas - DUSA"/>
    <s v="CONSUMIBLE PROPIO"/>
    <s v="DUSA"/>
    <n v="2"/>
    <n v="862.06"/>
  </r>
  <r>
    <x v="16"/>
    <s v="14/01/2026"/>
    <s v="BRYAN ALEJANDRO V BERNAL"/>
    <s v="7503020596957"/>
    <s v="Shot Shumatsu Fun Hombre - DUSA"/>
    <s v="CONSUMIBLE PROPIO"/>
    <s v="DUSA"/>
    <n v="1"/>
    <n v="172.41"/>
  </r>
  <r>
    <x v="16"/>
    <s v="14/01/2026"/>
    <s v="BRYAN ALEJANDRO V BERNAL"/>
    <s v="7503020596063"/>
    <s v="Stallion Regenerador - DUSA"/>
    <s v="CONSUMIBLE PROPIO"/>
    <s v="DUSA"/>
    <n v="1"/>
    <n v="1293.0999999999999"/>
  </r>
  <r>
    <x v="16"/>
    <s v="14/01/2026"/>
    <s v="BRYAN ALEJANDRO V BERNAL"/>
    <s v="7503032300443"/>
    <s v="Zoe bala vibradora RETAIL - CXO"/>
    <s v="JUGUETE PROPIO"/>
    <s v="CXO"/>
    <n v="1"/>
    <n v="155.16999999999999"/>
  </r>
  <r>
    <x v="16"/>
    <s v="15/01/2026"/>
    <s v="BRYAN ALEJANDRO V BERNAL"/>
    <s v="7503014914002"/>
    <s v="CAPSULAS MULTIORGASMICO AMO O-GEN"/>
    <s v="CONSUMIBLE"/>
    <s v="POWER MAN"/>
    <n v="1"/>
    <n v="431.04"/>
  </r>
  <r>
    <x v="16"/>
    <s v="15/01/2026"/>
    <s v="BRYAN ALEJANDRO V BERNAL"/>
    <s v="7503050524241"/>
    <s v="Orgasmik 30ml - DUSA"/>
    <s v="CONSUMIBLE PROPIO"/>
    <s v="DUSA"/>
    <n v="1"/>
    <n v="431.03"/>
  </r>
  <r>
    <x v="16"/>
    <s v="15/01/2026"/>
    <s v="BRYAN ALEJANDRO V BERNAL"/>
    <s v="7350075026157"/>
    <s v="Sona cerise - LELO"/>
    <s v="JUGUETE"/>
    <s v="LELO"/>
    <n v="1"/>
    <n v="2068.9699999999998"/>
  </r>
  <r>
    <x v="16"/>
    <s v="16/01/2026"/>
    <s v="BRYAN ALEJANDRO V BERNAL"/>
    <s v="7503043917005"/>
    <s v="Liquid Love Clear 30ml - DUSA"/>
    <s v="CONSUMIBLE PROPIO"/>
    <s v="DUSA"/>
    <n v="1"/>
    <n v="301.72000000000003"/>
  </r>
  <r>
    <x v="16"/>
    <s v="16/01/2026"/>
    <s v="BRYAN ALEJANDRO V BERNAL"/>
    <s v="SE020"/>
    <s v="Masturbador 2 en 1 Vagina y Boca - CXO"/>
    <s v="JUGUETE PROPIO"/>
    <s v="CXO"/>
    <n v="1"/>
    <n v="1293.0999999999999"/>
  </r>
  <r>
    <x v="16"/>
    <s v="16/01/2026"/>
    <s v="BRYAN ALEJANDRO V BERNAL"/>
    <s v="7503013378010"/>
    <s v="Rigidex 2 pzas - DUSA"/>
    <s v="CONSUMIBLE PROPIO"/>
    <s v="DUSA"/>
    <n v="1"/>
    <n v="431.03"/>
  </r>
  <r>
    <x v="16"/>
    <s v="17/01/2026"/>
    <s v="ANGEL DANILO RODRIGUEZ LOPEZ"/>
    <s v="7713042311883"/>
    <s v="Aceite de almendras sensual 130ml - DIAMANTE"/>
    <s v="CONSUMIBLE"/>
    <s v="DIAMANTE"/>
    <n v="1"/>
    <n v="448.28"/>
  </r>
  <r>
    <x v="16"/>
    <s v="17/01/2026"/>
    <s v="ANGEL DANILO RODRIGUEZ LOPEZ"/>
    <s v="7503013378416"/>
    <s v="Angie - CXO"/>
    <s v="JUGUETE PROPIO"/>
    <s v="CXO"/>
    <n v="1"/>
    <n v="689.66"/>
  </r>
  <r>
    <x v="16"/>
    <s v="17/01/2026"/>
    <s v="ANGEL DANILO RODRIGUEZ LOPEZ"/>
    <s v="7503030211021"/>
    <s v="Anillo desechable para pene Donut - CXO"/>
    <s v="JUGUETE PROPIO"/>
    <s v="CXO"/>
    <n v="1"/>
    <n v="34.479999999999997"/>
  </r>
  <r>
    <x v="16"/>
    <s v="17/01/2026"/>
    <s v="ANGEL DANILO RODRIGUEZ LOPEZ"/>
    <s v="7503043917081"/>
    <s v="Blade rosa anillo vibrador - CXO"/>
    <s v="JUGUETE PROPIO"/>
    <s v="CXO"/>
    <n v="1"/>
    <n v="81.900000000000006"/>
  </r>
  <r>
    <x v="16"/>
    <s v="17/01/2026"/>
    <s v="ANGEL DANILO RODRIGUEZ LOPEZ"/>
    <s v="7503014914002"/>
    <s v="CAPSULAS MULTIORGASMICO AMO O-GEN"/>
    <s v="CONSUMIBLE"/>
    <s v="POWER MAN"/>
    <n v="1"/>
    <n v="431.04"/>
  </r>
  <r>
    <x v="16"/>
    <s v="17/01/2026"/>
    <s v="ANGEL DANILO RODRIGUEZ LOPEZ"/>
    <s v="7503032300535"/>
    <s v="Cola de Zorro 45cm blanco L - CXO"/>
    <s v="JUGUETE PROPIO"/>
    <s v="CXO"/>
    <n v="1"/>
    <n v="344.83"/>
  </r>
  <r>
    <x v="16"/>
    <s v="17/01/2026"/>
    <s v="ANGEL DANILO RODRIGUEZ LOPEZ"/>
    <s v="7502214985362"/>
    <s v="CONDON MUTUAL SENSATION C/3 - PRUDENCE"/>
    <s v="CONSUMIBLE"/>
    <s v="PRUDENCE"/>
    <n v="1"/>
    <n v="77.59"/>
  </r>
  <r>
    <x v="16"/>
    <s v="17/01/2026"/>
    <s v="ANGEL DANILO RODRIGUEZ LOPEZ"/>
    <s v="7503030102034"/>
    <s v="Dildo vibrador con control Anthony - CXO"/>
    <s v="JUGUETE PROPIO"/>
    <s v="CXO"/>
    <n v="1"/>
    <n v="2112.0700000000002"/>
  </r>
  <r>
    <x v="16"/>
    <s v="17/01/2026"/>
    <s v="ANGEL DANILO RODRIGUEZ LOPEZ"/>
    <s v="7503038654083"/>
    <s v="Garganta profunda 60ml - FEEL LOVE"/>
    <s v="CONSUMIBLE"/>
    <s v="FEEL LOVE"/>
    <n v="1"/>
    <n v="603.45000000000005"/>
  </r>
  <r>
    <x v="16"/>
    <s v="17/01/2026"/>
    <s v="ANGEL DANILO RODRIGUEZ LOPEZ"/>
    <s v="782421083076"/>
    <s v="Hydrate gel 56gr - INTIMATE ENHANCEMENTS"/>
    <s v="CONSUMIBLE"/>
    <s v="DOC JOHNSON"/>
    <n v="1"/>
    <n v="396.55"/>
  </r>
  <r>
    <x v="16"/>
    <s v="17/01/2026"/>
    <s v="ANGEL DANILO RODRIGUEZ LOPEZ"/>
    <s v="7946000265472"/>
    <s v="JUEGO DE MESA EL JUEGO DE LA OCA SENSUAL"/>
    <s v="JUGUETE"/>
    <s v="VARIAS"/>
    <n v="1"/>
    <n v="224.14"/>
  </r>
  <r>
    <x v="16"/>
    <s v="17/01/2026"/>
    <s v="ANGEL DANILO RODRIGUEZ LOPEZ"/>
    <s v="7503043917012"/>
    <s v="Liquid Love Backdoor 30ml - DUSA"/>
    <s v="CONSUMIBLE PROPIO"/>
    <s v="DUSA"/>
    <n v="2"/>
    <n v="603.44000000000005"/>
  </r>
  <r>
    <x v="16"/>
    <s v="17/01/2026"/>
    <s v="ANGEL DANILO RODRIGUEZ LOPEZ"/>
    <s v="7503013378645"/>
    <s v="Liquid Love Pleasure 100ml - DUSA"/>
    <s v="CONSUMIBLE PROPIO"/>
    <s v="DUSA"/>
    <n v="1"/>
    <n v="775.86"/>
  </r>
  <r>
    <x v="16"/>
    <s v="17/01/2026"/>
    <s v="ANGEL DANILO RODRIGUEZ LOPEZ"/>
    <s v="7503023462891"/>
    <s v="ORAL SEX Exotic Nut 30ml - DIAMANTE"/>
    <s v="CONSUMIBLE"/>
    <s v="DIAMANTE"/>
    <n v="1"/>
    <n v="310.33999999999997"/>
  </r>
  <r>
    <x v="16"/>
    <s v="17/01/2026"/>
    <s v="ANGEL DANILO RODRIGUEZ LOPEZ"/>
    <s v="7503023462907"/>
    <s v="ORAL SEX Moka 30ml  - DIAMANTE"/>
    <s v="CONSUMIBLE"/>
    <s v="DIAMANTE"/>
    <n v="1"/>
    <n v="310.35000000000002"/>
  </r>
  <r>
    <x v="16"/>
    <s v="17/01/2026"/>
    <s v="ANGEL DANILO RODRIGUEZ LOPEZ"/>
    <s v="6959633134559"/>
    <s v="Phoenix Neo 2 rojo - SVAKOM"/>
    <s v="JUGUETE"/>
    <s v="SVAKOM"/>
    <n v="1"/>
    <n v="3534.48"/>
  </r>
  <r>
    <x v="16"/>
    <s v="17/01/2026"/>
    <s v="ANGEL DANILO RODRIGUEZ LOPEZ"/>
    <s v="7503013378690"/>
    <s v="Shumatsu 3 pzas - DUSA"/>
    <s v="CONSUMIBLE PROPIO"/>
    <s v="DUSA"/>
    <n v="1"/>
    <n v="577.59"/>
  </r>
  <r>
    <x v="16"/>
    <s v="17/01/2026"/>
    <s v="ANGEL DANILO RODRIGUEZ LOPEZ"/>
    <s v="CBD"/>
    <s v="SUNNY SIDE UP CBD HIPOALERGENICO 10ml"/>
    <s v="CONSUMIBLE"/>
    <s v="SUNNY SIDE UP"/>
    <n v="1"/>
    <n v="301.72000000000003"/>
  </r>
  <r>
    <x v="16"/>
    <s v="18/01/2026"/>
    <s v="BRYAN ALEJANDRO V BERNAL"/>
    <s v="7503030211021"/>
    <s v="Anillo desechable para pene Donut - CXO"/>
    <s v="JUGUETE PROPIO"/>
    <s v="CXO"/>
    <n v="1"/>
    <n v="34.479999999999997"/>
  </r>
  <r>
    <x v="16"/>
    <s v="18/01/2026"/>
    <s v="BRYAN ALEJANDRO V BERNAL"/>
    <s v="7503014914002"/>
    <s v="CAPSULAS MULTIORGASMICO AMO O-GEN"/>
    <s v="CONSUMIBLE"/>
    <s v="POWER MAN"/>
    <n v="1"/>
    <n v="431.04"/>
  </r>
  <r>
    <x v="16"/>
    <s v="18/01/2026"/>
    <s v="BRYAN ALEJANDRO V BERNAL"/>
    <s v="7503032300740"/>
    <s v="Colette azul - CXO"/>
    <s v="JUGUETE PROPIO"/>
    <s v="CXO"/>
    <n v="1"/>
    <n v="1293.0999999999999"/>
  </r>
  <r>
    <x v="16"/>
    <s v="18/01/2026"/>
    <s v="BRYAN ALEJANDRO V BERNAL"/>
    <s v="7503032300993"/>
    <s v="Liquid Love Pleasure 30ml - DUSA"/>
    <s v="CONSUMIBLE PROPIO"/>
    <s v="DUSA"/>
    <n v="1"/>
    <n v="301.72000000000003"/>
  </r>
  <r>
    <x v="16"/>
    <s v="18/01/2026"/>
    <s v="BRYAN ALEJANDRO V BERNAL"/>
    <s v="7503032300825"/>
    <s v="Lubricante Sachet natural 2 ml - BANANA SHAKE"/>
    <s v="CONSUMIBLE"/>
    <s v="BANANA SHAKE"/>
    <n v="2"/>
    <n v="34.479999999999997"/>
  </r>
  <r>
    <x v="16"/>
    <s v="18/01/2026"/>
    <s v="BRYAN ALEJANDRO V BERNAL"/>
    <s v="7503050226162"/>
    <s v="Plug Anal con Vibración y Control Roberto - CXO"/>
    <s v="JUGUETE PROPIO"/>
    <s v="CXO"/>
    <n v="1"/>
    <n v="1293.0999999999999"/>
  </r>
  <r>
    <x v="16"/>
    <s v="18/01/2026"/>
    <s v="BRYAN ALEJANDRO V BERNAL"/>
    <s v="7503032300795"/>
    <s v="Sachet lubricante desensibilizador 2 ml - BANANA SHAKE"/>
    <s v="CONSUMIBLE"/>
    <s v="BANANA SHAKE"/>
    <n v="2"/>
    <n v="43.1"/>
  </r>
  <r>
    <x v="16"/>
    <s v="18/01/2026"/>
    <s v="BRYAN ALEJANDRO V BERNAL"/>
    <s v="7503024256192"/>
    <s v="Shot Shumatsu Fun Mujer - DUSA"/>
    <s v="CONSUMIBLE PROPIO"/>
    <s v="DUSA"/>
    <n v="1"/>
    <n v="172.41"/>
  </r>
  <r>
    <x v="16"/>
    <s v="18/01/2026"/>
    <s v="BRYAN ALEJANDRO V BERNAL"/>
    <s v="7350075026157"/>
    <s v="Sona cerise - LELO"/>
    <s v="JUGUETE"/>
    <s v="LELO"/>
    <n v="1"/>
    <n v="2068.9699999999998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8">
  <r>
    <x v="0"/>
    <s v="21/01/2026"/>
    <x v="0"/>
    <s v="7503030211021"/>
    <s v="Anillo desechable para pene Donut - CXO"/>
    <s v="JUGUETE PROPIO"/>
    <s v="CXO"/>
    <n v="1"/>
    <n v="34.479999999999997"/>
  </r>
  <r>
    <x v="0"/>
    <s v="21/01/2026"/>
    <x v="0"/>
    <s v="7503024256741"/>
    <s v="Cola de Zorro 45cm café S - CXO"/>
    <s v="JUGUETE PROPIO"/>
    <s v="CXO"/>
    <n v="1"/>
    <n v="258.62"/>
  </r>
  <r>
    <x v="0"/>
    <s v="21/01/2026"/>
    <x v="0"/>
    <s v="7503020202213"/>
    <s v="Dildo realista con ventosa Nick - CXO"/>
    <s v="JUGUETE PROPIO"/>
    <s v="CXO"/>
    <n v="1"/>
    <n v="818.97"/>
  </r>
  <r>
    <x v="0"/>
    <s v="21/01/2026"/>
    <x v="0"/>
    <s v="7503043917012"/>
    <s v="Liquid Love Backdoor 30ml - DUSA"/>
    <s v="CONSUMIBLE PROPIO"/>
    <s v="DUSA"/>
    <n v="1"/>
    <n v="301.72000000000003"/>
  </r>
  <r>
    <x v="0"/>
    <s v="21/01/2026"/>
    <x v="0"/>
    <s v="6959633134559"/>
    <s v="Phoenix Neo 2 rojo - SVAKOM"/>
    <s v="JUGUETE"/>
    <s v="SVAKOM"/>
    <n v="1"/>
    <n v="3534.48"/>
  </r>
  <r>
    <x v="0"/>
    <s v="21/01/2026"/>
    <x v="0"/>
    <s v="7503020596957"/>
    <s v="Shot Shumatsu Fun Hombre - DUSA"/>
    <s v="CONSUMIBLE PROPIO"/>
    <s v="DUSA"/>
    <n v="5"/>
    <n v="862.05"/>
  </r>
  <r>
    <x v="0"/>
    <s v="21/01/2026"/>
    <x v="0"/>
    <s v="7503024256192"/>
    <s v="Shot Shumatsu Fun Mujer - DUSA"/>
    <s v="CONSUMIBLE PROPIO"/>
    <s v="DUSA"/>
    <n v="5"/>
    <n v="862.05"/>
  </r>
  <r>
    <x v="0"/>
    <s v="21/01/2026"/>
    <x v="0"/>
    <s v="7503020596063"/>
    <s v="Stallion Regenerador - DUSA"/>
    <s v="CONSUMIBLE PROPIO"/>
    <s v="DUSA"/>
    <n v="1"/>
    <n v="1293.0999999999999"/>
  </r>
  <r>
    <x v="0"/>
    <s v="21/01/2026"/>
    <x v="0"/>
    <s v="7503020104076"/>
    <s v="Vibrador multiorgásmico con succión y estimulación de punto G Lulu - CXO"/>
    <s v="JUGUETE PROPIO"/>
    <s v="CXO"/>
    <n v="1"/>
    <n v="2120.69"/>
  </r>
  <r>
    <x v="0"/>
    <s v="21/01/2026"/>
    <x v="0"/>
    <s v="7503032300443"/>
    <s v="Zoe bala vibradora RETAIL - CXO"/>
    <s v="JUGUETE PROPIO"/>
    <s v="CXO"/>
    <n v="2"/>
    <n v="310.33999999999997"/>
  </r>
  <r>
    <x v="0"/>
    <s v="22/01/2026"/>
    <x v="0"/>
    <s v="4630017970018"/>
    <s v="Alargador de Pene Titan Gel 50 ml"/>
    <s v="CONSUMIBLE"/>
    <s v="TITAN"/>
    <n v="1"/>
    <n v="594.83000000000004"/>
  </r>
  <r>
    <x v="0"/>
    <s v="22/01/2026"/>
    <x v="0"/>
    <s v="7503043917081"/>
    <s v="Blade rosa anillo vibrador - CXO"/>
    <s v="JUGUETE PROPIO"/>
    <s v="CXO"/>
    <n v="1"/>
    <n v="81.900000000000006"/>
  </r>
  <r>
    <x v="0"/>
    <s v="22/01/2026"/>
    <x v="0"/>
    <s v="6959633103500"/>
    <s v="Chika multiorgasmico turqueza - SVAKOM"/>
    <s v="JUGUETE"/>
    <s v="SVAKOM"/>
    <n v="1"/>
    <n v="2155.17"/>
  </r>
  <r>
    <x v="0"/>
    <s v="22/01/2026"/>
    <x v="0"/>
    <s v="7503020202214"/>
    <s v="Dildo realista con ventosa y testiculos Eddy - CXO"/>
    <s v="JUGUETE PROPIO"/>
    <s v="CXO"/>
    <n v="1"/>
    <n v="948.28"/>
  </r>
  <r>
    <x v="0"/>
    <s v="22/01/2026"/>
    <x v="0"/>
    <s v="603912120042"/>
    <s v="Happy Top Tickler funda - PIPEDREAM"/>
    <s v="JUGUETE"/>
    <s v="PIPEDREAM"/>
    <n v="1"/>
    <n v="344.83"/>
  </r>
  <r>
    <x v="0"/>
    <s v="22/01/2026"/>
    <x v="0"/>
    <s v="7503013378645"/>
    <s v="Liquid Love Pleasure 100ml - DUSA"/>
    <s v="CONSUMIBLE PROPIO"/>
    <s v="DUSA"/>
    <n v="2"/>
    <n v="1551.72"/>
  </r>
  <r>
    <x v="0"/>
    <s v="22/01/2026"/>
    <x v="0"/>
    <s v="7503032300443"/>
    <s v="Zoe bala vibradora RETAIL - CXO"/>
    <s v="JUGUETE PROPIO"/>
    <s v="CXO"/>
    <n v="2"/>
    <n v="310.33999999999997"/>
  </r>
  <r>
    <x v="0"/>
    <s v="23/01/2026"/>
    <x v="0"/>
    <s v="716222287524"/>
    <s v="ACEITE AROMATHERAPY MASSAGE OIL 4 SENSUALITY"/>
    <s v="CONSUMIBLE"/>
    <s v="WET"/>
    <n v="1"/>
    <n v="926.72"/>
  </r>
  <r>
    <x v="0"/>
    <s v="23/01/2026"/>
    <x v="0"/>
    <s v="7503043917081"/>
    <s v="Blade rosa anillo vibrador - CXO"/>
    <s v="JUGUETE PROPIO"/>
    <s v="CXO"/>
    <n v="2"/>
    <n v="163.80000000000001"/>
  </r>
  <r>
    <x v="0"/>
    <s v="23/01/2026"/>
    <x v="0"/>
    <s v="7503032300511"/>
    <s v="Cola de Zorro 45cm rosa M - CXO"/>
    <s v="JUGUETE PROPIO"/>
    <s v="CXO"/>
    <n v="1"/>
    <n v="301.72000000000003"/>
  </r>
  <r>
    <x v="0"/>
    <s v="23/01/2026"/>
    <x v="0"/>
    <s v="7502214982811"/>
    <s v="Condones Mix Sabor y Aroma 5 pzs - PRUDENCE"/>
    <s v="CONSUMIBLE"/>
    <s v="PRUDENCE"/>
    <n v="1"/>
    <n v="77.59"/>
  </r>
  <r>
    <x v="0"/>
    <s v="23/01/2026"/>
    <x v="0"/>
    <s v="7503043917005"/>
    <s v="Liquid Love Clear 30ml - DUSA"/>
    <s v="CONSUMIBLE PROPIO"/>
    <s v="DUSA"/>
    <n v="1"/>
    <n v="301.72000000000003"/>
  </r>
  <r>
    <x v="0"/>
    <s v="23/01/2026"/>
    <x v="0"/>
    <s v="7503032300993"/>
    <s v="Liquid Love Pleasure 30ml - DUSA"/>
    <s v="CONSUMIBLE PROPIO"/>
    <s v="DUSA"/>
    <n v="2"/>
    <n v="603.44000000000005"/>
  </r>
  <r>
    <x v="0"/>
    <s v="23/01/2026"/>
    <x v="0"/>
    <s v="7503013378645"/>
    <s v="Liquid Love Pleasure 100ml - DUSA"/>
    <s v="CONSUMIBLE PROPIO"/>
    <s v="DUSA"/>
    <n v="1"/>
    <n v="775.86"/>
  </r>
  <r>
    <x v="0"/>
    <s v="23/01/2026"/>
    <x v="0"/>
    <s v="7503032300825"/>
    <s v="Lubricante Sachet natural 2 ml - BANANA SHAKE"/>
    <s v="CONSUMIBLE"/>
    <s v="BANANA SHAKE"/>
    <n v="1"/>
    <n v="17.239999999999998"/>
  </r>
  <r>
    <x v="0"/>
    <s v="23/01/2026"/>
    <x v="0"/>
    <s v="7503013378690"/>
    <s v="Shumatsu 3 pzas - DUSA"/>
    <s v="CONSUMIBLE PROPIO"/>
    <s v="DUSA"/>
    <n v="5"/>
    <n v="2887.9500000000003"/>
  </r>
  <r>
    <x v="0"/>
    <s v="23/01/2026"/>
    <x v="0"/>
    <s v="7350075028564"/>
    <s v="Sila Cruise pink - LELO"/>
    <s v="JUGUETE"/>
    <s v="LELO"/>
    <n v="1"/>
    <n v="4396.55"/>
  </r>
  <r>
    <x v="0"/>
    <s v="23/01/2026"/>
    <x v="0"/>
    <s v="7503032300443"/>
    <s v="Zoe bala vibradora RETAIL - CXO"/>
    <s v="JUGUETE PROPIO"/>
    <s v="CXO"/>
    <n v="4"/>
    <n v="620.67999999999995"/>
  </r>
  <r>
    <x v="0"/>
    <s v="24/01/2026"/>
    <x v="0"/>
    <s v="7503043917081"/>
    <s v="Blade rosa anillo vibrador - CXO"/>
    <s v="JUGUETE PROPIO"/>
    <s v="CXO"/>
    <n v="1"/>
    <n v="81.900000000000006"/>
  </r>
  <r>
    <x v="0"/>
    <s v="24/01/2026"/>
    <x v="0"/>
    <s v="7503050524265"/>
    <s v="He Plus 30ml - DUSA"/>
    <s v="CONSUMIBLE PROPIO"/>
    <s v="DUSA"/>
    <n v="1"/>
    <n v="431.03"/>
  </r>
  <r>
    <x v="0"/>
    <s v="24/01/2026"/>
    <x v="0"/>
    <s v="6959633103494"/>
    <s v="Mora Neo multiorgasmico rosa - SVAKOM"/>
    <s v="JUGUETE"/>
    <s v="SVAKOM"/>
    <n v="1"/>
    <n v="1637.93"/>
  </r>
  <r>
    <x v="0"/>
    <s v="24/01/2026"/>
    <x v="0"/>
    <s v="7503013378690"/>
    <s v="Shumatsu 3 pzas - DUSA"/>
    <s v="CONSUMIBLE PROPIO"/>
    <s v="DUSA"/>
    <n v="1"/>
    <n v="577.59"/>
  </r>
  <r>
    <x v="0"/>
    <s v="24/01/2026"/>
    <x v="0"/>
    <s v="7503032300443"/>
    <s v="Zoe bala vibradora RETAIL - CXO"/>
    <s v="JUGUETE PROPIO"/>
    <s v="CXO"/>
    <n v="3"/>
    <n v="465.52"/>
  </r>
  <r>
    <x v="0"/>
    <s v="25/01/2026"/>
    <x v="1"/>
    <s v="7503043917081"/>
    <s v="Blade rosa anillo vibrador - CXO"/>
    <s v="JUGUETE PROPIO"/>
    <s v="CXO"/>
    <n v="1"/>
    <n v="81.900000000000006"/>
  </r>
  <r>
    <x v="0"/>
    <s v="25/01/2026"/>
    <x v="1"/>
    <s v="7503043917005"/>
    <s v="Liquid Love Clear 30ml - DUSA"/>
    <s v="CONSUMIBLE PROPIO"/>
    <s v="DUSA"/>
    <n v="1"/>
    <n v="301.72000000000003"/>
  </r>
  <r>
    <x v="0"/>
    <s v="25/01/2026"/>
    <x v="1"/>
    <s v="7503032300993"/>
    <s v="Liquid Love Pleasure 30ml - DUSA"/>
    <s v="CONSUMIBLE PROPIO"/>
    <s v="DUSA"/>
    <n v="1"/>
    <n v="301.72000000000003"/>
  </r>
  <r>
    <x v="0"/>
    <s v="25/01/2026"/>
    <x v="1"/>
    <s v="7503013378010"/>
    <s v="Rigidex 2 pzas - DUSA"/>
    <s v="CONSUMIBLE PROPIO"/>
    <s v="DUSA"/>
    <n v="1"/>
    <n v="431.03"/>
  </r>
  <r>
    <x v="0"/>
    <s v="25/01/2026"/>
    <x v="1"/>
    <s v="7503020596957"/>
    <s v="Shot Shumatsu Fun Hombre - DUSA"/>
    <s v="CONSUMIBLE PROPIO"/>
    <s v="DUSA"/>
    <n v="2"/>
    <n v="344.82"/>
  </r>
  <r>
    <x v="0"/>
    <s v="25/01/2026"/>
    <x v="1"/>
    <s v="7503024256192"/>
    <s v="Shot Shumatsu Fun Mujer - DUSA"/>
    <s v="CONSUMIBLE PROPIO"/>
    <s v="DUSA"/>
    <n v="1"/>
    <n v="172.41"/>
  </r>
  <r>
    <x v="0"/>
    <s v="25/01/2026"/>
    <x v="1"/>
    <s v="7503032300443"/>
    <s v="Zoe bala vibradora RETAIL - CXO"/>
    <s v="JUGUETE PROPIO"/>
    <s v="CXO"/>
    <n v="1"/>
    <n v="155.16999999999999"/>
  </r>
  <r>
    <x v="1"/>
    <s v="19/01/2026"/>
    <x v="1"/>
    <s v="7503043917005"/>
    <s v="Liquid Love Clear 30ml - DUSA"/>
    <s v="CONSUMIBLE PROPIO"/>
    <s v="DUSA"/>
    <n v="1"/>
    <n v="301.72000000000003"/>
  </r>
  <r>
    <x v="1"/>
    <s v="19/01/2026"/>
    <x v="1"/>
    <s v="7503013378126"/>
    <s v="Lubricante Body Surf Frio Natural DUSA 60ml"/>
    <s v="CONSUMIBLE PROPIO"/>
    <s v="DUSA"/>
    <n v="1"/>
    <n v="387.93"/>
  </r>
  <r>
    <x v="1"/>
    <s v="21/01/2026"/>
    <x v="2"/>
    <s v="6959633166963"/>
    <s v="Ella Neo rojo- SVAKOM"/>
    <s v="JUGUETE"/>
    <s v="SVAKOM"/>
    <n v="1"/>
    <n v="3017.24"/>
  </r>
  <r>
    <x v="1"/>
    <s v="21/01/2026"/>
    <x v="2"/>
    <s v="7503043917005"/>
    <s v="Liquid Love Clear 30ml - DUSA"/>
    <s v="CONSUMIBLE PROPIO"/>
    <s v="DUSA"/>
    <n v="2"/>
    <n v="603.44000000000005"/>
  </r>
  <r>
    <x v="1"/>
    <s v="21/01/2026"/>
    <x v="2"/>
    <s v="7503032300993"/>
    <s v="Liquid Love Pleasure 30ml - DUSA"/>
    <s v="CONSUMIBLE PROPIO"/>
    <s v="DUSA"/>
    <n v="1"/>
    <n v="301.72000000000003"/>
  </r>
  <r>
    <x v="1"/>
    <s v="21/01/2026"/>
    <x v="2"/>
    <s v="6959633156094"/>
    <s v="Robin - SVAKOM"/>
    <s v="JUGUETE"/>
    <s v="SVAKOM"/>
    <n v="1"/>
    <n v="1318.97"/>
  </r>
  <r>
    <x v="1"/>
    <s v="21/01/2026"/>
    <x v="2"/>
    <s v="7503013378690"/>
    <s v="Shumatsu 3 pzas - DUSA"/>
    <s v="CONSUMIBLE PROPIO"/>
    <s v="DUSA"/>
    <n v="4"/>
    <n v="2310.36"/>
  </r>
  <r>
    <x v="1"/>
    <s v="22/01/2026"/>
    <x v="2"/>
    <s v="7503043917005"/>
    <s v="Liquid Love Clear 30ml - DUSA"/>
    <s v="CONSUMIBLE PROPIO"/>
    <s v="DUSA"/>
    <n v="5"/>
    <n v="1508.6000000000001"/>
  </r>
  <r>
    <x v="1"/>
    <s v="22/01/2026"/>
    <x v="2"/>
    <s v="7503013378645"/>
    <s v="Liquid Love Pleasure 100ml - DUSA"/>
    <s v="CONSUMIBLE PROPIO"/>
    <s v="DUSA"/>
    <n v="1"/>
    <n v="775.86"/>
  </r>
  <r>
    <x v="1"/>
    <s v="22/01/2026"/>
    <x v="2"/>
    <s v="7503030128202"/>
    <s v="Plug Anal con 10 modos de vibracion y rotacion 360 Beto - CXO"/>
    <s v="JUGUETE PROPIO"/>
    <s v="CXO"/>
    <n v="1"/>
    <n v="1577.59"/>
  </r>
  <r>
    <x v="1"/>
    <s v="22/01/2026"/>
    <x v="2"/>
    <s v="7503013378690"/>
    <s v="Shumatsu 3 pzas - DUSA"/>
    <s v="CONSUMIBLE PROPIO"/>
    <s v="DUSA"/>
    <n v="1"/>
    <n v="577.59"/>
  </r>
  <r>
    <x v="1"/>
    <s v="23/01/2026"/>
    <x v="2"/>
    <s v="7503014914002"/>
    <s v="CAPSULAS MULTIORGASMICO AMO O-GEN"/>
    <s v="CONSUMIBLE"/>
    <s v="POWER MAN"/>
    <n v="1"/>
    <n v="431.04"/>
  </r>
  <r>
    <x v="1"/>
    <s v="23/01/2026"/>
    <x v="2"/>
    <s v="7502214980275"/>
    <s v="Condones sabor y aroma soda c/ 3 pzs - PRUDENCE"/>
    <s v="CONSUMIBLE"/>
    <s v="PRUDENCE"/>
    <n v="2"/>
    <n v="120.68"/>
  </r>
  <r>
    <x v="1"/>
    <s v="23/01/2026"/>
    <x v="2"/>
    <s v="7503030202167"/>
    <s v="Dildo hiper realista con ventosa Raul - CXO"/>
    <s v="JUGUETE PROPIO"/>
    <s v="CXO"/>
    <n v="1"/>
    <n v="1525.86"/>
  </r>
  <r>
    <x v="1"/>
    <s v="23/01/2026"/>
    <x v="2"/>
    <s v="7503020202214"/>
    <s v="Dildo realista con ventosa y testiculos Eddy - CXO"/>
    <s v="JUGUETE PROPIO"/>
    <s v="CXO"/>
    <n v="1"/>
    <n v="948.28"/>
  </r>
  <r>
    <x v="1"/>
    <s v="23/01/2026"/>
    <x v="2"/>
    <s v="6959633156926"/>
    <s v="Kit Vibrador Phoenix Neo  +  BDSM Edición Limitada- Svakom"/>
    <s v="JUGUETE"/>
    <s v="SVAKOM"/>
    <n v="1"/>
    <n v="5603.45"/>
  </r>
  <r>
    <x v="1"/>
    <s v="23/01/2026"/>
    <x v="2"/>
    <s v="7503043917012"/>
    <s v="Liquid Love Backdoor 30ml - DUSA"/>
    <s v="CONSUMIBLE PROPIO"/>
    <s v="DUSA"/>
    <n v="3"/>
    <n v="905.16000000000008"/>
  </r>
  <r>
    <x v="1"/>
    <s v="23/01/2026"/>
    <x v="2"/>
    <s v="7503013378645"/>
    <s v="Liquid Love Pleasure 100ml - DUSA"/>
    <s v="CONSUMIBLE PROPIO"/>
    <s v="DUSA"/>
    <n v="3"/>
    <n v="2327.58"/>
  </r>
  <r>
    <x v="1"/>
    <s v="23/01/2026"/>
    <x v="2"/>
    <s v="7503020310116"/>
    <s v="Panty vibrador con control remoto rosa Celi - CXO"/>
    <s v="JUGUETE PROPIO"/>
    <s v="CXO"/>
    <n v="1"/>
    <n v="1681.03"/>
  </r>
  <r>
    <x v="1"/>
    <s v="23/01/2026"/>
    <x v="2"/>
    <s v="7503013378690"/>
    <s v="Shumatsu 3 pzas - DUSA"/>
    <s v="CONSUMIBLE PROPIO"/>
    <s v="DUSA"/>
    <n v="1"/>
    <n v="577.59"/>
  </r>
  <r>
    <x v="1"/>
    <s v="23/01/2026"/>
    <x v="2"/>
    <s v="7503020596063"/>
    <s v="Stallion Regenerador - DUSA"/>
    <s v="CONSUMIBLE PROPIO"/>
    <s v="DUSA"/>
    <n v="1"/>
    <n v="1293.0999999999999"/>
  </r>
  <r>
    <x v="1"/>
    <s v="23/01/2026"/>
    <x v="2"/>
    <s v="7503020104080"/>
    <s v="Vibrador multiorgásmico con doble motor y estimulador de conejito Ara – CXO"/>
    <s v="JUGUETE PROPIO"/>
    <s v="CXO"/>
    <n v="1"/>
    <n v="2163.79"/>
  </r>
  <r>
    <x v="1"/>
    <s v="24/01/2026"/>
    <x v="2"/>
    <s v="7503014914002"/>
    <s v="CAPSULAS MULTIORGASMICO AMO O-GEN"/>
    <s v="CONSUMIBLE"/>
    <s v="POWER MAN"/>
    <n v="1"/>
    <n v="431.04"/>
  </r>
  <r>
    <x v="1"/>
    <s v="24/01/2026"/>
    <x v="2"/>
    <s v="7503013378645"/>
    <s v="Liquid Love Pleasure 100ml - DUSA"/>
    <s v="CONSUMIBLE PROPIO"/>
    <s v="DUSA"/>
    <n v="1"/>
    <n v="775.86"/>
  </r>
  <r>
    <x v="1"/>
    <s v="24/01/2026"/>
    <x v="2"/>
    <s v="7503024256192"/>
    <s v="Shot Shumatsu Fun Mujer - DUSA"/>
    <s v="CONSUMIBLE PROPIO"/>
    <s v="DUSA"/>
    <n v="2"/>
    <n v="344.82"/>
  </r>
  <r>
    <x v="1"/>
    <s v="24/01/2026"/>
    <x v="2"/>
    <s v="7503013378690"/>
    <s v="Shumatsu 3 pzas - DUSA"/>
    <s v="CONSUMIBLE PROPIO"/>
    <s v="DUSA"/>
    <n v="1"/>
    <n v="577.59"/>
  </r>
  <r>
    <x v="1"/>
    <s v="24/01/2026"/>
    <x v="2"/>
    <s v="7503043917173"/>
    <s v="Vibrador Abbie morado - CXO"/>
    <s v="JUGUETE PROPIO"/>
    <s v="CXO"/>
    <n v="1"/>
    <n v="2413.79"/>
  </r>
  <r>
    <x v="1"/>
    <s v="24/01/2026"/>
    <x v="2"/>
    <s v="7503020104212"/>
    <s v="Vibrador multiorgasmico con aleta estimuladora Megan - CXO"/>
    <s v="JUGUETE PROPIO"/>
    <s v="CXO"/>
    <n v="1"/>
    <n v="2413.79"/>
  </r>
  <r>
    <x v="1"/>
    <s v="25/01/2026"/>
    <x v="2"/>
    <s v="7503013378492"/>
    <s v="Clean Whisper 120ml - DUSA"/>
    <s v="CONSUMIBLE PROPIO"/>
    <s v="DUSA"/>
    <n v="1"/>
    <n v="301.72000000000003"/>
  </r>
  <r>
    <x v="1"/>
    <s v="25/01/2026"/>
    <x v="2"/>
    <s v="7503043917005"/>
    <s v="Liquid Love Clear 30ml - DUSA"/>
    <s v="CONSUMIBLE PROPIO"/>
    <s v="DUSA"/>
    <n v="1"/>
    <n v="301.72000000000003"/>
  </r>
  <r>
    <x v="1"/>
    <s v="25/01/2026"/>
    <x v="2"/>
    <s v="7503050524241"/>
    <s v="Orgasmik 30ml - DUSA"/>
    <s v="CONSUMIBLE PROPIO"/>
    <s v="DUSA"/>
    <n v="1"/>
    <n v="431.03"/>
  </r>
  <r>
    <x v="1"/>
    <s v="25/01/2026"/>
    <x v="2"/>
    <s v="7503020596957"/>
    <s v="Shot Shumatsu Fun Hombre - DUSA"/>
    <s v="CONSUMIBLE PROPIO"/>
    <s v="DUSA"/>
    <n v="1"/>
    <n v="172.41"/>
  </r>
  <r>
    <x v="1"/>
    <s v="25/01/2026"/>
    <x v="2"/>
    <s v="7503024256192"/>
    <s v="Shot Shumatsu Fun Mujer - DUSA"/>
    <s v="CONSUMIBLE PROPIO"/>
    <s v="DUSA"/>
    <n v="1"/>
    <n v="172.41"/>
  </r>
  <r>
    <x v="1"/>
    <s v="25/01/2026"/>
    <x v="2"/>
    <s v="7503013378690"/>
    <s v="Shumatsu 3 pzas - DUSA"/>
    <s v="CONSUMIBLE PROPIO"/>
    <s v="DUSA"/>
    <n v="1"/>
    <n v="577.59"/>
  </r>
  <r>
    <x v="1"/>
    <s v="25/01/2026"/>
    <x v="2"/>
    <s v="7503010217045"/>
    <s v="Vela para masaje red love - DUSA"/>
    <s v="CONSUMIBLE PROPIO"/>
    <s v="DUSA"/>
    <n v="1"/>
    <n v="241.38"/>
  </r>
  <r>
    <x v="2"/>
    <s v="19/01/2026"/>
    <x v="3"/>
    <s v="7503020111072"/>
    <s v="Anillo vibrador recargable con textura negra Hank - CXO"/>
    <s v="JUGUETE PROPIO"/>
    <s v="CXO"/>
    <n v="1"/>
    <n v="1267.24"/>
  </r>
  <r>
    <x v="2"/>
    <s v="19/01/2026"/>
    <x v="3"/>
    <s v="7503013378492"/>
    <s v="Clean Whisper 120ml - DUSA"/>
    <s v="CONSUMIBLE PROPIO"/>
    <s v="DUSA"/>
    <n v="1"/>
    <n v="301.72000000000003"/>
  </r>
  <r>
    <x v="2"/>
    <s v="19/01/2026"/>
    <x v="3"/>
    <s v="7503043917012"/>
    <s v="Liquid Love Backdoor 30ml - DUSA"/>
    <s v="CONSUMIBLE PROPIO"/>
    <s v="DUSA"/>
    <n v="1"/>
    <n v="301.72000000000003"/>
  </r>
  <r>
    <x v="2"/>
    <s v="19/01/2026"/>
    <x v="3"/>
    <s v="7503020596001"/>
    <s v="Liquid Love Clear 100ml - DUSA"/>
    <s v="CONSUMIBLE PROPIO"/>
    <s v="DUSA"/>
    <n v="1"/>
    <n v="775.86"/>
  </r>
  <r>
    <x v="2"/>
    <s v="19/01/2026"/>
    <x v="3"/>
    <s v="7503013378645"/>
    <s v="Liquid Love Pleasure 100ml - DUSA"/>
    <s v="CONSUMIBLE PROPIO"/>
    <s v="DUSA"/>
    <n v="1"/>
    <n v="775.86"/>
  </r>
  <r>
    <x v="2"/>
    <s v="19/01/2026"/>
    <x v="3"/>
    <s v="USK-V11"/>
    <s v="Multiorgasmico con Lenguita Ceci - CXO"/>
    <s v="JUGUETE PROPIO"/>
    <s v="CXO"/>
    <n v="1"/>
    <n v="2474.14"/>
  </r>
  <r>
    <x v="2"/>
    <s v="19/01/2026"/>
    <x v="3"/>
    <s v="7503013378690"/>
    <s v="Shumatsu 3 pzas - DUSA"/>
    <s v="CONSUMIBLE PROPIO"/>
    <s v="DUSA"/>
    <n v="1"/>
    <n v="577.59"/>
  </r>
  <r>
    <x v="2"/>
    <s v="20/01/2026"/>
    <x v="3"/>
    <s v="7503050524340"/>
    <s v="Ducha Felix S - CXO"/>
    <s v="JUGUETE PROPIO"/>
    <s v="CXO"/>
    <n v="1"/>
    <n v="612.07000000000005"/>
  </r>
  <r>
    <x v="2"/>
    <s v="20/01/2026"/>
    <x v="3"/>
    <s v="7503043917012"/>
    <s v="Liquid Love Backdoor 30ml - DUSA"/>
    <s v="CONSUMIBLE PROPIO"/>
    <s v="DUSA"/>
    <n v="1"/>
    <n v="301.72000000000003"/>
  </r>
  <r>
    <x v="2"/>
    <s v="20/01/2026"/>
    <x v="3"/>
    <s v="7503023462235"/>
    <s v="Lubricante Masaje Térmico Comestible Piña Colada FEEL LOVE 4 en 1 - 60ml"/>
    <s v="LUBRICANTE"/>
    <s v="FEEL LOVE"/>
    <n v="2"/>
    <n v="689.66"/>
  </r>
  <r>
    <x v="2"/>
    <s v="20/01/2026"/>
    <x v="3"/>
    <s v="7503013378690"/>
    <s v="Shumatsu 3 pzas - DUSA"/>
    <s v="CONSUMIBLE PROPIO"/>
    <s v="DUSA"/>
    <n v="1"/>
    <n v="577.59"/>
  </r>
  <r>
    <x v="2"/>
    <s v="20/01/2026"/>
    <x v="3"/>
    <s v="4061504007359"/>
    <s v="Succionador Pingüino - Satisfayer"/>
    <s v="JUGUETE"/>
    <s v="SATISFAYER"/>
    <n v="1"/>
    <n v="1379.31"/>
  </r>
  <r>
    <x v="2"/>
    <s v="21/01/2026"/>
    <x v="3"/>
    <s v="7503020202214"/>
    <s v="Dildo realista con ventosa y testiculos Eddy - CXO"/>
    <s v="JUGUETE PROPIO"/>
    <s v="CXO"/>
    <n v="1"/>
    <n v="948.28"/>
  </r>
  <r>
    <x v="2"/>
    <s v="22/01/2026"/>
    <x v="3"/>
    <s v="7502214980053"/>
    <s v="CONDON TRUST NATURAL CON 3 MAQ - PRUDENCE"/>
    <s v="CONSUMIBLE"/>
    <s v="PRUDENCE"/>
    <n v="1"/>
    <n v="77.59"/>
  </r>
  <r>
    <x v="2"/>
    <s v="22/01/2026"/>
    <x v="3"/>
    <s v="CON01CH015008L"/>
    <s v="Conjunto Ale L lila"/>
    <s v="LENCERIA"/>
    <s v="OLA MOU"/>
    <n v="1"/>
    <n v="599.14"/>
  </r>
  <r>
    <x v="2"/>
    <s v="22/01/2026"/>
    <x v="3"/>
    <s v="7503020202214"/>
    <s v="Dildo realista con ventosa y testiculos Eddy - CXO"/>
    <s v="JUGUETE PROPIO"/>
    <s v="CXO"/>
    <n v="1"/>
    <n v="948.28"/>
  </r>
  <r>
    <x v="2"/>
    <s v="22/01/2026"/>
    <x v="3"/>
    <s v="7503013378010"/>
    <s v="Rigidex 2 pzas - DUSA"/>
    <s v="CONSUMIBLE PROPIO"/>
    <s v="DUSA"/>
    <n v="1"/>
    <n v="431.03"/>
  </r>
  <r>
    <x v="2"/>
    <s v="22/01/2026"/>
    <x v="3"/>
    <s v="7503013378690"/>
    <s v="Shumatsu 3 pzas - DUSA"/>
    <s v="CONSUMIBLE PROPIO"/>
    <s v="DUSA"/>
    <n v="2"/>
    <n v="1155.18"/>
  </r>
  <r>
    <x v="2"/>
    <s v="22/01/2026"/>
    <x v="3"/>
    <s v="4061504051604"/>
    <s v="Succionador Cutie Heart - Satisfayer"/>
    <s v="JUGUETE"/>
    <s v="SATISFAYER"/>
    <n v="1"/>
    <n v="1896.55"/>
  </r>
  <r>
    <x v="2"/>
    <s v="23/01/2026"/>
    <x v="3"/>
    <s v="7502214980053"/>
    <s v="CONDON TRUST NATURAL CON 3 MAQ - PRUDENCE"/>
    <s v="CONSUMIBLE"/>
    <s v="PRUDENCE"/>
    <n v="1"/>
    <n v="77.59"/>
  </r>
  <r>
    <x v="2"/>
    <s v="23/01/2026"/>
    <x v="3"/>
    <s v="7503030207201"/>
    <s v="Funda semi realista para pene Rodolfo - CXO"/>
    <s v="JUGUETE PROPIO"/>
    <s v="CXO"/>
    <n v="1"/>
    <n v="1137.93"/>
  </r>
  <r>
    <x v="2"/>
    <s v="23/01/2026"/>
    <x v="3"/>
    <s v="7503024256154"/>
    <s v="Lubricante Body Surf Termico Cereza DUSA 60ml"/>
    <s v="CONSUMIBLE PROPIO"/>
    <s v="DUSA"/>
    <n v="1"/>
    <n v="387.93"/>
  </r>
  <r>
    <x v="2"/>
    <s v="23/01/2026"/>
    <x v="3"/>
    <s v="75078737"/>
    <s v="Mini Kit Dulces 2 piezas - SXO"/>
    <s v="CONSUMIBLE"/>
    <s v="SXO"/>
    <n v="1"/>
    <n v="120.69"/>
  </r>
  <r>
    <x v="2"/>
    <s v="23/01/2026"/>
    <x v="3"/>
    <s v="7503050226162"/>
    <s v="Plug Anal con Vibración y Control Roberto - CXO"/>
    <s v="JUGUETE PROPIO"/>
    <s v="CXO"/>
    <n v="1"/>
    <n v="1293.0999999999999"/>
  </r>
  <r>
    <x v="2"/>
    <s v="23/01/2026"/>
    <x v="3"/>
    <s v="7503032300856"/>
    <s v="Sachet vibrador liquido 2 ml - BANANA SHAKE"/>
    <s v="CONSUMIBLE"/>
    <s v="BANANA SHAKE"/>
    <n v="1"/>
    <n v="17.239999999999998"/>
  </r>
  <r>
    <x v="2"/>
    <s v="23/01/2026"/>
    <x v="3"/>
    <s v="7503020596957"/>
    <s v="Shot Shumatsu Fun Hombre - DUSA"/>
    <s v="CONSUMIBLE PROPIO"/>
    <s v="DUSA"/>
    <n v="1"/>
    <n v="172.41"/>
  </r>
  <r>
    <x v="2"/>
    <s v="23/01/2026"/>
    <x v="3"/>
    <s v="7503024256192"/>
    <s v="Shot Shumatsu Fun Mujer - DUSA"/>
    <s v="CONSUMIBLE PROPIO"/>
    <s v="DUSA"/>
    <n v="2"/>
    <n v="344.82"/>
  </r>
  <r>
    <x v="2"/>
    <s v="23/01/2026"/>
    <x v="3"/>
    <s v="7503013378690"/>
    <s v="Shumatsu 3 pzas - DUSA"/>
    <s v="CONSUMIBLE PROPIO"/>
    <s v="DUSA"/>
    <n v="2"/>
    <n v="1155.18"/>
  </r>
  <r>
    <x v="2"/>
    <s v="24/01/2026"/>
    <x v="1"/>
    <s v="7503043917005"/>
    <s v="Liquid Love Clear 30ml - DUSA"/>
    <s v="CONSUMIBLE PROPIO"/>
    <s v="DUSA"/>
    <n v="1"/>
    <n v="301.72000000000003"/>
  </r>
  <r>
    <x v="2"/>
    <s v="24/01/2026"/>
    <x v="1"/>
    <s v="7503023462198"/>
    <s v="Lubricante Masaje Térmico Comestible Plátano Excitante FEEL LOVE 4 en 1 - 60ml"/>
    <s v="LUBRICANTE"/>
    <s v="FEEL LOVE"/>
    <n v="1"/>
    <n v="344.83"/>
  </r>
  <r>
    <x v="2"/>
    <s v="24/01/2026"/>
    <x v="1"/>
    <s v="6959633185940"/>
    <s v="Masturbador Hedy X Reaction – SVAKOM"/>
    <s v="JUGUETE"/>
    <s v="SVAKOM"/>
    <n v="1"/>
    <n v="181.03"/>
  </r>
  <r>
    <x v="2"/>
    <s v="24/01/2026"/>
    <x v="1"/>
    <s v="6959633183120"/>
    <s v="Masturbador Hedy X Speed – SVAKOM"/>
    <s v="JUGUETE"/>
    <s v="SVAKOM"/>
    <n v="1"/>
    <n v="181.03"/>
  </r>
  <r>
    <x v="2"/>
    <s v="24/01/2026"/>
    <x v="1"/>
    <s v="75078737"/>
    <s v="Mini Kit Dulces 2 piezas - SXO"/>
    <s v="CONSUMIBLE"/>
    <s v="SXO"/>
    <n v="1"/>
    <n v="120.69"/>
  </r>
  <r>
    <x v="2"/>
    <s v="24/01/2026"/>
    <x v="1"/>
    <s v="7503013378010"/>
    <s v="Rigidex 2 pzas - DUSA"/>
    <s v="CONSUMIBLE PROPIO"/>
    <s v="DUSA"/>
    <n v="2"/>
    <n v="862.07"/>
  </r>
  <r>
    <x v="2"/>
    <s v="24/01/2026"/>
    <x v="1"/>
    <s v="7503020596957"/>
    <s v="Shot Shumatsu Fun Hombre - DUSA"/>
    <s v="CONSUMIBLE PROPIO"/>
    <s v="DUSA"/>
    <n v="1"/>
    <n v="172.41"/>
  </r>
  <r>
    <x v="2"/>
    <s v="24/01/2026"/>
    <x v="1"/>
    <s v="7503024256192"/>
    <s v="Shot Shumatsu Fun Mujer - DUSA"/>
    <s v="CONSUMIBLE PROPIO"/>
    <s v="DUSA"/>
    <n v="1"/>
    <n v="172.41"/>
  </r>
  <r>
    <x v="2"/>
    <s v="24/01/2026"/>
    <x v="1"/>
    <s v="7503013378690"/>
    <s v="Shumatsu 3 pzas - DUSA"/>
    <s v="CONSUMIBLE PROPIO"/>
    <s v="DUSA"/>
    <n v="2"/>
    <n v="1155.18"/>
  </r>
  <r>
    <x v="2"/>
    <s v="25/01/2026"/>
    <x v="3"/>
    <s v="7503013378799"/>
    <s v="Lubricante Body Surf Termico Citricos DUSA 60ml"/>
    <s v="CONSUMIBLE PROPIO"/>
    <s v="DUSA"/>
    <n v="1"/>
    <n v="387.93"/>
  </r>
  <r>
    <x v="3"/>
    <s v="19/01/2026"/>
    <x v="4"/>
    <s v="7503013378492"/>
    <s v="Clean Whisper 120ml - DUSA"/>
    <s v="CONSUMIBLE PROPIO"/>
    <s v="DUSA"/>
    <n v="1"/>
    <n v="301.72000000000003"/>
  </r>
  <r>
    <x v="3"/>
    <s v="19/01/2026"/>
    <x v="4"/>
    <s v="7503030202167"/>
    <s v="Dildo hiper realista con ventosa Raul - CXO"/>
    <s v="JUGUETE PROPIO"/>
    <s v="CXO"/>
    <n v="1"/>
    <n v="1525.86"/>
  </r>
  <r>
    <x v="3"/>
    <s v="19/01/2026"/>
    <x v="4"/>
    <s v="7503043917012"/>
    <s v="Liquid Love Backdoor 30ml - DUSA"/>
    <s v="CONSUMIBLE PROPIO"/>
    <s v="DUSA"/>
    <n v="1"/>
    <n v="301.72000000000003"/>
  </r>
  <r>
    <x v="3"/>
    <s v="19/01/2026"/>
    <x v="4"/>
    <s v="7503043917005"/>
    <s v="Liquid Love Clear 30ml - DUSA"/>
    <s v="CONSUMIBLE PROPIO"/>
    <s v="DUSA"/>
    <n v="1"/>
    <n v="301.72000000000003"/>
  </r>
  <r>
    <x v="3"/>
    <s v="19/01/2026"/>
    <x v="4"/>
    <s v="7503032300993"/>
    <s v="Liquid Love Pleasure 30ml - DUSA"/>
    <s v="CONSUMIBLE PROPIO"/>
    <s v="DUSA"/>
    <n v="1"/>
    <n v="301.72000000000003"/>
  </r>
  <r>
    <x v="3"/>
    <s v="19/01/2026"/>
    <x v="4"/>
    <s v="7503024256154"/>
    <s v="Lubricante Body Surf Termico Cereza DUSA 60ml"/>
    <s v="CONSUMIBLE PROPIO"/>
    <s v="DUSA"/>
    <n v="1"/>
    <n v="387.93"/>
  </r>
  <r>
    <x v="3"/>
    <s v="19/01/2026"/>
    <x v="4"/>
    <s v="7503013378256"/>
    <s v="Sammy - CXO"/>
    <s v="JUGUETE PROPIO"/>
    <s v="CXO"/>
    <n v="1"/>
    <n v="1551.72"/>
  </r>
  <r>
    <x v="3"/>
    <s v="19/01/2026"/>
    <x v="4"/>
    <s v="7503020596957"/>
    <s v="Shot Shumatsu Fun Hombre - DUSA"/>
    <s v="CONSUMIBLE PROPIO"/>
    <s v="DUSA"/>
    <n v="1"/>
    <n v="172.41"/>
  </r>
  <r>
    <x v="3"/>
    <s v="19/01/2026"/>
    <x v="4"/>
    <s v="7503024256192"/>
    <s v="Shot Shumatsu Fun Mujer - DUSA"/>
    <s v="CONSUMIBLE PROPIO"/>
    <s v="DUSA"/>
    <n v="2"/>
    <n v="344.82"/>
  </r>
  <r>
    <x v="3"/>
    <s v="19/01/2026"/>
    <x v="4"/>
    <s v="7503013378690"/>
    <s v="Shumatsu 3 pzas - DUSA"/>
    <s v="CONSUMIBLE PROPIO"/>
    <s v="DUSA"/>
    <n v="1"/>
    <n v="577.59"/>
  </r>
  <r>
    <x v="3"/>
    <s v="19/01/2026"/>
    <x v="4"/>
    <s v="7503020596063"/>
    <s v="Stallion Regenerador - DUSA"/>
    <s v="CONSUMIBLE PROPIO"/>
    <s v="DUSA"/>
    <n v="1"/>
    <n v="1293.0999999999999"/>
  </r>
  <r>
    <x v="3"/>
    <s v="19/01/2026"/>
    <x v="4"/>
    <s v="7503020104212"/>
    <s v="Vibrador multiorgasmico con aleta estimuladora Megan - CXO"/>
    <s v="JUGUETE PROPIO"/>
    <s v="CXO"/>
    <n v="1"/>
    <n v="2413.79"/>
  </r>
  <r>
    <x v="3"/>
    <s v="20/01/2026"/>
    <x v="4"/>
    <s v="7503030207201"/>
    <s v="Funda semi realista para pene Rodolfo - CXO"/>
    <s v="JUGUETE PROPIO"/>
    <s v="CXO"/>
    <n v="1"/>
    <n v="1137.93"/>
  </r>
  <r>
    <x v="3"/>
    <s v="20/01/2026"/>
    <x v="4"/>
    <s v="7503032300993"/>
    <s v="Liquid Love Pleasure 30ml - DUSA"/>
    <s v="CONSUMIBLE PROPIO"/>
    <s v="DUSA"/>
    <n v="2"/>
    <n v="603.44000000000005"/>
  </r>
  <r>
    <x v="3"/>
    <s v="20/01/2026"/>
    <x v="4"/>
    <s v="7503013378799"/>
    <s v="Lubricante Body Surf Termico Citricos DUSA 60ml"/>
    <s v="CONSUMIBLE PROPIO"/>
    <s v="DUSA"/>
    <n v="1"/>
    <n v="387.93"/>
  </r>
  <r>
    <x v="3"/>
    <s v="20/01/2026"/>
    <x v="4"/>
    <s v="7503032300856"/>
    <s v="Sachet vibrador liquido 2 ml - BANANA SHAKE"/>
    <s v="CONSUMIBLE"/>
    <s v="BANANA SHAKE"/>
    <n v="5"/>
    <n v="86.2"/>
  </r>
  <r>
    <x v="3"/>
    <s v="20/01/2026"/>
    <x v="4"/>
    <s v="7503020104212"/>
    <s v="Vibrador multiorgasmico con aleta estimuladora Megan - CXO"/>
    <s v="JUGUETE PROPIO"/>
    <s v="CXO"/>
    <n v="1"/>
    <n v="2413.79"/>
  </r>
  <r>
    <x v="3"/>
    <s v="21/01/2026"/>
    <x v="4"/>
    <s v="CON01CH007003XL"/>
    <s v="Conjunto Gina XL negro"/>
    <s v="LENCERIA"/>
    <s v="OLA MOU"/>
    <n v="1"/>
    <n v="655.16999999999996"/>
  </r>
  <r>
    <x v="3"/>
    <s v="21/01/2026"/>
    <x v="4"/>
    <s v="7503050524265"/>
    <s v="He Plus 30ml - DUSA"/>
    <s v="CONSUMIBLE PROPIO"/>
    <s v="DUSA"/>
    <n v="1"/>
    <n v="431.03"/>
  </r>
  <r>
    <x v="3"/>
    <s v="21/01/2026"/>
    <x v="4"/>
    <s v="P07-00252"/>
    <s v="Huevito Vibrador con Lenguita Estimuladora de Clitoris Rosy - CXO"/>
    <s v="JUGUETE PROPIO"/>
    <s v="CXO"/>
    <n v="1"/>
    <n v="2672.41"/>
  </r>
  <r>
    <x v="3"/>
    <s v="21/01/2026"/>
    <x v="4"/>
    <s v="7503013378645"/>
    <s v="Liquid Love Pleasure 100ml - DUSA"/>
    <s v="CONSUMIBLE PROPIO"/>
    <s v="DUSA"/>
    <n v="1"/>
    <n v="775.86"/>
  </r>
  <r>
    <x v="3"/>
    <s v="21/01/2026"/>
    <x v="4"/>
    <s v="SC258C01"/>
    <s v="Multiorgasmico dual con estimulador de clitoris 360 con 10 modos Dany - CXO"/>
    <s v="JUGUETE PROPIO"/>
    <s v="CXO"/>
    <n v="1"/>
    <n v="3017.24"/>
  </r>
  <r>
    <x v="3"/>
    <s v="22/01/2026"/>
    <x v="4"/>
    <s v="7503013378492"/>
    <s v="Clean Whisper 120ml - DUSA"/>
    <s v="CONSUMIBLE PROPIO"/>
    <s v="DUSA"/>
    <n v="1"/>
    <n v="301.72000000000003"/>
  </r>
  <r>
    <x v="3"/>
    <s v="22/01/2026"/>
    <x v="4"/>
    <s v="7503030102198"/>
    <s v="Dildo realista vibrador con ventosa Ulises - CXO"/>
    <s v="JUGUETE PROPIO"/>
    <s v="CXO"/>
    <n v="1"/>
    <n v="2000"/>
  </r>
  <r>
    <x v="3"/>
    <s v="22/01/2026"/>
    <x v="4"/>
    <s v="5060170970560"/>
    <s v="G KII MORE G-SPOT VIBRADOR LILAC"/>
    <s v="JUGUETE"/>
    <s v="JE JOUE"/>
    <n v="1"/>
    <n v="1547.41"/>
  </r>
  <r>
    <x v="3"/>
    <s v="22/01/2026"/>
    <x v="4"/>
    <s v="7503032300627"/>
    <s v="Kevin - CXO"/>
    <s v="JUGUETE PROPIO"/>
    <s v="CXO"/>
    <n v="1"/>
    <n v="775.86"/>
  </r>
  <r>
    <x v="3"/>
    <s v="22/01/2026"/>
    <x v="4"/>
    <s v="7503032300993"/>
    <s v="Liquid Love Pleasure 30ml - DUSA"/>
    <s v="CONSUMIBLE PROPIO"/>
    <s v="DUSA"/>
    <n v="1"/>
    <n v="301.72000000000003"/>
  </r>
  <r>
    <x v="3"/>
    <s v="22/01/2026"/>
    <x v="4"/>
    <s v="7503024256154"/>
    <s v="Lubricante Body Surf Termico Cereza DUSA 60ml"/>
    <s v="CONSUMIBLE PROPIO"/>
    <s v="DUSA"/>
    <n v="1"/>
    <n v="387.93"/>
  </r>
  <r>
    <x v="3"/>
    <s v="22/01/2026"/>
    <x v="4"/>
    <s v="827160100773"/>
    <s v="Lubricante original super concentrated 100 ml - PJUR"/>
    <s v="CONSUMIBLE"/>
    <s v="PJUR"/>
    <n v="1"/>
    <n v="775.86"/>
  </r>
  <r>
    <x v="3"/>
    <s v="22/01/2026"/>
    <x v="4"/>
    <s v="7503013378690"/>
    <s v="Shumatsu 3 pzas - DUSA"/>
    <s v="CONSUMIBLE PROPIO"/>
    <s v="DUSA"/>
    <n v="2"/>
    <n v="1155.18"/>
  </r>
  <r>
    <x v="3"/>
    <s v="23/01/2026"/>
    <x v="4"/>
    <s v="AC1858SC0WB"/>
    <s v="Multiorgasmico Triple Vibracion extension telescopica y  Movimiento de Lengua - CXO"/>
    <s v="JUGUETE PROPIO"/>
    <s v="CXO"/>
    <n v="1"/>
    <n v="2224.14"/>
  </r>
  <r>
    <x v="3"/>
    <s v="23/01/2026"/>
    <x v="4"/>
    <s v="7503020596957"/>
    <s v="Shot Shumatsu Fun Hombre - DUSA"/>
    <s v="CONSUMIBLE PROPIO"/>
    <s v="DUSA"/>
    <n v="1"/>
    <n v="172.41"/>
  </r>
  <r>
    <x v="3"/>
    <s v="23/01/2026"/>
    <x v="4"/>
    <s v="7503013378690"/>
    <s v="Shumatsu 3 pzas - DUSA"/>
    <s v="CONSUMIBLE PROPIO"/>
    <s v="DUSA"/>
    <n v="1"/>
    <n v="577.59"/>
  </r>
  <r>
    <x v="3"/>
    <s v="24/01/2026"/>
    <x v="4"/>
    <s v="7503013378492"/>
    <s v="Clean Whisper 120ml - DUSA"/>
    <s v="CONSUMIBLE PROPIO"/>
    <s v="DUSA"/>
    <n v="1"/>
    <n v="301.72000000000003"/>
  </r>
  <r>
    <x v="3"/>
    <s v="24/01/2026"/>
    <x v="4"/>
    <s v="7503032300733"/>
    <s v="Colette lila - CXO"/>
    <s v="JUGUETE PROPIO"/>
    <s v="CXO"/>
    <n v="1"/>
    <n v="1293.0999999999999"/>
  </r>
  <r>
    <x v="3"/>
    <s v="24/01/2026"/>
    <x v="4"/>
    <s v="7503013378287"/>
    <s v="Colette rosa - CXO"/>
    <s v="JUGUETE PROPIO"/>
    <s v="CXO"/>
    <n v="1"/>
    <n v="1293.0999999999999"/>
  </r>
  <r>
    <x v="3"/>
    <s v="24/01/2026"/>
    <x v="4"/>
    <s v="7502214985805"/>
    <s v="CONDON PRUDENCE VETE A LA VERSH  C/3"/>
    <s v="CONSUMIBLE"/>
    <s v="PRUDENCE"/>
    <n v="1"/>
    <n v="77.59"/>
  </r>
  <r>
    <x v="3"/>
    <s v="24/01/2026"/>
    <x v="4"/>
    <s v="7503013378904"/>
    <s v="Dildo Mr. Hernandez - CXO"/>
    <s v="JUGUETE PROPIO"/>
    <s v="CXO"/>
    <n v="1"/>
    <n v="517.24"/>
  </r>
  <r>
    <x v="3"/>
    <s v="24/01/2026"/>
    <x v="4"/>
    <s v="7503030102198"/>
    <s v="Dildo realista vibrador con ventosa Ulises - CXO"/>
    <s v="JUGUETE PROPIO"/>
    <s v="CXO"/>
    <n v="1"/>
    <n v="2000"/>
  </r>
  <r>
    <x v="3"/>
    <s v="24/01/2026"/>
    <x v="4"/>
    <s v="7503030102034"/>
    <s v="Dildo vibrador con control Anthony - CXO"/>
    <s v="JUGUETE PROPIO"/>
    <s v="CXO"/>
    <n v="1"/>
    <n v="2112.0700000000002"/>
  </r>
  <r>
    <x v="3"/>
    <s v="24/01/2026"/>
    <x v="4"/>
    <s v="7503020220077"/>
    <s v="Juego de mesa sensual para parejas – CXO"/>
    <s v="JUGUETE PROPIO"/>
    <s v="CXO"/>
    <n v="1"/>
    <n v="637.92999999999995"/>
  </r>
  <r>
    <x v="3"/>
    <s v="24/01/2026"/>
    <x v="4"/>
    <s v="4251460601320"/>
    <s v="Juke anillo vibrador azul - ROMP"/>
    <s v="JUGUETE"/>
    <s v="ROMP"/>
    <n v="1"/>
    <n v="1508.62"/>
  </r>
  <r>
    <x v="3"/>
    <s v="24/01/2026"/>
    <x v="4"/>
    <s v="7503032300627"/>
    <s v="Kevin - CXO"/>
    <s v="JUGUETE PROPIO"/>
    <s v="CXO"/>
    <n v="1"/>
    <n v="775.86"/>
  </r>
  <r>
    <x v="3"/>
    <s v="24/01/2026"/>
    <x v="4"/>
    <s v="760299031092"/>
    <s v="LIGUERO GARTERBELT AND THONG NEGRO 90060"/>
    <s v="LENCERIA"/>
    <s v="HOT"/>
    <n v="1"/>
    <n v="271.55"/>
  </r>
  <r>
    <x v="3"/>
    <s v="24/01/2026"/>
    <x v="4"/>
    <s v="7503043917005"/>
    <s v="Liquid Love Clear 30ml - DUSA"/>
    <s v="CONSUMIBLE PROPIO"/>
    <s v="DUSA"/>
    <n v="1"/>
    <n v="301.72000000000003"/>
  </r>
  <r>
    <x v="3"/>
    <s v="24/01/2026"/>
    <x v="4"/>
    <s v="7503013378645"/>
    <s v="Liquid Love Pleasure 100ml - DUSA"/>
    <s v="CONSUMIBLE PROPIO"/>
    <s v="DUSA"/>
    <n v="1"/>
    <n v="775.86"/>
  </r>
  <r>
    <x v="3"/>
    <s v="24/01/2026"/>
    <x v="4"/>
    <s v="75078737"/>
    <s v="Mini Kit Dulces 2 piezas - SXO"/>
    <s v="CONSUMIBLE"/>
    <s v="SXO"/>
    <n v="1"/>
    <n v="120.69"/>
  </r>
  <r>
    <x v="3"/>
    <s v="24/01/2026"/>
    <x v="4"/>
    <s v="7500635214818"/>
    <s v="PANTY EN ENCAJE ABIERTA NEGRO 1481"/>
    <s v="LENCERIA"/>
    <s v="CHRISLIFERBRA"/>
    <n v="1"/>
    <n v="120.69"/>
  </r>
  <r>
    <x v="3"/>
    <s v="24/01/2026"/>
    <x v="4"/>
    <s v="7503020310116"/>
    <s v="Panty vibrador con control remoto rosa Celi - CXO"/>
    <s v="JUGUETE PROPIO"/>
    <s v="CXO"/>
    <n v="1"/>
    <n v="1681.03"/>
  </r>
  <r>
    <x v="3"/>
    <s v="24/01/2026"/>
    <x v="4"/>
    <s v="7503013378010"/>
    <s v="Rigidex 2 pzas - DUSA"/>
    <s v="CONSUMIBLE PROPIO"/>
    <s v="DUSA"/>
    <n v="1"/>
    <n v="431.03"/>
  </r>
  <r>
    <x v="3"/>
    <s v="24/01/2026"/>
    <x v="4"/>
    <s v="7503032300795"/>
    <s v="Sachet lubricante desensibilizador 2 ml - BANANA SHAKE"/>
    <s v="CONSUMIBLE"/>
    <s v="BANANA SHAKE"/>
    <n v="1"/>
    <n v="21.55"/>
  </r>
  <r>
    <x v="3"/>
    <s v="24/01/2026"/>
    <x v="4"/>
    <s v="7503020596957"/>
    <s v="Shot Shumatsu Fun Hombre - DUSA"/>
    <s v="CONSUMIBLE PROPIO"/>
    <s v="DUSA"/>
    <n v="3"/>
    <n v="517.23"/>
  </r>
  <r>
    <x v="3"/>
    <s v="24/01/2026"/>
    <x v="4"/>
    <s v="7503024256192"/>
    <s v="Shot Shumatsu Fun Mujer - DUSA"/>
    <s v="CONSUMIBLE PROPIO"/>
    <s v="DUSA"/>
    <n v="1"/>
    <n v="172.41"/>
  </r>
  <r>
    <x v="3"/>
    <s v="24/01/2026"/>
    <x v="4"/>
    <s v="7503013378690"/>
    <s v="Shumatsu 3 pzas - DUSA"/>
    <s v="CONSUMIBLE PROPIO"/>
    <s v="DUSA"/>
    <n v="2"/>
    <n v="1155.18"/>
  </r>
  <r>
    <x v="3"/>
    <s v="25/01/2026"/>
    <x v="5"/>
    <s v="7503043917081"/>
    <s v="Blade rosa anillo vibrador - CXO"/>
    <s v="JUGUETE PROPIO"/>
    <s v="CXO"/>
    <n v="2"/>
    <n v="163.80000000000001"/>
  </r>
  <r>
    <x v="3"/>
    <s v="25/01/2026"/>
    <x v="5"/>
    <s v="7503020420814"/>
    <s v="Bomba de vacio manual Noah - CXO"/>
    <s v="JUGUETE PROPIO"/>
    <s v="CXO"/>
    <n v="1"/>
    <n v="818.97"/>
  </r>
  <r>
    <x v="3"/>
    <s v="25/01/2026"/>
    <x v="5"/>
    <s v="7502214982514"/>
    <s v="Condon Chocolate 3 pzs - PRUDENCE"/>
    <s v="CONSUMIBLE"/>
    <s v="PRUDENCE"/>
    <n v="1"/>
    <n v="60.34"/>
  </r>
  <r>
    <x v="3"/>
    <s v="25/01/2026"/>
    <x v="5"/>
    <s v="7502214980077"/>
    <s v="CONDON TRUST FRESA CON 3 MAQ - PRUDENCE"/>
    <s v="CONSUMIBLE"/>
    <s v="PRUDENCE"/>
    <n v="1"/>
    <n v="77.59"/>
  </r>
  <r>
    <x v="3"/>
    <s v="25/01/2026"/>
    <x v="5"/>
    <s v="603912120042"/>
    <s v="Happy Top Tickler funda - PIPEDREAM"/>
    <s v="JUGUETE"/>
    <s v="PIPEDREAM"/>
    <n v="1"/>
    <n v="344.83"/>
  </r>
  <r>
    <x v="3"/>
    <s v="25/01/2026"/>
    <x v="5"/>
    <s v="7503043917562"/>
    <s v="Huevo masturbador stepper - EGG"/>
    <s v="JUGUETE"/>
    <s v="EGG"/>
    <n v="1"/>
    <n v="159.47999999999999"/>
  </r>
  <r>
    <x v="3"/>
    <s v="25/01/2026"/>
    <x v="5"/>
    <s v="7503020220077"/>
    <s v="Juego de mesa sensual para parejas – CXO"/>
    <s v="JUGUETE PROPIO"/>
    <s v="CXO"/>
    <n v="1"/>
    <n v="637.92999999999995"/>
  </r>
  <r>
    <x v="3"/>
    <s v="25/01/2026"/>
    <x v="5"/>
    <s v="7503043917012"/>
    <s v="Liquid Love Backdoor 30ml - DUSA"/>
    <s v="CONSUMIBLE PROPIO"/>
    <s v="DUSA"/>
    <n v="1"/>
    <n v="301.72000000000003"/>
  </r>
  <r>
    <x v="3"/>
    <s v="25/01/2026"/>
    <x v="5"/>
    <s v="7503032300993"/>
    <s v="Liquid Love Pleasure 30ml - DUSA"/>
    <s v="CONSUMIBLE PROPIO"/>
    <s v="DUSA"/>
    <n v="2"/>
    <n v="603.44000000000005"/>
  </r>
  <r>
    <x v="3"/>
    <s v="25/01/2026"/>
    <x v="5"/>
    <s v="7503013378010"/>
    <s v="Rigidex 2 pzas - DUSA"/>
    <s v="CONSUMIBLE PROPIO"/>
    <s v="DUSA"/>
    <n v="3"/>
    <n v="1293.0999999999999"/>
  </r>
  <r>
    <x v="3"/>
    <s v="25/01/2026"/>
    <x v="5"/>
    <s v="7503032300856"/>
    <s v="Sachet vibrador liquido 2 ml - BANANA SHAKE"/>
    <s v="CONSUMIBLE"/>
    <s v="BANANA SHAKE"/>
    <n v="30"/>
    <n v="517.20000000000005"/>
  </r>
  <r>
    <x v="3"/>
    <s v="25/01/2026"/>
    <x v="5"/>
    <s v="7503020596049"/>
    <s v="Sensicool - DUSA"/>
    <s v="CONSUMIBLE PROPIO"/>
    <s v="DUSA"/>
    <n v="1"/>
    <n v="431.03"/>
  </r>
  <r>
    <x v="3"/>
    <s v="25/01/2026"/>
    <x v="5"/>
    <s v="7503020596957"/>
    <s v="Shot Shumatsu Fun Hombre - DUSA"/>
    <s v="CONSUMIBLE PROPIO"/>
    <s v="DUSA"/>
    <n v="2"/>
    <n v="344.82"/>
  </r>
  <r>
    <x v="3"/>
    <s v="25/01/2026"/>
    <x v="5"/>
    <s v="7503024256192"/>
    <s v="Shot Shumatsu Fun Mujer - DUSA"/>
    <s v="CONSUMIBLE PROPIO"/>
    <s v="DUSA"/>
    <n v="2"/>
    <n v="344.82"/>
  </r>
  <r>
    <x v="3"/>
    <s v="25/01/2026"/>
    <x v="5"/>
    <s v="7503013378690"/>
    <s v="Shumatsu 3 pzas - DUSA"/>
    <s v="CONSUMIBLE PROPIO"/>
    <s v="DUSA"/>
    <n v="2"/>
    <n v="1155.18"/>
  </r>
  <r>
    <x v="3"/>
    <s v="25/01/2026"/>
    <x v="5"/>
    <s v="6959633105320"/>
    <s v="Vibrador de Prostata con Calefaccion Vick Neo 2 - SVAKOM"/>
    <s v="JUGUETE"/>
    <s v="SVAKOM"/>
    <n v="1"/>
    <n v="2155.17"/>
  </r>
  <r>
    <x v="3"/>
    <s v="25/01/2026"/>
    <x v="5"/>
    <s v="7503032300443"/>
    <s v="Zoe bala vibradora RETAIL - CXO"/>
    <s v="JUGUETE PROPIO"/>
    <s v="CXO"/>
    <n v="3"/>
    <n v="465.51"/>
  </r>
  <r>
    <x v="4"/>
    <s v="19/01/2026"/>
    <x v="6"/>
    <s v="7503032300825"/>
    <s v="Lubricante Sachet natural 2 ml - BANANA SHAKE"/>
    <s v="CONSUMIBLE"/>
    <s v="BANANA SHAKE"/>
    <n v="1"/>
    <n v="17.239999999999998"/>
  </r>
  <r>
    <x v="4"/>
    <s v="19/01/2026"/>
    <x v="6"/>
    <s v="7503032300856"/>
    <s v="Sachet vibrador liquido 2 ml - BANANA SHAKE"/>
    <s v="CONSUMIBLE"/>
    <s v="BANANA SHAKE"/>
    <n v="1"/>
    <n v="17.239999999999998"/>
  </r>
  <r>
    <x v="4"/>
    <s v="22/01/2026"/>
    <x v="6"/>
    <s v="7503013378409"/>
    <s v="Anillo de Acero Grueso - CXO"/>
    <s v="JUGUETE PROPIO"/>
    <s v="CXO"/>
    <n v="1"/>
    <n v="474.14"/>
  </r>
  <r>
    <x v="4"/>
    <s v="22/01/2026"/>
    <x v="6"/>
    <s v="4032498950020"/>
    <s v="Fun Cup B: uva / Ultramarino - FUN FACTORY"/>
    <s v="JUGUETE"/>
    <s v="FUN FACTORY"/>
    <n v="1"/>
    <n v="913.79"/>
  </r>
  <r>
    <x v="4"/>
    <s v="23/01/2026"/>
    <x v="6"/>
    <s v="7502214982477"/>
    <s v="Condon Fresa 3pzs - PRUDENCE"/>
    <s v="CONSUMIBLE"/>
    <s v="PRUDENCE"/>
    <n v="1"/>
    <n v="60.34"/>
  </r>
  <r>
    <x v="4"/>
    <s v="23/01/2026"/>
    <x v="6"/>
    <s v="7503050524265"/>
    <s v="He Plus 30ml - DUSA"/>
    <s v="CONSUMIBLE PROPIO"/>
    <s v="DUSA"/>
    <n v="1"/>
    <n v="431.03"/>
  </r>
  <r>
    <x v="4"/>
    <s v="23/01/2026"/>
    <x v="6"/>
    <s v="7503032300795"/>
    <s v="Sachet lubricante desensibilizador 2 ml - BANANA SHAKE"/>
    <s v="CONSUMIBLE"/>
    <s v="BANANA SHAKE"/>
    <n v="6"/>
    <n v="129.30000000000001"/>
  </r>
  <r>
    <x v="4"/>
    <s v="23/01/2026"/>
    <x v="6"/>
    <s v="7503032300856"/>
    <s v="Sachet vibrador liquido 2 ml - BANANA SHAKE"/>
    <s v="CONSUMIBLE"/>
    <s v="BANANA SHAKE"/>
    <n v="2"/>
    <n v="34.479999999999997"/>
  </r>
  <r>
    <x v="4"/>
    <s v="23/01/2026"/>
    <x v="6"/>
    <s v="7503020596049"/>
    <s v="Sensicool - DUSA"/>
    <s v="CONSUMIBLE PROPIO"/>
    <s v="DUSA"/>
    <n v="1"/>
    <n v="431.03"/>
  </r>
  <r>
    <x v="4"/>
    <s v="24/01/2026"/>
    <x v="6"/>
    <s v="7503043917081"/>
    <s v="Blade rosa anillo vibrador - CXO"/>
    <s v="JUGUETE PROPIO"/>
    <s v="CXO"/>
    <n v="1"/>
    <n v="81.900000000000006"/>
  </r>
  <r>
    <x v="4"/>
    <s v="24/01/2026"/>
    <x v="6"/>
    <s v="7503030220044"/>
    <s v="Dados con posiciones 2 piezas - CXO"/>
    <s v="JUGUETE PROPIO"/>
    <s v="CXO"/>
    <n v="1"/>
    <n v="77.59"/>
  </r>
  <r>
    <x v="4"/>
    <s v="24/01/2026"/>
    <x v="6"/>
    <s v="7503023462754"/>
    <s v="Fragancia con Feromonas Body Breeze Sexy DIAMANTE Cereza 125ml"/>
    <s v="CONSUMIBLE"/>
    <s v="DIAMANTE"/>
    <n v="1"/>
    <n v="413.79"/>
  </r>
  <r>
    <x v="4"/>
    <s v="24/01/2026"/>
    <x v="6"/>
    <s v="7500464377302"/>
    <s v="Juego de Cartas Salto del Tigre"/>
    <s v="OTRO"/>
    <s v="SALTO DEL TIGRE"/>
    <n v="1"/>
    <n v="297.41000000000003"/>
  </r>
  <r>
    <x v="4"/>
    <s v="24/01/2026"/>
    <x v="6"/>
    <s v="7503013378010"/>
    <s v="Rigidex 2 pzas - DUSA"/>
    <s v="CONSUMIBLE PROPIO"/>
    <s v="DUSA"/>
    <n v="2"/>
    <n v="862.06"/>
  </r>
  <r>
    <x v="4"/>
    <s v="24/01/2026"/>
    <x v="6"/>
    <s v="7503032300795"/>
    <s v="Sachet lubricante desensibilizador 2 ml - BANANA SHAKE"/>
    <s v="CONSUMIBLE"/>
    <s v="BANANA SHAKE"/>
    <n v="1"/>
    <n v="21.55"/>
  </r>
  <r>
    <x v="4"/>
    <s v="24/01/2026"/>
    <x v="6"/>
    <s v="7503032300856"/>
    <s v="Sachet vibrador liquido 2 ml - BANANA SHAKE"/>
    <s v="CONSUMIBLE"/>
    <s v="BANANA SHAKE"/>
    <n v="6"/>
    <n v="103.44"/>
  </r>
  <r>
    <x v="5"/>
    <s v="19/01/2026"/>
    <x v="7"/>
    <s v="7503050524241"/>
    <s v="Orgasmik 30ml - DUSA"/>
    <s v="CONSUMIBLE PROPIO"/>
    <s v="DUSA"/>
    <n v="1"/>
    <n v="431.03"/>
  </r>
  <r>
    <x v="5"/>
    <s v="20/01/2026"/>
    <x v="1"/>
    <s v="7503043917005"/>
    <s v="Liquid Love Clear 30ml - DUSA"/>
    <s v="CONSUMIBLE PROPIO"/>
    <s v="DUSA"/>
    <n v="1"/>
    <n v="301.72000000000003"/>
  </r>
  <r>
    <x v="5"/>
    <s v="20/01/2026"/>
    <x v="1"/>
    <s v="7503050524241"/>
    <s v="Orgasmik 30ml - DUSA"/>
    <s v="CONSUMIBLE PROPIO"/>
    <s v="DUSA"/>
    <n v="1"/>
    <n v="431.03"/>
  </r>
  <r>
    <x v="5"/>
    <s v="20/01/2026"/>
    <x v="1"/>
    <s v="7503013378010"/>
    <s v="Rigidex 2 pzas - DUSA"/>
    <s v="CONSUMIBLE PROPIO"/>
    <s v="DUSA"/>
    <n v="1"/>
    <n v="431.03"/>
  </r>
  <r>
    <x v="5"/>
    <s v="20/01/2026"/>
    <x v="1"/>
    <s v="782421118105"/>
    <s v="The Manhandler 25cm - Doc Johnson"/>
    <s v="JUGUETE"/>
    <s v="DOC JOHNSON"/>
    <n v="1"/>
    <n v="650.86"/>
  </r>
  <r>
    <x v="5"/>
    <s v="21/01/2026"/>
    <x v="7"/>
    <s v="7503020111071"/>
    <s v="Anillo vibrador Hank gris con 10 velocidades – CXO"/>
    <s v="JUGUETE PROPIO"/>
    <s v="CXO"/>
    <n v="1"/>
    <n v="1267.24"/>
  </r>
  <r>
    <x v="5"/>
    <s v="21/01/2026"/>
    <x v="7"/>
    <s v="7503030207201"/>
    <s v="Funda semi realista para pene Rodolfo - CXO"/>
    <s v="JUGUETE PROPIO"/>
    <s v="CXO"/>
    <n v="1"/>
    <n v="1137.93"/>
  </r>
  <r>
    <x v="5"/>
    <s v="21/01/2026"/>
    <x v="7"/>
    <s v="7503013378980"/>
    <s v="Lubricante Body Surf Termico Chicle DUSA 60ml"/>
    <s v="CONSUMIBLE PROPIO"/>
    <s v="DUSA"/>
    <n v="1"/>
    <n v="387.93"/>
  </r>
  <r>
    <x v="5"/>
    <s v="21/01/2026"/>
    <x v="7"/>
    <s v="7503032300825"/>
    <s v="Lubricante Sachet natural 2 ml - BANANA SHAKE"/>
    <s v="CONSUMIBLE"/>
    <s v="BANANA SHAKE"/>
    <n v="5"/>
    <n v="86.2"/>
  </r>
  <r>
    <x v="5"/>
    <s v="21/01/2026"/>
    <x v="7"/>
    <s v="7503032300795"/>
    <s v="Sachet lubricante desensibilizador 2 ml - BANANA SHAKE"/>
    <s v="CONSUMIBLE"/>
    <s v="BANANA SHAKE"/>
    <n v="4"/>
    <n v="86.2"/>
  </r>
  <r>
    <x v="5"/>
    <s v="21/01/2026"/>
    <x v="7"/>
    <s v="782421081294"/>
    <s v="Vibrador Expander anal - DOC JOHNSON"/>
    <s v="JUGUETE"/>
    <s v="DOC JOHNSON"/>
    <n v="1"/>
    <n v="2758.62"/>
  </r>
  <r>
    <x v="5"/>
    <s v="23/01/2026"/>
    <x v="7"/>
    <s v="7503032300856"/>
    <s v="Sachet vibrador liquido 2 ml - BANANA SHAKE"/>
    <s v="CONSUMIBLE"/>
    <s v="BANANA SHAKE"/>
    <n v="5"/>
    <n v="86.2"/>
  </r>
  <r>
    <x v="5"/>
    <s v="23/01/2026"/>
    <x v="7"/>
    <s v="7503013378690"/>
    <s v="Shumatsu 3 pzas - DUSA"/>
    <s v="CONSUMIBLE PROPIO"/>
    <s v="DUSA"/>
    <n v="1"/>
    <n v="577.59"/>
  </r>
  <r>
    <x v="5"/>
    <s v="23/01/2026"/>
    <x v="7"/>
    <s v="7503032300443"/>
    <s v="Zoe bala vibradora RETAIL - CXO"/>
    <s v="JUGUETE PROPIO"/>
    <s v="CXO"/>
    <n v="1"/>
    <n v="155.16999999999999"/>
  </r>
  <r>
    <x v="5"/>
    <s v="24/01/2026"/>
    <x v="7"/>
    <s v="7503030202167"/>
    <s v="Dildo hiper realista con ventosa Raul - CXO"/>
    <s v="JUGUETE PROPIO"/>
    <s v="CXO"/>
    <n v="1"/>
    <n v="1525.86"/>
  </r>
  <r>
    <x v="5"/>
    <s v="24/01/2026"/>
    <x v="7"/>
    <s v="7503043917005"/>
    <s v="Liquid Love Clear 30ml - DUSA"/>
    <s v="CONSUMIBLE PROPIO"/>
    <s v="DUSA"/>
    <n v="1"/>
    <n v="301.72000000000003"/>
  </r>
  <r>
    <x v="5"/>
    <s v="24/01/2026"/>
    <x v="7"/>
    <s v="7503013378126"/>
    <s v="Lubricante Body Surf Frio Natural DUSA 60ml"/>
    <s v="CONSUMIBLE PROPIO"/>
    <s v="DUSA"/>
    <n v="1"/>
    <n v="387.93"/>
  </r>
  <r>
    <x v="5"/>
    <s v="24/01/2026"/>
    <x v="7"/>
    <s v="7503013378980"/>
    <s v="Lubricante Body Surf Termico Chicle DUSA 60ml"/>
    <s v="CONSUMIBLE PROPIO"/>
    <s v="DUSA"/>
    <n v="1"/>
    <n v="387.93"/>
  </r>
  <r>
    <x v="5"/>
    <s v="24/01/2026"/>
    <x v="7"/>
    <s v="7503026484845"/>
    <s v="Oral Sex Erotic Nut 5g - Feel Love"/>
    <s v="CONSUMIBLE"/>
    <s v="DIAMANTE"/>
    <n v="1"/>
    <n v="51.72"/>
  </r>
  <r>
    <x v="5"/>
    <s v="24/01/2026"/>
    <x v="7"/>
    <s v="6959633156094"/>
    <s v="Robin - SVAKOM"/>
    <s v="JUGUETE"/>
    <s v="SVAKOM"/>
    <n v="1"/>
    <n v="1318.97"/>
  </r>
  <r>
    <x v="5"/>
    <s v="24/01/2026"/>
    <x v="7"/>
    <s v="7503032300856"/>
    <s v="Sachet vibrador liquido 2 ml - BANANA SHAKE"/>
    <s v="CONSUMIBLE"/>
    <s v="BANANA SHAKE"/>
    <n v="10"/>
    <n v="172.4"/>
  </r>
  <r>
    <x v="5"/>
    <s v="25/01/2026"/>
    <x v="7"/>
    <s v="7503030202035"/>
    <s v="Dildo con testiculos y ventosa Mr. Garcia - CXO"/>
    <s v="JUGUETE PROPIO"/>
    <s v="CXO"/>
    <n v="1"/>
    <n v="646.54999999999995"/>
  </r>
  <r>
    <x v="6"/>
    <s v="19/01/2026"/>
    <x v="5"/>
    <s v="7503030102034"/>
    <s v="Dildo vibrador con control Anthony - CXO"/>
    <s v="JUGUETE PROPIO"/>
    <s v="CXO"/>
    <n v="1"/>
    <n v="2112.0700000000002"/>
  </r>
  <r>
    <x v="6"/>
    <s v="19/01/2026"/>
    <x v="5"/>
    <s v="7503043917562"/>
    <s v="Huevo masturbador stepper - EGG"/>
    <s v="JUGUETE"/>
    <s v="EGG"/>
    <n v="1"/>
    <n v="159.47999999999999"/>
  </r>
  <r>
    <x v="6"/>
    <s v="19/01/2026"/>
    <x v="5"/>
    <s v="7503032300993"/>
    <s v="Liquid Love Pleasure 30ml - DUSA"/>
    <s v="CONSUMIBLE PROPIO"/>
    <s v="DUSA"/>
    <n v="1"/>
    <n v="301.72000000000003"/>
  </r>
  <r>
    <x v="6"/>
    <s v="19/01/2026"/>
    <x v="5"/>
    <s v="7503013378690"/>
    <s v="Shumatsu 3 pzas - DUSA"/>
    <s v="CONSUMIBLE PROPIO"/>
    <s v="DUSA"/>
    <n v="1"/>
    <n v="577.59"/>
  </r>
  <r>
    <x v="6"/>
    <s v="20/01/2026"/>
    <x v="8"/>
    <s v="7503043917012"/>
    <s v="Liquid Love Backdoor 30ml - DUSA"/>
    <s v="CONSUMIBLE PROPIO"/>
    <s v="DUSA"/>
    <n v="1"/>
    <n v="301.72000000000003"/>
  </r>
  <r>
    <x v="6"/>
    <s v="20/01/2026"/>
    <x v="8"/>
    <s v="7503024256192"/>
    <s v="Shot Shumatsu Fun Mujer - DUSA"/>
    <s v="CONSUMIBLE PROPIO"/>
    <s v="DUSA"/>
    <n v="1"/>
    <n v="172.41"/>
  </r>
  <r>
    <x v="6"/>
    <s v="21/01/2026"/>
    <x v="8"/>
    <s v="7503020596957"/>
    <s v="Shot Shumatsu Fun Hombre - DUSA"/>
    <s v="CONSUMIBLE PROPIO"/>
    <s v="DUSA"/>
    <n v="1"/>
    <n v="172.41"/>
  </r>
  <r>
    <x v="6"/>
    <s v="22/01/2026"/>
    <x v="8"/>
    <s v="7503024256192"/>
    <s v="Shot Shumatsu Fun Mujer - DUSA"/>
    <s v="CONSUMIBLE PROPIO"/>
    <s v="DUSA"/>
    <n v="1"/>
    <n v="172.41"/>
  </r>
  <r>
    <x v="6"/>
    <s v="23/01/2026"/>
    <x v="8"/>
    <s v="7508304288900"/>
    <s v="ACEITE DE ALMENDRAS 130ML AMOR INFINITO"/>
    <s v="CONSUMIBLE"/>
    <s v="DIAMANTE"/>
    <n v="1"/>
    <n v="448.28"/>
  </r>
  <r>
    <x v="6"/>
    <s v="23/01/2026"/>
    <x v="8"/>
    <s v="7503013378904"/>
    <s v="Dildo Mr. Hernandez - CXO"/>
    <s v="JUGUETE PROPIO"/>
    <s v="CXO"/>
    <n v="1"/>
    <n v="517.24"/>
  </r>
  <r>
    <x v="6"/>
    <s v="23/01/2026"/>
    <x v="8"/>
    <s v="7503020202213"/>
    <s v="Dildo realista con ventosa Nick - CXO"/>
    <s v="JUGUETE PROPIO"/>
    <s v="CXO"/>
    <n v="1"/>
    <n v="818.97"/>
  </r>
  <r>
    <x v="6"/>
    <s v="23/01/2026"/>
    <x v="8"/>
    <s v="7503043917012"/>
    <s v="Liquid Love Backdoor 30ml - DUSA"/>
    <s v="CONSUMIBLE PROPIO"/>
    <s v="DUSA"/>
    <n v="1"/>
    <n v="301.72000000000003"/>
  </r>
  <r>
    <x v="6"/>
    <s v="23/01/2026"/>
    <x v="8"/>
    <s v="603912332025"/>
    <s v="PLUG ANAL MEGA SILICONE PLUG ANAL FANTASY"/>
    <s v="JUGUETE"/>
    <s v="PIPEDREAM"/>
    <n v="1"/>
    <n v="1435.34"/>
  </r>
  <r>
    <x v="6"/>
    <s v="23/01/2026"/>
    <x v="8"/>
    <s v="7503013378010"/>
    <s v="Rigidex 2 pzas - DUSA"/>
    <s v="CONSUMIBLE PROPIO"/>
    <s v="DUSA"/>
    <n v="2"/>
    <n v="862.07"/>
  </r>
  <r>
    <x v="6"/>
    <s v="23/01/2026"/>
    <x v="8"/>
    <s v="7503020596957"/>
    <s v="Shot Shumatsu Fun Hombre - DUSA"/>
    <s v="CONSUMIBLE PROPIO"/>
    <s v="DUSA"/>
    <n v="1"/>
    <n v="172.41"/>
  </r>
  <r>
    <x v="6"/>
    <s v="23/01/2026"/>
    <x v="8"/>
    <s v="7503024256192"/>
    <s v="Shot Shumatsu Fun Mujer - DUSA"/>
    <s v="CONSUMIBLE PROPIO"/>
    <s v="DUSA"/>
    <n v="1"/>
    <n v="172.41"/>
  </r>
  <r>
    <x v="6"/>
    <s v="23/01/2026"/>
    <x v="8"/>
    <s v="7503032300443"/>
    <s v="Zoe bala vibradora RETAIL - CXO"/>
    <s v="JUGUETE PROPIO"/>
    <s v="CXO"/>
    <n v="1"/>
    <n v="155.16999999999999"/>
  </r>
  <r>
    <x v="6"/>
    <s v="24/01/2026"/>
    <x v="8"/>
    <s v="7502214985362"/>
    <s v="CONDON MUTUAL SENSATION C/3 - PRUDENCE"/>
    <s v="CONSUMIBLE"/>
    <s v="PRUDENCE"/>
    <n v="1"/>
    <n v="77.59"/>
  </r>
  <r>
    <x v="6"/>
    <s v="24/01/2026"/>
    <x v="8"/>
    <s v="7503030202035"/>
    <s v="Dildo con testiculos y ventosa Mr. Garcia - CXO"/>
    <s v="JUGUETE PROPIO"/>
    <s v="CXO"/>
    <n v="1"/>
    <n v="646.54999999999995"/>
  </r>
  <r>
    <x v="6"/>
    <s v="24/01/2026"/>
    <x v="8"/>
    <s v="7503030102198"/>
    <s v="Dildo realista vibrador con ventosa Ulises - CXO"/>
    <s v="JUGUETE PROPIO"/>
    <s v="CXO"/>
    <n v="1"/>
    <n v="2000"/>
  </r>
  <r>
    <x v="6"/>
    <s v="24/01/2026"/>
    <x v="8"/>
    <s v="7503043917531"/>
    <s v="Huevo masturbador clicker - EGG"/>
    <s v="JUGUETE"/>
    <s v="EGG"/>
    <n v="1"/>
    <n v="159.47999999999999"/>
  </r>
  <r>
    <x v="6"/>
    <s v="24/01/2026"/>
    <x v="8"/>
    <s v="7503043917005"/>
    <s v="Liquid Love Clear 30ml - DUSA"/>
    <s v="CONSUMIBLE PROPIO"/>
    <s v="DUSA"/>
    <n v="1"/>
    <n v="301.72000000000003"/>
  </r>
  <r>
    <x v="6"/>
    <s v="24/01/2026"/>
    <x v="8"/>
    <s v="7503032300993"/>
    <s v="Liquid Love Pleasure 30ml - DUSA"/>
    <s v="CONSUMIBLE PROPIO"/>
    <s v="DUSA"/>
    <n v="1"/>
    <n v="301.72000000000003"/>
  </r>
  <r>
    <x v="6"/>
    <s v="24/01/2026"/>
    <x v="8"/>
    <s v="7503013378690"/>
    <s v="Shumatsu 3 pzas - DUSA"/>
    <s v="CONSUMIBLE PROPIO"/>
    <s v="DUSA"/>
    <n v="1"/>
    <n v="577.59"/>
  </r>
  <r>
    <x v="6"/>
    <s v="24/01/2026"/>
    <x v="8"/>
    <s v="7503032300443"/>
    <s v="Zoe bala vibradora RETAIL - CXO"/>
    <s v="JUGUETE PROPIO"/>
    <s v="CXO"/>
    <n v="1"/>
    <n v="155.16999999999999"/>
  </r>
  <r>
    <x v="6"/>
    <s v="25/01/2026"/>
    <x v="8"/>
    <s v="7503013378119"/>
    <s v="Anastasia gema de colores S - CXO"/>
    <s v="JUGUETE PROPIO"/>
    <s v="CXO"/>
    <n v="1"/>
    <n v="396.55"/>
  </r>
  <r>
    <x v="6"/>
    <s v="25/01/2026"/>
    <x v="8"/>
    <s v="7503013378416"/>
    <s v="Angie - CXO"/>
    <s v="JUGUETE PROPIO"/>
    <s v="CXO"/>
    <n v="1"/>
    <n v="689.66"/>
  </r>
  <r>
    <x v="6"/>
    <s v="25/01/2026"/>
    <x v="8"/>
    <s v="7503032300542"/>
    <s v="Cola de Zorro 45cm negro L - CXO"/>
    <s v="JUGUETE PROPIO"/>
    <s v="CXO"/>
    <n v="1"/>
    <n v="344.83"/>
  </r>
  <r>
    <x v="6"/>
    <s v="25/01/2026"/>
    <x v="8"/>
    <s v="7503043917012"/>
    <s v="Liquid Love Backdoor 30ml - DUSA"/>
    <s v="CONSUMIBLE PROPIO"/>
    <s v="DUSA"/>
    <n v="2"/>
    <n v="603.44000000000005"/>
  </r>
  <r>
    <x v="6"/>
    <s v="25/01/2026"/>
    <x v="8"/>
    <s v="7503020596957"/>
    <s v="Shot Shumatsu Fun Hombre - DUSA"/>
    <s v="CONSUMIBLE PROPIO"/>
    <s v="DUSA"/>
    <n v="1"/>
    <n v="172.41"/>
  </r>
  <r>
    <x v="7"/>
    <s v="19/01/2026"/>
    <x v="9"/>
    <s v="6970556032746"/>
    <s v="Vibrador en forma de Osito Lilo- CXO"/>
    <s v="JUGUETE PROPIO"/>
    <s v="CXO"/>
    <n v="1"/>
    <n v="775.86"/>
  </r>
  <r>
    <x v="7"/>
    <s v="20/01/2026"/>
    <x v="9"/>
    <s v="7503032300009"/>
    <s v="Arnes Bond - CXO"/>
    <s v="JUGUETE PROPIO"/>
    <s v="CXO"/>
    <n v="1"/>
    <n v="625"/>
  </r>
  <r>
    <x v="7"/>
    <s v="20/01/2026"/>
    <x v="9"/>
    <s v="7503024256741"/>
    <s v="Cola de Zorro 45cm café S - CXO"/>
    <s v="JUGUETE PROPIO"/>
    <s v="CXO"/>
    <n v="1"/>
    <n v="258.62"/>
  </r>
  <r>
    <x v="7"/>
    <s v="20/01/2026"/>
    <x v="9"/>
    <s v="7503043917524"/>
    <s v="Kit Lisboa 8 pzs - CXO"/>
    <s v="JUGUETE PROPIO"/>
    <s v="CXO"/>
    <n v="1"/>
    <n v="465.52"/>
  </r>
  <r>
    <x v="7"/>
    <s v="21/01/2026"/>
    <x v="9"/>
    <s v="7503043917081"/>
    <s v="Blade rosa anillo vibrador - CXO"/>
    <s v="JUGUETE PROPIO"/>
    <s v="CXO"/>
    <n v="2"/>
    <n v="163.80000000000001"/>
  </r>
  <r>
    <x v="7"/>
    <s v="21/01/2026"/>
    <x v="9"/>
    <s v="7500464543059"/>
    <s v="Dildo Realista con Ventosa 15.5cms Domi CXO"/>
    <s v="JUGUETE PROPIO"/>
    <s v="CXO"/>
    <n v="1"/>
    <n v="818.97"/>
  </r>
  <r>
    <x v="7"/>
    <s v="21/01/2026"/>
    <x v="9"/>
    <s v="7503030118033"/>
    <s v="Kit vibrador + estimulante para clitoris Lau - CXO"/>
    <s v="JUGUETE PROPIO"/>
    <s v="CXO"/>
    <n v="1"/>
    <n v="1706.9"/>
  </r>
  <r>
    <x v="7"/>
    <s v="21/01/2026"/>
    <x v="9"/>
    <s v="7503024256154"/>
    <s v="Lubricante Body Surf Termico Cereza DUSA 60ml"/>
    <s v="CONSUMIBLE PROPIO"/>
    <s v="DUSA"/>
    <n v="1"/>
    <n v="387.93"/>
  </r>
  <r>
    <x v="7"/>
    <s v="21/01/2026"/>
    <x v="9"/>
    <s v="7503020596957"/>
    <s v="Shot Shumatsu Fun Hombre - DUSA"/>
    <s v="CONSUMIBLE PROPIO"/>
    <s v="DUSA"/>
    <n v="3"/>
    <n v="517.23"/>
  </r>
  <r>
    <x v="7"/>
    <s v="21/01/2026"/>
    <x v="9"/>
    <s v="7503013378690"/>
    <s v="Shumatsu 3 pzas - DUSA"/>
    <s v="CONSUMIBLE PROPIO"/>
    <s v="DUSA"/>
    <n v="1"/>
    <n v="577.59"/>
  </r>
  <r>
    <x v="7"/>
    <s v="22/01/2026"/>
    <x v="9"/>
    <s v="7503013378409"/>
    <s v="Anillo de Acero Grueso - CXO"/>
    <s v="JUGUETE PROPIO"/>
    <s v="CXO"/>
    <n v="1"/>
    <n v="474.14"/>
  </r>
  <r>
    <x v="7"/>
    <s v="22/01/2026"/>
    <x v="9"/>
    <s v="7503030220043"/>
    <s v="Dados para juegos 2 piezas - CXO"/>
    <s v="JUGUETE PROPIO"/>
    <s v="CXO"/>
    <n v="1"/>
    <n v="112.07"/>
  </r>
  <r>
    <x v="7"/>
    <s v="22/01/2026"/>
    <x v="9"/>
    <s v="75037628"/>
    <s v="Dulces Garganta Profunda 2 piezas Sabor Fresa - SXO"/>
    <s v="CONSUMIBLE"/>
    <s v="SXO"/>
    <n v="1"/>
    <n v="120.69"/>
  </r>
  <r>
    <x v="7"/>
    <s v="22/01/2026"/>
    <x v="9"/>
    <s v="7500464377302"/>
    <s v="Juego de Cartas Salto del Tigre"/>
    <s v="OTRO"/>
    <s v="SALTO DEL TIGRE"/>
    <n v="1"/>
    <n v="297.41000000000003"/>
  </r>
  <r>
    <x v="7"/>
    <s v="22/01/2026"/>
    <x v="9"/>
    <s v="7503024256154"/>
    <s v="Lubricante Body Surf Termico Cereza DUSA 60ml"/>
    <s v="CONSUMIBLE PROPIO"/>
    <s v="DUSA"/>
    <n v="1"/>
    <n v="387.93"/>
  </r>
  <r>
    <x v="7"/>
    <s v="22/01/2026"/>
    <x v="9"/>
    <s v="6959633185476"/>
    <s v="Masturbador Hedy X Confidence – SVAKOM"/>
    <s v="JUGUETE"/>
    <s v="SVAKOM"/>
    <n v="1"/>
    <n v="181.03"/>
  </r>
  <r>
    <x v="7"/>
    <s v="22/01/2026"/>
    <x v="9"/>
    <s v="7503020596957"/>
    <s v="Shot Shumatsu Fun Hombre - DUSA"/>
    <s v="CONSUMIBLE PROPIO"/>
    <s v="DUSA"/>
    <n v="1"/>
    <n v="172.41"/>
  </r>
  <r>
    <x v="7"/>
    <s v="23/01/2026"/>
    <x v="9"/>
    <s v="7503043917333"/>
    <s v="Bren multiorgasmico - CXO"/>
    <s v="JUGUETE PROPIO"/>
    <s v="CXO"/>
    <n v="1"/>
    <n v="1508.62"/>
  </r>
  <r>
    <x v="7"/>
    <s v="23/01/2026"/>
    <x v="9"/>
    <s v="7503013378492"/>
    <s v="Clean Whisper 120ml - DUSA"/>
    <s v="CONSUMIBLE PROPIO"/>
    <s v="DUSA"/>
    <n v="1"/>
    <n v="301.72000000000003"/>
  </r>
  <r>
    <x v="7"/>
    <s v="23/01/2026"/>
    <x v="9"/>
    <s v="FLOCXO0007910"/>
    <s v="ESTIMULADOR DE CLIROTIS CON MANGO DE AGARRE"/>
    <s v="JUGUETE PROPIO"/>
    <s v="CXO"/>
    <n v="1"/>
    <n v="1116.3800000000001"/>
  </r>
  <r>
    <x v="7"/>
    <s v="23/01/2026"/>
    <x v="9"/>
    <s v="7503032300993"/>
    <s v="Liquid Love Pleasure 30ml - DUSA"/>
    <s v="CONSUMIBLE PROPIO"/>
    <s v="DUSA"/>
    <n v="1"/>
    <n v="301.72000000000003"/>
  </r>
  <r>
    <x v="7"/>
    <s v="23/01/2026"/>
    <x v="9"/>
    <s v="7503013378799"/>
    <s v="Lubricante Body Surf Termico Citricos DUSA 60ml"/>
    <s v="CONSUMIBLE PROPIO"/>
    <s v="DUSA"/>
    <n v="1"/>
    <n v="387.93"/>
  </r>
  <r>
    <x v="7"/>
    <s v="23/01/2026"/>
    <x v="9"/>
    <s v="6970556034061"/>
    <s v="Multiorgasmico con succion y extensor Anna - CXO"/>
    <s v="JUGUETE PROPIO"/>
    <s v="CXO"/>
    <n v="1"/>
    <n v="1982.76"/>
  </r>
  <r>
    <x v="7"/>
    <s v="23/01/2026"/>
    <x v="9"/>
    <s v="7503020596957"/>
    <s v="Shot Shumatsu Fun Hombre - DUSA"/>
    <s v="CONSUMIBLE PROPIO"/>
    <s v="DUSA"/>
    <n v="2"/>
    <n v="344.82"/>
  </r>
  <r>
    <x v="7"/>
    <s v="23/01/2026"/>
    <x v="9"/>
    <s v="7503013378690"/>
    <s v="Shumatsu 3 pzas - DUSA"/>
    <s v="CONSUMIBLE PROPIO"/>
    <s v="DUSA"/>
    <n v="1"/>
    <n v="577.59"/>
  </r>
  <r>
    <x v="7"/>
    <s v="24/01/2026"/>
    <x v="9"/>
    <s v="7503032300795"/>
    <s v="Sachet lubricante desensibilizador 2 ml - BANANA SHAKE"/>
    <s v="CONSUMIBLE"/>
    <s v="BANANA SHAKE"/>
    <n v="5"/>
    <n v="107.75"/>
  </r>
  <r>
    <x v="7"/>
    <s v="24/01/2026"/>
    <x v="9"/>
    <s v="7503024256192"/>
    <s v="Shot Shumatsu Fun Mujer - DUSA"/>
    <s v="CONSUMIBLE PROPIO"/>
    <s v="DUSA"/>
    <n v="1"/>
    <n v="172.41"/>
  </r>
  <r>
    <x v="8"/>
    <s v="19/01/2026"/>
    <x v="10"/>
    <s v="7503043917531"/>
    <s v="Huevo masturbador clicker - EGG"/>
    <s v="JUGUETE"/>
    <s v="EGG"/>
    <n v="1"/>
    <n v="159.47999999999999"/>
  </r>
  <r>
    <x v="8"/>
    <s v="19/01/2026"/>
    <x v="10"/>
    <s v="7503013378645"/>
    <s v="Liquid Love Pleasure 100ml - DUSA"/>
    <s v="CONSUMIBLE PROPIO"/>
    <s v="DUSA"/>
    <n v="1"/>
    <n v="775.86"/>
  </r>
  <r>
    <x v="8"/>
    <s v="19/01/2026"/>
    <x v="10"/>
    <s v="4560220552780"/>
    <s v="Masturbador en huevo Surfer - TENGA"/>
    <s v="JUGUETE"/>
    <s v="TENGA"/>
    <n v="1"/>
    <n v="301.72000000000003"/>
  </r>
  <r>
    <x v="8"/>
    <s v="19/01/2026"/>
    <x v="10"/>
    <s v="7503050524241"/>
    <s v="Orgasmik 30ml - DUSA"/>
    <s v="CONSUMIBLE PROPIO"/>
    <s v="DUSA"/>
    <n v="1"/>
    <n v="431.03"/>
  </r>
  <r>
    <x v="8"/>
    <s v="19/01/2026"/>
    <x v="10"/>
    <s v="7503020596957"/>
    <s v="Shot Shumatsu Fun Hombre - DUSA"/>
    <s v="CONSUMIBLE PROPIO"/>
    <s v="DUSA"/>
    <n v="1"/>
    <n v="172.41"/>
  </r>
  <r>
    <x v="8"/>
    <s v="19/01/2026"/>
    <x v="10"/>
    <s v="7503024256192"/>
    <s v="Shot Shumatsu Fun Mujer - DUSA"/>
    <s v="CONSUMIBLE PROPIO"/>
    <s v="DUSA"/>
    <n v="1"/>
    <n v="172.41"/>
  </r>
  <r>
    <x v="8"/>
    <s v="19/01/2026"/>
    <x v="10"/>
    <s v="7503013378690"/>
    <s v="Shumatsu 3 pzas - DUSA"/>
    <s v="CONSUMIBLE PROPIO"/>
    <s v="DUSA"/>
    <n v="5"/>
    <n v="2887.9500000000003"/>
  </r>
  <r>
    <x v="8"/>
    <s v="20/01/2026"/>
    <x v="10"/>
    <s v="7503013378690"/>
    <s v="Shumatsu 3 pzas - DUSA"/>
    <s v="CONSUMIBLE PROPIO"/>
    <s v="DUSA"/>
    <n v="1"/>
    <n v="577.59"/>
  </r>
  <r>
    <x v="8"/>
    <s v="21/01/2026"/>
    <x v="10"/>
    <s v="7503014914002"/>
    <s v="CAPSULAS MULTIORGASMICO AMO O-GEN"/>
    <s v="CONSUMIBLE"/>
    <s v="POWER MAN"/>
    <n v="1"/>
    <n v="431.04"/>
  </r>
  <r>
    <x v="8"/>
    <s v="22/01/2026"/>
    <x v="10"/>
    <s v="7503020111072"/>
    <s v="Anillo vibrador recargable con textura negra Hank - CXO"/>
    <s v="JUGUETE PROPIO"/>
    <s v="CXO"/>
    <n v="1"/>
    <n v="1267.24"/>
  </r>
  <r>
    <x v="8"/>
    <s v="22/01/2026"/>
    <x v="10"/>
    <s v="7503020420814"/>
    <s v="Bomba de vacio manual Noah - CXO"/>
    <s v="JUGUETE PROPIO"/>
    <s v="CXO"/>
    <n v="1"/>
    <n v="818.97"/>
  </r>
  <r>
    <x v="8"/>
    <s v="22/01/2026"/>
    <x v="10"/>
    <s v="7503030220043"/>
    <s v="Dados para juegos 2 piezas - CXO"/>
    <s v="JUGUETE PROPIO"/>
    <s v="CXO"/>
    <n v="1"/>
    <n v="112.07"/>
  </r>
  <r>
    <x v="8"/>
    <s v="22/01/2026"/>
    <x v="10"/>
    <s v="7503020220077"/>
    <s v="Juego de mesa sensual para parejas – CXO"/>
    <s v="JUGUETE PROPIO"/>
    <s v="CXO"/>
    <n v="1"/>
    <n v="637.92999999999995"/>
  </r>
  <r>
    <x v="8"/>
    <s v="22/01/2026"/>
    <x v="10"/>
    <s v="PZ-812-ZT"/>
    <s v="KIT BDSM Policia - CXO"/>
    <s v="JUGUETE PROPIO"/>
    <s v="CXO"/>
    <n v="1"/>
    <n v="1724.14"/>
  </r>
  <r>
    <x v="8"/>
    <s v="22/01/2026"/>
    <x v="10"/>
    <s v="7503013378652"/>
    <s v="Liquid Love Backdoor 100ml - DUSA"/>
    <s v="CONSUMIBLE PROPIO"/>
    <s v="DUSA"/>
    <n v="2"/>
    <n v="2155.1799999999998"/>
  </r>
  <r>
    <x v="8"/>
    <s v="22/01/2026"/>
    <x v="10"/>
    <s v="7503013378645"/>
    <s v="Liquid Love Pleasure 100ml - DUSA"/>
    <s v="CONSUMIBLE PROPIO"/>
    <s v="DUSA"/>
    <n v="1"/>
    <n v="775.86"/>
  </r>
  <r>
    <x v="8"/>
    <s v="22/01/2026"/>
    <x v="10"/>
    <s v="7508304289037"/>
    <s v="LUBRICANTE C/FEROMONAS -LUJO- 40ML  RETARDADOR"/>
    <s v="CONSUMIBLE"/>
    <s v="DIAMANTE"/>
    <n v="2"/>
    <n v="1017.24"/>
  </r>
  <r>
    <x v="8"/>
    <s v="22/01/2026"/>
    <x v="10"/>
    <s v="7503050524241"/>
    <s v="Orgasmik 30ml - DUSA"/>
    <s v="CONSUMIBLE PROPIO"/>
    <s v="DUSA"/>
    <n v="4"/>
    <n v="1724.12"/>
  </r>
  <r>
    <x v="8"/>
    <s v="22/01/2026"/>
    <x v="10"/>
    <s v="7503032300856"/>
    <s v="Sachet vibrador liquido 2 ml - BANANA SHAKE"/>
    <s v="CONSUMIBLE"/>
    <s v="BANANA SHAKE"/>
    <n v="6"/>
    <n v="103.44"/>
  </r>
  <r>
    <x v="8"/>
    <s v="22/01/2026"/>
    <x v="10"/>
    <s v="7503020596957"/>
    <s v="Shot Shumatsu Fun Hombre - DUSA"/>
    <s v="CONSUMIBLE PROPIO"/>
    <s v="DUSA"/>
    <n v="3"/>
    <n v="517.23"/>
  </r>
  <r>
    <x v="8"/>
    <s v="22/01/2026"/>
    <x v="10"/>
    <s v="7503024256192"/>
    <s v="Shot Shumatsu Fun Mujer - DUSA"/>
    <s v="CONSUMIBLE PROPIO"/>
    <s v="DUSA"/>
    <n v="3"/>
    <n v="517.23"/>
  </r>
  <r>
    <x v="8"/>
    <s v="22/01/2026"/>
    <x v="10"/>
    <s v="4061504007496"/>
    <s v="Succionado con App Curvy 1+ - Satisfayer"/>
    <s v="JUGUETE"/>
    <s v="SATISFAYER"/>
    <n v="1"/>
    <n v="1810.34"/>
  </r>
  <r>
    <x v="8"/>
    <s v="23/01/2026"/>
    <x v="10"/>
    <s v="7503030211021"/>
    <s v="Anillo desechable para pene Donut - CXO"/>
    <s v="JUGUETE PROPIO"/>
    <s v="CXO"/>
    <n v="2"/>
    <n v="68.959999999999994"/>
  </r>
  <r>
    <x v="8"/>
    <s v="23/01/2026"/>
    <x v="10"/>
    <s v="FM1001"/>
    <s v="FEROMONAS DIAMANTE CONCENTRADO MUJER"/>
    <s v="CONSUMIBLE"/>
    <s v="DIAMANTE"/>
    <n v="1"/>
    <n v="413.79"/>
  </r>
  <r>
    <x v="8"/>
    <s v="23/01/2026"/>
    <x v="10"/>
    <s v="7503043917531"/>
    <s v="Huevo masturbador clicker - EGG"/>
    <s v="JUGUETE"/>
    <s v="EGG"/>
    <n v="1"/>
    <n v="159.47999999999999"/>
  </r>
  <r>
    <x v="8"/>
    <s v="23/01/2026"/>
    <x v="10"/>
    <s v="7503043917524"/>
    <s v="Kit Lisboa 8 pzs - CXO"/>
    <s v="JUGUETE PROPIO"/>
    <s v="CXO"/>
    <n v="1"/>
    <n v="465.52"/>
  </r>
  <r>
    <x v="8"/>
    <s v="23/01/2026"/>
    <x v="10"/>
    <s v="7503050524241"/>
    <s v="Orgasmik 30ml - DUSA"/>
    <s v="CONSUMIBLE PROPIO"/>
    <s v="DUSA"/>
    <n v="1"/>
    <n v="431.03"/>
  </r>
  <r>
    <x v="8"/>
    <s v="23/01/2026"/>
    <x v="10"/>
    <s v="4061504007359"/>
    <s v="Succionador Pingüino - Satisfayer"/>
    <s v="JUGUETE"/>
    <s v="SATISFAYER"/>
    <n v="1"/>
    <n v="1379.31"/>
  </r>
  <r>
    <x v="8"/>
    <s v="24/01/2026"/>
    <x v="10"/>
    <s v="7503030211021"/>
    <s v="Anillo desechable para pene Donut - CXO"/>
    <s v="JUGUETE PROPIO"/>
    <s v="CXO"/>
    <n v="2"/>
    <n v="68.97"/>
  </r>
  <r>
    <x v="9"/>
    <s v="19/01/2026"/>
    <x v="11"/>
    <s v="7503030114188"/>
    <s v="Bomba de vacio Nico - CXO"/>
    <s v="JUGUETE PROPIO"/>
    <s v="CXO"/>
    <n v="1"/>
    <n v="1956.9"/>
  </r>
  <r>
    <x v="9"/>
    <s v="19/01/2026"/>
    <x v="11"/>
    <s v="7503032300993"/>
    <s v="Liquid Love Pleasure 30ml - DUSA"/>
    <s v="CONSUMIBLE PROPIO"/>
    <s v="DUSA"/>
    <n v="1"/>
    <n v="301.72000000000003"/>
  </r>
  <r>
    <x v="9"/>
    <s v="20/01/2026"/>
    <x v="11"/>
    <s v="7503020596063"/>
    <s v="Stallion Regenerador - DUSA"/>
    <s v="CONSUMIBLE PROPIO"/>
    <s v="DUSA"/>
    <n v="1"/>
    <n v="1293.0999999999999"/>
  </r>
  <r>
    <x v="9"/>
    <s v="21/01/2026"/>
    <x v="11"/>
    <s v="7502214986598"/>
    <s v="Condones Zero c/ 3 pzs - PRUDENCE"/>
    <s v="CONSUMIBLE"/>
    <s v="PRUDENCE"/>
    <n v="2"/>
    <n v="155.16999999999999"/>
  </r>
  <r>
    <x v="9"/>
    <s v="21/01/2026"/>
    <x v="11"/>
    <s v="7503043917005"/>
    <s v="Liquid Love Clear 30ml - DUSA"/>
    <s v="CONSUMIBLE PROPIO"/>
    <s v="DUSA"/>
    <n v="2"/>
    <n v="603.44000000000005"/>
  </r>
  <r>
    <x v="9"/>
    <s v="21/01/2026"/>
    <x v="11"/>
    <s v="7503013378690"/>
    <s v="Shumatsu 3 pzas - DUSA"/>
    <s v="CONSUMIBLE PROPIO"/>
    <s v="DUSA"/>
    <n v="1"/>
    <n v="577.59"/>
  </r>
  <r>
    <x v="9"/>
    <s v="21/01/2026"/>
    <x v="11"/>
    <s v="JUGERE00224XZ"/>
    <s v="Vibrador Anal de Perlas Mely - CXO"/>
    <s v="JUGUETE PROPIO"/>
    <s v="CXO"/>
    <n v="1"/>
    <n v="1681.03"/>
  </r>
  <r>
    <x v="9"/>
    <s v="22/01/2026"/>
    <x v="5"/>
    <s v="7503024256727"/>
    <s v="Cola de Zorro 45cm negro S - CXO"/>
    <s v="JUGUETE PROPIO"/>
    <s v="CXO"/>
    <n v="1"/>
    <n v="258.62"/>
  </r>
  <r>
    <x v="9"/>
    <s v="22/01/2026"/>
    <x v="5"/>
    <s v="7503030103028"/>
    <s v="Huevito vibrador con control a distancia Daniela - CXO"/>
    <s v="JUGUETE PROPIO"/>
    <s v="CXO"/>
    <n v="1"/>
    <n v="1500"/>
  </r>
  <r>
    <x v="9"/>
    <s v="22/01/2026"/>
    <x v="5"/>
    <s v="7503032300993"/>
    <s v="Liquid Love Pleasure 30ml - DUSA"/>
    <s v="CONSUMIBLE PROPIO"/>
    <s v="DUSA"/>
    <n v="1"/>
    <n v="301.72000000000003"/>
  </r>
  <r>
    <x v="9"/>
    <s v="22/01/2026"/>
    <x v="5"/>
    <s v="JUGERE00225V0"/>
    <s v="Multiorgasmico Flexible con  Lenguita y Efecto caliente Lorena - CXO"/>
    <s v="JUGUETE PROPIO"/>
    <s v="CXO"/>
    <n v="1"/>
    <n v="1896.55"/>
  </r>
  <r>
    <x v="9"/>
    <s v="22/01/2026"/>
    <x v="5"/>
    <s v="6959633134559"/>
    <s v="Phoenix Neo 2 rojo - SVAKOM"/>
    <s v="JUGUETE"/>
    <s v="SVAKOM"/>
    <n v="1"/>
    <n v="3534.48"/>
  </r>
  <r>
    <x v="9"/>
    <s v="22/01/2026"/>
    <x v="5"/>
    <s v="7503050524258"/>
    <s v="Sensicool 30ml - DUSA"/>
    <s v="CONSUMIBLE PROPIO"/>
    <s v="DUSA"/>
    <n v="1"/>
    <n v="431.03"/>
  </r>
  <r>
    <x v="9"/>
    <s v="22/01/2026"/>
    <x v="5"/>
    <s v="7503013378690"/>
    <s v="Shumatsu 3 pzas - DUSA"/>
    <s v="CONSUMIBLE PROPIO"/>
    <s v="DUSA"/>
    <n v="1"/>
    <n v="577.59"/>
  </r>
  <r>
    <x v="9"/>
    <s v="23/01/2026"/>
    <x v="11"/>
    <s v="7503030211021"/>
    <s v="Anillo desechable para pene Donut - CXO"/>
    <s v="JUGUETE PROPIO"/>
    <s v="CXO"/>
    <n v="6"/>
    <n v="206.9"/>
  </r>
  <r>
    <x v="9"/>
    <s v="23/01/2026"/>
    <x v="11"/>
    <s v="7503020111072"/>
    <s v="Anillo vibrador recargable con textura negra Hank - CXO"/>
    <s v="JUGUETE PROPIO"/>
    <s v="CXO"/>
    <n v="1"/>
    <n v="1267.24"/>
  </r>
  <r>
    <x v="9"/>
    <s v="23/01/2026"/>
    <x v="11"/>
    <s v="7503014914002"/>
    <s v="CAPSULAS MULTIORGASMICO AMO O-GEN"/>
    <s v="CONSUMIBLE"/>
    <s v="POWER MAN"/>
    <n v="1"/>
    <n v="431.04"/>
  </r>
  <r>
    <x v="9"/>
    <s v="23/01/2026"/>
    <x v="11"/>
    <s v="7502214982439"/>
    <s v="Condon Extra Time Retardante 3 pzs - PRUDENCE"/>
    <s v="CONSUMIBLE"/>
    <s v="PRUDENCE"/>
    <n v="2"/>
    <n v="155.16999999999999"/>
  </r>
  <r>
    <x v="9"/>
    <s v="23/01/2026"/>
    <x v="11"/>
    <s v="7503020202214"/>
    <s v="Dildo realista con ventosa y testiculos Eddy - CXO"/>
    <s v="JUGUETE PROPIO"/>
    <s v="CXO"/>
    <n v="1"/>
    <n v="948.28"/>
  </r>
  <r>
    <x v="9"/>
    <s v="23/01/2026"/>
    <x v="11"/>
    <s v="7503043917005"/>
    <s v="Liquid Love Clear 30ml - DUSA"/>
    <s v="CONSUMIBLE PROPIO"/>
    <s v="DUSA"/>
    <n v="1"/>
    <n v="301.72000000000003"/>
  </r>
  <r>
    <x v="9"/>
    <s v="23/01/2026"/>
    <x v="11"/>
    <s v="7503032300993"/>
    <s v="Liquid Love Pleasure 30ml - DUSA"/>
    <s v="CONSUMIBLE PROPIO"/>
    <s v="DUSA"/>
    <n v="1"/>
    <n v="301.72000000000003"/>
  </r>
  <r>
    <x v="9"/>
    <s v="23/01/2026"/>
    <x v="11"/>
    <s v="7503020310116"/>
    <s v="Panty vibrador con control remoto rosa Celi - CXO"/>
    <s v="JUGUETE PROPIO"/>
    <s v="CXO"/>
    <n v="1"/>
    <n v="1681.03"/>
  </r>
  <r>
    <x v="9"/>
    <s v="23/01/2026"/>
    <x v="11"/>
    <s v="7503020596957"/>
    <s v="Shot Shumatsu Fun Hombre - DUSA"/>
    <s v="CONSUMIBLE PROPIO"/>
    <s v="DUSA"/>
    <n v="1"/>
    <n v="172.41"/>
  </r>
  <r>
    <x v="9"/>
    <s v="23/01/2026"/>
    <x v="11"/>
    <s v="7503024256192"/>
    <s v="Shot Shumatsu Fun Mujer - DUSA"/>
    <s v="CONSUMIBLE PROPIO"/>
    <s v="DUSA"/>
    <n v="1"/>
    <n v="172.41"/>
  </r>
  <r>
    <x v="9"/>
    <s v="23/01/2026"/>
    <x v="11"/>
    <s v="7503013378690"/>
    <s v="Shumatsu 3 pzas - DUSA"/>
    <s v="CONSUMIBLE PROPIO"/>
    <s v="DUSA"/>
    <n v="2"/>
    <n v="1155.18"/>
  </r>
  <r>
    <x v="9"/>
    <s v="23/01/2026"/>
    <x v="11"/>
    <s v="7503020596063"/>
    <s v="Stallion Regenerador - DUSA"/>
    <s v="CONSUMIBLE PROPIO"/>
    <s v="DUSA"/>
    <n v="1"/>
    <n v="1293.0999999999999"/>
  </r>
  <r>
    <x v="9"/>
    <s v="24/01/2026"/>
    <x v="11"/>
    <s v="7503043917005"/>
    <s v="Liquid Love Clear 30ml - DUSA"/>
    <s v="CONSUMIBLE PROPIO"/>
    <s v="DUSA"/>
    <n v="1"/>
    <n v="301.72000000000003"/>
  </r>
  <r>
    <x v="9"/>
    <s v="24/01/2026"/>
    <x v="11"/>
    <s v="7503032300993"/>
    <s v="Liquid Love Pleasure 30ml - DUSA"/>
    <s v="CONSUMIBLE PROPIO"/>
    <s v="DUSA"/>
    <n v="1"/>
    <n v="301.72000000000003"/>
  </r>
  <r>
    <x v="9"/>
    <s v="24/01/2026"/>
    <x v="11"/>
    <s v="7503013378690"/>
    <s v="Shumatsu 3 pzas - DUSA"/>
    <s v="CONSUMIBLE PROPIO"/>
    <s v="DUSA"/>
    <n v="1"/>
    <n v="577.59"/>
  </r>
  <r>
    <x v="9"/>
    <s v="24/01/2026"/>
    <x v="11"/>
    <s v="7503030104190"/>
    <s v="Vibrador multiorgasmico con 10 modos de vibracion Norma - CXO"/>
    <s v="JUGUETE PROPIO"/>
    <s v="CXO"/>
    <n v="1"/>
    <n v="2396.5500000000002"/>
  </r>
  <r>
    <x v="10"/>
    <s v="19/01/2026"/>
    <x v="12"/>
    <s v="7503024256765"/>
    <s v="Cola de Zorro 45cm azul - CXO"/>
    <s v="JUGUETE PROPIO"/>
    <s v="CXO"/>
    <n v="1"/>
    <n v="318.97000000000003"/>
  </r>
  <r>
    <x v="10"/>
    <s v="19/01/2026"/>
    <x v="12"/>
    <s v="LL-A2216"/>
    <s v="Huevito con 10 modos de Vibración  Gina - CXO"/>
    <s v="JUGUETE PROPIO"/>
    <s v="CXO"/>
    <n v="1"/>
    <n v="1500"/>
  </r>
  <r>
    <x v="10"/>
    <s v="19/01/2026"/>
    <x v="12"/>
    <s v="7503032300627"/>
    <s v="Kevin - CXO"/>
    <s v="JUGUETE PROPIO"/>
    <s v="CXO"/>
    <n v="1"/>
    <n v="775.86"/>
  </r>
  <r>
    <x v="10"/>
    <s v="19/01/2026"/>
    <x v="12"/>
    <s v="7503043917012"/>
    <s v="Liquid Love Backdoor 30ml - DUSA"/>
    <s v="CONSUMIBLE PROPIO"/>
    <s v="DUSA"/>
    <n v="1"/>
    <n v="301.72000000000003"/>
  </r>
  <r>
    <x v="10"/>
    <s v="19/01/2026"/>
    <x v="12"/>
    <s v="7503024256154"/>
    <s v="Lubricante Body Surf Termico Cereza DUSA 60ml"/>
    <s v="CONSUMIBLE PROPIO"/>
    <s v="DUSA"/>
    <n v="1"/>
    <n v="387.93"/>
  </r>
  <r>
    <x v="10"/>
    <s v="19/01/2026"/>
    <x v="12"/>
    <s v="7503032300382"/>
    <s v="Mon - CXO"/>
    <s v="JUGUETE PROPIO"/>
    <s v="CXO"/>
    <n v="1"/>
    <n v="517.24"/>
  </r>
  <r>
    <x v="10"/>
    <s v="19/01/2026"/>
    <x v="12"/>
    <s v="6959633103494"/>
    <s v="Mora Neo multiorgasmico rosa - SVAKOM"/>
    <s v="JUGUETE"/>
    <s v="SVAKOM"/>
    <n v="1"/>
    <n v="1637.93"/>
  </r>
  <r>
    <x v="10"/>
    <s v="19/01/2026"/>
    <x v="12"/>
    <s v="7503050226162"/>
    <s v="Plug Anal con Vibración y Control Roberto - CXO"/>
    <s v="JUGUETE PROPIO"/>
    <s v="CXO"/>
    <n v="1"/>
    <n v="1293.0999999999999"/>
  </r>
  <r>
    <x v="10"/>
    <s v="19/01/2026"/>
    <x v="12"/>
    <s v="7503032300795"/>
    <s v="Sachet lubricante desensibilizador 2 ml - BANANA SHAKE"/>
    <s v="CONSUMIBLE"/>
    <s v="BANANA SHAKE"/>
    <n v="12"/>
    <n v="258.60000000000002"/>
  </r>
  <r>
    <x v="10"/>
    <s v="19/01/2026"/>
    <x v="12"/>
    <s v="7503030104190"/>
    <s v="Vibrador multiorgasmico con 10 modos de vibracion Norma - CXO"/>
    <s v="JUGUETE PROPIO"/>
    <s v="CXO"/>
    <n v="1"/>
    <n v="2396.5500000000002"/>
  </r>
  <r>
    <x v="10"/>
    <s v="19/01/2026"/>
    <x v="12"/>
    <s v="7503020104075"/>
    <s v="Vibrador multiorgásmico texturizado con succionador de clítoris Yeni - CXO"/>
    <s v="JUGUETE PROPIO"/>
    <s v="CXO"/>
    <n v="1"/>
    <n v="2465.52"/>
  </r>
  <r>
    <x v="10"/>
    <s v="20/01/2026"/>
    <x v="12"/>
    <s v="P07-00252"/>
    <s v="Huevito Vibrador con Lenguita Estimuladora de Clitoris Rosy - CXO"/>
    <s v="JUGUETE PROPIO"/>
    <s v="CXO"/>
    <n v="1"/>
    <n v="2672.41"/>
  </r>
  <r>
    <x v="10"/>
    <s v="20/01/2026"/>
    <x v="12"/>
    <s v="7503013378010"/>
    <s v="Rigidex 2 pzas - DUSA"/>
    <s v="CONSUMIBLE PROPIO"/>
    <s v="DUSA"/>
    <n v="1"/>
    <n v="431.03"/>
  </r>
  <r>
    <x v="10"/>
    <s v="20/01/2026"/>
    <x v="12"/>
    <s v="7503013378690"/>
    <s v="Shumatsu 3 pzas - DUSA"/>
    <s v="CONSUMIBLE PROPIO"/>
    <s v="DUSA"/>
    <n v="1"/>
    <n v="577.59"/>
  </r>
  <r>
    <x v="10"/>
    <s v="20/01/2026"/>
    <x v="12"/>
    <s v="7503020104076"/>
    <s v="Vibrador multiorgásmico con succión y estimulación de punto G Lulu - CXO"/>
    <s v="JUGUETE PROPIO"/>
    <s v="CXO"/>
    <n v="1"/>
    <n v="2120.69"/>
  </r>
  <r>
    <x v="10"/>
    <s v="21/01/2026"/>
    <x v="1"/>
    <s v="4630017970018"/>
    <s v="Alargador de Pene Titan Gel 50 ml"/>
    <s v="CONSUMIBLE"/>
    <s v="TITAN"/>
    <n v="1"/>
    <n v="594.83000000000004"/>
  </r>
  <r>
    <x v="10"/>
    <s v="21/01/2026"/>
    <x v="1"/>
    <s v="7503020112070"/>
    <s v="Bala vibradora recargable Ely – CXO"/>
    <s v="JUGUETE PROPIO"/>
    <s v="CXO"/>
    <n v="1"/>
    <n v="793.1"/>
  </r>
  <r>
    <x v="10"/>
    <s v="21/01/2026"/>
    <x v="1"/>
    <s v="7503032300474"/>
    <s v="Cola de Zorro 45cm blanco S - CXO"/>
    <s v="JUGUETE PROPIO"/>
    <s v="CXO"/>
    <n v="1"/>
    <n v="258.62"/>
  </r>
  <r>
    <x v="10"/>
    <s v="21/01/2026"/>
    <x v="1"/>
    <s v="7502214980053"/>
    <s v="CONDON TRUST NATURAL CON 3 MAQ - PRUDENCE"/>
    <s v="CONSUMIBLE"/>
    <s v="PRUDENCE"/>
    <n v="1"/>
    <n v="77.59"/>
  </r>
  <r>
    <x v="10"/>
    <s v="21/01/2026"/>
    <x v="1"/>
    <s v="7503043917005"/>
    <s v="Liquid Love Clear 30ml - DUSA"/>
    <s v="CONSUMIBLE PROPIO"/>
    <s v="DUSA"/>
    <n v="1"/>
    <n v="301.72000000000003"/>
  </r>
  <r>
    <x v="10"/>
    <s v="21/01/2026"/>
    <x v="1"/>
    <s v="7503013378690"/>
    <s v="Shumatsu 3 pzas - DUSA"/>
    <s v="CONSUMIBLE PROPIO"/>
    <s v="DUSA"/>
    <n v="1"/>
    <n v="577.59"/>
  </r>
  <r>
    <x v="10"/>
    <s v="22/01/2026"/>
    <x v="12"/>
    <s v="4630017970018"/>
    <s v="Alargador de Pene Titan Gel 50 ml"/>
    <s v="CONSUMIBLE"/>
    <s v="TITAN"/>
    <n v="1"/>
    <n v="594.83000000000004"/>
  </r>
  <r>
    <x v="10"/>
    <s v="22/01/2026"/>
    <x v="12"/>
    <s v="7503013378119"/>
    <s v="Anastasia gema de colores S - CXO"/>
    <s v="JUGUETE PROPIO"/>
    <s v="CXO"/>
    <n v="1"/>
    <n v="396.55"/>
  </r>
  <r>
    <x v="10"/>
    <s v="22/01/2026"/>
    <x v="12"/>
    <s v="7503020112070"/>
    <s v="Bala vibradora recargable Ely – CXO"/>
    <s v="JUGUETE PROPIO"/>
    <s v="CXO"/>
    <n v="1"/>
    <n v="793.1"/>
  </r>
  <r>
    <x v="10"/>
    <s v="22/01/2026"/>
    <x v="12"/>
    <s v="7503030114188"/>
    <s v="Bomba de vacio Nico - CXO"/>
    <s v="JUGUETE PROPIO"/>
    <s v="CXO"/>
    <n v="1"/>
    <n v="1956.9"/>
  </r>
  <r>
    <x v="10"/>
    <s v="22/01/2026"/>
    <x v="12"/>
    <s v="7503014914002"/>
    <s v="CAPSULAS MULTIORGASMICO AMO O-GEN"/>
    <s v="CONSUMIBLE"/>
    <s v="POWER MAN"/>
    <n v="1"/>
    <n v="431.04"/>
  </r>
  <r>
    <x v="10"/>
    <s v="22/01/2026"/>
    <x v="12"/>
    <s v="7502214982439"/>
    <s v="Condon Extra Time Retardante 3 pzs - PRUDENCE"/>
    <s v="CONSUMIBLE"/>
    <s v="PRUDENCE"/>
    <n v="1"/>
    <n v="77.59"/>
  </r>
  <r>
    <x v="10"/>
    <s v="22/01/2026"/>
    <x v="12"/>
    <s v="7502214980060"/>
    <s v="CONDON TRUST SENSITIVO CON 3 MAQ - PRUDENCE"/>
    <s v="CONSUMIBLE"/>
    <s v="PRUDENCE"/>
    <n v="1"/>
    <n v="77.59"/>
  </r>
  <r>
    <x v="10"/>
    <s v="22/01/2026"/>
    <x v="12"/>
    <s v="CON01CH03600175B"/>
    <s v="Conjunto Aranza 75B negro"/>
    <s v="LENCERIA"/>
    <s v="OLA MOU"/>
    <n v="1"/>
    <n v="489.22"/>
  </r>
  <r>
    <x v="10"/>
    <s v="22/01/2026"/>
    <x v="12"/>
    <s v="7503050524265"/>
    <s v="He Plus 30ml - DUSA"/>
    <s v="CONSUMIBLE PROPIO"/>
    <s v="DUSA"/>
    <n v="1"/>
    <n v="431.03"/>
  </r>
  <r>
    <x v="10"/>
    <s v="22/01/2026"/>
    <x v="12"/>
    <s v="7503043917005"/>
    <s v="Liquid Love Clear 30ml - DUSA"/>
    <s v="CONSUMIBLE PROPIO"/>
    <s v="DUSA"/>
    <n v="1"/>
    <n v="301.72000000000003"/>
  </r>
  <r>
    <x v="10"/>
    <s v="22/01/2026"/>
    <x v="12"/>
    <s v="7503013378645"/>
    <s v="Liquid Love Pleasure 100ml - DUSA"/>
    <s v="CONSUMIBLE PROPIO"/>
    <s v="DUSA"/>
    <n v="1"/>
    <n v="775.86"/>
  </r>
  <r>
    <x v="10"/>
    <s v="22/01/2026"/>
    <x v="12"/>
    <s v="7503020596957"/>
    <s v="Shot Shumatsu Fun Hombre - DUSA"/>
    <s v="CONSUMIBLE PROPIO"/>
    <s v="DUSA"/>
    <n v="2"/>
    <n v="344.82"/>
  </r>
  <r>
    <x v="10"/>
    <s v="22/01/2026"/>
    <x v="12"/>
    <s v="7503024256192"/>
    <s v="Shot Shumatsu Fun Mujer - DUSA"/>
    <s v="CONSUMIBLE PROPIO"/>
    <s v="DUSA"/>
    <n v="1"/>
    <n v="172.41"/>
  </r>
  <r>
    <x v="10"/>
    <s v="22/01/2026"/>
    <x v="12"/>
    <s v="7503013378690"/>
    <s v="Shumatsu 3 pzas - DUSA"/>
    <s v="CONSUMIBLE PROPIO"/>
    <s v="DUSA"/>
    <n v="2"/>
    <n v="1155.18"/>
  </r>
  <r>
    <x v="10"/>
    <s v="23/01/2026"/>
    <x v="12"/>
    <s v="7503020420814"/>
    <s v="Bomba de vacio manual Noah - CXO"/>
    <s v="JUGUETE PROPIO"/>
    <s v="CXO"/>
    <n v="1"/>
    <n v="818.97"/>
  </r>
  <r>
    <x v="10"/>
    <s v="23/01/2026"/>
    <x v="12"/>
    <s v="7503043917562"/>
    <s v="Huevo masturbador stepper - EGG"/>
    <s v="JUGUETE"/>
    <s v="EGG"/>
    <n v="1"/>
    <n v="159.47999999999999"/>
  </r>
  <r>
    <x v="10"/>
    <s v="23/01/2026"/>
    <x v="12"/>
    <s v="7503024256154"/>
    <s v="Lubricante Body Surf Termico Cereza DUSA 60ml"/>
    <s v="CONSUMIBLE PROPIO"/>
    <s v="DUSA"/>
    <n v="1"/>
    <n v="387.93"/>
  </r>
  <r>
    <x v="10"/>
    <s v="23/01/2026"/>
    <x v="12"/>
    <s v="7503020596957"/>
    <s v="Shot Shumatsu Fun Hombre - DUSA"/>
    <s v="CONSUMIBLE PROPIO"/>
    <s v="DUSA"/>
    <n v="1"/>
    <n v="172.41"/>
  </r>
  <r>
    <x v="10"/>
    <s v="23/01/2026"/>
    <x v="12"/>
    <s v="7503024256192"/>
    <s v="Shot Shumatsu Fun Mujer - DUSA"/>
    <s v="CONSUMIBLE PROPIO"/>
    <s v="DUSA"/>
    <n v="1"/>
    <n v="172.41"/>
  </r>
  <r>
    <x v="10"/>
    <s v="24/01/2026"/>
    <x v="12"/>
    <s v="7503043917081"/>
    <s v="Blade rosa anillo vibrador - CXO"/>
    <s v="JUGUETE PROPIO"/>
    <s v="CXO"/>
    <n v="2"/>
    <n v="163.80000000000001"/>
  </r>
  <r>
    <x v="10"/>
    <s v="24/01/2026"/>
    <x v="12"/>
    <s v="7502214985386"/>
    <s v="CONDON EXTRA PLEASURE C/3 -PRUDENCE"/>
    <s v="CONSUMIBLE"/>
    <s v="PRUDENCE"/>
    <n v="1"/>
    <n v="77.59"/>
  </r>
  <r>
    <x v="10"/>
    <s v="24/01/2026"/>
    <x v="12"/>
    <s v="75037628"/>
    <s v="Dulces Garganta Profunda 2 piezas Sabor Fresa - SXO"/>
    <s v="CONSUMIBLE"/>
    <s v="SXO"/>
    <n v="1"/>
    <n v="120.69"/>
  </r>
  <r>
    <x v="10"/>
    <s v="24/01/2026"/>
    <x v="12"/>
    <s v="7503023462242"/>
    <s v="Lubricante Masaje Termico Comestible Uva Dulce FEEL LOVE 4 en 1 60ml"/>
    <s v="LUBRICANTE"/>
    <s v="FEEL LOVE"/>
    <n v="1"/>
    <n v="344.83"/>
  </r>
  <r>
    <x v="10"/>
    <s v="24/01/2026"/>
    <x v="12"/>
    <s v="7503024256192"/>
    <s v="Shot Shumatsu Fun Mujer - DUSA"/>
    <s v="CONSUMIBLE PROPIO"/>
    <s v="DUSA"/>
    <n v="1"/>
    <n v="172.41"/>
  </r>
  <r>
    <x v="10"/>
    <s v="24/01/2026"/>
    <x v="12"/>
    <s v="7503032300443"/>
    <s v="Zoe bala vibradora RETAIL - CXO"/>
    <s v="JUGUETE PROPIO"/>
    <s v="CXO"/>
    <n v="2"/>
    <n v="310.33999999999997"/>
  </r>
  <r>
    <x v="10"/>
    <s v="25/01/2026"/>
    <x v="12"/>
    <s v="7503030211021"/>
    <s v="Anillo desechable para pene Donut - CXO"/>
    <s v="JUGUETE PROPIO"/>
    <s v="CXO"/>
    <n v="1"/>
    <n v="34.479999999999997"/>
  </r>
  <r>
    <x v="10"/>
    <s v="25/01/2026"/>
    <x v="12"/>
    <s v="4560220551448"/>
    <s v="Masturbador en huevo Crater - TENGA"/>
    <s v="JUGUETE"/>
    <s v="TENGA"/>
    <n v="1"/>
    <n v="301.72000000000003"/>
  </r>
  <r>
    <x v="11"/>
    <s v="19/01/2026"/>
    <x v="13"/>
    <s v="7503043917081"/>
    <s v="Blade rosa anillo vibrador - CXO"/>
    <s v="JUGUETE PROPIO"/>
    <s v="CXO"/>
    <n v="2"/>
    <n v="163.80000000000001"/>
  </r>
  <r>
    <x v="11"/>
    <s v="19/01/2026"/>
    <x v="13"/>
    <s v="7503032300252"/>
    <s v="Dildo Nebulosa - CXO"/>
    <s v="JUGUETE PROPIO"/>
    <s v="CXO"/>
    <n v="1"/>
    <n v="474.14"/>
  </r>
  <r>
    <x v="11"/>
    <s v="19/01/2026"/>
    <x v="13"/>
    <s v="7503030102034"/>
    <s v="Dildo vibrador con control Anthony - CXO"/>
    <s v="JUGUETE PROPIO"/>
    <s v="CXO"/>
    <n v="1"/>
    <n v="2112.0700000000002"/>
  </r>
  <r>
    <x v="11"/>
    <s v="19/01/2026"/>
    <x v="13"/>
    <s v="75037628"/>
    <s v="Dulces Garganta Profunda 2 piezas Sabor Fresa - SXO"/>
    <s v="CONSUMIBLE"/>
    <s v="SXO"/>
    <n v="1"/>
    <n v="120.69"/>
  </r>
  <r>
    <x v="11"/>
    <s v="19/01/2026"/>
    <x v="13"/>
    <s v="75080471"/>
    <s v="Dulces Garganta Profunda 2 piezas Sabor Uva - SXO"/>
    <s v="CONSUMIBLE"/>
    <s v="SXO"/>
    <n v="1"/>
    <n v="120.69"/>
  </r>
  <r>
    <x v="11"/>
    <s v="19/01/2026"/>
    <x v="13"/>
    <s v="7503032300993"/>
    <s v="Liquid Love Pleasure 30ml - DUSA"/>
    <s v="CONSUMIBLE PROPIO"/>
    <s v="DUSA"/>
    <n v="1"/>
    <n v="301.72000000000003"/>
  </r>
  <r>
    <x v="11"/>
    <s v="19/01/2026"/>
    <x v="13"/>
    <s v="7503013378645"/>
    <s v="Liquid Love Pleasure 100ml - DUSA"/>
    <s v="CONSUMIBLE PROPIO"/>
    <s v="DUSA"/>
    <n v="1"/>
    <n v="775.86"/>
  </r>
  <r>
    <x v="11"/>
    <s v="19/01/2026"/>
    <x v="13"/>
    <s v="75078737"/>
    <s v="Mini Kit Dulces 2 piezas - SXO"/>
    <s v="CONSUMIBLE"/>
    <s v="SXO"/>
    <n v="1"/>
    <n v="120.69"/>
  </r>
  <r>
    <x v="11"/>
    <s v="19/01/2026"/>
    <x v="13"/>
    <s v="7503032300856"/>
    <s v="Sachet vibrador liquido 2 ml - BANANA SHAKE"/>
    <s v="CONSUMIBLE"/>
    <s v="BANANA SHAKE"/>
    <n v="5"/>
    <n v="86.199999999999989"/>
  </r>
  <r>
    <x v="11"/>
    <s v="19/01/2026"/>
    <x v="13"/>
    <s v="7503020596957"/>
    <s v="Shot Shumatsu Fun Hombre - DUSA"/>
    <s v="CONSUMIBLE PROPIO"/>
    <s v="DUSA"/>
    <n v="1"/>
    <n v="172.41"/>
  </r>
  <r>
    <x v="11"/>
    <s v="19/01/2026"/>
    <x v="13"/>
    <s v="7503024256192"/>
    <s v="Shot Shumatsu Fun Mujer - DUSA"/>
    <s v="CONSUMIBLE PROPIO"/>
    <s v="DUSA"/>
    <n v="2"/>
    <n v="344.82"/>
  </r>
  <r>
    <x v="11"/>
    <s v="19/01/2026"/>
    <x v="13"/>
    <s v="7503013378690"/>
    <s v="Shumatsu 3 pzas - DUSA"/>
    <s v="CONSUMIBLE PROPIO"/>
    <s v="DUSA"/>
    <n v="1"/>
    <n v="577.59"/>
  </r>
  <r>
    <x v="11"/>
    <s v="19/01/2026"/>
    <x v="13"/>
    <s v="7503020596063"/>
    <s v="Stallion Regenerador - DUSA"/>
    <s v="CONSUMIBLE PROPIO"/>
    <s v="DUSA"/>
    <n v="1"/>
    <n v="1293.0999999999999"/>
  </r>
  <r>
    <x v="11"/>
    <s v="19/01/2026"/>
    <x v="13"/>
    <s v="7503010217048"/>
    <s v="Vela para masaje rose - DUSA"/>
    <s v="CONSUMIBLE PROPIO"/>
    <s v="DUSA"/>
    <n v="1"/>
    <n v="241.38"/>
  </r>
  <r>
    <x v="11"/>
    <s v="19/01/2026"/>
    <x v="13"/>
    <s v="7503032300443"/>
    <s v="Zoe bala vibradora RETAIL - CXO"/>
    <s v="JUGUETE PROPIO"/>
    <s v="CXO"/>
    <n v="2"/>
    <n v="310.33999999999997"/>
  </r>
  <r>
    <x v="11"/>
    <s v="20/01/2026"/>
    <x v="13"/>
    <s v="7713042311883"/>
    <s v="Aceite de almendras sensual 130ml - DIAMANTE"/>
    <s v="CONSUMIBLE"/>
    <s v="DIAMANTE"/>
    <n v="1"/>
    <n v="448.28"/>
  </r>
  <r>
    <x v="11"/>
    <s v="20/01/2026"/>
    <x v="13"/>
    <s v="FM1002"/>
    <s v="FEROMONAS DIAMANTE CONCENTRADO HOMBRE"/>
    <s v="CONSUMIBLE"/>
    <s v="DIAMANTE"/>
    <n v="1"/>
    <n v="413.79"/>
  </r>
  <r>
    <x v="11"/>
    <s v="20/01/2026"/>
    <x v="13"/>
    <s v="7503013378690"/>
    <s v="Shumatsu 3 pzas - DUSA"/>
    <s v="CONSUMIBLE PROPIO"/>
    <s v="DUSA"/>
    <n v="1"/>
    <n v="577.59"/>
  </r>
  <r>
    <x v="11"/>
    <s v="21/01/2026"/>
    <x v="13"/>
    <s v="7503043917036"/>
    <s v="Arnes universal de argolla negro - CXO"/>
    <s v="JUGUETE PROPIO"/>
    <s v="CXO"/>
    <n v="1"/>
    <n v="474.14"/>
  </r>
  <r>
    <x v="11"/>
    <s v="21/01/2026"/>
    <x v="13"/>
    <s v="S1222-KKW1020"/>
    <s v="Bomba de vacío con anillos intercambiables -   S1222 KKW1020"/>
    <s v="JUGUETE PROPIO"/>
    <s v="CXO"/>
    <n v="1"/>
    <n v="1189.6600000000001"/>
  </r>
  <r>
    <x v="11"/>
    <s v="21/01/2026"/>
    <x v="13"/>
    <s v="75079390"/>
    <s v="Mini Kit Mujer 3 piezas- SXO"/>
    <s v="CONSUMIBLE"/>
    <s v="SXO"/>
    <n v="1"/>
    <n v="284.48"/>
  </r>
  <r>
    <x v="11"/>
    <s v="21/01/2026"/>
    <x v="13"/>
    <s v="7503024256192"/>
    <s v="Shot Shumatsu Fun Mujer - DUSA"/>
    <s v="CONSUMIBLE PROPIO"/>
    <s v="DUSA"/>
    <n v="2"/>
    <n v="344.82"/>
  </r>
  <r>
    <x v="11"/>
    <s v="22/01/2026"/>
    <x v="14"/>
    <s v="7503030202167"/>
    <s v="Dildo hiper realista con ventosa Raul - CXO"/>
    <s v="JUGUETE PROPIO"/>
    <s v="CXO"/>
    <n v="1"/>
    <n v="1525.86"/>
  </r>
  <r>
    <x v="11"/>
    <s v="22/01/2026"/>
    <x v="14"/>
    <s v="7503030102034"/>
    <s v="Dildo vibrador con control Anthony - CXO"/>
    <s v="JUGUETE PROPIO"/>
    <s v="CXO"/>
    <n v="1"/>
    <n v="2112.0700000000002"/>
  </r>
  <r>
    <x v="11"/>
    <s v="22/01/2026"/>
    <x v="14"/>
    <s v="7503043917005"/>
    <s v="Liquid Love Clear 30ml - DUSA"/>
    <s v="CONSUMIBLE PROPIO"/>
    <s v="DUSA"/>
    <n v="1"/>
    <n v="301.72000000000003"/>
  </r>
  <r>
    <x v="11"/>
    <s v="22/01/2026"/>
    <x v="14"/>
    <s v="7503043917098"/>
    <s v="Succionador Mia  - CXO"/>
    <s v="JUGUETE PROPIO"/>
    <s v="CXO"/>
    <n v="1"/>
    <n v="818.97"/>
  </r>
  <r>
    <x v="11"/>
    <s v="23/01/2026"/>
    <x v="13"/>
    <s v="7707167957422"/>
    <s v="Babydoll Mod 509203 M - EA"/>
    <s v="LENCERIA"/>
    <s v="EA"/>
    <n v="1"/>
    <n v="344.83"/>
  </r>
  <r>
    <x v="11"/>
    <s v="23/01/2026"/>
    <x v="13"/>
    <s v="7502214985386"/>
    <s v="CONDON EXTRA PLEASURE C/3 -PRUDENCE"/>
    <s v="CONSUMIBLE"/>
    <s v="PRUDENCE"/>
    <n v="1"/>
    <n v="77.59"/>
  </r>
  <r>
    <x v="11"/>
    <s v="23/01/2026"/>
    <x v="13"/>
    <s v="7502214980275"/>
    <s v="Condones sabor y aroma soda c/ 3 pzs - PRUDENCE"/>
    <s v="CONSUMIBLE"/>
    <s v="PRUDENCE"/>
    <n v="1"/>
    <n v="60.34"/>
  </r>
  <r>
    <x v="11"/>
    <s v="23/01/2026"/>
    <x v="13"/>
    <s v="7503050226141"/>
    <s v="Conjunto Aitana - OLA MOU"/>
    <s v="LENCERIA"/>
    <s v="OLA MOU"/>
    <n v="1"/>
    <n v="431.03"/>
  </r>
  <r>
    <x v="11"/>
    <s v="23/01/2026"/>
    <x v="13"/>
    <s v="7503013378980"/>
    <s v="Lubricante Body Surf Termico Chicle DUSA 60ml"/>
    <s v="CONSUMIBLE PROPIO"/>
    <s v="DUSA"/>
    <n v="1"/>
    <n v="387.93"/>
  </r>
  <r>
    <x v="11"/>
    <s v="23/01/2026"/>
    <x v="13"/>
    <s v="7503013378010"/>
    <s v="Rigidex 2 pzas - DUSA"/>
    <s v="CONSUMIBLE PROPIO"/>
    <s v="DUSA"/>
    <n v="1"/>
    <n v="431.03"/>
  </r>
  <r>
    <x v="11"/>
    <s v="23/01/2026"/>
    <x v="13"/>
    <s v="7503013378690"/>
    <s v="Shumatsu 3 pzas - DUSA"/>
    <s v="CONSUMIBLE PROPIO"/>
    <s v="DUSA"/>
    <n v="1"/>
    <n v="577.59"/>
  </r>
  <r>
    <x v="11"/>
    <s v="24/01/2026"/>
    <x v="13"/>
    <s v="7503043917081"/>
    <s v="Blade rosa anillo vibrador - CXO"/>
    <s v="JUGUETE PROPIO"/>
    <s v="CXO"/>
    <n v="1"/>
    <n v="81.900000000000006"/>
  </r>
  <r>
    <x v="11"/>
    <s v="24/01/2026"/>
    <x v="13"/>
    <s v="7503043917326"/>
    <s v="Caro dual - CXO"/>
    <s v="JUGUETE PROPIO"/>
    <s v="CXO"/>
    <n v="1"/>
    <n v="1379.31"/>
  </r>
  <r>
    <x v="11"/>
    <s v="24/01/2026"/>
    <x v="13"/>
    <s v="7503013378492"/>
    <s v="Clean Whisper 120ml - DUSA"/>
    <s v="CONSUMIBLE PROPIO"/>
    <s v="DUSA"/>
    <n v="1"/>
    <n v="301.72000000000003"/>
  </r>
  <r>
    <x v="11"/>
    <s v="24/01/2026"/>
    <x v="13"/>
    <s v="7502214982514"/>
    <s v="Condon Chocolate 3 pzs - PRUDENCE"/>
    <s v="CONSUMIBLE"/>
    <s v="PRUDENCE"/>
    <n v="1"/>
    <n v="60.34"/>
  </r>
  <r>
    <x v="11"/>
    <s v="24/01/2026"/>
    <x v="13"/>
    <s v="7503043917012"/>
    <s v="Liquid Love Backdoor 30ml - DUSA"/>
    <s v="CONSUMIBLE PROPIO"/>
    <s v="DUSA"/>
    <n v="1"/>
    <n v="301.72000000000003"/>
  </r>
  <r>
    <x v="11"/>
    <s v="24/01/2026"/>
    <x v="13"/>
    <s v="7503032300993"/>
    <s v="Liquid Love Pleasure 30ml - DUSA"/>
    <s v="CONSUMIBLE PROPIO"/>
    <s v="DUSA"/>
    <n v="1"/>
    <n v="301.72000000000003"/>
  </r>
  <r>
    <x v="11"/>
    <s v="24/01/2026"/>
    <x v="13"/>
    <s v="7503013378980"/>
    <s v="Lubricante Body Surf Termico Chicle DUSA 60ml"/>
    <s v="CONSUMIBLE PROPIO"/>
    <s v="DUSA"/>
    <n v="1"/>
    <n v="387.93"/>
  </r>
  <r>
    <x v="11"/>
    <s v="24/01/2026"/>
    <x v="13"/>
    <s v="75078737"/>
    <s v="Mini Kit Dulces 2 piezas - SXO"/>
    <s v="CONSUMIBLE"/>
    <s v="SXO"/>
    <n v="1"/>
    <n v="120.69"/>
  </r>
  <r>
    <x v="11"/>
    <s v="24/01/2026"/>
    <x v="13"/>
    <s v="7503013378690"/>
    <s v="Shumatsu 3 pzas - DUSA"/>
    <s v="CONSUMIBLE PROPIO"/>
    <s v="DUSA"/>
    <n v="1"/>
    <n v="577.59"/>
  </r>
  <r>
    <x v="11"/>
    <s v="25/01/2026"/>
    <x v="13"/>
    <s v="7503013378492"/>
    <s v="Clean Whisper 120ml - DUSA"/>
    <s v="CONSUMIBLE PROPIO"/>
    <s v="DUSA"/>
    <n v="1"/>
    <n v="301.72000000000003"/>
  </r>
  <r>
    <x v="11"/>
    <s v="25/01/2026"/>
    <x v="13"/>
    <s v="7503050524265"/>
    <s v="He Plus 30ml - DUSA"/>
    <s v="CONSUMIBLE PROPIO"/>
    <s v="DUSA"/>
    <n v="1"/>
    <n v="431.03"/>
  </r>
  <r>
    <x v="11"/>
    <s v="25/01/2026"/>
    <x v="13"/>
    <s v="7503013378126"/>
    <s v="Lubricante Body Surf Frio Natural DUSA 60ml"/>
    <s v="CONSUMIBLE PROPIO"/>
    <s v="DUSA"/>
    <n v="1"/>
    <n v="387.93"/>
  </r>
  <r>
    <x v="11"/>
    <s v="25/01/2026"/>
    <x v="13"/>
    <s v="6959633156094"/>
    <s v="Robin - SVAKOM"/>
    <s v="JUGUETE"/>
    <s v="SVAKOM"/>
    <n v="1"/>
    <n v="1318.97"/>
  </r>
  <r>
    <x v="12"/>
    <s v="19/01/2026"/>
    <x v="14"/>
    <s v="7503043917012"/>
    <s v="Liquid Love Backdoor 30ml - DUSA"/>
    <s v="CONSUMIBLE PROPIO"/>
    <s v="DUSA"/>
    <n v="1"/>
    <n v="301.72000000000003"/>
  </r>
  <r>
    <x v="12"/>
    <s v="19/01/2026"/>
    <x v="14"/>
    <s v="7503020596513"/>
    <s v="Liquid Love Natural 20ml - DUSA"/>
    <s v="CONSUMIBLE PROPIO"/>
    <s v="DUSA"/>
    <n v="1"/>
    <n v="258.62"/>
  </r>
  <r>
    <x v="12"/>
    <s v="20/01/2026"/>
    <x v="15"/>
    <s v="7503043917081"/>
    <s v="Blade rosa anillo vibrador - CXO"/>
    <s v="JUGUETE PROPIO"/>
    <s v="CXO"/>
    <n v="1"/>
    <n v="81.900000000000006"/>
  </r>
  <r>
    <x v="12"/>
    <s v="20/01/2026"/>
    <x v="15"/>
    <s v="7503013378904"/>
    <s v="Dildo Mr. Hernandez - CXO"/>
    <s v="JUGUETE PROPIO"/>
    <s v="CXO"/>
    <n v="1"/>
    <n v="517.24"/>
  </r>
  <r>
    <x v="12"/>
    <s v="20/01/2026"/>
    <x v="15"/>
    <s v="7503030207201"/>
    <s v="Funda semi realista para pene Rodolfo - CXO"/>
    <s v="JUGUETE PROPIO"/>
    <s v="CXO"/>
    <n v="1"/>
    <n v="1137.93"/>
  </r>
  <r>
    <x v="12"/>
    <s v="20/01/2026"/>
    <x v="15"/>
    <s v="7503043917005"/>
    <s v="Liquid Love Clear 30ml - DUSA"/>
    <s v="CONSUMIBLE PROPIO"/>
    <s v="DUSA"/>
    <n v="1"/>
    <n v="301.72000000000003"/>
  </r>
  <r>
    <x v="12"/>
    <s v="20/01/2026"/>
    <x v="15"/>
    <s v="7503023462907"/>
    <s v="ORAL SEX Moka 30ml  - DIAMANTE"/>
    <s v="CONSUMIBLE"/>
    <s v="DIAMANTE"/>
    <n v="1"/>
    <n v="310.35000000000002"/>
  </r>
  <r>
    <x v="12"/>
    <s v="21/01/2026"/>
    <x v="15"/>
    <s v="7503043917548"/>
    <s v="Huevo masturbador silky - EGG"/>
    <s v="JUGUETE"/>
    <s v="EGG"/>
    <n v="1"/>
    <n v="159.47999999999999"/>
  </r>
  <r>
    <x v="12"/>
    <s v="22/01/2026"/>
    <x v="15"/>
    <s v="7503013378102"/>
    <s v="Anastasia Gema de Colores M - CXO"/>
    <s v="JUGUETE PROPIO"/>
    <s v="CXO"/>
    <n v="1"/>
    <n v="456.9"/>
  </r>
  <r>
    <x v="12"/>
    <s v="22/01/2026"/>
    <x v="15"/>
    <s v="CON01CH016003M"/>
    <s v="Conjunto Nancy M verde"/>
    <s v="LENCERIA"/>
    <s v="OLA MOU"/>
    <n v="1"/>
    <n v="215.52"/>
  </r>
  <r>
    <x v="12"/>
    <s v="22/01/2026"/>
    <x v="15"/>
    <s v="7503030202167"/>
    <s v="Dildo hiper realista con ventosa Raul - CXO"/>
    <s v="JUGUETE PROPIO"/>
    <s v="CXO"/>
    <n v="1"/>
    <n v="1525.86"/>
  </r>
  <r>
    <x v="12"/>
    <s v="22/01/2026"/>
    <x v="15"/>
    <s v="7503020202214"/>
    <s v="Dildo realista con ventosa y testiculos Eddy - CXO"/>
    <s v="JUGUETE PROPIO"/>
    <s v="CXO"/>
    <n v="1"/>
    <n v="948.28"/>
  </r>
  <r>
    <x v="12"/>
    <s v="22/01/2026"/>
    <x v="15"/>
    <s v="7503050524265"/>
    <s v="He Plus 30ml - DUSA"/>
    <s v="CONSUMIBLE PROPIO"/>
    <s v="DUSA"/>
    <n v="1"/>
    <n v="431.03"/>
  </r>
  <r>
    <x v="12"/>
    <s v="22/01/2026"/>
    <x v="15"/>
    <s v="7503043917012"/>
    <s v="Liquid Love Backdoor 30ml - DUSA"/>
    <s v="CONSUMIBLE PROPIO"/>
    <s v="DUSA"/>
    <n v="2"/>
    <n v="603.44000000000005"/>
  </r>
  <r>
    <x v="12"/>
    <s v="22/01/2026"/>
    <x v="15"/>
    <s v="7503050524241"/>
    <s v="Orgasmik 30ml - DUSA"/>
    <s v="CONSUMIBLE PROPIO"/>
    <s v="DUSA"/>
    <n v="1"/>
    <n v="431.03"/>
  </r>
  <r>
    <x v="12"/>
    <s v="22/01/2026"/>
    <x v="15"/>
    <s v="7503013378010"/>
    <s v="Rigidex 2 pzas - DUSA"/>
    <s v="CONSUMIBLE PROPIO"/>
    <s v="DUSA"/>
    <n v="1"/>
    <n v="431.03"/>
  </r>
  <r>
    <x v="12"/>
    <s v="22/01/2026"/>
    <x v="15"/>
    <s v="7503026484050"/>
    <s v="SENSIBILIZADOR PARA PEZONES 15ML"/>
    <s v="CONSUMIBLE"/>
    <s v="FEEL LOVE"/>
    <n v="1"/>
    <n v="172.41"/>
  </r>
  <r>
    <x v="12"/>
    <s v="23/01/2026"/>
    <x v="15"/>
    <s v="PEROLA00267SS"/>
    <s v="Body corset Perla - OLA MOU"/>
    <s v="LENCERIA"/>
    <s v="OLA MOU"/>
    <n v="1"/>
    <n v="301.72000000000003"/>
  </r>
  <r>
    <x v="12"/>
    <s v="23/01/2026"/>
    <x v="15"/>
    <s v="7503013378904"/>
    <s v="Dildo Mr. Hernandez - CXO"/>
    <s v="JUGUETE PROPIO"/>
    <s v="CXO"/>
    <n v="1"/>
    <n v="517.24"/>
  </r>
  <r>
    <x v="12"/>
    <s v="23/01/2026"/>
    <x v="15"/>
    <s v="7503043917012"/>
    <s v="Liquid Love Backdoor 30ml - DUSA"/>
    <s v="CONSUMIBLE PROPIO"/>
    <s v="DUSA"/>
    <n v="2"/>
    <n v="603.44000000000005"/>
  </r>
  <r>
    <x v="12"/>
    <s v="23/01/2026"/>
    <x v="15"/>
    <s v="7503043917005"/>
    <s v="Liquid Love Clear 30ml - DUSA"/>
    <s v="CONSUMIBLE PROPIO"/>
    <s v="DUSA"/>
    <n v="1"/>
    <n v="301.72000000000003"/>
  </r>
  <r>
    <x v="12"/>
    <s v="23/01/2026"/>
    <x v="15"/>
    <s v="7503024256635"/>
    <s v="Olive  6.8&quot; rosa - CXO"/>
    <s v="JUGUETE PROPIO"/>
    <s v="CXO"/>
    <n v="1"/>
    <n v="603.45000000000005"/>
  </r>
  <r>
    <x v="12"/>
    <s v="23/01/2026"/>
    <x v="15"/>
    <s v="7503013378690"/>
    <s v="Shumatsu 3 pzas - DUSA"/>
    <s v="CONSUMIBLE PROPIO"/>
    <s v="DUSA"/>
    <n v="1"/>
    <n v="577.59"/>
  </r>
  <r>
    <x v="12"/>
    <s v="24/01/2026"/>
    <x v="15"/>
    <s v="7503013378492"/>
    <s v="Clean Whisper 120ml - DUSA"/>
    <s v="CONSUMIBLE PROPIO"/>
    <s v="DUSA"/>
    <n v="1"/>
    <n v="301.72000000000003"/>
  </r>
  <r>
    <x v="12"/>
    <s v="24/01/2026"/>
    <x v="15"/>
    <s v="7503043917012"/>
    <s v="Liquid Love Backdoor 30ml - DUSA"/>
    <s v="CONSUMIBLE PROPIO"/>
    <s v="DUSA"/>
    <n v="1"/>
    <n v="301.72000000000003"/>
  </r>
  <r>
    <x v="12"/>
    <s v="24/01/2026"/>
    <x v="15"/>
    <s v="6959633146972"/>
    <s v="Masturbador Hedy X Experience – SVAKOM"/>
    <s v="JUGUETE"/>
    <s v="SVAKOM"/>
    <n v="1"/>
    <n v="181.03"/>
  </r>
  <r>
    <x v="12"/>
    <s v="24/01/2026"/>
    <x v="15"/>
    <s v="7503013378010"/>
    <s v="Rigidex 2 pzas - DUSA"/>
    <s v="CONSUMIBLE PROPIO"/>
    <s v="DUSA"/>
    <n v="1"/>
    <n v="431.03"/>
  </r>
  <r>
    <x v="12"/>
    <s v="24/01/2026"/>
    <x v="15"/>
    <s v="7503013378690"/>
    <s v="Shumatsu 3 pzas - DUSA"/>
    <s v="CONSUMIBLE PROPIO"/>
    <s v="DUSA"/>
    <n v="2"/>
    <n v="1155.18"/>
  </r>
  <r>
    <x v="12"/>
    <s v="24/01/2026"/>
    <x v="15"/>
    <s v="7503020104212"/>
    <s v="Vibrador multiorgasmico con aleta estimuladora Megan - CXO"/>
    <s v="JUGUETE PROPIO"/>
    <s v="CXO"/>
    <n v="1"/>
    <n v="2413.79"/>
  </r>
  <r>
    <x v="12"/>
    <s v="25/01/2026"/>
    <x v="15"/>
    <s v="7503043917081"/>
    <s v="Blade rosa anillo vibrador - CXO"/>
    <s v="JUGUETE PROPIO"/>
    <s v="CXO"/>
    <n v="1"/>
    <n v="81.900000000000006"/>
  </r>
  <r>
    <x v="12"/>
    <s v="25/01/2026"/>
    <x v="15"/>
    <s v="7503014914002"/>
    <s v="CAPSULAS MULTIORGASMICO AMO O-GEN"/>
    <s v="CONSUMIBLE"/>
    <s v="POWER MAN"/>
    <n v="1"/>
    <n v="431.04"/>
  </r>
  <r>
    <x v="12"/>
    <s v="25/01/2026"/>
    <x v="15"/>
    <s v="7503050524265"/>
    <s v="He Plus 30ml - DUSA"/>
    <s v="CONSUMIBLE PROPIO"/>
    <s v="DUSA"/>
    <n v="1"/>
    <n v="431.03"/>
  </r>
  <r>
    <x v="12"/>
    <s v="25/01/2026"/>
    <x v="15"/>
    <s v="7503043917012"/>
    <s v="Liquid Love Backdoor 30ml - DUSA"/>
    <s v="CONSUMIBLE PROPIO"/>
    <s v="DUSA"/>
    <n v="1"/>
    <n v="301.72000000000003"/>
  </r>
  <r>
    <x v="12"/>
    <s v="25/01/2026"/>
    <x v="15"/>
    <s v="7503013378652"/>
    <s v="Liquid Love Backdoor 100ml - DUSA"/>
    <s v="CONSUMIBLE PROPIO"/>
    <s v="DUSA"/>
    <n v="1"/>
    <n v="1077.5899999999999"/>
  </r>
  <r>
    <x v="12"/>
    <s v="25/01/2026"/>
    <x v="15"/>
    <s v="7503043917005"/>
    <s v="Liquid Love Clear 30ml - DUSA"/>
    <s v="CONSUMIBLE PROPIO"/>
    <s v="DUSA"/>
    <n v="1"/>
    <n v="301.72000000000003"/>
  </r>
  <r>
    <x v="12"/>
    <s v="25/01/2026"/>
    <x v="15"/>
    <s v="7502235091615"/>
    <s v="Miel Estimulante Mujer 18ml"/>
    <s v="CONSUMIBLE"/>
    <s v="SXO"/>
    <n v="1"/>
    <n v="301.72000000000003"/>
  </r>
  <r>
    <x v="12"/>
    <s v="25/01/2026"/>
    <x v="15"/>
    <s v="7503050524241"/>
    <s v="Orgasmik 30ml - DUSA"/>
    <s v="CONSUMIBLE PROPIO"/>
    <s v="DUSA"/>
    <n v="2"/>
    <n v="862.06"/>
  </r>
  <r>
    <x v="12"/>
    <s v="25/01/2026"/>
    <x v="15"/>
    <s v="LL-2340-C"/>
    <s v="Pinzas Vibradoras para Pezon Mod. C (Succionador) - CXO"/>
    <s v="JUGUETE PROPIO"/>
    <s v="CXO"/>
    <n v="1"/>
    <n v="301.72000000000003"/>
  </r>
  <r>
    <x v="12"/>
    <s v="25/01/2026"/>
    <x v="15"/>
    <s v="7503013378010"/>
    <s v="Rigidex 2 pzas - DUSA"/>
    <s v="CONSUMIBLE PROPIO"/>
    <s v="DUSA"/>
    <n v="1"/>
    <n v="431.03"/>
  </r>
  <r>
    <x v="12"/>
    <s v="25/01/2026"/>
    <x v="15"/>
    <s v="7503013378690"/>
    <s v="Shumatsu 3 pzas - DUSA"/>
    <s v="CONSUMIBLE PROPIO"/>
    <s v="DUSA"/>
    <n v="1"/>
    <n v="577.59"/>
  </r>
  <r>
    <x v="12"/>
    <s v="25/01/2026"/>
    <x v="15"/>
    <s v="7503030104190"/>
    <s v="Vibrador multiorgasmico con 10 modos de vibracion Norma - CXO"/>
    <s v="JUGUETE PROPIO"/>
    <s v="CXO"/>
    <n v="1"/>
    <n v="2396.5500000000002"/>
  </r>
  <r>
    <x v="13"/>
    <s v="19/01/2026"/>
    <x v="16"/>
    <s v="7503024256932"/>
    <s v="Cinthia - CXO"/>
    <s v="JUGUETE PROPIO"/>
    <s v="CXO"/>
    <n v="2"/>
    <n v="2258.62"/>
  </r>
  <r>
    <x v="13"/>
    <s v="19/01/2026"/>
    <x v="16"/>
    <s v="7503043917005"/>
    <s v="Liquid Love Clear 30ml - DUSA"/>
    <s v="CONSUMIBLE PROPIO"/>
    <s v="DUSA"/>
    <n v="1"/>
    <n v="301.72000000000003"/>
  </r>
  <r>
    <x v="13"/>
    <s v="19/01/2026"/>
    <x v="16"/>
    <s v="7503032300993"/>
    <s v="Liquid Love Pleasure 30ml - DUSA"/>
    <s v="CONSUMIBLE PROPIO"/>
    <s v="DUSA"/>
    <n v="1"/>
    <n v="301.72000000000003"/>
  </r>
  <r>
    <x v="13"/>
    <s v="19/01/2026"/>
    <x v="16"/>
    <s v="7503032300382"/>
    <s v="Mon - CXO"/>
    <s v="JUGUETE PROPIO"/>
    <s v="CXO"/>
    <n v="1"/>
    <n v="517.24"/>
  </r>
  <r>
    <x v="13"/>
    <s v="19/01/2026"/>
    <x v="16"/>
    <s v="7503020596957"/>
    <s v="Shot Shumatsu Fun Hombre - DUSA"/>
    <s v="CONSUMIBLE PROPIO"/>
    <s v="DUSA"/>
    <n v="1"/>
    <n v="172.41"/>
  </r>
  <r>
    <x v="13"/>
    <s v="20/01/2026"/>
    <x v="16"/>
    <s v="7502214982576"/>
    <s v="CONDON PRUDENCE SABOR Y AROMA EXTRA FUERTE"/>
    <s v="CONSUMIBLE"/>
    <s v="PRUDENCE"/>
    <n v="1"/>
    <n v="77.59"/>
  </r>
  <r>
    <x v="13"/>
    <s v="20/01/2026"/>
    <x v="16"/>
    <s v="7503043917005"/>
    <s v="Liquid Love Clear 30ml - DUSA"/>
    <s v="CONSUMIBLE PROPIO"/>
    <s v="DUSA"/>
    <n v="2"/>
    <n v="603.44000000000005"/>
  </r>
  <r>
    <x v="13"/>
    <s v="20/01/2026"/>
    <x v="16"/>
    <s v="4061504007533"/>
    <s v="Succionador con App Love Triangle - Satisfayer"/>
    <s v="JUGUETE"/>
    <s v="SATISFAYER"/>
    <n v="1"/>
    <n v="1465.52"/>
  </r>
  <r>
    <x v="13"/>
    <s v="21/01/2026"/>
    <x v="5"/>
    <s v="7503013378102"/>
    <s v="Anastasia Gema de Colores M - CXO"/>
    <s v="JUGUETE PROPIO"/>
    <s v="CXO"/>
    <n v="1"/>
    <n v="456.9"/>
  </r>
  <r>
    <x v="13"/>
    <s v="21/01/2026"/>
    <x v="5"/>
    <s v="6959633103500"/>
    <s v="Chika multiorgasmico turqueza - SVAKOM"/>
    <s v="JUGUETE"/>
    <s v="SVAKOM"/>
    <n v="1"/>
    <n v="2155.17"/>
  </r>
  <r>
    <x v="13"/>
    <s v="21/01/2026"/>
    <x v="5"/>
    <s v="7503013378492"/>
    <s v="Clean Whisper 120ml - DUSA"/>
    <s v="CONSUMIBLE PROPIO"/>
    <s v="DUSA"/>
    <n v="1"/>
    <n v="301.72000000000003"/>
  </r>
  <r>
    <x v="13"/>
    <s v="21/01/2026"/>
    <x v="5"/>
    <s v="603912307924"/>
    <s v="COLUMPIO DELUXE FANTASY DOOR SWING"/>
    <s v="OTRO"/>
    <s v="PIPEDREAM"/>
    <n v="1"/>
    <n v="1047.4100000000001"/>
  </r>
  <r>
    <x v="13"/>
    <s v="21/01/2026"/>
    <x v="5"/>
    <s v="7503013378645"/>
    <s v="Liquid Love Pleasure 100ml - DUSA"/>
    <s v="CONSUMIBLE PROPIO"/>
    <s v="DUSA"/>
    <n v="2"/>
    <n v="1551.72"/>
  </r>
  <r>
    <x v="13"/>
    <s v="21/01/2026"/>
    <x v="5"/>
    <s v="7503013378799"/>
    <s v="Lubricante Body Surf Termico Citricos DUSA 60ml"/>
    <s v="CONSUMIBLE PROPIO"/>
    <s v="DUSA"/>
    <n v="1"/>
    <n v="387.93"/>
  </r>
  <r>
    <x v="13"/>
    <s v="21/01/2026"/>
    <x v="5"/>
    <s v="7503050524258"/>
    <s v="Sensicool 30ml - DUSA"/>
    <s v="CONSUMIBLE PROPIO"/>
    <s v="DUSA"/>
    <n v="1"/>
    <n v="431.03"/>
  </r>
  <r>
    <x v="13"/>
    <s v="21/01/2026"/>
    <x v="5"/>
    <s v="7503020596957"/>
    <s v="Shot Shumatsu Fun Hombre - DUSA"/>
    <s v="CONSUMIBLE PROPIO"/>
    <s v="DUSA"/>
    <n v="1"/>
    <n v="172.41"/>
  </r>
  <r>
    <x v="13"/>
    <s v="22/01/2026"/>
    <x v="16"/>
    <s v="7503043917081"/>
    <s v="Blade rosa anillo vibrador - CXO"/>
    <s v="JUGUETE PROPIO"/>
    <s v="CXO"/>
    <n v="1"/>
    <n v="81.900000000000006"/>
  </r>
  <r>
    <x v="13"/>
    <s v="22/01/2026"/>
    <x v="16"/>
    <s v="7503032300993"/>
    <s v="Liquid Love Pleasure 30ml - DUSA"/>
    <s v="CONSUMIBLE PROPIO"/>
    <s v="DUSA"/>
    <n v="1"/>
    <n v="301.72000000000003"/>
  </r>
  <r>
    <x v="13"/>
    <s v="22/01/2026"/>
    <x v="16"/>
    <s v="7503013378799"/>
    <s v="Lubricante Body Surf Termico Citricos DUSA 60ml"/>
    <s v="CONSUMIBLE PROPIO"/>
    <s v="DUSA"/>
    <n v="1"/>
    <n v="387.93"/>
  </r>
  <r>
    <x v="13"/>
    <s v="22/01/2026"/>
    <x v="16"/>
    <s v="7503050524241"/>
    <s v="Orgasmik 30ml - DUSA"/>
    <s v="CONSUMIBLE PROPIO"/>
    <s v="DUSA"/>
    <n v="1"/>
    <n v="431.03"/>
  </r>
  <r>
    <x v="13"/>
    <s v="23/01/2026"/>
    <x v="5"/>
    <s v="7503050226132"/>
    <s v="Body Carla - OLA MOU"/>
    <s v="LENCERIA"/>
    <s v="OLA MOU"/>
    <n v="1"/>
    <n v="431.03"/>
  </r>
  <r>
    <x v="13"/>
    <s v="23/01/2026"/>
    <x v="5"/>
    <s v="CON01CH009005M"/>
    <s v="Conjunto Brenda M amarillo"/>
    <s v="LENCERIA"/>
    <s v="OLA MOU"/>
    <n v="1"/>
    <n v="435.34"/>
  </r>
  <r>
    <x v="13"/>
    <s v="24/01/2026"/>
    <x v="16"/>
    <s v="7503030115025"/>
    <s v="Arnes straple con doble estimulacion violeta Karen - CXO"/>
    <s v="JUGUETE"/>
    <s v="ADRIEN LASTIC"/>
    <n v="1"/>
    <n v="2586.21"/>
  </r>
  <r>
    <x v="13"/>
    <s v="24/01/2026"/>
    <x v="16"/>
    <s v="MBS0530"/>
    <s v="Esposas de broche - CXO"/>
    <s v="JUGUETE PROPIO"/>
    <s v="CXO"/>
    <n v="1"/>
    <n v="172.41"/>
  </r>
  <r>
    <x v="13"/>
    <s v="24/01/2026"/>
    <x v="16"/>
    <s v="7503020596001"/>
    <s v="Liquid Love Clear 100ml - DUSA"/>
    <s v="CONSUMIBLE PROPIO"/>
    <s v="DUSA"/>
    <n v="2"/>
    <n v="1551.72"/>
  </r>
  <r>
    <x v="13"/>
    <s v="24/01/2026"/>
    <x v="16"/>
    <s v="7503024256154"/>
    <s v="Lubricante Body Surf Termico Cereza DUSA 60ml"/>
    <s v="CONSUMIBLE PROPIO"/>
    <s v="DUSA"/>
    <n v="1"/>
    <n v="387.93"/>
  </r>
  <r>
    <x v="13"/>
    <s v="24/01/2026"/>
    <x v="16"/>
    <s v="7503020596957"/>
    <s v="Shot Shumatsu Fun Hombre - DUSA"/>
    <s v="CONSUMIBLE PROPIO"/>
    <s v="DUSA"/>
    <n v="1"/>
    <n v="172.41"/>
  </r>
  <r>
    <x v="13"/>
    <s v="24/01/2026"/>
    <x v="16"/>
    <s v="7503024256192"/>
    <s v="Shot Shumatsu Fun Mujer - DUSA"/>
    <s v="CONSUMIBLE PROPIO"/>
    <s v="DUSA"/>
    <n v="1"/>
    <n v="172.41"/>
  </r>
  <r>
    <x v="13"/>
    <s v="24/01/2026"/>
    <x v="16"/>
    <s v="7350075026164"/>
    <s v="Sona rosa - LELO"/>
    <s v="JUGUETE"/>
    <s v="LELO"/>
    <n v="1"/>
    <n v="2068.9699999999998"/>
  </r>
  <r>
    <x v="13"/>
    <s v="25/01/2026"/>
    <x v="16"/>
    <s v="7503024256741"/>
    <s v="Cola de Zorro 45cm café S - CXO"/>
    <s v="JUGUETE PROPIO"/>
    <s v="CXO"/>
    <n v="1"/>
    <n v="258.62"/>
  </r>
  <r>
    <x v="13"/>
    <s v="25/01/2026"/>
    <x v="16"/>
    <s v="ZEBOLA00265VW"/>
    <s v="Conjunto Zebra - OLA MOU"/>
    <s v="LENCERIA"/>
    <s v="OLA MOU"/>
    <n v="1"/>
    <n v="301.72000000000003"/>
  </r>
  <r>
    <x v="13"/>
    <s v="25/01/2026"/>
    <x v="16"/>
    <s v="7503030102198"/>
    <s v="Dildo realista vibrador con ventosa Ulises - CXO"/>
    <s v="JUGUETE PROPIO"/>
    <s v="CXO"/>
    <n v="1"/>
    <n v="2000"/>
  </r>
  <r>
    <x v="13"/>
    <s v="25/01/2026"/>
    <x v="16"/>
    <s v="7503030102034"/>
    <s v="Dildo vibrador con control Anthony - CXO"/>
    <s v="JUGUETE PROPIO"/>
    <s v="CXO"/>
    <n v="1"/>
    <n v="2112.0700000000002"/>
  </r>
  <r>
    <x v="13"/>
    <s v="25/01/2026"/>
    <x v="16"/>
    <s v="7503043917012"/>
    <s v="Liquid Love Backdoor 30ml - DUSA"/>
    <s v="CONSUMIBLE PROPIO"/>
    <s v="DUSA"/>
    <n v="1"/>
    <n v="301.72000000000003"/>
  </r>
  <r>
    <x v="13"/>
    <s v="25/01/2026"/>
    <x v="16"/>
    <s v="7503020596513"/>
    <s v="Liquid Love Natural 20ml - DUSA"/>
    <s v="CONSUMIBLE PROPIO"/>
    <s v="DUSA"/>
    <n v="1"/>
    <n v="258.62"/>
  </r>
  <r>
    <x v="13"/>
    <s v="25/01/2026"/>
    <x v="16"/>
    <s v="7503032300993"/>
    <s v="Liquid Love Pleasure 30ml - DUSA"/>
    <s v="CONSUMIBLE PROPIO"/>
    <s v="DUSA"/>
    <n v="1"/>
    <n v="301.72000000000003"/>
  </r>
  <r>
    <x v="13"/>
    <s v="25/01/2026"/>
    <x v="16"/>
    <s v="7503013378799"/>
    <s v="Lubricante Body Surf Termico Citricos DUSA 60ml"/>
    <s v="CONSUMIBLE PROPIO"/>
    <s v="DUSA"/>
    <n v="1"/>
    <n v="387.93"/>
  </r>
  <r>
    <x v="13"/>
    <s v="25/01/2026"/>
    <x v="16"/>
    <s v="7503050226162"/>
    <s v="Plug Anal con Vibración y Control Roberto - CXO"/>
    <s v="JUGUETE PROPIO"/>
    <s v="CXO"/>
    <n v="1"/>
    <n v="1293.0999999999999"/>
  </r>
  <r>
    <x v="13"/>
    <s v="25/01/2026"/>
    <x v="16"/>
    <s v="7503032300443"/>
    <s v="Zoe bala vibradora RETAIL - CXO"/>
    <s v="JUGUETE PROPIO"/>
    <s v="CXO"/>
    <n v="1"/>
    <n v="155.16999999999999"/>
  </r>
  <r>
    <x v="14"/>
    <s v="19/01/2026"/>
    <x v="17"/>
    <s v="7503013378492"/>
    <s v="Clean Whisper 120ml - DUSA"/>
    <s v="CONSUMIBLE PROPIO"/>
    <s v="DUSA"/>
    <n v="1"/>
    <n v="301.72000000000003"/>
  </r>
  <r>
    <x v="14"/>
    <s v="19/01/2026"/>
    <x v="17"/>
    <s v="7503043917012"/>
    <s v="Liquid Love Backdoor 30ml - DUSA"/>
    <s v="CONSUMIBLE PROPIO"/>
    <s v="DUSA"/>
    <n v="1"/>
    <n v="301.72000000000003"/>
  </r>
  <r>
    <x v="14"/>
    <s v="19/01/2026"/>
    <x v="17"/>
    <s v="7503032300993"/>
    <s v="Liquid Love Pleasure 30ml - DUSA"/>
    <s v="CONSUMIBLE PROPIO"/>
    <s v="DUSA"/>
    <n v="1"/>
    <n v="301.72000000000003"/>
  </r>
  <r>
    <x v="14"/>
    <s v="19/01/2026"/>
    <x v="17"/>
    <s v="7503023462242"/>
    <s v="Lubricante Masaje Termico Comestible Uva Dulce FEEL LOVE 4 en 1 60ml"/>
    <s v="LUBRICANTE"/>
    <s v="FEEL LOVE"/>
    <n v="1"/>
    <n v="344.83"/>
  </r>
  <r>
    <x v="14"/>
    <s v="19/01/2026"/>
    <x v="17"/>
    <s v="7503032300825"/>
    <s v="Lubricante Sachet natural 2 ml - BANANA SHAKE"/>
    <s v="CONSUMIBLE"/>
    <s v="BANANA SHAKE"/>
    <n v="2"/>
    <n v="34.479999999999997"/>
  </r>
  <r>
    <x v="14"/>
    <s v="19/01/2026"/>
    <x v="17"/>
    <s v="6959633103494"/>
    <s v="Mora Neo multiorgasmico rosa - SVAKOM"/>
    <s v="JUGUETE"/>
    <s v="SVAKOM"/>
    <n v="1"/>
    <n v="1637.93"/>
  </r>
  <r>
    <x v="14"/>
    <s v="19/01/2026"/>
    <x v="17"/>
    <s v="6959633127964"/>
    <s v="Sam Neo - SVAKOM"/>
    <s v="JUGUETE"/>
    <s v="SVAKOM"/>
    <n v="1"/>
    <n v="3017.24"/>
  </r>
  <r>
    <x v="14"/>
    <s v="19/01/2026"/>
    <x v="17"/>
    <s v="7503013378690"/>
    <s v="Shumatsu 3 pzas - DUSA"/>
    <s v="CONSUMIBLE PROPIO"/>
    <s v="DUSA"/>
    <n v="1"/>
    <n v="577.59"/>
  </r>
  <r>
    <x v="14"/>
    <s v="19/01/2026"/>
    <x v="17"/>
    <s v="7503032300443"/>
    <s v="Zoe bala vibradora RETAIL - CXO"/>
    <s v="JUGUETE PROPIO"/>
    <s v="CXO"/>
    <n v="1"/>
    <n v="155.16999999999999"/>
  </r>
  <r>
    <x v="14"/>
    <s v="20/01/2026"/>
    <x v="17"/>
    <s v="FM1001"/>
    <s v="FEROMONAS DIAMANTE CONCENTRADO MUJER"/>
    <s v="CONSUMIBLE"/>
    <s v="DIAMANTE"/>
    <n v="1"/>
    <n v="413.79"/>
  </r>
  <r>
    <x v="14"/>
    <s v="20/01/2026"/>
    <x v="17"/>
    <s v="603912120042"/>
    <s v="Happy Top Tickler funda - PIPEDREAM"/>
    <s v="JUGUETE"/>
    <s v="PIPEDREAM"/>
    <n v="2"/>
    <n v="689.66"/>
  </r>
  <r>
    <x v="14"/>
    <s v="21/01/2026"/>
    <x v="17"/>
    <s v="7503013378492"/>
    <s v="Clean Whisper 120ml - DUSA"/>
    <s v="CONSUMIBLE PROPIO"/>
    <s v="DUSA"/>
    <n v="1"/>
    <n v="301.72000000000003"/>
  </r>
  <r>
    <x v="14"/>
    <s v="21/01/2026"/>
    <x v="17"/>
    <s v="MBS0530"/>
    <s v="Esposas de broche - CXO"/>
    <s v="JUGUETE PROPIO"/>
    <s v="CXO"/>
    <n v="3"/>
    <n v="517.24"/>
  </r>
  <r>
    <x v="14"/>
    <s v="21/01/2026"/>
    <x v="17"/>
    <s v="7503032300634"/>
    <s v="Kevin violeta - CXO"/>
    <s v="JUGUETE PROPIO"/>
    <s v="CXO"/>
    <n v="1"/>
    <n v="775.86"/>
  </r>
  <r>
    <x v="14"/>
    <s v="21/01/2026"/>
    <x v="17"/>
    <s v="7503043917524"/>
    <s v="Kit Lisboa 8 pzs - CXO"/>
    <s v="JUGUETE PROPIO"/>
    <s v="CXO"/>
    <n v="1"/>
    <n v="465.52"/>
  </r>
  <r>
    <x v="14"/>
    <s v="21/01/2026"/>
    <x v="17"/>
    <s v="7503043917012"/>
    <s v="Liquid Love Backdoor 30ml - DUSA"/>
    <s v="CONSUMIBLE PROPIO"/>
    <s v="DUSA"/>
    <n v="1"/>
    <n v="301.72000000000003"/>
  </r>
  <r>
    <x v="14"/>
    <s v="21/01/2026"/>
    <x v="17"/>
    <s v="7503032300856"/>
    <s v="Sachet vibrador liquido 2 ml - BANANA SHAKE"/>
    <s v="CONSUMIBLE"/>
    <s v="BANANA SHAKE"/>
    <n v="4"/>
    <n v="68.959999999999994"/>
  </r>
  <r>
    <x v="14"/>
    <s v="21/01/2026"/>
    <x v="17"/>
    <s v="7503024256192"/>
    <s v="Shot Shumatsu Fun Mujer - DUSA"/>
    <s v="CONSUMIBLE PROPIO"/>
    <s v="DUSA"/>
    <n v="1"/>
    <n v="172.41"/>
  </r>
  <r>
    <x v="14"/>
    <s v="21/01/2026"/>
    <x v="17"/>
    <s v="7503013378690"/>
    <s v="Shumatsu 3 pzas - DUSA"/>
    <s v="CONSUMIBLE PROPIO"/>
    <s v="DUSA"/>
    <n v="1"/>
    <n v="577.59"/>
  </r>
  <r>
    <x v="14"/>
    <s v="22/01/2026"/>
    <x v="17"/>
    <s v="7508304288887"/>
    <s v="Aceite Fruta de la pasion 60ml - FEEL LOVE"/>
    <s v="CONSUMIBLE"/>
    <s v="FEEL LOVE"/>
    <n v="1"/>
    <n v="327.58999999999997"/>
  </r>
  <r>
    <x v="14"/>
    <s v="22/01/2026"/>
    <x v="17"/>
    <s v="7503013378102"/>
    <s v="Anastasia Gema de Colores M - CXO"/>
    <s v="JUGUETE PROPIO"/>
    <s v="CXO"/>
    <n v="1"/>
    <n v="456.9"/>
  </r>
  <r>
    <x v="14"/>
    <s v="22/01/2026"/>
    <x v="17"/>
    <s v="7503013378492"/>
    <s v="Clean Whisper 120ml - DUSA"/>
    <s v="CONSUMIBLE PROPIO"/>
    <s v="DUSA"/>
    <n v="1"/>
    <n v="301.72000000000003"/>
  </r>
  <r>
    <x v="14"/>
    <s v="22/01/2026"/>
    <x v="17"/>
    <s v="7503013378904"/>
    <s v="Dildo Mr. Hernandez - CXO"/>
    <s v="JUGUETE PROPIO"/>
    <s v="CXO"/>
    <n v="1"/>
    <n v="517.24"/>
  </r>
  <r>
    <x v="14"/>
    <s v="22/01/2026"/>
    <x v="17"/>
    <s v="7503024256222"/>
    <s v="Jones - CXO"/>
    <s v="JUGUETE PROPIO"/>
    <s v="CXO"/>
    <n v="1"/>
    <n v="1329.11"/>
  </r>
  <r>
    <x v="14"/>
    <s v="22/01/2026"/>
    <x v="17"/>
    <s v="7503032300634"/>
    <s v="Kevin violeta - CXO"/>
    <s v="JUGUETE PROPIO"/>
    <s v="CXO"/>
    <n v="1"/>
    <n v="775.86"/>
  </r>
  <r>
    <x v="14"/>
    <s v="22/01/2026"/>
    <x v="17"/>
    <s v="7500633010269"/>
    <s v="LIGUERO EN ENCAJE ROJO MEDIANO 01026"/>
    <s v="LENCERIA"/>
    <s v="CHRISLIFERBRA"/>
    <n v="1"/>
    <n v="198.28"/>
  </r>
  <r>
    <x v="14"/>
    <s v="22/01/2026"/>
    <x v="17"/>
    <s v="7503043917012"/>
    <s v="Liquid Love Backdoor 30ml - DUSA"/>
    <s v="CONSUMIBLE PROPIO"/>
    <s v="DUSA"/>
    <n v="1"/>
    <n v="301.72000000000003"/>
  </r>
  <r>
    <x v="14"/>
    <s v="22/01/2026"/>
    <x v="17"/>
    <s v="7503013378645"/>
    <s v="Liquid Love Pleasure 100ml - DUSA"/>
    <s v="CONSUMIBLE PROPIO"/>
    <s v="DUSA"/>
    <n v="1"/>
    <n v="775.86"/>
  </r>
  <r>
    <x v="14"/>
    <s v="22/01/2026"/>
    <x v="17"/>
    <s v="7503013378126"/>
    <s v="Lubricante Body Surf Frio Natural DUSA 60ml"/>
    <s v="CONSUMIBLE PROPIO"/>
    <s v="DUSA"/>
    <n v="1"/>
    <n v="387.93"/>
  </r>
  <r>
    <x v="14"/>
    <s v="22/01/2026"/>
    <x v="17"/>
    <s v="7502243030349"/>
    <s v="NR PANTY SUPERCUL  M M"/>
    <s v="LENCERIA"/>
    <s v="CARNIVAL"/>
    <n v="1"/>
    <n v="172.41"/>
  </r>
  <r>
    <x v="14"/>
    <s v="22/01/2026"/>
    <x v="17"/>
    <s v="7503050524241"/>
    <s v="Orgasmik 30ml - DUSA"/>
    <s v="CONSUMIBLE PROPIO"/>
    <s v="DUSA"/>
    <n v="1"/>
    <n v="431.03"/>
  </r>
  <r>
    <x v="14"/>
    <s v="22/01/2026"/>
    <x v="17"/>
    <s v="7503050524258"/>
    <s v="Sensicool 30ml - DUSA"/>
    <s v="CONSUMIBLE PROPIO"/>
    <s v="DUSA"/>
    <n v="2"/>
    <n v="862.06"/>
  </r>
  <r>
    <x v="14"/>
    <s v="22/01/2026"/>
    <x v="17"/>
    <s v="7503024256192"/>
    <s v="Shot Shumatsu Fun Mujer - DUSA"/>
    <s v="CONSUMIBLE PROPIO"/>
    <s v="DUSA"/>
    <n v="1"/>
    <n v="172.41"/>
  </r>
  <r>
    <x v="14"/>
    <s v="22/01/2026"/>
    <x v="17"/>
    <s v="7503013378690"/>
    <s v="Shumatsu 3 pzas - DUSA"/>
    <s v="CONSUMIBLE PROPIO"/>
    <s v="DUSA"/>
    <n v="2"/>
    <n v="1155.18"/>
  </r>
  <r>
    <x v="14"/>
    <s v="23/01/2026"/>
    <x v="14"/>
    <s v="7503013378492"/>
    <s v="Clean Whisper 120ml - DUSA"/>
    <s v="CONSUMIBLE PROPIO"/>
    <s v="DUSA"/>
    <n v="1"/>
    <n v="301.72000000000003"/>
  </r>
  <r>
    <x v="14"/>
    <s v="23/01/2026"/>
    <x v="14"/>
    <s v="7503030202035"/>
    <s v="Dildo con testiculos y ventosa Mr. Garcia - CXO"/>
    <s v="JUGUETE PROPIO"/>
    <s v="CXO"/>
    <n v="1"/>
    <n v="646.54999999999995"/>
  </r>
  <r>
    <x v="14"/>
    <s v="23/01/2026"/>
    <x v="14"/>
    <s v="7503030102198"/>
    <s v="Dildo realista vibrador con ventosa Ulises - CXO"/>
    <s v="JUGUETE PROPIO"/>
    <s v="CXO"/>
    <n v="1"/>
    <n v="2000"/>
  </r>
  <r>
    <x v="14"/>
    <s v="23/01/2026"/>
    <x v="14"/>
    <s v="7503032300993"/>
    <s v="Liquid Love Pleasure 30ml - DUSA"/>
    <s v="CONSUMIBLE PROPIO"/>
    <s v="DUSA"/>
    <n v="1"/>
    <n v="301.72000000000003"/>
  </r>
  <r>
    <x v="14"/>
    <s v="23/01/2026"/>
    <x v="14"/>
    <s v="7503013378645"/>
    <s v="Liquid Love Pleasure 100ml - DUSA"/>
    <s v="CONSUMIBLE PROPIO"/>
    <s v="DUSA"/>
    <n v="1"/>
    <n v="775.86"/>
  </r>
  <r>
    <x v="14"/>
    <s v="23/01/2026"/>
    <x v="14"/>
    <s v="7503013378690"/>
    <s v="Shumatsu 3 pzas - DUSA"/>
    <s v="CONSUMIBLE PROPIO"/>
    <s v="DUSA"/>
    <n v="1"/>
    <n v="577.59"/>
  </r>
  <r>
    <x v="14"/>
    <s v="24/01/2026"/>
    <x v="17"/>
    <s v="7503020111072"/>
    <s v="Anillo vibrador recargable con textura negra Hank - CXO"/>
    <s v="JUGUETE PROPIO"/>
    <s v="CXO"/>
    <n v="1"/>
    <n v="1267.24"/>
  </r>
  <r>
    <x v="14"/>
    <s v="24/01/2026"/>
    <x v="17"/>
    <s v="7503043917081"/>
    <s v="Blade rosa anillo vibrador - CXO"/>
    <s v="JUGUETE PROPIO"/>
    <s v="CXO"/>
    <n v="2"/>
    <n v="163.80000000000001"/>
  </r>
  <r>
    <x v="14"/>
    <s v="24/01/2026"/>
    <x v="17"/>
    <s v="7503050226135"/>
    <s v="Body Julia - OLA MOU"/>
    <s v="LENCERIA"/>
    <s v="OLA MOU"/>
    <n v="1"/>
    <n v="517.24"/>
  </r>
  <r>
    <x v="14"/>
    <s v="24/01/2026"/>
    <x v="17"/>
    <s v="7503020596056"/>
    <s v="He Plus - DUSA"/>
    <s v="CONSUMIBLE PROPIO"/>
    <s v="DUSA"/>
    <n v="1"/>
    <n v="431.03"/>
  </r>
  <r>
    <x v="14"/>
    <s v="24/01/2026"/>
    <x v="17"/>
    <s v="7503043917005"/>
    <s v="Liquid Love Clear 30ml - DUSA"/>
    <s v="CONSUMIBLE PROPIO"/>
    <s v="DUSA"/>
    <n v="1"/>
    <n v="301.72000000000003"/>
  </r>
  <r>
    <x v="14"/>
    <s v="24/01/2026"/>
    <x v="17"/>
    <s v="7503032300993"/>
    <s v="Liquid Love Pleasure 30ml - DUSA"/>
    <s v="CONSUMIBLE PROPIO"/>
    <s v="DUSA"/>
    <n v="1"/>
    <n v="301.72000000000003"/>
  </r>
  <r>
    <x v="14"/>
    <s v="25/01/2026"/>
    <x v="17"/>
    <s v="7503043917005"/>
    <s v="Liquid Love Clear 30ml - DUSA"/>
    <s v="CONSUMIBLE PROPIO"/>
    <s v="DUSA"/>
    <n v="1"/>
    <n v="301.72000000000003"/>
  </r>
  <r>
    <x v="14"/>
    <s v="25/01/2026"/>
    <x v="17"/>
    <s v="7503013378690"/>
    <s v="Shumatsu 3 pzas - DUSA"/>
    <s v="CONSUMIBLE PROPIO"/>
    <s v="DUSA"/>
    <n v="1"/>
    <n v="577.59"/>
  </r>
  <r>
    <x v="15"/>
    <s v="19/01/2026"/>
    <x v="18"/>
    <s v="7503013378652"/>
    <s v="Liquid Love Backdoor 100ml - DUSA"/>
    <s v="CONSUMIBLE PROPIO"/>
    <s v="DUSA"/>
    <n v="1"/>
    <n v="1077.5899999999999"/>
  </r>
  <r>
    <x v="15"/>
    <s v="19/01/2026"/>
    <x v="18"/>
    <s v="7503013378645"/>
    <s v="Liquid Love Pleasure 100ml - DUSA"/>
    <s v="CONSUMIBLE PROPIO"/>
    <s v="DUSA"/>
    <n v="1"/>
    <n v="775.86"/>
  </r>
  <r>
    <x v="15"/>
    <s v="19/01/2026"/>
    <x v="18"/>
    <s v="6970784913893"/>
    <s v="Multiorgasmico don doble estimulacion del punto G Lena - CXO"/>
    <s v="JUGUETE PROPIO"/>
    <s v="CXO"/>
    <n v="1"/>
    <n v="2672.41"/>
  </r>
  <r>
    <x v="15"/>
    <s v="19/01/2026"/>
    <x v="18"/>
    <s v="7503020310116"/>
    <s v="Panty vibrador con control remoto rosa Celi - CXO"/>
    <s v="JUGUETE PROPIO"/>
    <s v="CXO"/>
    <n v="1"/>
    <n v="1681.03"/>
  </r>
  <r>
    <x v="15"/>
    <s v="19/01/2026"/>
    <x v="18"/>
    <s v="7503050524258"/>
    <s v="Sensicool 30ml - DUSA"/>
    <s v="CONSUMIBLE PROPIO"/>
    <s v="DUSA"/>
    <n v="1"/>
    <n v="431.03"/>
  </r>
  <r>
    <x v="15"/>
    <s v="19/01/2026"/>
    <x v="18"/>
    <s v="7503020596063"/>
    <s v="Stallion Regenerador - DUSA"/>
    <s v="CONSUMIBLE PROPIO"/>
    <s v="DUSA"/>
    <n v="1"/>
    <n v="1293.0999999999999"/>
  </r>
  <r>
    <x v="15"/>
    <s v="19/01/2026"/>
    <x v="18"/>
    <s v="7503032300443"/>
    <s v="Zoe bala vibradora RETAIL - CXO"/>
    <s v="JUGUETE PROPIO"/>
    <s v="CXO"/>
    <n v="1"/>
    <n v="155.16999999999999"/>
  </r>
  <r>
    <x v="15"/>
    <s v="20/01/2026"/>
    <x v="5"/>
    <s v="7503043917036"/>
    <s v="Arnes universal de argolla negro - CXO"/>
    <s v="JUGUETE PROPIO"/>
    <s v="CXO"/>
    <n v="1"/>
    <n v="474.14"/>
  </r>
  <r>
    <x v="15"/>
    <s v="20/01/2026"/>
    <x v="5"/>
    <s v="7503020202213"/>
    <s v="Dildo realista con ventosa Nick - CXO"/>
    <s v="JUGUETE PROPIO"/>
    <s v="CXO"/>
    <n v="1"/>
    <n v="818.97"/>
  </r>
  <r>
    <x v="15"/>
    <s v="20/01/2026"/>
    <x v="5"/>
    <s v="7503013378645"/>
    <s v="Liquid Love Pleasure 100ml - DUSA"/>
    <s v="CONSUMIBLE PROPIO"/>
    <s v="DUSA"/>
    <n v="1"/>
    <n v="775.86"/>
  </r>
  <r>
    <x v="15"/>
    <s v="20/01/2026"/>
    <x v="5"/>
    <s v="7503013378980"/>
    <s v="Lubricante Body Surf Termico Chicle DUSA 60ml"/>
    <s v="CONSUMIBLE PROPIO"/>
    <s v="DUSA"/>
    <n v="1"/>
    <n v="387.93"/>
  </r>
  <r>
    <x v="15"/>
    <s v="20/01/2026"/>
    <x v="18"/>
    <s v="7503013378980"/>
    <s v="Lubricante Body Surf Termico Chicle DUSA 60ml"/>
    <s v="CONSUMIBLE PROPIO"/>
    <s v="DUSA"/>
    <n v="1"/>
    <n v="387.93"/>
  </r>
  <r>
    <x v="15"/>
    <s v="20/01/2026"/>
    <x v="18"/>
    <s v="7503013378690"/>
    <s v="Shumatsu 3 pzas - DUSA"/>
    <s v="CONSUMIBLE PROPIO"/>
    <s v="DUSA"/>
    <n v="2"/>
    <n v="1155.18"/>
  </r>
  <r>
    <x v="15"/>
    <s v="21/01/2026"/>
    <x v="18"/>
    <s v="7503020596971"/>
    <s v="Orgasmik - DUSA"/>
    <s v="CONSUMIBLE PROPIO"/>
    <s v="DUSA"/>
    <n v="1"/>
    <n v="431.03"/>
  </r>
  <r>
    <x v="15"/>
    <s v="21/01/2026"/>
    <x v="18"/>
    <s v="7503013378010"/>
    <s v="Rigidex 2 pzas - DUSA"/>
    <s v="CONSUMIBLE PROPIO"/>
    <s v="DUSA"/>
    <n v="1"/>
    <n v="431.03"/>
  </r>
  <r>
    <x v="15"/>
    <s v="21/01/2026"/>
    <x v="18"/>
    <s v="7503013378690"/>
    <s v="Shumatsu 3 pzas - DUSA"/>
    <s v="CONSUMIBLE PROPIO"/>
    <s v="DUSA"/>
    <n v="1"/>
    <n v="577.59"/>
  </r>
  <r>
    <x v="15"/>
    <s v="21/01/2026"/>
    <x v="18"/>
    <s v="7503032300443"/>
    <s v="Zoe bala vibradora RETAIL - CXO"/>
    <s v="JUGUETE PROPIO"/>
    <s v="CXO"/>
    <n v="3"/>
    <n v="465.52"/>
  </r>
  <r>
    <x v="15"/>
    <s v="22/01/2026"/>
    <x v="18"/>
    <s v="7503043917142"/>
    <s v="Hank negro anillo vibrador - CXO"/>
    <s v="JUGUETE PROPIO"/>
    <s v="CXO"/>
    <n v="1"/>
    <n v="818.97"/>
  </r>
  <r>
    <x v="15"/>
    <s v="22/01/2026"/>
    <x v="18"/>
    <s v="7503020596971"/>
    <s v="Orgasmik - DUSA"/>
    <s v="CONSUMIBLE PROPIO"/>
    <s v="DUSA"/>
    <n v="1"/>
    <n v="431.03"/>
  </r>
  <r>
    <x v="15"/>
    <s v="22/01/2026"/>
    <x v="18"/>
    <s v="7503013378690"/>
    <s v="Shumatsu 3 pzas - DUSA"/>
    <s v="CONSUMIBLE PROPIO"/>
    <s v="DUSA"/>
    <n v="2"/>
    <n v="1155.18"/>
  </r>
  <r>
    <x v="15"/>
    <s v="23/01/2026"/>
    <x v="18"/>
    <s v="7503030202035"/>
    <s v="Dildo con testiculos y ventosa Mr. Garcia - CXO"/>
    <s v="JUGUETE PROPIO"/>
    <s v="CXO"/>
    <n v="1"/>
    <n v="646.54999999999995"/>
  </r>
  <r>
    <x v="15"/>
    <s v="23/01/2026"/>
    <x v="18"/>
    <s v="7503013378645"/>
    <s v="Liquid Love Pleasure 100ml - DUSA"/>
    <s v="CONSUMIBLE PROPIO"/>
    <s v="DUSA"/>
    <n v="3"/>
    <n v="2327.58"/>
  </r>
  <r>
    <x v="15"/>
    <s v="23/01/2026"/>
    <x v="18"/>
    <s v="7503013378980"/>
    <s v="Lubricante Body Surf Termico Chicle DUSA 60ml"/>
    <s v="CONSUMIBLE PROPIO"/>
    <s v="DUSA"/>
    <n v="1"/>
    <n v="387.93"/>
  </r>
  <r>
    <x v="15"/>
    <s v="23/01/2026"/>
    <x v="18"/>
    <s v="6959633127964"/>
    <s v="Sam Neo - SVAKOM"/>
    <s v="JUGUETE"/>
    <s v="SVAKOM"/>
    <n v="1"/>
    <n v="3017.24"/>
  </r>
  <r>
    <x v="15"/>
    <s v="23/01/2026"/>
    <x v="18"/>
    <s v="7503013378690"/>
    <s v="Shumatsu 3 pzas - DUSA"/>
    <s v="CONSUMIBLE PROPIO"/>
    <s v="DUSA"/>
    <n v="1"/>
    <n v="577.59"/>
  </r>
  <r>
    <x v="15"/>
    <s v="23/01/2026"/>
    <x v="18"/>
    <s v="7503020596063"/>
    <s v="Stallion Regenerador - DUSA"/>
    <s v="CONSUMIBLE PROPIO"/>
    <s v="DUSA"/>
    <n v="1"/>
    <n v="1293.0999999999999"/>
  </r>
  <r>
    <x v="15"/>
    <s v="23/01/2026"/>
    <x v="18"/>
    <s v="7503020104212"/>
    <s v="Vibrador multiorgasmico con aleta estimuladora Megan - CXO"/>
    <s v="JUGUETE PROPIO"/>
    <s v="CXO"/>
    <n v="1"/>
    <n v="2413.79"/>
  </r>
  <r>
    <x v="15"/>
    <s v="24/01/2026"/>
    <x v="18"/>
    <s v="7503020111072"/>
    <s v="Anillo vibrador recargable con textura negra Hank - CXO"/>
    <s v="JUGUETE PROPIO"/>
    <s v="CXO"/>
    <n v="1"/>
    <n v="1267.24"/>
  </r>
  <r>
    <x v="15"/>
    <s v="24/01/2026"/>
    <x v="18"/>
    <s v="7503030215199"/>
    <s v="Arnes para doble penetracion - CXO"/>
    <s v="JUGUETE PROPIO"/>
    <s v="CXO"/>
    <n v="1"/>
    <n v="1422.41"/>
  </r>
  <r>
    <x v="15"/>
    <s v="24/01/2026"/>
    <x v="18"/>
    <s v="BARSKN001"/>
    <s v="Bombas de baño olor cereza - BARBIE"/>
    <s v="SKINCARE"/>
    <s v="BARBIE"/>
    <n v="1"/>
    <n v="413.79"/>
  </r>
  <r>
    <x v="15"/>
    <s v="24/01/2026"/>
    <x v="18"/>
    <s v="7503014914002"/>
    <s v="CAPSULAS MULTIORGASMICO AMO O-GEN"/>
    <s v="CONSUMIBLE"/>
    <s v="POWER MAN"/>
    <n v="1"/>
    <n v="431.04"/>
  </r>
  <r>
    <x v="15"/>
    <s v="24/01/2026"/>
    <x v="18"/>
    <s v="7503013378492"/>
    <s v="Clean Whisper 120ml - DUSA"/>
    <s v="CONSUMIBLE PROPIO"/>
    <s v="DUSA"/>
    <n v="1"/>
    <n v="301.72000000000003"/>
  </r>
  <r>
    <x v="15"/>
    <s v="24/01/2026"/>
    <x v="18"/>
    <s v="75080471"/>
    <s v="Dulces Garganta Profunda 2 piezas Sabor Uva - SXO"/>
    <s v="CONSUMIBLE"/>
    <s v="SXO"/>
    <n v="1"/>
    <n v="120.69"/>
  </r>
  <r>
    <x v="15"/>
    <s v="24/01/2026"/>
    <x v="18"/>
    <s v="603912120042"/>
    <s v="Happy Top Tickler funda - PIPEDREAM"/>
    <s v="JUGUETE"/>
    <s v="PIPEDREAM"/>
    <n v="2"/>
    <n v="689.66"/>
  </r>
  <r>
    <x v="15"/>
    <s v="24/01/2026"/>
    <x v="18"/>
    <s v="7503013378652"/>
    <s v="Liquid Love Backdoor 100ml - DUSA"/>
    <s v="CONSUMIBLE PROPIO"/>
    <s v="DUSA"/>
    <n v="1"/>
    <n v="1077.5899999999999"/>
  </r>
  <r>
    <x v="15"/>
    <s v="24/01/2026"/>
    <x v="18"/>
    <s v="7503013378645"/>
    <s v="Liquid Love Pleasure 100ml - DUSA"/>
    <s v="CONSUMIBLE PROPIO"/>
    <s v="DUSA"/>
    <n v="1"/>
    <n v="775.86"/>
  </r>
  <r>
    <x v="15"/>
    <s v="24/01/2026"/>
    <x v="18"/>
    <s v="7503013378980"/>
    <s v="Lubricante Body Surf Termico Chicle DUSA 60ml"/>
    <s v="CONSUMIBLE PROPIO"/>
    <s v="DUSA"/>
    <n v="2"/>
    <n v="775.86"/>
  </r>
  <r>
    <x v="15"/>
    <s v="24/01/2026"/>
    <x v="18"/>
    <s v="7503020596957"/>
    <s v="Shot Shumatsu Fun Hombre - DUSA"/>
    <s v="CONSUMIBLE PROPIO"/>
    <s v="DUSA"/>
    <n v="1"/>
    <n v="172.41"/>
  </r>
  <r>
    <x v="15"/>
    <s v="24/01/2026"/>
    <x v="18"/>
    <s v="7503024256192"/>
    <s v="Shot Shumatsu Fun Mujer - DUSA"/>
    <s v="CONSUMIBLE PROPIO"/>
    <s v="DUSA"/>
    <n v="1"/>
    <n v="172.41"/>
  </r>
  <r>
    <x v="15"/>
    <s v="24/01/2026"/>
    <x v="18"/>
    <s v="7503013378690"/>
    <s v="Shumatsu 3 pzas - DUSA"/>
    <s v="CONSUMIBLE PROPIO"/>
    <s v="DUSA"/>
    <n v="2"/>
    <n v="1155.18"/>
  </r>
  <r>
    <x v="15"/>
    <s v="24/01/2026"/>
    <x v="18"/>
    <s v="4630017971008"/>
    <s v="Titan gel original - TITAN"/>
    <s v="CONSUMIBLE"/>
    <s v="TITAN"/>
    <n v="2"/>
    <n v="1034.48"/>
  </r>
  <r>
    <x v="15"/>
    <s v="24/01/2026"/>
    <x v="18"/>
    <s v="7503020104076"/>
    <s v="Vibrador multiorgásmico con succión y estimulación de punto G Lulu - CXO"/>
    <s v="JUGUETE PROPIO"/>
    <s v="CXO"/>
    <n v="1"/>
    <n v="2120.69"/>
  </r>
  <r>
    <x v="15"/>
    <s v="25/01/2026"/>
    <x v="14"/>
    <s v="7503020420814"/>
    <s v="Bomba de vacio manual Noah - CXO"/>
    <s v="JUGUETE PROPIO"/>
    <s v="CXO"/>
    <n v="1"/>
    <n v="818.97"/>
  </r>
  <r>
    <x v="15"/>
    <s v="25/01/2026"/>
    <x v="14"/>
    <s v="813686021326"/>
    <s v="Com azul - DAME"/>
    <s v="JUGUETE"/>
    <s v="DAME"/>
    <n v="1"/>
    <n v="1810.34"/>
  </r>
  <r>
    <x v="15"/>
    <s v="25/01/2026"/>
    <x v="14"/>
    <s v="7503013378904"/>
    <s v="Dildo Mr. Hernandez - CXO"/>
    <s v="JUGUETE PROPIO"/>
    <s v="CXO"/>
    <n v="1"/>
    <n v="517.24"/>
  </r>
  <r>
    <x v="15"/>
    <s v="25/01/2026"/>
    <x v="14"/>
    <s v="7503013378645"/>
    <s v="Liquid Love Pleasure 100ml - DUSA"/>
    <s v="CONSUMIBLE PROPIO"/>
    <s v="DUSA"/>
    <n v="1"/>
    <n v="775.86"/>
  </r>
  <r>
    <x v="15"/>
    <s v="25/01/2026"/>
    <x v="14"/>
    <s v="7503020310116"/>
    <s v="Panty vibrador con control remoto rosa Celi - CXO"/>
    <s v="JUGUETE PROPIO"/>
    <s v="CXO"/>
    <n v="1"/>
    <n v="1681.03"/>
  </r>
  <r>
    <x v="15"/>
    <s v="25/01/2026"/>
    <x v="14"/>
    <s v="7503030128202"/>
    <s v="Plug Anal con 10 modos de vibracion y rotacion 360 Beto - CXO"/>
    <s v="JUGUETE PROPIO"/>
    <s v="CXO"/>
    <n v="1"/>
    <n v="1577.59"/>
  </r>
  <r>
    <x v="15"/>
    <s v="25/01/2026"/>
    <x v="14"/>
    <s v="782421083922"/>
    <s v="Sol pulsador beige - RITUAL"/>
    <s v="JUGUETE"/>
    <s v="RITUAL"/>
    <n v="1"/>
    <n v="1637.93"/>
  </r>
  <r>
    <x v="16"/>
    <s v="19/01/2026"/>
    <x v="19"/>
    <s v="75078737"/>
    <s v="Mini Kit Dulces 2 piezas - SXO"/>
    <s v="CONSUMIBLE"/>
    <s v="SXO"/>
    <n v="1"/>
    <n v="120.69"/>
  </r>
  <r>
    <x v="16"/>
    <s v="19/01/2026"/>
    <x v="19"/>
    <s v="7503050524241"/>
    <s v="Orgasmik 30ml - DUSA"/>
    <s v="CONSUMIBLE PROPIO"/>
    <s v="DUSA"/>
    <n v="1"/>
    <n v="431.03"/>
  </r>
  <r>
    <x v="16"/>
    <s v="19/01/2026"/>
    <x v="19"/>
    <s v="7503050226162"/>
    <s v="Plug Anal con Vibración y Control Roberto - CXO"/>
    <s v="JUGUETE PROPIO"/>
    <s v="CXO"/>
    <n v="1"/>
    <n v="1293.0999999999999"/>
  </r>
  <r>
    <x v="16"/>
    <s v="19/01/2026"/>
    <x v="19"/>
    <s v="7503013378010"/>
    <s v="Rigidex 2 pzas - DUSA"/>
    <s v="CONSUMIBLE PROPIO"/>
    <s v="DUSA"/>
    <n v="1"/>
    <n v="431.03"/>
  </r>
  <r>
    <x v="16"/>
    <s v="19/01/2026"/>
    <x v="19"/>
    <s v="7503024256192"/>
    <s v="Shot Shumatsu Fun Mujer - DUSA"/>
    <s v="CONSUMIBLE PROPIO"/>
    <s v="DUSA"/>
    <n v="1"/>
    <n v="172.41"/>
  </r>
  <r>
    <x v="16"/>
    <s v="20/01/2026"/>
    <x v="19"/>
    <s v="7503030211021"/>
    <s v="Anillo desechable para pene Donut - CXO"/>
    <s v="JUGUETE PROPIO"/>
    <s v="CXO"/>
    <n v="1"/>
    <n v="34.479999999999997"/>
  </r>
  <r>
    <x v="16"/>
    <s v="20/01/2026"/>
    <x v="19"/>
    <s v="7503020310116"/>
    <s v="Panty vibrador con control remoto rosa Celi - CXO"/>
    <s v="JUGUETE PROPIO"/>
    <s v="CXO"/>
    <n v="1"/>
    <n v="1681.03"/>
  </r>
  <r>
    <x v="16"/>
    <s v="20/01/2026"/>
    <x v="19"/>
    <s v="LL-2340-C"/>
    <s v="Pinzas Vibradoras para Pezon Mod. C (Succionador) - CXO"/>
    <s v="JUGUETE PROPIO"/>
    <s v="CXO"/>
    <n v="1"/>
    <n v="301.72000000000003"/>
  </r>
  <r>
    <x v="16"/>
    <s v="20/01/2026"/>
    <x v="19"/>
    <s v="7503032300795"/>
    <s v="Sachet lubricante desensibilizador 2 ml - BANANA SHAKE"/>
    <s v="CONSUMIBLE"/>
    <s v="BANANA SHAKE"/>
    <n v="1"/>
    <n v="21.55"/>
  </r>
  <r>
    <x v="16"/>
    <s v="20/01/2026"/>
    <x v="19"/>
    <s v="7503020596957"/>
    <s v="Shot Shumatsu Fun Hombre - DUSA"/>
    <s v="CONSUMIBLE PROPIO"/>
    <s v="DUSA"/>
    <n v="1"/>
    <n v="172.41"/>
  </r>
  <r>
    <x v="16"/>
    <s v="21/01/2026"/>
    <x v="19"/>
    <s v="7503043917081"/>
    <s v="Blade rosa anillo vibrador - CXO"/>
    <s v="JUGUETE PROPIO"/>
    <s v="CXO"/>
    <n v="1"/>
    <n v="81.900000000000006"/>
  </r>
  <r>
    <x v="16"/>
    <s v="21/01/2026"/>
    <x v="19"/>
    <s v="7503043917005"/>
    <s v="Liquid Love Clear 30ml - DUSA"/>
    <s v="CONSUMIBLE PROPIO"/>
    <s v="DUSA"/>
    <n v="1"/>
    <n v="301.72000000000003"/>
  </r>
  <r>
    <x v="16"/>
    <s v="21/01/2026"/>
    <x v="19"/>
    <s v="7503032300993"/>
    <s v="Liquid Love Pleasure 30ml - DUSA"/>
    <s v="CONSUMIBLE PROPIO"/>
    <s v="DUSA"/>
    <n v="1"/>
    <n v="301.72000000000003"/>
  </r>
  <r>
    <x v="16"/>
    <s v="21/01/2026"/>
    <x v="19"/>
    <s v="7503013378010"/>
    <s v="Rigidex 2 pzas - DUSA"/>
    <s v="CONSUMIBLE PROPIO"/>
    <s v="DUSA"/>
    <n v="1"/>
    <n v="431.03"/>
  </r>
  <r>
    <x v="16"/>
    <s v="21/01/2026"/>
    <x v="19"/>
    <s v="7503024256192"/>
    <s v="Shot Shumatsu Fun Mujer - DUSA"/>
    <s v="CONSUMIBLE PROPIO"/>
    <s v="DUSA"/>
    <n v="1"/>
    <n v="172.41"/>
  </r>
  <r>
    <x v="16"/>
    <s v="21/01/2026"/>
    <x v="19"/>
    <s v="7503013378690"/>
    <s v="Shumatsu 3 pzas - DUSA"/>
    <s v="CONSUMIBLE PROPIO"/>
    <s v="DUSA"/>
    <n v="2"/>
    <n v="1155.18"/>
  </r>
  <r>
    <x v="16"/>
    <s v="21/01/2026"/>
    <x v="19"/>
    <s v="7503032300443"/>
    <s v="Zoe bala vibradora RETAIL - CXO"/>
    <s v="JUGUETE PROPIO"/>
    <s v="CXO"/>
    <n v="1"/>
    <n v="155.16999999999999"/>
  </r>
  <r>
    <x v="16"/>
    <s v="22/01/2026"/>
    <x v="19"/>
    <s v="716222287500"/>
    <s v="ACEITE AROMATHERAPY MASSAGE OIL 4 ROMANCE"/>
    <s v="CONSUMIBLE"/>
    <s v="WET"/>
    <n v="1"/>
    <n v="926.72"/>
  </r>
  <r>
    <x v="16"/>
    <s v="22/01/2026"/>
    <x v="19"/>
    <s v="7502214982514"/>
    <s v="Condon Chocolate 3 pzs - PRUDENCE"/>
    <s v="CONSUMIBLE"/>
    <s v="PRUDENCE"/>
    <n v="1"/>
    <n v="60.34"/>
  </r>
  <r>
    <x v="16"/>
    <s v="22/01/2026"/>
    <x v="19"/>
    <s v="7502214982811"/>
    <s v="Condones Mix Sabor y Aroma 5 pzs - PRUDENCE"/>
    <s v="CONSUMIBLE"/>
    <s v="PRUDENCE"/>
    <n v="1"/>
    <n v="77.59"/>
  </r>
  <r>
    <x v="16"/>
    <s v="22/01/2026"/>
    <x v="19"/>
    <s v="7503026484142"/>
    <s v="LIKE A VIRGIN 40ml - DIAMANTE"/>
    <s v="CONSUMIBLE"/>
    <s v="DIAMANTE"/>
    <n v="1"/>
    <n v="491.38"/>
  </r>
  <r>
    <x v="16"/>
    <s v="22/01/2026"/>
    <x v="19"/>
    <s v="7503032300993"/>
    <s v="Liquid Love Pleasure 30ml - DUSA"/>
    <s v="CONSUMIBLE PROPIO"/>
    <s v="DUSA"/>
    <n v="1"/>
    <n v="301.72000000000003"/>
  </r>
  <r>
    <x v="16"/>
    <s v="22/01/2026"/>
    <x v="19"/>
    <s v="7503050524241"/>
    <s v="Orgasmik 30ml - DUSA"/>
    <s v="CONSUMIBLE PROPIO"/>
    <s v="DUSA"/>
    <n v="1"/>
    <n v="431.03"/>
  </r>
  <r>
    <x v="16"/>
    <s v="22/01/2026"/>
    <x v="19"/>
    <s v="7503020596957"/>
    <s v="Shot Shumatsu Fun Hombre - DUSA"/>
    <s v="CONSUMIBLE PROPIO"/>
    <s v="DUSA"/>
    <n v="3"/>
    <n v="517.23"/>
  </r>
  <r>
    <x v="16"/>
    <s v="22/01/2026"/>
    <x v="19"/>
    <s v="7503024256192"/>
    <s v="Shot Shumatsu Fun Mujer - DUSA"/>
    <s v="CONSUMIBLE PROPIO"/>
    <s v="DUSA"/>
    <n v="2"/>
    <n v="344.82"/>
  </r>
  <r>
    <x v="16"/>
    <s v="22/01/2026"/>
    <x v="19"/>
    <s v="7503013378690"/>
    <s v="Shumatsu 3 pzas - DUSA"/>
    <s v="CONSUMIBLE PROPIO"/>
    <s v="DUSA"/>
    <n v="1"/>
    <n v="577.59"/>
  </r>
  <r>
    <x v="16"/>
    <s v="23/01/2026"/>
    <x v="19"/>
    <s v="7503020596957"/>
    <s v="Shot Shumatsu Fun Hombre - DUSA"/>
    <s v="CONSUMIBLE PROPIO"/>
    <s v="DUSA"/>
    <n v="1"/>
    <n v="172.41"/>
  </r>
  <r>
    <x v="16"/>
    <s v="23/01/2026"/>
    <x v="19"/>
    <s v="7503024256192"/>
    <s v="Shot Shumatsu Fun Mujer - DUSA"/>
    <s v="CONSUMIBLE PROPIO"/>
    <s v="DUSA"/>
    <n v="1"/>
    <n v="172.41"/>
  </r>
  <r>
    <x v="16"/>
    <s v="23/01/2026"/>
    <x v="19"/>
    <s v="7503013378690"/>
    <s v="Shumatsu 3 pzas - DUSA"/>
    <s v="CONSUMIBLE PROPIO"/>
    <s v="DUSA"/>
    <n v="1"/>
    <n v="577.59"/>
  </r>
  <r>
    <x v="16"/>
    <s v="23/01/2026"/>
    <x v="19"/>
    <s v="7503032300443"/>
    <s v="Zoe bala vibradora RETAIL - CXO"/>
    <s v="JUGUETE PROPIO"/>
    <s v="CXO"/>
    <n v="1"/>
    <n v="155.16999999999999"/>
  </r>
  <r>
    <x v="16"/>
    <s v="24/01/2026"/>
    <x v="14"/>
    <s v="7503043917081"/>
    <s v="Blade rosa anillo vibrador - CXO"/>
    <s v="JUGUETE PROPIO"/>
    <s v="CXO"/>
    <n v="1"/>
    <n v="81.900000000000006"/>
  </r>
  <r>
    <x v="16"/>
    <s v="24/01/2026"/>
    <x v="14"/>
    <s v="7503030128202"/>
    <s v="Plug Anal con 10 modos de vibracion y rotacion 360 Beto - CXO"/>
    <s v="JUGUETE PROPIO"/>
    <s v="CXO"/>
    <n v="1"/>
    <n v="1577.59"/>
  </r>
  <r>
    <x v="16"/>
    <s v="24/01/2026"/>
    <x v="14"/>
    <s v="7503020596957"/>
    <s v="Shot Shumatsu Fun Hombre - DUSA"/>
    <s v="CONSUMIBLE PROPIO"/>
    <s v="DUSA"/>
    <n v="2"/>
    <n v="344.82"/>
  </r>
  <r>
    <x v="16"/>
    <s v="24/01/2026"/>
    <x v="14"/>
    <s v="7503024256192"/>
    <s v="Shot Shumatsu Fun Mujer - DUSA"/>
    <s v="CONSUMIBLE PROPIO"/>
    <s v="DUSA"/>
    <n v="5"/>
    <n v="862.05"/>
  </r>
  <r>
    <x v="16"/>
    <s v="25/01/2026"/>
    <x v="19"/>
    <s v="7503043917081"/>
    <s v="Blade rosa anillo vibrador - CXO"/>
    <s v="JUGUETE PROPIO"/>
    <s v="CXO"/>
    <n v="1"/>
    <n v="81.900000000000006"/>
  </r>
  <r>
    <x v="16"/>
    <s v="25/01/2026"/>
    <x v="19"/>
    <s v="7503032300993"/>
    <s v="Liquid Love Pleasure 30ml - DUSA"/>
    <s v="CONSUMIBLE PROPIO"/>
    <s v="DUSA"/>
    <n v="1"/>
    <n v="301.72000000000003"/>
  </r>
  <r>
    <x v="16"/>
    <s v="25/01/2026"/>
    <x v="19"/>
    <s v="7503024256154"/>
    <s v="Lubricante Body Surf Termico Cereza DUSA 60ml"/>
    <s v="CONSUMIBLE PROPIO"/>
    <s v="DUSA"/>
    <n v="1"/>
    <n v="387.93"/>
  </r>
  <r>
    <x v="16"/>
    <s v="25/01/2026"/>
    <x v="19"/>
    <s v="7503013378690"/>
    <s v="Shumatsu 3 pzas - DUSA"/>
    <s v="CONSUMIBLE PROPIO"/>
    <s v="DUSA"/>
    <n v="1"/>
    <n v="577.59"/>
  </r>
  <r>
    <x v="16"/>
    <s v="25/01/2026"/>
    <x v="19"/>
    <s v="7503032300443"/>
    <s v="Zoe bala vibradora RETAIL - CXO"/>
    <s v="JUGUETE PROPIO"/>
    <s v="CXO"/>
    <n v="2"/>
    <n v="310.33999999999997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3">
  <r>
    <x v="0"/>
    <s v="26/01/2026"/>
    <s v="NOE JONAS D CEL"/>
    <s v="7503013378645"/>
    <s v="Liquid Love Pleasure 100ml - DUSA"/>
    <s v="CONSUMIBLE PROPIO"/>
    <s v="DUSA"/>
    <n v="1"/>
    <n v="775.86"/>
  </r>
  <r>
    <x v="0"/>
    <s v="27/01/2026"/>
    <s v="NOE JONAS D CEL"/>
    <s v="7503043917081"/>
    <s v="Blade rosa anillo vibrador - CXO"/>
    <s v="JUGUETE PROPIO"/>
    <s v="CXO"/>
    <n v="1"/>
    <n v="81.900000000000006"/>
  </r>
  <r>
    <x v="0"/>
    <s v="27/01/2026"/>
    <s v="NOE JONAS D CEL"/>
    <s v="68100P"/>
    <s v="Conjunto bordado Paty 2 piezas  M"/>
    <s v="LENCERIA"/>
    <s v="OLA MOU"/>
    <n v="1"/>
    <n v="260.33999999999997"/>
  </r>
  <r>
    <x v="0"/>
    <s v="27/01/2026"/>
    <s v="NOE JONAS D CEL"/>
    <s v="7503043917005"/>
    <s v="Liquid Love Clear 30ml - DUSA"/>
    <s v="CONSUMIBLE PROPIO"/>
    <s v="DUSA"/>
    <n v="1"/>
    <n v="301.72000000000003"/>
  </r>
  <r>
    <x v="0"/>
    <s v="27/01/2026"/>
    <s v="NOE JONAS D CEL"/>
    <s v="7503013378799"/>
    <s v="Lubricante Body Surf Termico Citricos DUSA 60ml"/>
    <s v="CONSUMIBLE PROPIO"/>
    <s v="DUSA"/>
    <n v="1"/>
    <n v="387.93"/>
  </r>
  <r>
    <x v="0"/>
    <s v="27/01/2026"/>
    <s v="NOE JONAS D CEL"/>
    <s v="6959633127964"/>
    <s v="Sam Neo - SVAKOM"/>
    <s v="JUGUETE"/>
    <s v="SVAKOM"/>
    <n v="1"/>
    <n v="3017.24"/>
  </r>
  <r>
    <x v="0"/>
    <s v="28/01/2026"/>
    <s v="NOE JONAS D CEL"/>
    <s v="68213T"/>
    <s v="Conjunto rosa con estampado de flores Tania 2 piezas M"/>
    <s v="LENCERIA"/>
    <s v="OLA MOU"/>
    <n v="1"/>
    <n v="260.33999999999997"/>
  </r>
  <r>
    <x v="0"/>
    <s v="28/01/2026"/>
    <s v="NOE JONAS D CEL"/>
    <s v="6959633166963"/>
    <s v="Ella Neo rojo- SVAKOM"/>
    <s v="JUGUETE"/>
    <s v="SVAKOM"/>
    <n v="1"/>
    <n v="3017.24"/>
  </r>
  <r>
    <x v="0"/>
    <s v="28/01/2026"/>
    <s v="NOE JONAS D CEL"/>
    <s v="7503043917012"/>
    <s v="Liquid Love Backdoor 30ml - DUSA"/>
    <s v="CONSUMIBLE PROPIO"/>
    <s v="DUSA"/>
    <n v="1"/>
    <n v="301.72000000000003"/>
  </r>
  <r>
    <x v="0"/>
    <s v="28/01/2026"/>
    <s v="NOE JONAS D CEL"/>
    <s v="GWPS_BANANASHAKE_001"/>
    <s v="Lub de Regalo - Banana Shake"/>
    <s v="ACTIVACION"/>
    <s v="BANANA SHAKE"/>
    <n v="1"/>
    <n v="0.01"/>
  </r>
  <r>
    <x v="0"/>
    <s v="28/01/2026"/>
    <s v="NOE JONAS D CEL"/>
    <s v="7503032300825"/>
    <s v="Lubricante Sachet natural 2 ml - BANANA SHAKE"/>
    <s v="CONSUMIBLE"/>
    <s v="BANANA SHAKE"/>
    <n v="1"/>
    <n v="17.239999999999998"/>
  </r>
  <r>
    <x v="0"/>
    <s v="28/01/2026"/>
    <s v="NOE JONAS D CEL"/>
    <s v="7503032300443"/>
    <s v="Zoe bala vibradora RETAIL - CXO"/>
    <s v="JUGUETE PROPIO"/>
    <s v="CXO"/>
    <n v="2"/>
    <n v="310.33999999999997"/>
  </r>
  <r>
    <x v="0"/>
    <s v="29/01/2026"/>
    <s v="NOE JONAS D CEL"/>
    <s v="7503020202214"/>
    <s v="Dildo realista con ventosa y testiculos Eddy - CXO"/>
    <s v="JUGUETE PROPIO"/>
    <s v="CXO"/>
    <n v="1"/>
    <n v="948.28"/>
  </r>
  <r>
    <x v="0"/>
    <s v="29/01/2026"/>
    <s v="NOE JONAS D CEL"/>
    <s v="7503013378652"/>
    <s v="Liquid Love Backdoor 100ml - DUSA"/>
    <s v="CONSUMIBLE PROPIO"/>
    <s v="DUSA"/>
    <n v="1"/>
    <n v="1077.5899999999999"/>
  </r>
  <r>
    <x v="0"/>
    <s v="29/01/2026"/>
    <s v="NOE JONAS D CEL"/>
    <s v="7503013378645"/>
    <s v="Liquid Love Pleasure 100ml - DUSA"/>
    <s v="CONSUMIBLE PROPIO"/>
    <s v="DUSA"/>
    <n v="1"/>
    <n v="775.86"/>
  </r>
  <r>
    <x v="0"/>
    <s v="29/01/2026"/>
    <s v="NOE JONAS D CEL"/>
    <s v="7503024256154"/>
    <s v="Lubricante Body Surf Termico Cereza DUSA 60ml"/>
    <s v="CONSUMIBLE PROPIO"/>
    <s v="DUSA"/>
    <n v="1"/>
    <n v="387.93"/>
  </r>
  <r>
    <x v="0"/>
    <s v="29/01/2026"/>
    <s v="NOE JONAS D CEL"/>
    <s v="7503020596957"/>
    <s v="Shot Shumatsu Fun Hombre - DUSA"/>
    <s v="CONSUMIBLE PROPIO"/>
    <s v="DUSA"/>
    <n v="2"/>
    <n v="344.82"/>
  </r>
  <r>
    <x v="0"/>
    <s v="29/01/2026"/>
    <s v="NOE JONAS D CEL"/>
    <s v="7503032300443"/>
    <s v="Zoe bala vibradora RETAIL - CXO"/>
    <s v="JUGUETE PROPIO"/>
    <s v="CXO"/>
    <n v="1"/>
    <n v="155.16999999999999"/>
  </r>
  <r>
    <x v="0"/>
    <s v="30/01/2026"/>
    <s v="NOE JONAS D CEL"/>
    <s v="7503013378119"/>
    <s v="Anastasia gema de colores S - CXO"/>
    <s v="JUGUETE PROPIO"/>
    <s v="CXO"/>
    <n v="1"/>
    <n v="396.55"/>
  </r>
  <r>
    <x v="0"/>
    <s v="30/01/2026"/>
    <s v="NOE JONAS D CEL"/>
    <s v="7503043917081"/>
    <s v="Blade rosa anillo vibrador - CXO"/>
    <s v="JUGUETE PROPIO"/>
    <s v="CXO"/>
    <n v="3"/>
    <n v="245.70000000000002"/>
  </r>
  <r>
    <x v="0"/>
    <s v="30/01/2026"/>
    <s v="NOE JONAS D CEL"/>
    <s v="66096A"/>
    <s v="Conjunto Andrea negro de encaje 3 piezas M"/>
    <s v="LENCERIA"/>
    <s v="OLA MOU"/>
    <n v="1"/>
    <n v="371.55"/>
  </r>
  <r>
    <x v="0"/>
    <s v="30/01/2026"/>
    <s v="NOE JONAS D CEL"/>
    <s v="75037628"/>
    <s v="Dulces Garganta Profunda 2 piezas Sabor Fresa - SXO"/>
    <s v="CONSUMIBLE"/>
    <s v="SXO"/>
    <n v="1"/>
    <n v="120.69"/>
  </r>
  <r>
    <x v="0"/>
    <s v="30/01/2026"/>
    <s v="NOE JONAS D CEL"/>
    <s v="7503043917012"/>
    <s v="Liquid Love Backdoor 30ml - DUSA"/>
    <s v="CONSUMIBLE PROPIO"/>
    <s v="DUSA"/>
    <n v="1"/>
    <n v="301.72000000000003"/>
  </r>
  <r>
    <x v="0"/>
    <s v="30/01/2026"/>
    <s v="NOE JONAS D CEL"/>
    <s v="GWPS_BANANASHAKE_001"/>
    <s v="Lub de Regalo - Banana Shake"/>
    <s v="ACTIVACION"/>
    <s v="BANANA SHAKE"/>
    <n v="1"/>
    <n v="0.01"/>
  </r>
  <r>
    <x v="0"/>
    <s v="30/01/2026"/>
    <s v="NOE JONAS D CEL"/>
    <s v="7503023462204"/>
    <s v="Lubricante Masaje Térmico Comestible Manzana del Edén FEEL LOVE 4 en 1 - 60ml"/>
    <s v="LUBRICANTE"/>
    <s v="FEEL LOVE"/>
    <n v="1"/>
    <n v="344.83"/>
  </r>
  <r>
    <x v="0"/>
    <s v="30/01/2026"/>
    <s v="NOE JONAS D CEL"/>
    <s v="782421007607"/>
    <s v="Reverse Tightening gel 0.25oz - DOC JOHNSON"/>
    <s v="CONSUMIBLE"/>
    <s v="DOC JOHNSON"/>
    <n v="2"/>
    <n v="137.94"/>
  </r>
  <r>
    <x v="0"/>
    <s v="30/01/2026"/>
    <s v="NOE JONAS D CEL"/>
    <s v="7503013378690"/>
    <s v="Shumatsu 3 pzas - DUSA"/>
    <s v="CONSUMIBLE PROPIO"/>
    <s v="DUSA"/>
    <n v="1"/>
    <n v="577.59"/>
  </r>
  <r>
    <x v="0"/>
    <s v="30/01/2026"/>
    <s v="NOE JONAS D CEL"/>
    <s v="7503020104073"/>
    <s v="Vibrador multiorgásmico con textura y estimulación doble Lidia - CXO"/>
    <s v="JUGUETE PROPIO"/>
    <s v="CXO"/>
    <n v="1"/>
    <n v="2008.62"/>
  </r>
  <r>
    <x v="0"/>
    <s v="31/01/2026"/>
    <s v="NOE JONAS D CEL"/>
    <s v="7503020111072"/>
    <s v="Anillo vibrador recargable con textura negra Hank - CXO"/>
    <s v="JUGUETE PROPIO"/>
    <s v="CXO"/>
    <n v="1"/>
    <n v="1267.24"/>
  </r>
  <r>
    <x v="0"/>
    <s v="31/01/2026"/>
    <s v="NOE JONAS D CEL"/>
    <s v="7503043917081"/>
    <s v="Blade rosa anillo vibrador - CXO"/>
    <s v="JUGUETE PROPIO"/>
    <s v="CXO"/>
    <n v="4"/>
    <n v="327.60000000000002"/>
  </r>
  <r>
    <x v="0"/>
    <s v="31/01/2026"/>
    <s v="NOE JONAS D CEL"/>
    <s v="7503013378904"/>
    <s v="Dildo Mr. Hernandez - CXO"/>
    <s v="JUGUETE PROPIO"/>
    <s v="CXO"/>
    <n v="1"/>
    <n v="517.24"/>
  </r>
  <r>
    <x v="0"/>
    <s v="31/01/2026"/>
    <s v="NOE JONAS D CEL"/>
    <s v="LL-A2216"/>
    <s v="Huevito con 10 modos de Vibración  Gina - CXO"/>
    <s v="JUGUETE PROPIO"/>
    <s v="CXO"/>
    <n v="1"/>
    <n v="1500"/>
  </r>
  <r>
    <x v="0"/>
    <s v="31/01/2026"/>
    <s v="NOE JONAS D CEL"/>
    <s v="7503020596001"/>
    <s v="Liquid Love Clear 100ml - DUSA"/>
    <s v="CONSUMIBLE PROPIO"/>
    <s v="DUSA"/>
    <n v="2"/>
    <n v="1551.72"/>
  </r>
  <r>
    <x v="0"/>
    <s v="31/01/2026"/>
    <s v="NOE JONAS D CEL"/>
    <s v="7503032300382"/>
    <s v="Mon - CXO"/>
    <s v="JUGUETE PROPIO"/>
    <s v="CXO"/>
    <n v="4"/>
    <n v="2068.96"/>
  </r>
  <r>
    <x v="0"/>
    <s v="31/01/2026"/>
    <s v="NOE JONAS D CEL"/>
    <s v="7503030128202"/>
    <s v="Plug Anal con 10 modos de vibracion y rotacion 360 Beto - CXO"/>
    <s v="JUGUETE PROPIO"/>
    <s v="CXO"/>
    <n v="1"/>
    <n v="1577.59"/>
  </r>
  <r>
    <x v="0"/>
    <s v="31/01/2026"/>
    <s v="NOE JONAS D CEL"/>
    <s v="7350075028687"/>
    <s v="Sona Cruise DIESEL - LELO"/>
    <s v="ACTIVACION"/>
    <s v="LELO"/>
    <n v="1"/>
    <n v="2068.9699999999998"/>
  </r>
  <r>
    <x v="0"/>
    <s v="31/01/2026"/>
    <s v="NOE JONAS D CEL"/>
    <s v="7503032300443"/>
    <s v="Zoe bala vibradora RETAIL - CXO"/>
    <s v="JUGUETE PROPIO"/>
    <s v="CXO"/>
    <n v="3"/>
    <n v="465.51"/>
  </r>
  <r>
    <x v="1"/>
    <s v="26/01/2026"/>
    <s v="JESUS ALBERTO M GARCIA"/>
    <s v="7503020420814"/>
    <s v="Bomba de vacio manual Noah - CXO"/>
    <s v="JUGUETE PROPIO"/>
    <s v="CXO"/>
    <n v="1"/>
    <n v="818.97"/>
  </r>
  <r>
    <x v="1"/>
    <s v="26/01/2026"/>
    <s v="JESUS ALBERTO M GARCIA"/>
    <s v="7503020202214"/>
    <s v="Dildo realista con ventosa y testiculos Eddy - CXO"/>
    <s v="JUGUETE PROPIO"/>
    <s v="CXO"/>
    <n v="1"/>
    <n v="948.28"/>
  </r>
  <r>
    <x v="1"/>
    <s v="26/01/2026"/>
    <s v="JESUS ALBERTO M GARCIA"/>
    <s v="7503043917012"/>
    <s v="Liquid Love Backdoor 30ml - DUSA"/>
    <s v="CONSUMIBLE PROPIO"/>
    <s v="DUSA"/>
    <n v="1"/>
    <n v="301.72000000000003"/>
  </r>
  <r>
    <x v="1"/>
    <s v="26/01/2026"/>
    <s v="JESUS ALBERTO M GARCIA"/>
    <s v="7503013378010"/>
    <s v="Rigidex 2 pzas - DUSA"/>
    <s v="CONSUMIBLE PROPIO"/>
    <s v="DUSA"/>
    <n v="1"/>
    <n v="431.03"/>
  </r>
  <r>
    <x v="1"/>
    <s v="26/01/2026"/>
    <s v="JESUS ALBERTO M GARCIA"/>
    <s v="7503013378690"/>
    <s v="Shumatsu 3 pzas - DUSA"/>
    <s v="CONSUMIBLE PROPIO"/>
    <s v="DUSA"/>
    <n v="1"/>
    <n v="577.59"/>
  </r>
  <r>
    <x v="1"/>
    <s v="27/01/2026"/>
    <s v="JESUS ALBERTO M GARCIA"/>
    <s v="4630017970018"/>
    <s v="Alargador de Pene Titan Gel 50 ml"/>
    <s v="CONSUMIBLE"/>
    <s v="TITAN"/>
    <n v="1"/>
    <n v="594.83000000000004"/>
  </r>
  <r>
    <x v="1"/>
    <s v="27/01/2026"/>
    <s v="JESUS ALBERTO M GARCIA"/>
    <s v="7503030215199"/>
    <s v="Arnes para doble penetracion - CXO"/>
    <s v="JUGUETE PROPIO"/>
    <s v="CXO"/>
    <n v="1"/>
    <n v="1422.41"/>
  </r>
  <r>
    <x v="1"/>
    <s v="27/01/2026"/>
    <s v="JESUS ALBERTO M GARCIA"/>
    <s v="HRZH27262"/>
    <s v="Multiorgásmico Estimulador de Clítoris y Anal con 12 modos de Vibración  Carla- CXO"/>
    <s v="JUGUETE PROPIO"/>
    <s v="CXO"/>
    <n v="1"/>
    <n v="2543.1"/>
  </r>
  <r>
    <x v="1"/>
    <s v="27/01/2026"/>
    <s v="JESUS ALBERTO M GARCIA"/>
    <s v="7503050524241"/>
    <s v="Orgasmik 30ml - DUSA"/>
    <s v="CONSUMIBLE PROPIO"/>
    <s v="DUSA"/>
    <n v="1"/>
    <n v="431.03"/>
  </r>
  <r>
    <x v="1"/>
    <s v="27/01/2026"/>
    <s v="JESUS ALBERTO M GARCIA"/>
    <s v="7503013378010"/>
    <s v="Rigidex 2 pzas - DUSA"/>
    <s v="CONSUMIBLE PROPIO"/>
    <s v="DUSA"/>
    <n v="3"/>
    <n v="1293.0999999999999"/>
  </r>
  <r>
    <x v="1"/>
    <s v="27/01/2026"/>
    <s v="JESUS ALBERTO M GARCIA"/>
    <s v="7503013378690"/>
    <s v="Shumatsu 3 pzas - DUSA"/>
    <s v="CONSUMIBLE PROPIO"/>
    <s v="DUSA"/>
    <n v="3"/>
    <n v="1732.77"/>
  </r>
  <r>
    <x v="1"/>
    <s v="27/01/2026"/>
    <s v="JESUS ALBERTO M GARCIA"/>
    <s v="CBD"/>
    <s v="SUNNY SIDE UP CBD HIPOALERGENICO 10ml"/>
    <s v="CONSUMIBLE"/>
    <s v="SUNNY SIDE UP"/>
    <n v="1"/>
    <n v="301.72000000000003"/>
  </r>
  <r>
    <x v="1"/>
    <s v="28/01/2026"/>
    <s v="JESUS ALBERTO M GARCIA"/>
    <s v="7503014914002"/>
    <s v="CAPSULAS MULTIORGASMICO AMO O-GEN"/>
    <s v="CONSUMIBLE"/>
    <s v="POWER MAN"/>
    <n v="1"/>
    <n v="431.04"/>
  </r>
  <r>
    <x v="1"/>
    <s v="28/01/2026"/>
    <s v="JESUS ALBERTO M GARCIA"/>
    <s v="ACG0976SV0WB"/>
    <s v="Dildo Vibrador con Impulsor Estimulador de Clítoris Conny - CXO"/>
    <s v="JUGUETE PROPIO"/>
    <s v="CXO"/>
    <n v="1"/>
    <n v="2198.2800000000002"/>
  </r>
  <r>
    <x v="1"/>
    <s v="28/01/2026"/>
    <s v="JESUS ALBERTO M GARCIA"/>
    <s v="7503030103028"/>
    <s v="Huevito vibrador con control a distancia Daniela - CXO"/>
    <s v="JUGUETE PROPIO"/>
    <s v="CXO"/>
    <n v="1"/>
    <n v="1500"/>
  </r>
  <r>
    <x v="1"/>
    <s v="28/01/2026"/>
    <s v="JESUS ALBERTO M GARCIA"/>
    <s v="7503043917012"/>
    <s v="Liquid Love Backdoor 30ml - DUSA"/>
    <s v="CONSUMIBLE PROPIO"/>
    <s v="DUSA"/>
    <n v="1"/>
    <n v="301.72000000000003"/>
  </r>
  <r>
    <x v="1"/>
    <s v="28/01/2026"/>
    <s v="JESUS ALBERTO M GARCIA"/>
    <s v="7503043917005"/>
    <s v="Liquid Love Clear 30ml - DUSA"/>
    <s v="CONSUMIBLE PROPIO"/>
    <s v="DUSA"/>
    <n v="1"/>
    <n v="301.72000000000003"/>
  </r>
  <r>
    <x v="1"/>
    <s v="28/01/2026"/>
    <s v="JESUS ALBERTO M GARCIA"/>
    <s v="7503020596513"/>
    <s v="Liquid Love Natural 20ml - DUSA"/>
    <s v="CONSUMIBLE PROPIO"/>
    <s v="DUSA"/>
    <n v="1"/>
    <n v="258.62"/>
  </r>
  <r>
    <x v="1"/>
    <s v="28/01/2026"/>
    <s v="JESUS ALBERTO M GARCIA"/>
    <s v="7503013378645"/>
    <s v="Liquid Love Pleasure 100ml - DUSA"/>
    <s v="CONSUMIBLE PROPIO"/>
    <s v="DUSA"/>
    <n v="1"/>
    <n v="775.86"/>
  </r>
  <r>
    <x v="1"/>
    <s v="28/01/2026"/>
    <s v="JESUS ALBERTO M GARCIA"/>
    <s v="7798309440551"/>
    <s v="Lube More Play 130 ml - Sexitive"/>
    <s v="JUGUETE"/>
    <s v="SEXITIVE"/>
    <n v="1"/>
    <n v="137.93"/>
  </r>
  <r>
    <x v="1"/>
    <s v="29/01/2026"/>
    <s v="ALFONSO  M CARBALLAR"/>
    <s v="7503013378492"/>
    <s v="Clean Whisper 120ml - DUSA"/>
    <s v="CONSUMIBLE PROPIO"/>
    <s v="DUSA"/>
    <n v="1"/>
    <n v="301.72000000000003"/>
  </r>
  <r>
    <x v="1"/>
    <s v="29/01/2026"/>
    <s v="ALFONSO  M CARBALLAR"/>
    <s v="7503050524173"/>
    <s v="Dildo ultra realista 21cm Romeo - CXO"/>
    <s v="JUGUETE PROPIO"/>
    <s v="CXO"/>
    <n v="1"/>
    <n v="1810.34"/>
  </r>
  <r>
    <x v="1"/>
    <s v="29/01/2026"/>
    <s v="ALFONSO  M CARBALLAR"/>
    <s v="7503050524241"/>
    <s v="Orgasmik 30ml - DUSA"/>
    <s v="CONSUMIBLE PROPIO"/>
    <s v="DUSA"/>
    <n v="2"/>
    <n v="862.06"/>
  </r>
  <r>
    <x v="1"/>
    <s v="29/01/2026"/>
    <s v="ALFONSO  M CARBALLAR"/>
    <s v="7503020596957"/>
    <s v="Shot Shumatsu Fun Hombre - DUSA"/>
    <s v="CONSUMIBLE PROPIO"/>
    <s v="DUSA"/>
    <n v="1"/>
    <n v="172.41"/>
  </r>
  <r>
    <x v="1"/>
    <s v="29/01/2026"/>
    <s v="ALFONSO  M CARBALLAR"/>
    <s v="7503032300443"/>
    <s v="Zoe bala vibradora RETAIL - CXO"/>
    <s v="JUGUETE PROPIO"/>
    <s v="CXO"/>
    <n v="1"/>
    <n v="155.16999999999999"/>
  </r>
  <r>
    <x v="1"/>
    <s v="30/01/2026"/>
    <s v="JESUS ALBERTO M GARCIA"/>
    <s v="4630017970018"/>
    <s v="Alargador de Pene Titan Gel 50 ml"/>
    <s v="CONSUMIBLE"/>
    <s v="TITAN"/>
    <n v="1"/>
    <n v="594.83000000000004"/>
  </r>
  <r>
    <x v="1"/>
    <s v="30/01/2026"/>
    <s v="JESUS ALBERTO M GARCIA"/>
    <s v="BOD03CB149001UN"/>
    <s v="Body Bruna negro - OLA MOU"/>
    <s v="LENCERIA"/>
    <s v="OLA MOU"/>
    <n v="1"/>
    <n v="323.27999999999997"/>
  </r>
  <r>
    <x v="1"/>
    <s v="30/01/2026"/>
    <s v="JESUS ALBERTO M GARCIA"/>
    <s v="7503014914002"/>
    <s v="CAPSULAS MULTIORGASMICO AMO O-GEN"/>
    <s v="CONSUMIBLE"/>
    <s v="POWER MAN"/>
    <n v="1"/>
    <n v="431.04"/>
  </r>
  <r>
    <x v="1"/>
    <s v="30/01/2026"/>
    <s v="JESUS ALBERTO M GARCIA"/>
    <s v="7503013378492"/>
    <s v="Clean Whisper 120ml - DUSA"/>
    <s v="CONSUMIBLE PROPIO"/>
    <s v="DUSA"/>
    <n v="1"/>
    <n v="301.72000000000003"/>
  </r>
  <r>
    <x v="1"/>
    <s v="30/01/2026"/>
    <s v="JESUS ALBERTO M GARCIA"/>
    <s v="7503024256741"/>
    <s v="Cola de Zorro 45cm café S - CXO"/>
    <s v="JUGUETE PROPIO"/>
    <s v="CXO"/>
    <n v="1"/>
    <n v="258.62"/>
  </r>
  <r>
    <x v="1"/>
    <s v="30/01/2026"/>
    <s v="JESUS ALBERTO M GARCIA"/>
    <s v="7502235095033"/>
    <s v="Desensibilizante Anal 4.5ml - Lions Power"/>
    <s v="CONSUMIBLE"/>
    <s v="SXO"/>
    <n v="1"/>
    <n v="86.21"/>
  </r>
  <r>
    <x v="1"/>
    <s v="30/01/2026"/>
    <s v="JESUS ALBERTO M GARCIA"/>
    <s v="7503050524340"/>
    <s v="Ducha Felix S - CXO"/>
    <s v="JUGUETE PROPIO"/>
    <s v="CXO"/>
    <n v="1"/>
    <n v="612.07000000000005"/>
  </r>
  <r>
    <x v="1"/>
    <s v="30/01/2026"/>
    <s v="JESUS ALBERTO M GARCIA"/>
    <s v="7503043917012"/>
    <s v="Liquid Love Backdoor 30ml - DUSA"/>
    <s v="CONSUMIBLE PROPIO"/>
    <s v="DUSA"/>
    <n v="1"/>
    <n v="301.72000000000003"/>
  </r>
  <r>
    <x v="1"/>
    <s v="30/01/2026"/>
    <s v="JESUS ALBERTO M GARCIA"/>
    <s v="6970556032074"/>
    <s v="Plug Anal con 10 modos de Vibracion de 11.5cm  Ramiro- CXO"/>
    <s v="JUGUETE PROPIO"/>
    <s v="CXO"/>
    <n v="1"/>
    <n v="1034.48"/>
  </r>
  <r>
    <x v="1"/>
    <s v="30/01/2026"/>
    <s v="JESUS ALBERTO M GARCIA"/>
    <s v="7503020596957"/>
    <s v="Shot Shumatsu Fun Hombre - DUSA"/>
    <s v="CONSUMIBLE PROPIO"/>
    <s v="DUSA"/>
    <n v="1"/>
    <n v="172.41"/>
  </r>
  <r>
    <x v="1"/>
    <s v="30/01/2026"/>
    <s v="JESUS ALBERTO M GARCIA"/>
    <s v="7503024256192"/>
    <s v="Shot Shumatsu Fun Mujer - DUSA"/>
    <s v="CONSUMIBLE PROPIO"/>
    <s v="DUSA"/>
    <n v="1"/>
    <n v="172.41"/>
  </r>
  <r>
    <x v="1"/>
    <s v="30/01/2026"/>
    <s v="JESUS ALBERTO M GARCIA"/>
    <s v="7503013378690"/>
    <s v="Shumatsu 3 pzas - DUSA"/>
    <s v="CONSUMIBLE PROPIO"/>
    <s v="DUSA"/>
    <n v="2"/>
    <n v="1155.18"/>
  </r>
  <r>
    <x v="1"/>
    <s v="30/01/2026"/>
    <s v="JESUS ALBERTO M GARCIA"/>
    <s v="7503020105084"/>
    <s v="Vibrador para parejas tipo C Trinity – CXO"/>
    <s v="JUGUETE PROPIO"/>
    <s v="CXO"/>
    <n v="1"/>
    <n v="2465.52"/>
  </r>
  <r>
    <x v="1"/>
    <s v="31/01/2026"/>
    <s v="JESUS ALBERTO M GARCIA"/>
    <s v="7503050226128"/>
    <s v="Conjunto Jimena con pezoneras y liguero - OLA MOU"/>
    <s v="LENCERIA"/>
    <s v="OLA MOU"/>
    <n v="1"/>
    <n v="387.93"/>
  </r>
  <r>
    <x v="1"/>
    <s v="31/01/2026"/>
    <s v="JESUS ALBERTO M GARCIA"/>
    <s v="7503013378645"/>
    <s v="Liquid Love Pleasure 100ml - DUSA"/>
    <s v="CONSUMIBLE PROPIO"/>
    <s v="DUSA"/>
    <n v="1"/>
    <n v="775.86"/>
  </r>
  <r>
    <x v="2"/>
    <s v="26/01/2026"/>
    <s v="GERMAN  GUZMAN AGUIRRE"/>
    <s v="7503032300238"/>
    <s v="Cola de Zorro Arcoiris 38cm L - CXO"/>
    <s v="JUGUETE PROPIO"/>
    <s v="CXO"/>
    <n v="1"/>
    <n v="344.83"/>
  </r>
  <r>
    <x v="2"/>
    <s v="26/01/2026"/>
    <s v="GERMAN  GUZMAN AGUIRRE"/>
    <s v="7502214980077"/>
    <s v="CONDON TRUST FRESA CON 3 MAQ - PRUDENCE"/>
    <s v="CONSUMIBLE"/>
    <s v="PRUDENCE"/>
    <n v="1"/>
    <n v="77.59"/>
  </r>
  <r>
    <x v="2"/>
    <s v="26/01/2026"/>
    <s v="GERMAN  GUZMAN AGUIRRE"/>
    <s v="7503020220077"/>
    <s v="Juego de mesa sensual para parejas – CXO"/>
    <s v="JUGUETE PROPIO"/>
    <s v="CXO"/>
    <n v="1"/>
    <n v="637.92999999999995"/>
  </r>
  <r>
    <x v="2"/>
    <s v="26/01/2026"/>
    <s v="GERMAN  GUZMAN AGUIRRE"/>
    <s v="7503030128202"/>
    <s v="Plug Anal con 10 modos de vibracion y rotacion 360 Beto - CXO"/>
    <s v="JUGUETE PROPIO"/>
    <s v="CXO"/>
    <n v="1"/>
    <n v="1577.59"/>
  </r>
  <r>
    <x v="2"/>
    <s v="26/01/2026"/>
    <s v="GERMAN  GUZMAN AGUIRRE"/>
    <s v="7503050226162"/>
    <s v="Plug Anal con Vibración y Control Roberto - CXO"/>
    <s v="JUGUETE PROPIO"/>
    <s v="CXO"/>
    <n v="1"/>
    <n v="1293.0999999999999"/>
  </r>
  <r>
    <x v="2"/>
    <s v="26/01/2026"/>
    <s v="GERMAN  GUZMAN AGUIRRE"/>
    <s v="7503013378690"/>
    <s v="Shumatsu 3 pzas - DUSA"/>
    <s v="CONSUMIBLE PROPIO"/>
    <s v="DUSA"/>
    <n v="1"/>
    <n v="577.59"/>
  </r>
  <r>
    <x v="2"/>
    <s v="26/01/2026"/>
    <s v="GERMAN  GUZMAN AGUIRRE"/>
    <s v="7350075026157"/>
    <s v="Sona cerise - LELO"/>
    <s v="JUGUETE"/>
    <s v="LELO"/>
    <n v="1"/>
    <n v="2068.9699999999998"/>
  </r>
  <r>
    <x v="2"/>
    <s v="27/01/2026"/>
    <s v="IRIS CRISTINA RIVERA PEREZ CELESTERRA"/>
    <s v="LL-A2216"/>
    <s v="Huevito con 10 modos de Vibración  Gina - CXO"/>
    <s v="JUGUETE PROPIO"/>
    <s v="CXO"/>
    <n v="1"/>
    <n v="1500"/>
  </r>
  <r>
    <x v="2"/>
    <s v="27/01/2026"/>
    <s v="IRIS CRISTINA RIVERA PEREZ CELESTERRA"/>
    <s v="7503043917012"/>
    <s v="Liquid Love Backdoor 30ml - DUSA"/>
    <s v="CONSUMIBLE PROPIO"/>
    <s v="DUSA"/>
    <n v="1"/>
    <n v="301.72000000000003"/>
  </r>
  <r>
    <x v="2"/>
    <s v="27/01/2026"/>
    <s v="IRIS CRISTINA RIVERA PEREZ CELESTERRA"/>
    <s v="7503043917395"/>
    <s v="Vibrador multiorgásmico Krista Mod. 02  - CXO"/>
    <s v="JUGUETE PROPIO"/>
    <s v="CXO"/>
    <n v="1"/>
    <n v="2060.9299999999998"/>
  </r>
  <r>
    <x v="2"/>
    <s v="28/01/2026"/>
    <s v="IRIS CRISTINA RIVERA PEREZ CELESTERRA"/>
    <s v="7500635014548"/>
    <s v="BABY DOLL MEDIANO NEGRO CON ROSA 01454"/>
    <s v="LENCERIA"/>
    <s v="CHRISLIFERBRA"/>
    <n v="1"/>
    <n v="301.72000000000003"/>
  </r>
  <r>
    <x v="2"/>
    <s v="28/01/2026"/>
    <s v="IRIS CRISTINA RIVERA PEREZ CELESTERRA"/>
    <s v="7503030102198"/>
    <s v="Dildo realista vibrador con ventosa Ulises - CXO"/>
    <s v="JUGUETE PROPIO"/>
    <s v="CXO"/>
    <n v="1"/>
    <n v="2000"/>
  </r>
  <r>
    <x v="2"/>
    <s v="28/01/2026"/>
    <s v="IRIS CRISTINA RIVERA PEREZ CELESTERRA"/>
    <s v="ACG0976SV0WB"/>
    <s v="Dildo Vibrador con Impulsor Estimulador de Clítoris Conny - CXO"/>
    <s v="JUGUETE PROPIO"/>
    <s v="CXO"/>
    <n v="1"/>
    <n v="2198.2800000000002"/>
  </r>
  <r>
    <x v="2"/>
    <s v="28/01/2026"/>
    <s v="IRIS CRISTINA RIVERA PEREZ CELESTERRA"/>
    <s v="7503013378690"/>
    <s v="Shumatsu 3 pzas - DUSA"/>
    <s v="CONSUMIBLE PROPIO"/>
    <s v="DUSA"/>
    <n v="1"/>
    <n v="577.59"/>
  </r>
  <r>
    <x v="2"/>
    <s v="28/01/2026"/>
    <s v="IRIS CRISTINA RIVERA PEREZ CELESTERRA"/>
    <s v="CBD"/>
    <s v="SUNNY SIDE UP CBD HIPOALERGENICO 10ml"/>
    <s v="CONSUMIBLE"/>
    <s v="SUNNY SIDE UP"/>
    <n v="1"/>
    <n v="301.72000000000003"/>
  </r>
  <r>
    <x v="2"/>
    <s v="28/01/2026"/>
    <s v="IRIS CRISTINA RIVERA PEREZ CELESTERRA"/>
    <s v="4061504001197"/>
    <s v="Vibrador Secret Affair - Satisfayer"/>
    <s v="JUGUETE"/>
    <s v="SATISFAYER"/>
    <n v="1"/>
    <n v="1120.69"/>
  </r>
  <r>
    <x v="2"/>
    <s v="29/01/2026"/>
    <s v="IRIS CRISTINA RIVERA PEREZ CELESTERRA"/>
    <s v="7503013378904"/>
    <s v="Dildo Mr. Hernandez - CXO"/>
    <s v="JUGUETE PROPIO"/>
    <s v="CXO"/>
    <n v="1"/>
    <n v="517.24"/>
  </r>
  <r>
    <x v="2"/>
    <s v="29/01/2026"/>
    <s v="IRIS CRISTINA RIVERA PEREZ CELESTERRA"/>
    <s v="7503043917012"/>
    <s v="Liquid Love Backdoor 30ml - DUSA"/>
    <s v="CONSUMIBLE PROPIO"/>
    <s v="DUSA"/>
    <n v="1"/>
    <n v="301.72000000000003"/>
  </r>
  <r>
    <x v="2"/>
    <s v="29/01/2026"/>
    <s v="IRIS CRISTINA RIVERA PEREZ CELESTERRA"/>
    <s v="7503013378645"/>
    <s v="Liquid Love Pleasure 100ml - DUSA"/>
    <s v="CONSUMIBLE PROPIO"/>
    <s v="DUSA"/>
    <n v="1"/>
    <n v="775.86"/>
  </r>
  <r>
    <x v="2"/>
    <s v="29/01/2026"/>
    <s v="IRIS CRISTINA RIVERA PEREZ CELESTERRA"/>
    <s v="7503013378980"/>
    <s v="Lubricante Body Surf Termico Chicle DUSA 60ml"/>
    <s v="CONSUMIBLE PROPIO"/>
    <s v="DUSA"/>
    <n v="1"/>
    <n v="387.93"/>
  </r>
  <r>
    <x v="2"/>
    <s v="29/01/2026"/>
    <s v="IRIS CRISTINA RIVERA PEREZ CELESTERRA"/>
    <s v="7503013378799"/>
    <s v="Lubricante Body Surf Termico Citricos DUSA 60ml"/>
    <s v="CONSUMIBLE PROPIO"/>
    <s v="DUSA"/>
    <n v="1"/>
    <n v="387.93"/>
  </r>
  <r>
    <x v="2"/>
    <s v="29/01/2026"/>
    <s v="IRIS CRISTINA RIVERA PEREZ CELESTERRA"/>
    <s v="713001200104"/>
    <s v="Multiorgasmico con estimulador de clitoris de aleteo Marisol - CXO"/>
    <s v="JUGUETE PROPIO"/>
    <s v="CXO"/>
    <n v="1"/>
    <n v="2500"/>
  </r>
  <r>
    <x v="2"/>
    <s v="29/01/2026"/>
    <s v="IRIS CRISTINA RIVERA PEREZ CELESTERRA"/>
    <s v="7503023462891"/>
    <s v="ORAL SEX Exotic Nut 30ml - DIAMANTE"/>
    <s v="CONSUMIBLE"/>
    <s v="DIAMANTE"/>
    <n v="1"/>
    <n v="310.33999999999997"/>
  </r>
  <r>
    <x v="2"/>
    <s v="29/01/2026"/>
    <s v="IRIS CRISTINA RIVERA PEREZ CELESTERRA"/>
    <s v="7503050226162"/>
    <s v="Plug Anal con Vibración y Control Roberto - CXO"/>
    <s v="JUGUETE PROPIO"/>
    <s v="CXO"/>
    <n v="1"/>
    <n v="1293.0999999999999"/>
  </r>
  <r>
    <x v="2"/>
    <s v="29/01/2026"/>
    <s v="IRIS CRISTINA RIVERA PEREZ CELESTERRA"/>
    <s v="7503032300856"/>
    <s v="Sachet vibrador liquido 2 ml - BANANA SHAKE"/>
    <s v="CONSUMIBLE"/>
    <s v="BANANA SHAKE"/>
    <n v="2"/>
    <n v="34.479999999999997"/>
  </r>
  <r>
    <x v="2"/>
    <s v="29/01/2026"/>
    <s v="IRIS CRISTINA RIVERA PEREZ CELESTERRA"/>
    <s v="7503013378690"/>
    <s v="Shumatsu 3 pzas - DUSA"/>
    <s v="CONSUMIBLE PROPIO"/>
    <s v="DUSA"/>
    <n v="1"/>
    <n v="577.59"/>
  </r>
  <r>
    <x v="2"/>
    <s v="30/01/2026"/>
    <s v="IRIS CRISTINA RIVERA PEREZ CELESTERRA"/>
    <s v="ACG0976SV0WB"/>
    <s v="Dildo Vibrador con Impulsor Estimulador de Clítoris Conny - CXO"/>
    <s v="JUGUETE PROPIO"/>
    <s v="CXO"/>
    <n v="1"/>
    <n v="2198.2800000000002"/>
  </r>
  <r>
    <x v="2"/>
    <s v="30/01/2026"/>
    <s v="IRIS CRISTINA RIVERA PEREZ CELESTERRA"/>
    <s v="7503013378980"/>
    <s v="Lubricante Body Surf Termico Chicle DUSA 60ml"/>
    <s v="CONSUMIBLE PROPIO"/>
    <s v="DUSA"/>
    <n v="1"/>
    <n v="387.93"/>
  </r>
  <r>
    <x v="2"/>
    <s v="30/01/2026"/>
    <s v="IRIS CRISTINA RIVERA PEREZ CELESTERRA"/>
    <s v="7508304289037"/>
    <s v="LUBRICANTE C/FEROMONAS -LUJO- 40ML  RETARDADOR"/>
    <s v="CONSUMIBLE"/>
    <s v="DIAMANTE"/>
    <n v="1"/>
    <n v="508.62"/>
  </r>
  <r>
    <x v="2"/>
    <s v="30/01/2026"/>
    <s v="IRIS CRISTINA RIVERA PEREZ CELESTERRA"/>
    <s v="631758000563"/>
    <s v="Tabletas CERO STRESS 60 pzs - Schmidt Schuler"/>
    <s v="HEALTHY LIFESTYLE"/>
    <s v="SCHMIDT SCHULLER"/>
    <n v="1"/>
    <n v="64.66"/>
  </r>
  <r>
    <x v="2"/>
    <s v="30/01/2026"/>
    <s v="IRIS CRISTINA RIVERA PEREZ CELESTERRA"/>
    <s v="7503043917395"/>
    <s v="Vibrador multiorgásmico Krista Mod. 02  - CXO"/>
    <s v="JUGUETE PROPIO"/>
    <s v="CXO"/>
    <n v="1"/>
    <n v="2060.9299999999998"/>
  </r>
  <r>
    <x v="2"/>
    <s v="31/01/2026"/>
    <s v="IRIS CRISTINA RIVERA PEREZ CELESTERRA"/>
    <s v="ACG0976SV0WB"/>
    <s v="Dildo Vibrador con Impulsor Estimulador de Clítoris Conny - CXO"/>
    <s v="JUGUETE PROPIO"/>
    <s v="CXO"/>
    <n v="1"/>
    <n v="2198.2800000000002"/>
  </r>
  <r>
    <x v="2"/>
    <s v="31/01/2026"/>
    <s v="IRIS CRISTINA RIVERA PEREZ CELESTERRA"/>
    <s v="7503050524265"/>
    <s v="He Plus 30ml - DUSA"/>
    <s v="CONSUMIBLE PROPIO"/>
    <s v="DUSA"/>
    <n v="1"/>
    <n v="431.03"/>
  </r>
  <r>
    <x v="2"/>
    <s v="31/01/2026"/>
    <s v="IRIS CRISTINA RIVERA PEREZ CELESTERRA"/>
    <s v="7503043917012"/>
    <s v="Liquid Love Backdoor 30ml - DUSA"/>
    <s v="CONSUMIBLE PROPIO"/>
    <s v="DUSA"/>
    <n v="1"/>
    <n v="301.72000000000003"/>
  </r>
  <r>
    <x v="2"/>
    <s v="31/01/2026"/>
    <s v="IRIS CRISTINA RIVERA PEREZ CELESTERRA"/>
    <s v="7503020596513"/>
    <s v="Liquid Love Natural 20ml - DUSA"/>
    <s v="CONSUMIBLE PROPIO"/>
    <s v="DUSA"/>
    <n v="1"/>
    <n v="258.62"/>
  </r>
  <r>
    <x v="2"/>
    <s v="31/01/2026"/>
    <s v="IRIS CRISTINA RIVERA PEREZ CELESTERRA"/>
    <s v="7503013378645"/>
    <s v="Liquid Love Pleasure 100ml - DUSA"/>
    <s v="CONSUMIBLE PROPIO"/>
    <s v="DUSA"/>
    <n v="1"/>
    <n v="775.86"/>
  </r>
  <r>
    <x v="2"/>
    <s v="31/01/2026"/>
    <s v="IRIS CRISTINA RIVERA PEREZ CELESTERRA"/>
    <s v="7503032300856"/>
    <s v="Sachet vibrador liquido 2 ml - BANANA SHAKE"/>
    <s v="CONSUMIBLE"/>
    <s v="BANANA SHAKE"/>
    <n v="1"/>
    <n v="17.239999999999998"/>
  </r>
  <r>
    <x v="2"/>
    <s v="31/01/2026"/>
    <s v="IRIS CRISTINA RIVERA PEREZ CELESTERRA"/>
    <s v="7503013378690"/>
    <s v="Shumatsu 3 pzas - DUSA"/>
    <s v="CONSUMIBLE PROPIO"/>
    <s v="DUSA"/>
    <n v="3"/>
    <n v="1732.77"/>
  </r>
  <r>
    <x v="2"/>
    <s v="31/01/2026"/>
    <s v="IRIS CRISTINA RIVERA PEREZ CELESTERRA"/>
    <s v="8433345113111"/>
    <s v="Vibrador dual con succionador - WOOMY"/>
    <s v="JUGUETE"/>
    <s v="ADRIEN LASTIC"/>
    <n v="1"/>
    <n v="1594.83"/>
  </r>
  <r>
    <x v="3"/>
    <s v="26/01/2026"/>
    <s v="HECTOR MANUEL P CELEST"/>
    <s v="7503043917081"/>
    <s v="Blade rosa anillo vibrador - CXO"/>
    <s v="JUGUETE PROPIO"/>
    <s v="CXO"/>
    <n v="5"/>
    <n v="409.5"/>
  </r>
  <r>
    <x v="3"/>
    <s v="26/01/2026"/>
    <s v="HECTOR MANUEL P CELEST"/>
    <s v="7503050524265"/>
    <s v="He Plus 30ml - DUSA"/>
    <s v="CONSUMIBLE PROPIO"/>
    <s v="DUSA"/>
    <n v="1"/>
    <n v="431.03"/>
  </r>
  <r>
    <x v="3"/>
    <s v="26/01/2026"/>
    <s v="HECTOR MANUEL P CELEST"/>
    <s v="7503032300856"/>
    <s v="Sachet vibrador liquido 2 ml - BANANA SHAKE"/>
    <s v="CONSUMIBLE"/>
    <s v="BANANA SHAKE"/>
    <n v="10"/>
    <n v="172.4"/>
  </r>
  <r>
    <x v="3"/>
    <s v="26/01/2026"/>
    <s v="HECTOR MANUEL P CELEST"/>
    <s v="7503020596957"/>
    <s v="Shot Shumatsu Fun Hombre - DUSA"/>
    <s v="CONSUMIBLE PROPIO"/>
    <s v="DUSA"/>
    <n v="1"/>
    <n v="172.41"/>
  </r>
  <r>
    <x v="3"/>
    <s v="26/01/2026"/>
    <s v="HECTOR MANUEL P CELEST"/>
    <s v="7503013378690"/>
    <s v="Shumatsu 3 pzas - DUSA"/>
    <s v="CONSUMIBLE PROPIO"/>
    <s v="DUSA"/>
    <n v="1"/>
    <n v="577.59"/>
  </r>
  <r>
    <x v="3"/>
    <s v="27/01/2026"/>
    <s v="HECTOR MANUEL P CELEST"/>
    <s v="ACG0976SV0WB"/>
    <s v="Dildo Vibrador con Impulsor Estimulador de Clítoris Conny - CXO"/>
    <s v="JUGUETE PROPIO"/>
    <s v="CXO"/>
    <n v="1"/>
    <n v="2198.2800000000002"/>
  </r>
  <r>
    <x v="3"/>
    <s v="27/01/2026"/>
    <s v="HECTOR MANUEL P CELEST"/>
    <s v="7503013378980"/>
    <s v="Lubricante Body Surf Termico Chicle DUSA 60ml"/>
    <s v="CONSUMIBLE PROPIO"/>
    <s v="DUSA"/>
    <n v="1"/>
    <n v="387.93"/>
  </r>
  <r>
    <x v="3"/>
    <s v="27/01/2026"/>
    <s v="HECTOR MANUEL P CELEST"/>
    <s v="7503020596957"/>
    <s v="Shot Shumatsu Fun Hombre - DUSA"/>
    <s v="CONSUMIBLE PROPIO"/>
    <s v="DUSA"/>
    <n v="1"/>
    <n v="172.41"/>
  </r>
  <r>
    <x v="3"/>
    <s v="27/01/2026"/>
    <s v="HECTOR MANUEL P CELEST"/>
    <s v="7503024256192"/>
    <s v="Shot Shumatsu Fun Mujer - DUSA"/>
    <s v="CONSUMIBLE PROPIO"/>
    <s v="DUSA"/>
    <n v="4"/>
    <n v="689.64"/>
  </r>
  <r>
    <x v="3"/>
    <s v="27/01/2026"/>
    <s v="HECTOR MANUEL P CELEST"/>
    <s v="7503013378690"/>
    <s v="Shumatsu 3 pzas - DUSA"/>
    <s v="CONSUMIBLE PROPIO"/>
    <s v="DUSA"/>
    <n v="3"/>
    <n v="1732.77"/>
  </r>
  <r>
    <x v="3"/>
    <s v="28/01/2026"/>
    <s v="GERMAN  GUZMAN AGUIRRE"/>
    <s v="7503030102034"/>
    <s v="Dildo vibrador con control Anthony - CXO"/>
    <s v="JUGUETE PROPIO"/>
    <s v="CXO"/>
    <n v="1"/>
    <n v="2112.0700000000002"/>
  </r>
  <r>
    <x v="3"/>
    <s v="28/01/2026"/>
    <s v="GERMAN  GUZMAN AGUIRRE"/>
    <s v="7503032300993"/>
    <s v="Liquid Love Pleasure 30ml - DUSA"/>
    <s v="CONSUMIBLE PROPIO"/>
    <s v="DUSA"/>
    <n v="1"/>
    <n v="301.72000000000003"/>
  </r>
  <r>
    <x v="3"/>
    <s v="28/01/2026"/>
    <s v="GERMAN  GUZMAN AGUIRRE"/>
    <s v="7503013378645"/>
    <s v="Liquid Love Pleasure 100ml - DUSA"/>
    <s v="CONSUMIBLE PROPIO"/>
    <s v="DUSA"/>
    <n v="1"/>
    <n v="775.86"/>
  </r>
  <r>
    <x v="3"/>
    <s v="28/01/2026"/>
    <s v="GERMAN  GUZMAN AGUIRRE"/>
    <s v="7503024256154"/>
    <s v="Lubricante Body Surf Termico Cereza DUSA 60ml"/>
    <s v="CONSUMIBLE PROPIO"/>
    <s v="DUSA"/>
    <n v="1"/>
    <n v="387.93"/>
  </r>
  <r>
    <x v="3"/>
    <s v="28/01/2026"/>
    <s v="GERMAN  GUZMAN AGUIRRE"/>
    <s v="7503013378690"/>
    <s v="Shumatsu 3 pzas - DUSA"/>
    <s v="CONSUMIBLE PROPIO"/>
    <s v="DUSA"/>
    <n v="2"/>
    <n v="1155.18"/>
  </r>
  <r>
    <x v="3"/>
    <s v="29/01/2026"/>
    <s v="HECTOR MANUEL P CELEST"/>
    <s v="7503050524265"/>
    <s v="He Plus 30ml - DUSA"/>
    <s v="CONSUMIBLE PROPIO"/>
    <s v="DUSA"/>
    <n v="1"/>
    <n v="431.03"/>
  </r>
  <r>
    <x v="3"/>
    <s v="29/01/2026"/>
    <s v="HECTOR MANUEL P CELEST"/>
    <s v="7503043917012"/>
    <s v="Liquid Love Backdoor 30ml - DUSA"/>
    <s v="CONSUMIBLE PROPIO"/>
    <s v="DUSA"/>
    <n v="1"/>
    <n v="301.72000000000003"/>
  </r>
  <r>
    <x v="3"/>
    <s v="29/01/2026"/>
    <s v="HECTOR MANUEL P CELEST"/>
    <s v="7503043917593"/>
    <s v="Nora dildo vibrador - CXO"/>
    <s v="JUGUETE PROPIO"/>
    <s v="CXO"/>
    <n v="1"/>
    <n v="474.14"/>
  </r>
  <r>
    <x v="3"/>
    <s v="29/01/2026"/>
    <s v="HECTOR MANUEL P CELEST"/>
    <s v="7503013378010"/>
    <s v="Rigidex 2 pzas - DUSA"/>
    <s v="CONSUMIBLE PROPIO"/>
    <s v="DUSA"/>
    <n v="1"/>
    <n v="431.03"/>
  </r>
  <r>
    <x v="3"/>
    <s v="29/01/2026"/>
    <s v="HECTOR MANUEL P CELEST"/>
    <s v="7503024256192"/>
    <s v="Shot Shumatsu Fun Mujer - DUSA"/>
    <s v="CONSUMIBLE PROPIO"/>
    <s v="DUSA"/>
    <n v="1"/>
    <n v="172.41"/>
  </r>
  <r>
    <x v="3"/>
    <s v="30/01/2026"/>
    <s v="HECTOR MANUEL P CELEST"/>
    <s v="7503013378287"/>
    <s v="Colette rosa - CXO"/>
    <s v="JUGUETE PROPIO"/>
    <s v="CXO"/>
    <n v="1"/>
    <n v="1293.0999999999999"/>
  </r>
  <r>
    <x v="3"/>
    <s v="30/01/2026"/>
    <s v="HECTOR MANUEL P CELEST"/>
    <s v="7503020202213"/>
    <s v="Dildo realista con ventosa Nick - CXO"/>
    <s v="JUGUETE PROPIO"/>
    <s v="CXO"/>
    <n v="1"/>
    <n v="818.97"/>
  </r>
  <r>
    <x v="3"/>
    <s v="30/01/2026"/>
    <s v="HECTOR MANUEL P CELEST"/>
    <s v="7503013378010"/>
    <s v="Rigidex 2 pzas - DUSA"/>
    <s v="CONSUMIBLE PROPIO"/>
    <s v="DUSA"/>
    <n v="1"/>
    <n v="431.03"/>
  </r>
  <r>
    <x v="3"/>
    <s v="30/01/2026"/>
    <s v="HECTOR MANUEL P CELEST"/>
    <s v="7503010217048"/>
    <s v="Vela para masaje rose - DUSA"/>
    <s v="CONSUMIBLE PROPIO"/>
    <s v="DUSA"/>
    <n v="1"/>
    <n v="241.38"/>
  </r>
  <r>
    <x v="3"/>
    <s v="30/01/2026"/>
    <s v="HECTOR MANUEL P CELEST"/>
    <s v="7503043917395"/>
    <s v="Vibrador multiorgásmico Krista Mod. 02  - CXO"/>
    <s v="JUGUETE PROPIO"/>
    <s v="CXO"/>
    <n v="1"/>
    <n v="2060.9299999999998"/>
  </r>
  <r>
    <x v="3"/>
    <s v="31/01/2026"/>
    <s v="HECTOR MANUEL P CELEST"/>
    <s v="7502214980060"/>
    <s v="CONDON TRUST SENSITIVO CON 3 MAQ - PRUDENCE"/>
    <s v="CONSUMIBLE"/>
    <s v="PRUDENCE"/>
    <n v="1"/>
    <n v="77.59"/>
  </r>
  <r>
    <x v="3"/>
    <s v="31/01/2026"/>
    <s v="HECTOR MANUEL P CELEST"/>
    <s v="7503020202214"/>
    <s v="Dildo realista con ventosa y testiculos Eddy - CXO"/>
    <s v="JUGUETE PROPIO"/>
    <s v="CXO"/>
    <n v="1"/>
    <n v="948.28"/>
  </r>
  <r>
    <x v="3"/>
    <s v="31/01/2026"/>
    <s v="HECTOR MANUEL P CELEST"/>
    <s v="7503050524265"/>
    <s v="He Plus 30ml - DUSA"/>
    <s v="CONSUMIBLE PROPIO"/>
    <s v="DUSA"/>
    <n v="1"/>
    <n v="431.03"/>
  </r>
  <r>
    <x v="3"/>
    <s v="31/01/2026"/>
    <s v="HECTOR MANUEL P CELEST"/>
    <s v="7503013378652"/>
    <s v="Liquid Love Backdoor 100ml - DUSA"/>
    <s v="CONSUMIBLE PROPIO"/>
    <s v="DUSA"/>
    <n v="1"/>
    <n v="1077.5899999999999"/>
  </r>
  <r>
    <x v="3"/>
    <s v="31/01/2026"/>
    <s v="HECTOR MANUEL P CELEST"/>
    <s v="7503032300993"/>
    <s v="Liquid Love Pleasure 30ml - DUSA"/>
    <s v="CONSUMIBLE PROPIO"/>
    <s v="DUSA"/>
    <n v="1"/>
    <n v="301.72000000000003"/>
  </r>
  <r>
    <x v="3"/>
    <s v="31/01/2026"/>
    <s v="HECTOR MANUEL P CELEST"/>
    <s v="7503013378645"/>
    <s v="Liquid Love Pleasure 100ml - DUSA"/>
    <s v="CONSUMIBLE PROPIO"/>
    <s v="DUSA"/>
    <n v="2"/>
    <n v="1551.72"/>
  </r>
  <r>
    <x v="3"/>
    <s v="31/01/2026"/>
    <s v="HECTOR MANUEL P CELEST"/>
    <s v="7503024256154"/>
    <s v="Lubricante Body Surf Termico Cereza DUSA 60ml"/>
    <s v="CONSUMIBLE PROPIO"/>
    <s v="DUSA"/>
    <n v="1"/>
    <n v="387.93"/>
  </r>
  <r>
    <x v="3"/>
    <s v="31/01/2026"/>
    <s v="HECTOR MANUEL P CELEST"/>
    <s v="SE018"/>
    <s v="Masturbador Jarrón - CXO"/>
    <s v="JUGUETE PROPIO"/>
    <s v="CXO"/>
    <n v="1"/>
    <n v="1034.48"/>
  </r>
  <r>
    <x v="3"/>
    <s v="31/01/2026"/>
    <s v="HECTOR MANUEL P CELEST"/>
    <s v="7503013378010"/>
    <s v="Rigidex 2 pzas - DUSA"/>
    <s v="CONSUMIBLE PROPIO"/>
    <s v="DUSA"/>
    <n v="2"/>
    <n v="862.06"/>
  </r>
  <r>
    <x v="3"/>
    <s v="31/01/2026"/>
    <s v="HECTOR MANUEL P CELEST"/>
    <s v="7503032300856"/>
    <s v="Sachet vibrador liquido 2 ml - BANANA SHAKE"/>
    <s v="CONSUMIBLE"/>
    <s v="BANANA SHAKE"/>
    <n v="3"/>
    <n v="51.72"/>
  </r>
  <r>
    <x v="3"/>
    <s v="31/01/2026"/>
    <s v="HECTOR MANUEL P CELEST"/>
    <s v="4061504007496"/>
    <s v="Succionado con App Curvy 1+ - Satisfayer"/>
    <s v="JUGUETE"/>
    <s v="SATISFAYER"/>
    <n v="1"/>
    <n v="1810.34"/>
  </r>
  <r>
    <x v="3"/>
    <s v="31/01/2026"/>
    <s v="HECTOR MANUEL P CELEST"/>
    <s v="7503032300443"/>
    <s v="Zoe bala vibradora RETAIL - CXO"/>
    <s v="JUGUETE PROPIO"/>
    <s v="CXO"/>
    <n v="1"/>
    <n v="155.16999999999999"/>
  </r>
  <r>
    <x v="4"/>
    <s v="26/01/2026"/>
    <s v="MARIA EDUWIGES DEL TORO ORTEGA"/>
    <s v="7503023462204"/>
    <s v="Lubricante Masaje Térmico Comestible Manzana del Edén FEEL LOVE 4 en 1 - 60ml"/>
    <s v="LUBRICANTE"/>
    <s v="FEEL LOVE"/>
    <n v="1"/>
    <n v="344.83"/>
  </r>
  <r>
    <x v="4"/>
    <s v="26/01/2026"/>
    <s v="MARIA EDUWIGES DEL TORO ORTEGA"/>
    <s v="7503050524241"/>
    <s v="Orgasmik 30ml - DUSA"/>
    <s v="CONSUMIBLE PROPIO"/>
    <s v="DUSA"/>
    <n v="1"/>
    <n v="431.03"/>
  </r>
  <r>
    <x v="4"/>
    <s v="27/01/2026"/>
    <s v="MARIA EDUWIGES DEL TORO ORTEGA"/>
    <s v="7502214982491"/>
    <s v="CONDON PRUDENCE EXTRA TIME UVA"/>
    <s v="CONSUMIBLE"/>
    <s v="PRUDENCE"/>
    <n v="1"/>
    <n v="60.34"/>
  </r>
  <r>
    <x v="4"/>
    <s v="27/01/2026"/>
    <s v="MARIA EDUWIGES DEL TORO ORTEGA"/>
    <s v="7503032300825"/>
    <s v="Lubricante Sachet natural 2 ml - BANANA SHAKE"/>
    <s v="CONSUMIBLE"/>
    <s v="BANANA SHAKE"/>
    <n v="2"/>
    <n v="34.479999999999997"/>
  </r>
  <r>
    <x v="4"/>
    <s v="27/01/2026"/>
    <s v="MARIA EDUWIGES DEL TORO ORTEGA"/>
    <s v="7503050524241"/>
    <s v="Orgasmik 30ml - DUSA"/>
    <s v="CONSUMIBLE PROPIO"/>
    <s v="DUSA"/>
    <n v="1"/>
    <n v="431.03"/>
  </r>
  <r>
    <x v="4"/>
    <s v="27/01/2026"/>
    <s v="MARIA EDUWIGES DEL TORO ORTEGA"/>
    <s v="7503032300795"/>
    <s v="Sachet lubricante desensibilizador 2 ml - BANANA SHAKE"/>
    <s v="CONSUMIBLE"/>
    <s v="BANANA SHAKE"/>
    <n v="2"/>
    <n v="43.1"/>
  </r>
  <r>
    <x v="4"/>
    <s v="27/01/2026"/>
    <s v="MARIA EDUWIGES DEL TORO ORTEGA"/>
    <s v="7503020596957"/>
    <s v="Shot Shumatsu Fun Hombre - DUSA"/>
    <s v="CONSUMIBLE PROPIO"/>
    <s v="DUSA"/>
    <n v="1"/>
    <n v="172.41"/>
  </r>
  <r>
    <x v="4"/>
    <s v="28/01/2026"/>
    <s v="MARIA EDUWIGES DEL TORO ORTEGA"/>
    <s v="7503032300993"/>
    <s v="Liquid Love Pleasure 30ml - DUSA"/>
    <s v="CONSUMIBLE PROPIO"/>
    <s v="DUSA"/>
    <n v="1"/>
    <n v="301.72000000000003"/>
  </r>
  <r>
    <x v="4"/>
    <s v="28/01/2026"/>
    <s v="MARIA EDUWIGES DEL TORO ORTEGA"/>
    <s v="75082048"/>
    <s v="Miel Estimulante Hombre 18ml - SXO"/>
    <s v="CONSUMIBLE"/>
    <s v="SXO"/>
    <n v="1"/>
    <n v="301.72000000000003"/>
  </r>
  <r>
    <x v="4"/>
    <s v="29/01/2026"/>
    <s v="MARIA EDUWIGES DEL TORO ORTEGA"/>
    <s v="7503013378492"/>
    <s v="Clean Whisper 120ml - DUSA"/>
    <s v="CONSUMIBLE PROPIO"/>
    <s v="DUSA"/>
    <n v="1"/>
    <n v="301.72000000000003"/>
  </r>
  <r>
    <x v="4"/>
    <s v="29/01/2026"/>
    <s v="MARIA EDUWIGES DEL TORO ORTEGA"/>
    <s v="7503030118033"/>
    <s v="Kit vibrador + estimulante para clitoris Lau - CXO"/>
    <s v="JUGUETE PROPIO"/>
    <s v="CXO"/>
    <n v="1"/>
    <n v="1706.9"/>
  </r>
  <r>
    <x v="4"/>
    <s v="29/01/2026"/>
    <s v="MARIA EDUWIGES DEL TORO ORTEGA"/>
    <s v="7503032300993"/>
    <s v="Liquid Love Pleasure 30ml - DUSA"/>
    <s v="CONSUMIBLE PROPIO"/>
    <s v="DUSA"/>
    <n v="1"/>
    <n v="301.72000000000003"/>
  </r>
  <r>
    <x v="4"/>
    <s v="29/01/2026"/>
    <s v="MARIA EDUWIGES DEL TORO ORTEGA"/>
    <s v="7503032300856"/>
    <s v="Sachet vibrador liquido 2 ml - BANANA SHAKE"/>
    <s v="CONSUMIBLE"/>
    <s v="BANANA SHAKE"/>
    <n v="5"/>
    <n v="86.2"/>
  </r>
  <r>
    <x v="4"/>
    <s v="29/01/2026"/>
    <s v="MARIA EDUWIGES DEL TORO ORTEGA"/>
    <s v="7503013378690"/>
    <s v="Shumatsu 3 pzas - DUSA"/>
    <s v="CONSUMIBLE PROPIO"/>
    <s v="DUSA"/>
    <n v="2"/>
    <n v="1155.18"/>
  </r>
  <r>
    <x v="4"/>
    <s v="30/01/2026"/>
    <s v="GERMAN  GUZMAN AGUIRRE"/>
    <s v="7500635313863"/>
    <s v="PANTY EN ENCAJE ROJO 1386"/>
    <s v="LENCERIA"/>
    <s v="CHRISLIFERBRA"/>
    <n v="1"/>
    <n v="150.86000000000001"/>
  </r>
  <r>
    <x v="4"/>
    <s v="31/01/2026"/>
    <s v="MARIA EDUWIGES DEL TORO ORTEGA"/>
    <s v="7503043917081"/>
    <s v="Blade rosa anillo vibrador - CXO"/>
    <s v="JUGUETE PROPIO"/>
    <s v="CXO"/>
    <n v="1"/>
    <n v="81.900000000000006"/>
  </r>
  <r>
    <x v="4"/>
    <s v="31/01/2026"/>
    <s v="MARIA EDUWIGES DEL TORO ORTEGA"/>
    <s v="7503020202214"/>
    <s v="Dildo realista con ventosa y testiculos Eddy - CXO"/>
    <s v="JUGUETE PROPIO"/>
    <s v="CXO"/>
    <n v="1"/>
    <n v="948.28"/>
  </r>
  <r>
    <x v="4"/>
    <s v="31/01/2026"/>
    <s v="MARIA EDUWIGES DEL TORO ORTEGA"/>
    <s v="7503032300993"/>
    <s v="Liquid Love Pleasure 30ml - DUSA"/>
    <s v="CONSUMIBLE PROPIO"/>
    <s v="DUSA"/>
    <n v="1"/>
    <n v="301.72000000000003"/>
  </r>
  <r>
    <x v="4"/>
    <s v="31/01/2026"/>
    <s v="MARIA EDUWIGES DEL TORO ORTEGA"/>
    <s v="6959633127964"/>
    <s v="Sam Neo - SVAKOM"/>
    <s v="JUGUETE"/>
    <s v="SVAKOM"/>
    <n v="1"/>
    <n v="3017.24"/>
  </r>
  <r>
    <x v="4"/>
    <s v="31/01/2026"/>
    <s v="MARIA EDUWIGES DEL TORO ORTEGA"/>
    <s v="7503024256192"/>
    <s v="Shot Shumatsu Fun Mujer - DUSA"/>
    <s v="CONSUMIBLE PROPIO"/>
    <s v="DUSA"/>
    <n v="1"/>
    <n v="172.41"/>
  </r>
  <r>
    <x v="4"/>
    <s v="31/01/2026"/>
    <s v="MARIA EDUWIGES DEL TORO ORTEGA"/>
    <s v="7503013378690"/>
    <s v="Shumatsu 3 pzas - DUSA"/>
    <s v="CONSUMIBLE PROPIO"/>
    <s v="DUSA"/>
    <n v="2"/>
    <n v="1155.18"/>
  </r>
  <r>
    <x v="5"/>
    <s v="26/01/2026"/>
    <s v="CELINA HERMILA  M GUILLEN"/>
    <s v="7503013378492"/>
    <s v="Clean Whisper 120ml - DUSA"/>
    <s v="CONSUMIBLE PROPIO"/>
    <s v="DUSA"/>
    <n v="1"/>
    <n v="301.72000000000003"/>
  </r>
  <r>
    <x v="5"/>
    <s v="26/01/2026"/>
    <s v="CELINA HERMILA  M GUILLEN"/>
    <s v="7503032300214"/>
    <s v="Cola de Zorro Arcoiris 38cm S - CXO"/>
    <s v="JUGUETE PROPIO"/>
    <s v="CXO"/>
    <n v="1"/>
    <n v="258.62"/>
  </r>
  <r>
    <x v="5"/>
    <s v="26/01/2026"/>
    <s v="CELINA HERMILA  M GUILLEN"/>
    <s v="7502214980053"/>
    <s v="CONDON TRUST NATURAL CON 3 MAQ - PRUDENCE"/>
    <s v="CONSUMIBLE"/>
    <s v="PRUDENCE"/>
    <n v="1"/>
    <n v="77.59"/>
  </r>
  <r>
    <x v="5"/>
    <s v="26/01/2026"/>
    <s v="CELINA HERMILA  M GUILLEN"/>
    <s v="7503013378904"/>
    <s v="Dildo Mr. Hernandez - CXO"/>
    <s v="JUGUETE PROPIO"/>
    <s v="CXO"/>
    <n v="1"/>
    <n v="517.24"/>
  </r>
  <r>
    <x v="5"/>
    <s v="26/01/2026"/>
    <s v="CELINA HERMILA  M GUILLEN"/>
    <s v="7503043917579"/>
    <s v="Huevo masturbador twister - EGG"/>
    <s v="JUGUETE"/>
    <s v="EGG"/>
    <n v="1"/>
    <n v="159.47999999999999"/>
  </r>
  <r>
    <x v="5"/>
    <s v="26/01/2026"/>
    <s v="CELINA HERMILA  M GUILLEN"/>
    <s v="7503043917005"/>
    <s v="Liquid Love Clear 30ml - DUSA"/>
    <s v="CONSUMIBLE PROPIO"/>
    <s v="DUSA"/>
    <n v="1"/>
    <n v="301.72000000000003"/>
  </r>
  <r>
    <x v="5"/>
    <s v="26/01/2026"/>
    <s v="CELINA HERMILA  M GUILLEN"/>
    <s v="7503032300856"/>
    <s v="Sachet vibrador liquido 2 ml - BANANA SHAKE"/>
    <s v="CONSUMIBLE"/>
    <s v="BANANA SHAKE"/>
    <n v="5"/>
    <n v="86.2"/>
  </r>
  <r>
    <x v="5"/>
    <s v="26/01/2026"/>
    <s v="CELINA HERMILA  M GUILLEN"/>
    <s v="7503020596957"/>
    <s v="Shot Shumatsu Fun Hombre - DUSA"/>
    <s v="CONSUMIBLE PROPIO"/>
    <s v="DUSA"/>
    <n v="1"/>
    <n v="172.41"/>
  </r>
  <r>
    <x v="5"/>
    <s v="27/01/2026"/>
    <s v="GERMAN  GUZMAN AGUIRRE"/>
    <s v="7503013378645"/>
    <s v="Liquid Love Pleasure 100ml - DUSA"/>
    <s v="CONSUMIBLE PROPIO"/>
    <s v="DUSA"/>
    <n v="1"/>
    <n v="775.86"/>
  </r>
  <r>
    <x v="5"/>
    <s v="27/01/2026"/>
    <s v="GERMAN  GUZMAN AGUIRRE"/>
    <s v="6959633103494"/>
    <s v="Mora Neo multiorgasmico rosa - SVAKOM"/>
    <s v="JUGUETE"/>
    <s v="SVAKOM"/>
    <n v="1"/>
    <n v="1637.93"/>
  </r>
  <r>
    <x v="5"/>
    <s v="27/01/2026"/>
    <s v="GERMAN  GUZMAN AGUIRRE"/>
    <s v="7503013378690"/>
    <s v="Shumatsu 3 pzas - DUSA"/>
    <s v="CONSUMIBLE PROPIO"/>
    <s v="DUSA"/>
    <n v="1"/>
    <n v="577.59"/>
  </r>
  <r>
    <x v="5"/>
    <s v="28/01/2026"/>
    <s v="CELINA HERMILA  M GUILLEN"/>
    <s v="7503020112070"/>
    <s v="Bala vibradora recargable Ely – CXO"/>
    <s v="JUGUETE PROPIO"/>
    <s v="CXO"/>
    <n v="1"/>
    <n v="793.1"/>
  </r>
  <r>
    <x v="5"/>
    <s v="28/01/2026"/>
    <s v="CELINA HERMILA  M GUILLEN"/>
    <s v="FM1002"/>
    <s v="FEROMONAS DIAMANTE CONCENTRADO HOMBRE"/>
    <s v="CONSUMIBLE"/>
    <s v="DIAMANTE"/>
    <n v="1"/>
    <n v="413.79"/>
  </r>
  <r>
    <x v="5"/>
    <s v="28/01/2026"/>
    <s v="CELINA HERMILA  M GUILLEN"/>
    <s v="7508304288412"/>
    <s v="FEROMONAS EN GEL 20ML HOMBRE HOMBRE"/>
    <s v="CONSUMIBLE"/>
    <s v="DIAMANTE"/>
    <n v="1"/>
    <n v="379.31"/>
  </r>
  <r>
    <x v="5"/>
    <s v="28/01/2026"/>
    <s v="CELINA HERMILA  M GUILLEN"/>
    <s v="7503032300627"/>
    <s v="Kevin - CXO"/>
    <s v="JUGUETE PROPIO"/>
    <s v="CXO"/>
    <n v="1"/>
    <n v="775.86"/>
  </r>
  <r>
    <x v="5"/>
    <s v="28/01/2026"/>
    <s v="CELINA HERMILA  M GUILLEN"/>
    <s v="7503013378690"/>
    <s v="Shumatsu 3 pzas - DUSA"/>
    <s v="CONSUMIBLE PROPIO"/>
    <s v="DUSA"/>
    <n v="3"/>
    <n v="1732.77"/>
  </r>
  <r>
    <x v="5"/>
    <s v="29/01/2026"/>
    <s v="GERMAN  GUZMAN AGUIRRE"/>
    <s v="7503030215199"/>
    <s v="Arnes para doble penetracion - CXO"/>
    <s v="JUGUETE PROPIO"/>
    <s v="CXO"/>
    <n v="1"/>
    <n v="1422.41"/>
  </r>
  <r>
    <x v="5"/>
    <s v="29/01/2026"/>
    <s v="GERMAN  GUZMAN AGUIRRE"/>
    <s v="7503020596513"/>
    <s v="Liquid Love Natural 20ml - DUSA"/>
    <s v="CONSUMIBLE PROPIO"/>
    <s v="DUSA"/>
    <n v="1"/>
    <n v="258.62"/>
  </r>
  <r>
    <x v="5"/>
    <s v="29/01/2026"/>
    <s v="GERMAN  GUZMAN AGUIRRE"/>
    <s v="7503013378690"/>
    <s v="Shumatsu 3 pzas - DUSA"/>
    <s v="CONSUMIBLE PROPIO"/>
    <s v="DUSA"/>
    <n v="1"/>
    <n v="577.59"/>
  </r>
  <r>
    <x v="5"/>
    <s v="30/01/2026"/>
    <s v="CELINA HERMILA  M GUILLEN"/>
    <s v="7503043917081"/>
    <s v="Blade rosa anillo vibrador - CXO"/>
    <s v="JUGUETE PROPIO"/>
    <s v="CXO"/>
    <n v="1"/>
    <n v="81.900000000000006"/>
  </r>
  <r>
    <x v="5"/>
    <s v="30/01/2026"/>
    <s v="CELINA HERMILA  M GUILLEN"/>
    <s v="7503013378492"/>
    <s v="Clean Whisper 120ml - DUSA"/>
    <s v="CONSUMIBLE PROPIO"/>
    <s v="DUSA"/>
    <n v="1"/>
    <n v="301.72000000000003"/>
  </r>
  <r>
    <x v="5"/>
    <s v="30/01/2026"/>
    <s v="CELINA HERMILA  M GUILLEN"/>
    <s v="7503020596056"/>
    <s v="He Plus - DUSA"/>
    <s v="CONSUMIBLE PROPIO"/>
    <s v="DUSA"/>
    <n v="1"/>
    <n v="431.03"/>
  </r>
  <r>
    <x v="5"/>
    <s v="30/01/2026"/>
    <s v="CELINA HERMILA  M GUILLEN"/>
    <s v="7503032300825"/>
    <s v="Lubricante Sachet natural 2 ml - BANANA SHAKE"/>
    <s v="CONSUMIBLE"/>
    <s v="BANANA SHAKE"/>
    <n v="5"/>
    <n v="86.2"/>
  </r>
  <r>
    <x v="5"/>
    <s v="30/01/2026"/>
    <s v="CELINA HERMILA  M GUILLEN"/>
    <s v="7503026484845"/>
    <s v="Oral Sex Erotic Nut 5g - Feel Love"/>
    <s v="CONSUMIBLE"/>
    <s v="DIAMANTE"/>
    <n v="1"/>
    <n v="51.72"/>
  </r>
  <r>
    <x v="5"/>
    <s v="30/01/2026"/>
    <s v="CELINA HERMILA  M GUILLEN"/>
    <s v="7503030128202"/>
    <s v="Plug Anal con 10 modos de vibracion y rotacion 360 Beto - CXO"/>
    <s v="JUGUETE PROPIO"/>
    <s v="CXO"/>
    <n v="1"/>
    <n v="1577.59"/>
  </r>
  <r>
    <x v="5"/>
    <s v="30/01/2026"/>
    <s v="CELINA HERMILA  M GUILLEN"/>
    <s v="7503032300795"/>
    <s v="Sachet lubricante desensibilizador 2 ml - BANANA SHAKE"/>
    <s v="CONSUMIBLE"/>
    <s v="BANANA SHAKE"/>
    <n v="4"/>
    <n v="86.2"/>
  </r>
  <r>
    <x v="5"/>
    <s v="30/01/2026"/>
    <s v="CELINA HERMILA  M GUILLEN"/>
    <s v="7503020596049"/>
    <s v="Sensicool - DUSA"/>
    <s v="CONSUMIBLE PROPIO"/>
    <s v="DUSA"/>
    <n v="1"/>
    <n v="431.03"/>
  </r>
  <r>
    <x v="5"/>
    <s v="30/01/2026"/>
    <s v="CELINA HERMILA  M GUILLEN"/>
    <s v="7503013378690"/>
    <s v="Shumatsu 3 pzas - DUSA"/>
    <s v="CONSUMIBLE PROPIO"/>
    <s v="DUSA"/>
    <n v="1"/>
    <n v="577.59"/>
  </r>
  <r>
    <x v="5"/>
    <s v="31/01/2026"/>
    <s v="CELINA HERMILA  M GUILLEN"/>
    <s v="7503032300795"/>
    <s v="Sachet lubricante desensibilizador 2 ml - BANANA SHAKE"/>
    <s v="CONSUMIBLE"/>
    <s v="BANANA SHAKE"/>
    <n v="5"/>
    <n v="107.75"/>
  </r>
  <r>
    <x v="5"/>
    <s v="31/01/2026"/>
    <s v="CELINA HERMILA  M GUILLEN"/>
    <s v="7503032300856"/>
    <s v="Sachet vibrador liquido 2 ml - BANANA SHAKE"/>
    <s v="CONSUMIBLE"/>
    <s v="BANANA SHAKE"/>
    <n v="4"/>
    <n v="68.959999999999994"/>
  </r>
  <r>
    <x v="5"/>
    <s v="31/01/2026"/>
    <s v="CELINA HERMILA  M GUILLEN"/>
    <s v="7503024256192"/>
    <s v="Shot Shumatsu Fun Mujer - DUSA"/>
    <s v="CONSUMIBLE PROPIO"/>
    <s v="DUSA"/>
    <n v="1"/>
    <n v="172.41"/>
  </r>
  <r>
    <x v="5"/>
    <s v="31/01/2026"/>
    <s v="CELINA HERMILA  M GUILLEN"/>
    <s v="7503013378690"/>
    <s v="Shumatsu 3 pzas - DUSA"/>
    <s v="CONSUMIBLE PROPIO"/>
    <s v="DUSA"/>
    <n v="1"/>
    <n v="577.59"/>
  </r>
  <r>
    <x v="5"/>
    <s v="31/01/2026"/>
    <s v="CELINA HERMILA  M GUILLEN"/>
    <s v="7503020596063"/>
    <s v="Stallion Regenerador - DUSA"/>
    <s v="CONSUMIBLE PROPIO"/>
    <s v="DUSA"/>
    <n v="1"/>
    <n v="1293.0999999999999"/>
  </r>
  <r>
    <x v="6"/>
    <s v="26/01/2026"/>
    <s v="NINOSCHKA VILLAREAL GONZALEZ"/>
    <s v="848518031129"/>
    <s v="AF838 MS THE CURVED DICKTATOR DILDO"/>
    <s v="JUGUETE"/>
    <s v="SENSUALITY TOYS"/>
    <n v="1"/>
    <n v="3672.41"/>
  </r>
  <r>
    <x v="6"/>
    <s v="26/01/2026"/>
    <s v="NINOSCHKA VILLAREAL GONZALEZ"/>
    <s v="7503013378850"/>
    <s v="Amy fucsia - CXO"/>
    <s v="JUGUETE PROPIO"/>
    <s v="CXO"/>
    <n v="1"/>
    <n v="431.03"/>
  </r>
  <r>
    <x v="6"/>
    <s v="26/01/2026"/>
    <s v="NINOSCHKA VILLAREAL GONZALEZ"/>
    <s v="7503013378102"/>
    <s v="Anastasia Gema de Colores M - CXO"/>
    <s v="JUGUETE PROPIO"/>
    <s v="CXO"/>
    <n v="1"/>
    <n v="456.9"/>
  </r>
  <r>
    <x v="6"/>
    <s v="26/01/2026"/>
    <s v="NINOSCHKA VILLAREAL GONZALEZ"/>
    <s v="844477011332"/>
    <s v="PLEASURE BALSS - ONE NIGHT STAND"/>
    <s v="JUGUETE"/>
    <s v="DIAMANTE"/>
    <n v="1"/>
    <n v="258.62"/>
  </r>
  <r>
    <x v="6"/>
    <s v="26/01/2026"/>
    <s v="NINOSCHKA VILLAREAL GONZALEZ"/>
    <s v="7503020596957"/>
    <s v="Shot Shumatsu Fun Hombre - DUSA"/>
    <s v="CONSUMIBLE PROPIO"/>
    <s v="DUSA"/>
    <n v="1"/>
    <n v="172.41"/>
  </r>
  <r>
    <x v="6"/>
    <s v="26/01/2026"/>
    <s v="NINOSCHKA VILLAREAL GONZALEZ"/>
    <s v="7503024256192"/>
    <s v="Shot Shumatsu Fun Mujer - DUSA"/>
    <s v="CONSUMIBLE PROPIO"/>
    <s v="DUSA"/>
    <n v="1"/>
    <n v="172.41"/>
  </r>
  <r>
    <x v="6"/>
    <s v="27/01/2026"/>
    <s v="ANGEL DANILO RODRIGUEZ LOPEZ"/>
    <s v="7503043917548"/>
    <s v="Huevo masturbador silky - EGG"/>
    <s v="JUGUETE"/>
    <s v="EGG"/>
    <n v="1"/>
    <n v="159.47999999999999"/>
  </r>
  <r>
    <x v="6"/>
    <s v="27/01/2026"/>
    <s v="ANGEL DANILO RODRIGUEZ LOPEZ"/>
    <s v="7503050524241"/>
    <s v="Orgasmik 30ml - DUSA"/>
    <s v="CONSUMIBLE PROPIO"/>
    <s v="DUSA"/>
    <n v="1"/>
    <n v="431.03"/>
  </r>
  <r>
    <x v="6"/>
    <s v="27/01/2026"/>
    <s v="ANGEL DANILO RODRIGUEZ LOPEZ"/>
    <s v="784656900647"/>
    <s v="silicon explorers - sinclair institute"/>
    <s v="JUGUETE"/>
    <s v="DIAMANTE"/>
    <n v="1"/>
    <n v="948.28"/>
  </r>
  <r>
    <x v="6"/>
    <s v="29/01/2026"/>
    <s v="NINOSCHKA VILLAREAL GONZALEZ"/>
    <s v="7503013378102"/>
    <s v="Anastasia Gema de Colores M - CXO"/>
    <s v="JUGUETE PROPIO"/>
    <s v="CXO"/>
    <n v="1"/>
    <n v="456.9"/>
  </r>
  <r>
    <x v="6"/>
    <s v="29/01/2026"/>
    <s v="NINOSCHKA VILLAREAL GONZALEZ"/>
    <s v="603912320213"/>
    <s v="FETISH FANTASY SERIES LIMITED EDITIONRUBBER PADDLE BLACK"/>
    <s v="JUGUETE"/>
    <s v="PIPEDREAM"/>
    <n v="1"/>
    <n v="275.86"/>
  </r>
  <r>
    <x v="6"/>
    <s v="29/01/2026"/>
    <s v="NINOSCHKA VILLAREAL GONZALEZ"/>
    <s v="7503013378010"/>
    <s v="Rigidex 2 pzas - DUSA"/>
    <s v="CONSUMIBLE PROPIO"/>
    <s v="DUSA"/>
    <n v="1"/>
    <n v="431.03"/>
  </r>
  <r>
    <x v="6"/>
    <s v="29/01/2026"/>
    <s v="NINOSCHKA VILLAREAL GONZALEZ"/>
    <s v="7503032300443"/>
    <s v="Zoe bala vibradora RETAIL - CXO"/>
    <s v="JUGUETE PROPIO"/>
    <s v="CXO"/>
    <n v="1"/>
    <n v="155.16999999999999"/>
  </r>
  <r>
    <x v="6"/>
    <s v="30/01/2026"/>
    <s v="NINOSCHKA VILLAREAL GONZALEZ"/>
    <s v="7503024256154"/>
    <s v="Lubricante Body Surf Termico Cereza DUSA 60ml"/>
    <s v="CONSUMIBLE PROPIO"/>
    <s v="DUSA"/>
    <n v="1"/>
    <n v="387.93"/>
  </r>
  <r>
    <x v="6"/>
    <s v="30/01/2026"/>
    <s v="NINOSCHKA VILLAREAL GONZALEZ"/>
    <s v="7503013378799"/>
    <s v="Lubricante Body Surf Termico Citricos DUSA 60ml"/>
    <s v="CONSUMIBLE PROPIO"/>
    <s v="DUSA"/>
    <n v="1"/>
    <n v="387.93"/>
  </r>
  <r>
    <x v="6"/>
    <s v="30/01/2026"/>
    <s v="NINOSCHKA VILLAREAL GONZALEZ"/>
    <s v="7503020596957"/>
    <s v="Shot Shumatsu Fun Hombre - DUSA"/>
    <s v="CONSUMIBLE PROPIO"/>
    <s v="DUSA"/>
    <n v="1"/>
    <n v="172.41"/>
  </r>
  <r>
    <x v="6"/>
    <s v="30/01/2026"/>
    <s v="NINOSCHKA VILLAREAL GONZALEZ"/>
    <s v="7503032300443"/>
    <s v="Zoe bala vibradora RETAIL - CXO"/>
    <s v="JUGUETE PROPIO"/>
    <s v="CXO"/>
    <n v="1"/>
    <n v="155.16999999999999"/>
  </r>
  <r>
    <x v="6"/>
    <s v="31/01/2026"/>
    <s v="NINOSCHKA VILLAREAL GONZALEZ"/>
    <s v="7503032300474"/>
    <s v="Cola de Zorro 45cm blanco S - CXO"/>
    <s v="JUGUETE PROPIO"/>
    <s v="CXO"/>
    <n v="1"/>
    <n v="258.62"/>
  </r>
  <r>
    <x v="6"/>
    <s v="31/01/2026"/>
    <s v="NINOSCHKA VILLAREAL GONZALEZ"/>
    <s v="7503043917005"/>
    <s v="Liquid Love Clear 30ml - DUSA"/>
    <s v="CONSUMIBLE PROPIO"/>
    <s v="DUSA"/>
    <n v="2"/>
    <n v="603.44000000000005"/>
  </r>
  <r>
    <x v="6"/>
    <s v="31/01/2026"/>
    <s v="NINOSCHKA VILLAREAL GONZALEZ"/>
    <s v="7503013378690"/>
    <s v="Shumatsu 3 pzas - DUSA"/>
    <s v="CONSUMIBLE PROPIO"/>
    <s v="DUSA"/>
    <n v="1"/>
    <n v="577.59"/>
  </r>
  <r>
    <x v="6"/>
    <s v="31/01/2026"/>
    <s v="NINOSCHKA VILLAREAL GONZALEZ"/>
    <s v="66097C"/>
    <s v="Tanga rosa fluorecente Camila M"/>
    <s v="LENCERIA"/>
    <s v="OLA MOU"/>
    <n v="1"/>
    <n v="133.62"/>
  </r>
  <r>
    <x v="7"/>
    <s v="26/01/2026"/>
    <s v="Rodolfo  Serrano Amezcua"/>
    <s v="7503032300993"/>
    <s v="Liquid Love Pleasure 30ml - DUSA"/>
    <s v="CONSUMIBLE PROPIO"/>
    <s v="DUSA"/>
    <n v="1"/>
    <n v="301.72000000000003"/>
  </r>
  <r>
    <x v="7"/>
    <s v="26/01/2026"/>
    <s v="Rodolfo  Serrano Amezcua"/>
    <s v="SE020"/>
    <s v="Masturbador 2 en 1 Vagina y Boca - CXO"/>
    <s v="JUGUETE PROPIO"/>
    <s v="CXO"/>
    <n v="1"/>
    <n v="1293.0999999999999"/>
  </r>
  <r>
    <x v="7"/>
    <s v="26/01/2026"/>
    <s v="Rodolfo  Serrano Amezcua"/>
    <s v="7503032300856"/>
    <s v="Sachet vibrador liquido 2 ml - BANANA SHAKE"/>
    <s v="CONSUMIBLE"/>
    <s v="BANANA SHAKE"/>
    <n v="6"/>
    <n v="103.44"/>
  </r>
  <r>
    <x v="7"/>
    <s v="27/01/2026"/>
    <s v="Rodolfo  Serrano Amezcua"/>
    <s v="7503032300993"/>
    <s v="Liquid Love Pleasure 30ml - DUSA"/>
    <s v="CONSUMIBLE PROPIO"/>
    <s v="DUSA"/>
    <n v="1"/>
    <n v="301.72000000000003"/>
  </r>
  <r>
    <x v="7"/>
    <s v="27/01/2026"/>
    <s v="Rodolfo  Serrano Amezcua"/>
    <s v="7503032300856"/>
    <s v="Sachet vibrador liquido 2 ml - BANANA SHAKE"/>
    <s v="CONSUMIBLE"/>
    <s v="BANANA SHAKE"/>
    <n v="1"/>
    <n v="17.239999999999998"/>
  </r>
  <r>
    <x v="7"/>
    <s v="27/01/2026"/>
    <s v="Rodolfo  Serrano Amezcua"/>
    <s v="7503020596957"/>
    <s v="Shot Shumatsu Fun Hombre - DUSA"/>
    <s v="CONSUMIBLE PROPIO"/>
    <s v="DUSA"/>
    <n v="1"/>
    <n v="172.41"/>
  </r>
  <r>
    <x v="7"/>
    <s v="27/01/2026"/>
    <s v="Rodolfo  Serrano Amezcua"/>
    <s v="7503032300443"/>
    <s v="Zoe bala vibradora RETAIL - CXO"/>
    <s v="JUGUETE PROPIO"/>
    <s v="CXO"/>
    <n v="1"/>
    <n v="155.16999999999999"/>
  </r>
  <r>
    <x v="7"/>
    <s v="28/01/2026"/>
    <s v="Rodolfo  Serrano Amezcua"/>
    <s v="7503043917081"/>
    <s v="Blade rosa anillo vibrador - CXO"/>
    <s v="JUGUETE PROPIO"/>
    <s v="CXO"/>
    <n v="1"/>
    <n v="81.900000000000006"/>
  </r>
  <r>
    <x v="7"/>
    <s v="28/01/2026"/>
    <s v="Rodolfo  Serrano Amezcua"/>
    <s v="7503032300993"/>
    <s v="Liquid Love Pleasure 30ml - DUSA"/>
    <s v="CONSUMIBLE PROPIO"/>
    <s v="DUSA"/>
    <n v="1"/>
    <n v="301.72000000000003"/>
  </r>
  <r>
    <x v="7"/>
    <s v="29/01/2026"/>
    <s v="Rodolfo  Serrano Amezcua"/>
    <s v="7503030211021"/>
    <s v="Anillo desechable para pene Donut - CXO"/>
    <s v="JUGUETE PROPIO"/>
    <s v="CXO"/>
    <n v="3"/>
    <n v="103.44999999999999"/>
  </r>
  <r>
    <x v="7"/>
    <s v="29/01/2026"/>
    <s v="Rodolfo  Serrano Amezcua"/>
    <s v="7503043917081"/>
    <s v="Blade rosa anillo vibrador - CXO"/>
    <s v="JUGUETE PROPIO"/>
    <s v="CXO"/>
    <n v="1"/>
    <n v="81.900000000000006"/>
  </r>
  <r>
    <x v="7"/>
    <s v="29/01/2026"/>
    <s v="Rodolfo  Serrano Amezcua"/>
    <s v="7503050524340"/>
    <s v="Ducha Felix S - CXO"/>
    <s v="JUGUETE PROPIO"/>
    <s v="CXO"/>
    <n v="1"/>
    <n v="612.07000000000005"/>
  </r>
  <r>
    <x v="7"/>
    <s v="29/01/2026"/>
    <s v="Rodolfo  Serrano Amezcua"/>
    <s v="7503043917005"/>
    <s v="Liquid Love Clear 30ml - DUSA"/>
    <s v="CONSUMIBLE PROPIO"/>
    <s v="DUSA"/>
    <n v="1"/>
    <n v="301.72000000000003"/>
  </r>
  <r>
    <x v="7"/>
    <s v="29/01/2026"/>
    <s v="Rodolfo  Serrano Amezcua"/>
    <s v="7503013378980"/>
    <s v="Lubricante Body Surf Termico Chicle DUSA 60ml"/>
    <s v="CONSUMIBLE PROPIO"/>
    <s v="DUSA"/>
    <n v="1"/>
    <n v="387.93"/>
  </r>
  <r>
    <x v="7"/>
    <s v="29/01/2026"/>
    <s v="Rodolfo  Serrano Amezcua"/>
    <s v="HRZH27262"/>
    <s v="Multiorgásmico Estimulador de Clítoris y Anal con 12 modos de Vibración  Carla- CXO"/>
    <s v="JUGUETE PROPIO"/>
    <s v="CXO"/>
    <n v="1"/>
    <n v="2543.1"/>
  </r>
  <r>
    <x v="7"/>
    <s v="29/01/2026"/>
    <s v="Rodolfo  Serrano Amezcua"/>
    <s v="7503032300795"/>
    <s v="Sachet lubricante desensibilizador 2 ml - BANANA SHAKE"/>
    <s v="CONSUMIBLE"/>
    <s v="BANANA SHAKE"/>
    <n v="5"/>
    <n v="107.75"/>
  </r>
  <r>
    <x v="7"/>
    <s v="29/01/2026"/>
    <s v="Rodolfo  Serrano Amezcua"/>
    <s v="7503020596957"/>
    <s v="Shot Shumatsu Fun Hombre - DUSA"/>
    <s v="CONSUMIBLE PROPIO"/>
    <s v="DUSA"/>
    <n v="1"/>
    <n v="172.41"/>
  </r>
  <r>
    <x v="7"/>
    <s v="29/01/2026"/>
    <s v="Rodolfo  Serrano Amezcua"/>
    <s v="7503024256192"/>
    <s v="Shot Shumatsu Fun Mujer - DUSA"/>
    <s v="CONSUMIBLE PROPIO"/>
    <s v="DUSA"/>
    <n v="1"/>
    <n v="172.41"/>
  </r>
  <r>
    <x v="7"/>
    <s v="29/01/2026"/>
    <s v="Rodolfo  Serrano Amezcua"/>
    <s v="7503043917593"/>
    <s v="Vibrador Babo"/>
    <s v="JUGUETE PROPIO"/>
    <s v="CXO"/>
    <n v="1"/>
    <n v="258.62"/>
  </r>
  <r>
    <x v="7"/>
    <s v="29/01/2026"/>
    <s v="Rodolfo  Serrano Amezcua"/>
    <s v="679359000018"/>
    <s v="Xtreme 68 ml - BODY ACTION"/>
    <s v="CONSUMIBLE"/>
    <s v="BODY ACTION"/>
    <n v="1"/>
    <n v="775.86"/>
  </r>
  <r>
    <x v="7"/>
    <s v="30/01/2026"/>
    <s v="Rodolfo  Serrano Amezcua"/>
    <s v="7503043917081"/>
    <s v="Blade rosa anillo vibrador - CXO"/>
    <s v="JUGUETE PROPIO"/>
    <s v="CXO"/>
    <n v="2"/>
    <n v="163.80000000000001"/>
  </r>
  <r>
    <x v="7"/>
    <s v="30/01/2026"/>
    <s v="Rodolfo  Serrano Amezcua"/>
    <s v="7503032300993"/>
    <s v="Liquid Love Pleasure 30ml - DUSA"/>
    <s v="CONSUMIBLE PROPIO"/>
    <s v="DUSA"/>
    <n v="1"/>
    <n v="301.72000000000003"/>
  </r>
  <r>
    <x v="7"/>
    <s v="30/01/2026"/>
    <s v="Rodolfo  Serrano Amezcua"/>
    <s v="7503013378799"/>
    <s v="Lubricante Body Surf Termico Citricos DUSA 60ml"/>
    <s v="CONSUMIBLE PROPIO"/>
    <s v="DUSA"/>
    <n v="1"/>
    <n v="387.93"/>
  </r>
  <r>
    <x v="7"/>
    <s v="30/01/2026"/>
    <s v="Rodolfo  Serrano Amezcua"/>
    <s v="7503020596957"/>
    <s v="Shot Shumatsu Fun Hombre - DUSA"/>
    <s v="CONSUMIBLE PROPIO"/>
    <s v="DUSA"/>
    <n v="1"/>
    <n v="172.41"/>
  </r>
  <r>
    <x v="7"/>
    <s v="31/01/2026"/>
    <s v="Rodolfo  Serrano Amezcua"/>
    <s v="7508304288931"/>
    <s v="Aceite de Almendras 130ml ILUSION - DIAMANTE"/>
    <s v="CONSUMIBLE"/>
    <s v="DIAMANTE"/>
    <n v="1"/>
    <n v="448.28"/>
  </r>
  <r>
    <x v="7"/>
    <s v="31/01/2026"/>
    <s v="Rodolfo  Serrano Amezcua"/>
    <s v="7503043917081"/>
    <s v="Blade rosa anillo vibrador - CXO"/>
    <s v="JUGUETE PROPIO"/>
    <s v="CXO"/>
    <n v="1"/>
    <n v="81.900000000000006"/>
  </r>
  <r>
    <x v="7"/>
    <s v="31/01/2026"/>
    <s v="Rodolfo  Serrano Amezcua"/>
    <s v="7503032300498"/>
    <s v="Cola de Zorro 45cm cafe M - CXO"/>
    <s v="JUGUETE PROPIO"/>
    <s v="CXO"/>
    <n v="1"/>
    <n v="301.72000000000003"/>
  </r>
  <r>
    <x v="7"/>
    <s v="31/01/2026"/>
    <s v="Rodolfo  Serrano Amezcua"/>
    <s v="7503032300993"/>
    <s v="Liquid Love Pleasure 30ml - DUSA"/>
    <s v="CONSUMIBLE PROPIO"/>
    <s v="DUSA"/>
    <n v="2"/>
    <n v="603.44000000000005"/>
  </r>
  <r>
    <x v="7"/>
    <s v="31/01/2026"/>
    <s v="Rodolfo  Serrano Amezcua"/>
    <s v="7503032300825"/>
    <s v="Lubricante Sachet natural 2 ml - BANANA SHAKE"/>
    <s v="CONSUMIBLE"/>
    <s v="BANANA SHAKE"/>
    <n v="1"/>
    <n v="17.239999999999998"/>
  </r>
  <r>
    <x v="7"/>
    <s v="31/01/2026"/>
    <s v="Rodolfo  Serrano Amezcua"/>
    <s v="6959633146972"/>
    <s v="Masturbador Hedy X Experience – SVAKOM"/>
    <s v="JUGUETE"/>
    <s v="SVAKOM"/>
    <n v="1"/>
    <n v="181.03"/>
  </r>
  <r>
    <x v="7"/>
    <s v="31/01/2026"/>
    <s v="Rodolfo  Serrano Amezcua"/>
    <s v="7503020596957"/>
    <s v="Shot Shumatsu Fun Hombre - DUSA"/>
    <s v="CONSUMIBLE PROPIO"/>
    <s v="DUSA"/>
    <n v="3"/>
    <n v="517.23"/>
  </r>
  <r>
    <x v="7"/>
    <s v="31/01/2026"/>
    <s v="Rodolfo  Serrano Amezcua"/>
    <s v="7503013378256"/>
    <s v="VIBRADOR MONA MICROFONO"/>
    <s v="JUGUETE PROPIO"/>
    <s v="CXO"/>
    <n v="1"/>
    <n v="448.28"/>
  </r>
  <r>
    <x v="7"/>
    <s v="31/01/2026"/>
    <s v="Rodolfo  Serrano Amezcua"/>
    <s v="7503032300443"/>
    <s v="Zoe bala vibradora RETAIL - CXO"/>
    <s v="JUGUETE PROPIO"/>
    <s v="CXO"/>
    <n v="1"/>
    <n v="155.16999999999999"/>
  </r>
  <r>
    <x v="8"/>
    <s v="26/01/2026"/>
    <s v="EDGAR MOISES A NAVARRO"/>
    <s v="6959633166963"/>
    <s v="Ella Neo rojo- SVAKOM"/>
    <s v="JUGUETE"/>
    <s v="SVAKOM"/>
    <n v="1"/>
    <n v="3017.24"/>
  </r>
  <r>
    <x v="8"/>
    <s v="26/01/2026"/>
    <s v="EDGAR MOISES A NAVARRO"/>
    <s v="7503030103028"/>
    <s v="Huevito vibrador con control a distancia Daniela - CXO"/>
    <s v="JUGUETE PROPIO"/>
    <s v="CXO"/>
    <n v="1"/>
    <n v="1500"/>
  </r>
  <r>
    <x v="8"/>
    <s v="26/01/2026"/>
    <s v="EDGAR MOISES A NAVARRO"/>
    <s v="7503032300993"/>
    <s v="Liquid Love Pleasure 30ml - DUSA"/>
    <s v="CONSUMIBLE PROPIO"/>
    <s v="DUSA"/>
    <n v="1"/>
    <n v="301.72000000000003"/>
  </r>
  <r>
    <x v="8"/>
    <s v="26/01/2026"/>
    <s v="EDGAR MOISES A NAVARRO"/>
    <s v="7503013378645"/>
    <s v="Liquid Love Pleasure 100ml - DUSA"/>
    <s v="CONSUMIBLE PROPIO"/>
    <s v="DUSA"/>
    <n v="1"/>
    <n v="775.86"/>
  </r>
  <r>
    <x v="8"/>
    <s v="26/01/2026"/>
    <s v="EDGAR MOISES A NAVARRO"/>
    <s v="7503013378010"/>
    <s v="Rigidex 2 pzas - DUSA"/>
    <s v="CONSUMIBLE PROPIO"/>
    <s v="DUSA"/>
    <n v="20"/>
    <n v="8620.69"/>
  </r>
  <r>
    <x v="8"/>
    <s v="27/01/2026"/>
    <s v="EDGAR MOISES A NAVARRO"/>
    <s v="7503020111072"/>
    <s v="Anillo vibrador recargable con textura negra Hank - CXO"/>
    <s v="JUGUETE PROPIO"/>
    <s v="CXO"/>
    <n v="1"/>
    <n v="1267.24"/>
  </r>
  <r>
    <x v="8"/>
    <s v="27/01/2026"/>
    <s v="EDGAR MOISES A NAVARRO"/>
    <s v="7503024256154"/>
    <s v="Lubricante Body Surf Termico Cereza DUSA 60ml"/>
    <s v="CONSUMIBLE PROPIO"/>
    <s v="DUSA"/>
    <n v="1"/>
    <n v="387.93"/>
  </r>
  <r>
    <x v="8"/>
    <s v="27/01/2026"/>
    <s v="EDGAR MOISES A NAVARRO"/>
    <s v="844477014166"/>
    <s v="Power Couple - EVOLVED"/>
    <s v="JUGUETE"/>
    <s v="ADAM &amp; EVE"/>
    <n v="1"/>
    <n v="1306.03"/>
  </r>
  <r>
    <x v="8"/>
    <s v="27/01/2026"/>
    <s v="EDGAR MOISES A NAVARRO"/>
    <s v="7503020596957"/>
    <s v="Shot Shumatsu Fun Hombre - DUSA"/>
    <s v="CONSUMIBLE PROPIO"/>
    <s v="DUSA"/>
    <n v="1"/>
    <n v="172.41"/>
  </r>
  <r>
    <x v="8"/>
    <s v="27/01/2026"/>
    <s v="EDGAR MOISES A NAVARRO"/>
    <s v="7503024256192"/>
    <s v="Shot Shumatsu Fun Mujer - DUSA"/>
    <s v="CONSUMIBLE PROPIO"/>
    <s v="DUSA"/>
    <n v="1"/>
    <n v="172.41"/>
  </r>
  <r>
    <x v="8"/>
    <s v="27/01/2026"/>
    <s v="EDGAR MOISES A NAVARRO"/>
    <s v="RAICO03201"/>
    <s v="Tonico detox &amp; crecimiento tratamiento capilar 80 ml - RAICES CO"/>
    <s v="SKINCARE"/>
    <s v="RAICES CO"/>
    <n v="1"/>
    <n v="103.45"/>
  </r>
  <r>
    <x v="8"/>
    <s v="29/01/2026"/>
    <s v="EDGAR MOISES A NAVARRO"/>
    <s v="FM1002"/>
    <s v="FEROMONAS DIAMANTE CONCENTRADO HOMBRE"/>
    <s v="CONSUMIBLE"/>
    <s v="DIAMANTE"/>
    <n v="2"/>
    <n v="827.59"/>
  </r>
  <r>
    <x v="8"/>
    <s v="29/01/2026"/>
    <s v="EDGAR MOISES A NAVARRO"/>
    <s v="7503023462242"/>
    <s v="Lubricante Masaje Termico Comestible Uva Dulce FEEL LOVE 4 en 1 60ml"/>
    <s v="LUBRICANTE"/>
    <s v="FEEL LOVE"/>
    <n v="1"/>
    <n v="344.83"/>
  </r>
  <r>
    <x v="8"/>
    <s v="29/01/2026"/>
    <s v="EDGAR MOISES A NAVARRO"/>
    <s v="7503013378690"/>
    <s v="Shumatsu 3 pzas - DUSA"/>
    <s v="CONSUMIBLE PROPIO"/>
    <s v="DUSA"/>
    <n v="1"/>
    <n v="577.59"/>
  </r>
  <r>
    <x v="8"/>
    <s v="30/01/2026"/>
    <s v="EDGAR MOISES A NAVARRO"/>
    <s v="7503043917081"/>
    <s v="Blade rosa anillo vibrador - CXO"/>
    <s v="JUGUETE PROPIO"/>
    <s v="CXO"/>
    <n v="1"/>
    <n v="81.900000000000006"/>
  </r>
  <r>
    <x v="8"/>
    <s v="30/01/2026"/>
    <s v="EDGAR MOISES A NAVARRO"/>
    <s v="7503032300993"/>
    <s v="Liquid Love Pleasure 30ml - DUSA"/>
    <s v="CONSUMIBLE PROPIO"/>
    <s v="DUSA"/>
    <n v="1"/>
    <n v="301.72000000000003"/>
  </r>
  <r>
    <x v="8"/>
    <s v="30/01/2026"/>
    <s v="EDGAR MOISES A NAVARRO"/>
    <s v="7503050524241"/>
    <s v="Orgasmik 30ml - DUSA"/>
    <s v="CONSUMIBLE PROPIO"/>
    <s v="DUSA"/>
    <n v="1"/>
    <n v="431.03"/>
  </r>
  <r>
    <x v="8"/>
    <s v="30/01/2026"/>
    <s v="EDGAR MOISES A NAVARRO"/>
    <s v="7503020596957"/>
    <s v="Shot Shumatsu Fun Hombre - DUSA"/>
    <s v="CONSUMIBLE PROPIO"/>
    <s v="DUSA"/>
    <n v="1"/>
    <n v="172.41"/>
  </r>
  <r>
    <x v="8"/>
    <s v="30/01/2026"/>
    <s v="EDGAR MOISES A NAVARRO"/>
    <s v="7503024256192"/>
    <s v="Shot Shumatsu Fun Mujer - DUSA"/>
    <s v="CONSUMIBLE PROPIO"/>
    <s v="DUSA"/>
    <n v="1"/>
    <n v="172.41"/>
  </r>
  <r>
    <x v="8"/>
    <s v="30/01/2026"/>
    <s v="EDGAR MOISES A NAVARRO"/>
    <s v="7503013378690"/>
    <s v="Shumatsu 3 pzas - DUSA"/>
    <s v="CONSUMIBLE PROPIO"/>
    <s v="DUSA"/>
    <n v="3"/>
    <n v="1732.77"/>
  </r>
  <r>
    <x v="8"/>
    <s v="30/01/2026"/>
    <s v="EDGAR MOISES A NAVARRO"/>
    <s v="7503032300443"/>
    <s v="Zoe bala vibradora RETAIL - CXO"/>
    <s v="JUGUETE PROPIO"/>
    <s v="CXO"/>
    <n v="1"/>
    <n v="155.16999999999999"/>
  </r>
  <r>
    <x v="8"/>
    <s v="31/01/2026"/>
    <s v="EDGAR MOISES A NAVARRO"/>
    <s v="7503020111072"/>
    <s v="Anillo vibrador recargable con textura negra Hank - CXO"/>
    <s v="JUGUETE PROPIO"/>
    <s v="CXO"/>
    <n v="1"/>
    <n v="1267.24"/>
  </r>
  <r>
    <x v="8"/>
    <s v="31/01/2026"/>
    <s v="EDGAR MOISES A NAVARRO"/>
    <s v="7502214982576"/>
    <s v="CONDON PRUDENCE SABOR Y AROMA EXTRA FUERTE"/>
    <s v="CONSUMIBLE"/>
    <s v="PRUDENCE"/>
    <n v="1"/>
    <n v="77.59"/>
  </r>
  <r>
    <x v="8"/>
    <s v="31/01/2026"/>
    <s v="EDGAR MOISES A NAVARRO"/>
    <s v="7503030220043"/>
    <s v="Dados para juegos 2 piezas - CXO"/>
    <s v="JUGUETE PROPIO"/>
    <s v="CXO"/>
    <n v="1"/>
    <n v="112.07"/>
  </r>
  <r>
    <x v="8"/>
    <s v="31/01/2026"/>
    <s v="EDGAR MOISES A NAVARRO"/>
    <s v="75037628"/>
    <s v="Dulces Garganta Profunda 2 piezas Sabor Fresa - SXO"/>
    <s v="CONSUMIBLE"/>
    <s v="SXO"/>
    <n v="1"/>
    <n v="120.69"/>
  </r>
  <r>
    <x v="8"/>
    <s v="31/01/2026"/>
    <s v="EDGAR MOISES A NAVARRO"/>
    <s v="7503050524265"/>
    <s v="He Plus 30ml - DUSA"/>
    <s v="CONSUMIBLE PROPIO"/>
    <s v="DUSA"/>
    <n v="1"/>
    <n v="431.03"/>
  </r>
  <r>
    <x v="8"/>
    <s v="31/01/2026"/>
    <s v="EDGAR MOISES A NAVARRO"/>
    <s v="7503024256222"/>
    <s v="Jones - CXO"/>
    <s v="JUGUETE PROPIO"/>
    <s v="CXO"/>
    <n v="1"/>
    <n v="1329.11"/>
  </r>
  <r>
    <x v="8"/>
    <s v="31/01/2026"/>
    <s v="EDGAR MOISES A NAVARRO"/>
    <s v="7503043917012"/>
    <s v="Liquid Love Backdoor 30ml - DUSA"/>
    <s v="CONSUMIBLE PROPIO"/>
    <s v="DUSA"/>
    <n v="2"/>
    <n v="603.44000000000005"/>
  </r>
  <r>
    <x v="8"/>
    <s v="31/01/2026"/>
    <s v="EDGAR MOISES A NAVARRO"/>
    <s v="7503013378799"/>
    <s v="Lubricante Body Surf Termico Citricos DUSA 60ml"/>
    <s v="CONSUMIBLE PROPIO"/>
    <s v="DUSA"/>
    <n v="1"/>
    <n v="387.93"/>
  </r>
  <r>
    <x v="8"/>
    <s v="31/01/2026"/>
    <s v="EDGAR MOISES A NAVARRO"/>
    <s v="75082048"/>
    <s v="Miel Estimulante Hombre 18ml - SXO"/>
    <s v="CONSUMIBLE"/>
    <s v="SXO"/>
    <n v="1"/>
    <n v="301.72000000000003"/>
  </r>
  <r>
    <x v="8"/>
    <s v="31/01/2026"/>
    <s v="EDGAR MOISES A NAVARRO"/>
    <s v="75078737"/>
    <s v="Mini Kit Dulces 2 piezas - SXO"/>
    <s v="CONSUMIBLE"/>
    <s v="SXO"/>
    <n v="1"/>
    <n v="120.69"/>
  </r>
  <r>
    <x v="8"/>
    <s v="31/01/2026"/>
    <s v="EDGAR MOISES A NAVARRO"/>
    <s v="7503050524241"/>
    <s v="Orgasmik 30ml - DUSA"/>
    <s v="CONSUMIBLE PROPIO"/>
    <s v="DUSA"/>
    <n v="1"/>
    <n v="431.03"/>
  </r>
  <r>
    <x v="8"/>
    <s v="31/01/2026"/>
    <s v="EDGAR MOISES A NAVARRO"/>
    <s v="7503020596049"/>
    <s v="Sensicool - DUSA"/>
    <s v="CONSUMIBLE PROPIO"/>
    <s v="DUSA"/>
    <n v="1"/>
    <n v="431.03"/>
  </r>
  <r>
    <x v="8"/>
    <s v="31/01/2026"/>
    <s v="EDGAR MOISES A NAVARRO"/>
    <s v="7503024256192"/>
    <s v="Shot Shumatsu Fun Mujer - DUSA"/>
    <s v="CONSUMIBLE PROPIO"/>
    <s v="DUSA"/>
    <n v="1"/>
    <n v="172.41"/>
  </r>
  <r>
    <x v="9"/>
    <s v="26/01/2026"/>
    <s v="ANTONIO EDMUNDO E CAMBEROS"/>
    <s v="7503026484685"/>
    <s v="Aceite térmico vainilla 60ml - FEEL LOVE"/>
    <s v="CONSUMIBLE"/>
    <s v="FEEL LOVE"/>
    <n v="1"/>
    <n v="327.58999999999997"/>
  </r>
  <r>
    <x v="9"/>
    <s v="26/01/2026"/>
    <s v="ANTONIO EDMUNDO E CAMBEROS"/>
    <s v="7503026484975"/>
    <s v="Fragancia con Feromonas Body Breeze Divina DIAMANTE Fresa Shampagne 125ml"/>
    <s v="CONSUMIBLE"/>
    <s v="DIAMANTE"/>
    <n v="1"/>
    <n v="413.79"/>
  </r>
  <r>
    <x v="9"/>
    <s v="26/01/2026"/>
    <s v="ANTONIO EDMUNDO E CAMBEROS"/>
    <s v="7946000265472"/>
    <s v="JUEGO DE MESA EL JUEGO DE LA OCA SENSUAL"/>
    <s v="JUGUETE"/>
    <s v="VARIAS"/>
    <n v="1"/>
    <n v="224.14"/>
  </r>
  <r>
    <x v="9"/>
    <s v="26/01/2026"/>
    <s v="ANTONIO EDMUNDO E CAMBEROS"/>
    <s v="7503023462235"/>
    <s v="Lubricante Masaje Térmico Comestible Piña Colada FEEL LOVE 4 en 1 - 60ml"/>
    <s v="LUBRICANTE"/>
    <s v="FEEL LOVE"/>
    <n v="1"/>
    <n v="344.83"/>
  </r>
  <r>
    <x v="9"/>
    <s v="26/01/2026"/>
    <s v="ANTONIO EDMUNDO E CAMBEROS"/>
    <s v="7503013378690"/>
    <s v="Shumatsu 3 pzas - DUSA"/>
    <s v="CONSUMIBLE PROPIO"/>
    <s v="DUSA"/>
    <n v="1"/>
    <n v="577.59"/>
  </r>
  <r>
    <x v="9"/>
    <s v="27/01/2026"/>
    <s v="ANTONIO EDMUNDO E CAMBEROS"/>
    <s v="716222287579"/>
    <s v="ACEITE AROMATHERAPY MASSAGE OIL 4 INVIGORATE"/>
    <s v="CONSUMIBLE"/>
    <s v="WET"/>
    <n v="1"/>
    <n v="926.72"/>
  </r>
  <r>
    <x v="9"/>
    <s v="27/01/2026"/>
    <s v="ANTONIO EDMUNDO E CAMBEROS"/>
    <s v="7503030215178"/>
    <s v="Arnes tipo calzon con abertura - CXO"/>
    <s v="JUGUETE PROPIO"/>
    <s v="CXO"/>
    <n v="1"/>
    <n v="344.83"/>
  </r>
  <r>
    <x v="9"/>
    <s v="27/01/2026"/>
    <s v="ANTONIO EDMUNDO E CAMBEROS"/>
    <s v="7503020202214"/>
    <s v="Dildo realista con ventosa y testiculos Eddy - CXO"/>
    <s v="JUGUETE PROPIO"/>
    <s v="CXO"/>
    <n v="1"/>
    <n v="948.28"/>
  </r>
  <r>
    <x v="9"/>
    <s v="27/01/2026"/>
    <s v="ANTONIO EDMUNDO E CAMBEROS"/>
    <s v="7508304288405"/>
    <s v="Feromonas en gel para mujer 20ml - DIAMANTE"/>
    <s v="CONSUMIBLE"/>
    <s v="DIAMANTE"/>
    <n v="1"/>
    <n v="379.31"/>
  </r>
  <r>
    <x v="9"/>
    <s v="27/01/2026"/>
    <s v="ANTONIO EDMUNDO E CAMBEROS"/>
    <s v="716770114273"/>
    <s v="Kroma turbo curve - CALEXOTICS"/>
    <s v="JUGUETE"/>
    <s v="CALEXOTICS"/>
    <n v="1"/>
    <n v="1077.5899999999999"/>
  </r>
  <r>
    <x v="9"/>
    <s v="27/01/2026"/>
    <s v="ANTONIO EDMUNDO E CAMBEROS"/>
    <s v="7503013378645"/>
    <s v="Liquid Love Pleasure 100ml - DUSA"/>
    <s v="CONSUMIBLE PROPIO"/>
    <s v="DUSA"/>
    <n v="2"/>
    <n v="1551.72"/>
  </r>
  <r>
    <x v="9"/>
    <s v="27/01/2026"/>
    <s v="ANTONIO EDMUNDO E CAMBEROS"/>
    <s v="7503013378690"/>
    <s v="Shumatsu 3 pzas - DUSA"/>
    <s v="CONSUMIBLE PROPIO"/>
    <s v="DUSA"/>
    <n v="1"/>
    <n v="577.59"/>
  </r>
  <r>
    <x v="9"/>
    <s v="28/01/2026"/>
    <s v="ANGEL DANILO RODRIGUEZ LOPEZ"/>
    <s v="7503030102198"/>
    <s v="Dildo realista vibrador con ventosa Ulises - CXO"/>
    <s v="JUGUETE PROPIO"/>
    <s v="CXO"/>
    <n v="1"/>
    <n v="2000"/>
  </r>
  <r>
    <x v="9"/>
    <s v="28/01/2026"/>
    <s v="ANGEL DANILO RODRIGUEZ LOPEZ"/>
    <s v="782421020446"/>
    <s v="Double C Ring anillo vibrador OptiMale - DOC JOHNSON"/>
    <s v="JUGUETE"/>
    <s v="DOC JOHNSON"/>
    <n v="1"/>
    <n v="1198.28"/>
  </r>
  <r>
    <x v="9"/>
    <s v="28/01/2026"/>
    <s v="ANGEL DANILO RODRIGUEZ LOPEZ"/>
    <s v="7503013378645"/>
    <s v="Liquid Love Pleasure 100ml - DUSA"/>
    <s v="CONSUMIBLE PROPIO"/>
    <s v="DUSA"/>
    <n v="1"/>
    <n v="775.86"/>
  </r>
  <r>
    <x v="9"/>
    <s v="28/01/2026"/>
    <s v="ANGEL DANILO RODRIGUEZ LOPEZ"/>
    <s v="75079413"/>
    <s v="Mini Kit Hombre 3 piezas - SXO"/>
    <s v="CONSUMIBLE"/>
    <s v="SXO"/>
    <n v="1"/>
    <n v="284.48"/>
  </r>
  <r>
    <x v="9"/>
    <s v="28/01/2026"/>
    <s v="ANGEL DANILO RODRIGUEZ LOPEZ"/>
    <s v="75079390"/>
    <s v="Mini Kit Mujer 3 piezas- SXO"/>
    <s v="CONSUMIBLE"/>
    <s v="SXO"/>
    <n v="1"/>
    <n v="284.48"/>
  </r>
  <r>
    <x v="9"/>
    <s v="28/01/2026"/>
    <s v="ANGEL DANILO RODRIGUEZ LOPEZ"/>
    <s v="7503050524289"/>
    <s v="Oxi bomba de vacio manual - CXO"/>
    <s v="JUGUETE PROPIO"/>
    <s v="CXO"/>
    <n v="1"/>
    <n v="853.45"/>
  </r>
  <r>
    <x v="9"/>
    <s v="28/01/2026"/>
    <s v="ANGEL DANILO RODRIGUEZ LOPEZ"/>
    <s v="7503013378690"/>
    <s v="Shumatsu 3 pzas - DUSA"/>
    <s v="CONSUMIBLE PROPIO"/>
    <s v="DUSA"/>
    <n v="2"/>
    <n v="1155.18"/>
  </r>
  <r>
    <x v="9"/>
    <s v="29/01/2026"/>
    <s v="ANTONIO EDMUNDO E CAMBEROS"/>
    <s v="7503026484678"/>
    <s v="Aceite térmico fresa 60ml - FEEL LOVE"/>
    <s v="CONSUMIBLE"/>
    <s v="FEEL LOVE"/>
    <n v="1"/>
    <n v="327.58999999999997"/>
  </r>
  <r>
    <x v="9"/>
    <s v="29/01/2026"/>
    <s v="ANTONIO EDMUNDO E CAMBEROS"/>
    <s v="7503013378102"/>
    <s v="Anastasia Gema de Colores M - CXO"/>
    <s v="JUGUETE PROPIO"/>
    <s v="CXO"/>
    <n v="1"/>
    <n v="456.9"/>
  </r>
  <r>
    <x v="9"/>
    <s v="29/01/2026"/>
    <s v="ANTONIO EDMUNDO E CAMBEROS"/>
    <s v="7503030128197"/>
    <s v="Ducha anal con vibracion Hector - CXO"/>
    <s v="JUGUETE PROPIO"/>
    <s v="CXO"/>
    <n v="1"/>
    <n v="1862.07"/>
  </r>
  <r>
    <x v="9"/>
    <s v="29/01/2026"/>
    <s v="ANTONIO EDMUNDO E CAMBEROS"/>
    <s v="D07003"/>
    <s v="Kit BDSM 7 piezas - CXO"/>
    <s v="JUGUETE PROPIO"/>
    <s v="CXO"/>
    <n v="1"/>
    <n v="474.14"/>
  </r>
  <r>
    <x v="9"/>
    <s v="29/01/2026"/>
    <s v="ANTONIO EDMUNDO E CAMBEROS"/>
    <s v="HRZH27262"/>
    <s v="Multiorgásmico Estimulador de Clítoris y Anal con 12 modos de Vibración  Carla- CXO"/>
    <s v="JUGUETE PROPIO"/>
    <s v="CXO"/>
    <n v="1"/>
    <n v="2543.1"/>
  </r>
  <r>
    <x v="9"/>
    <s v="29/01/2026"/>
    <s v="ANTONIO EDMUNDO E CAMBEROS"/>
    <s v="7503020310116"/>
    <s v="Panty vibrador con control remoto rosa Celi - CXO"/>
    <s v="JUGUETE PROPIO"/>
    <s v="CXO"/>
    <n v="1"/>
    <n v="1681.03"/>
  </r>
  <r>
    <x v="9"/>
    <s v="29/01/2026"/>
    <s v="ANTONIO EDMUNDO E CAMBEROS"/>
    <s v="7503013378010"/>
    <s v="Rigidex 2 pzas - DUSA"/>
    <s v="CONSUMIBLE PROPIO"/>
    <s v="DUSA"/>
    <n v="1"/>
    <n v="431.03"/>
  </r>
  <r>
    <x v="9"/>
    <s v="29/01/2026"/>
    <s v="ANTONIO EDMUNDO E CAMBEROS"/>
    <s v="7503050524258"/>
    <s v="Sensicool 30ml - DUSA"/>
    <s v="CONSUMIBLE PROPIO"/>
    <s v="DUSA"/>
    <n v="1"/>
    <n v="431.03"/>
  </r>
  <r>
    <x v="9"/>
    <s v="30/01/2026"/>
    <s v="ANTONIO EDMUNDO E CAMBEROS"/>
    <s v="7503014914002"/>
    <s v="CAPSULAS MULTIORGASMICO AMO O-GEN"/>
    <s v="CONSUMIBLE"/>
    <s v="POWER MAN"/>
    <n v="1"/>
    <n v="431.04"/>
  </r>
  <r>
    <x v="9"/>
    <s v="30/01/2026"/>
    <s v="ANTONIO EDMUNDO E CAMBEROS"/>
    <s v="7503050524265"/>
    <s v="He Plus 30ml - DUSA"/>
    <s v="CONSUMIBLE PROPIO"/>
    <s v="DUSA"/>
    <n v="1"/>
    <n v="431.03"/>
  </r>
  <r>
    <x v="9"/>
    <s v="30/01/2026"/>
    <s v="ANTONIO EDMUNDO E CAMBEROS"/>
    <s v="7503043917012"/>
    <s v="Liquid Love Backdoor 30ml - DUSA"/>
    <s v="CONSUMIBLE PROPIO"/>
    <s v="DUSA"/>
    <n v="1"/>
    <n v="301.72000000000003"/>
  </r>
  <r>
    <x v="9"/>
    <s v="30/01/2026"/>
    <s v="ANTONIO EDMUNDO E CAMBEROS"/>
    <s v="7503043917005"/>
    <s v="Liquid Love Clear 30ml - DUSA"/>
    <s v="CONSUMIBLE PROPIO"/>
    <s v="DUSA"/>
    <n v="1"/>
    <n v="301.72000000000003"/>
  </r>
  <r>
    <x v="9"/>
    <s v="30/01/2026"/>
    <s v="ANTONIO EDMUNDO E CAMBEROS"/>
    <s v="7503030109176"/>
    <s v="Osito succionador USB - CXO"/>
    <s v="JUGUETE PROPIO"/>
    <s v="CXO"/>
    <n v="1"/>
    <n v="818.97"/>
  </r>
  <r>
    <x v="9"/>
    <s v="30/01/2026"/>
    <s v="ANTONIO EDMUNDO E CAMBEROS"/>
    <s v="7503050226162"/>
    <s v="Plug Anal con Vibración y Control Roberto - CXO"/>
    <s v="JUGUETE PROPIO"/>
    <s v="CXO"/>
    <n v="1"/>
    <n v="1293.0999999999999"/>
  </r>
  <r>
    <x v="9"/>
    <s v="30/01/2026"/>
    <s v="ANTONIO EDMUNDO E CAMBEROS"/>
    <s v="7503026484050"/>
    <s v="SENSIBILIZADOR PARA PEZONES 15ML"/>
    <s v="CONSUMIBLE"/>
    <s v="FEEL LOVE"/>
    <n v="1"/>
    <n v="172.41"/>
  </r>
  <r>
    <x v="9"/>
    <s v="30/01/2026"/>
    <s v="ANTONIO EDMUNDO E CAMBEROS"/>
    <s v="7503020596957"/>
    <s v="Shot Shumatsu Fun Hombre - DUSA"/>
    <s v="CONSUMIBLE PROPIO"/>
    <s v="DUSA"/>
    <n v="2"/>
    <n v="344.82"/>
  </r>
  <r>
    <x v="9"/>
    <s v="30/01/2026"/>
    <s v="ANTONIO EDMUNDO E CAMBEROS"/>
    <s v="7503024256192"/>
    <s v="Shot Shumatsu Fun Mujer - DUSA"/>
    <s v="CONSUMIBLE PROPIO"/>
    <s v="DUSA"/>
    <n v="2"/>
    <n v="344.82"/>
  </r>
  <r>
    <x v="9"/>
    <s v="30/01/2026"/>
    <s v="ANTONIO EDMUNDO E CAMBEROS"/>
    <s v="7503013378690"/>
    <s v="Shumatsu 3 pzas - DUSA"/>
    <s v="CONSUMIBLE PROPIO"/>
    <s v="DUSA"/>
    <n v="1"/>
    <n v="577.59"/>
  </r>
  <r>
    <x v="9"/>
    <s v="31/01/2026"/>
    <s v="ANTONIO EDMUNDO E CAMBEROS"/>
    <s v="7503030211021"/>
    <s v="Anillo desechable para pene Donut - CXO"/>
    <s v="JUGUETE PROPIO"/>
    <s v="CXO"/>
    <n v="2"/>
    <n v="68.959999999999994"/>
  </r>
  <r>
    <x v="9"/>
    <s v="31/01/2026"/>
    <s v="ANTONIO EDMUNDO E CAMBEROS"/>
    <s v="7503043917081"/>
    <s v="Blade rosa anillo vibrador - CXO"/>
    <s v="JUGUETE PROPIO"/>
    <s v="CXO"/>
    <n v="1"/>
    <n v="81.900000000000006"/>
  </r>
  <r>
    <x v="9"/>
    <s v="31/01/2026"/>
    <s v="ANTONIO EDMUNDO E CAMBEROS"/>
    <s v="7503014914002"/>
    <s v="CAPSULAS MULTIORGASMICO AMO O-GEN"/>
    <s v="CONSUMIBLE"/>
    <s v="POWER MAN"/>
    <n v="1"/>
    <n v="431.04"/>
  </r>
  <r>
    <x v="9"/>
    <s v="31/01/2026"/>
    <s v="ANTONIO EDMUNDO E CAMBEROS"/>
    <s v="7503013378492"/>
    <s v="Clean Whisper 120ml - DUSA"/>
    <s v="CONSUMIBLE PROPIO"/>
    <s v="DUSA"/>
    <n v="1"/>
    <n v="301.72000000000003"/>
  </r>
  <r>
    <x v="9"/>
    <s v="31/01/2026"/>
    <s v="ANTONIO EDMUNDO E CAMBEROS"/>
    <s v="7503024256734"/>
    <s v="Cola de Zorro 45cm blanco M - CXO"/>
    <s v="JUGUETE PROPIO"/>
    <s v="CXO"/>
    <n v="1"/>
    <n v="301.72000000000003"/>
  </r>
  <r>
    <x v="9"/>
    <s v="31/01/2026"/>
    <s v="ANTONIO EDMUNDO E CAMBEROS"/>
    <s v="CON01CH013004L"/>
    <s v="Conjunto Ashley L borgoña"/>
    <s v="LENCERIA"/>
    <s v="OLA MOU"/>
    <n v="1"/>
    <n v="599.14"/>
  </r>
  <r>
    <x v="9"/>
    <s v="31/01/2026"/>
    <s v="ANTONIO EDMUNDO E CAMBEROS"/>
    <s v="75037628"/>
    <s v="Dulces Garganta Profunda 2 piezas Sabor Fresa - SXO"/>
    <s v="CONSUMIBLE"/>
    <s v="SXO"/>
    <n v="1"/>
    <n v="120.69"/>
  </r>
  <r>
    <x v="9"/>
    <s v="31/01/2026"/>
    <s v="ANTONIO EDMUNDO E CAMBEROS"/>
    <s v="7503013378126"/>
    <s v="Lubricante Body Surf Frio Natural DUSA 60ml"/>
    <s v="CONSUMIBLE PROPIO"/>
    <s v="DUSA"/>
    <n v="1"/>
    <n v="387.93"/>
  </r>
  <r>
    <x v="9"/>
    <s v="31/01/2026"/>
    <s v="ANTONIO EDMUNDO E CAMBEROS"/>
    <s v="7503023462235"/>
    <s v="Lubricante Masaje Térmico Comestible Piña Colada FEEL LOVE 4 en 1 - 60ml"/>
    <s v="LUBRICANTE"/>
    <s v="FEEL LOVE"/>
    <n v="1"/>
    <n v="344.83"/>
  </r>
  <r>
    <x v="9"/>
    <s v="31/01/2026"/>
    <s v="ANTONIO EDMUNDO E CAMBEROS"/>
    <s v="827160100773"/>
    <s v="Lubricante original super concentrated 100 ml - PJUR"/>
    <s v="CONSUMIBLE"/>
    <s v="PJUR"/>
    <n v="1"/>
    <n v="775.86"/>
  </r>
  <r>
    <x v="9"/>
    <s v="31/01/2026"/>
    <s v="ANTONIO EDMUNDO E CAMBEROS"/>
    <s v="7503032300825"/>
    <s v="Lubricante Sachet natural 2 ml - BANANA SHAKE"/>
    <s v="CONSUMIBLE"/>
    <s v="BANANA SHAKE"/>
    <n v="4"/>
    <n v="68.959999999999994"/>
  </r>
  <r>
    <x v="9"/>
    <s v="31/01/2026"/>
    <s v="ANTONIO EDMUNDO E CAMBEROS"/>
    <s v="6959633146972"/>
    <s v="Masturbador Hedy X Experience – SVAKOM"/>
    <s v="JUGUETE"/>
    <s v="SVAKOM"/>
    <n v="1"/>
    <n v="181.03"/>
  </r>
  <r>
    <x v="9"/>
    <s v="31/01/2026"/>
    <s v="ANTONIO EDMUNDO E CAMBEROS"/>
    <s v="7503050524241"/>
    <s v="Orgasmik 30ml - DUSA"/>
    <s v="CONSUMIBLE PROPIO"/>
    <s v="DUSA"/>
    <n v="1"/>
    <n v="431.03"/>
  </r>
  <r>
    <x v="9"/>
    <s v="31/01/2026"/>
    <s v="ANTONIO EDMUNDO E CAMBEROS"/>
    <s v="7503013378690"/>
    <s v="Shumatsu 3 pzas - DUSA"/>
    <s v="CONSUMIBLE PROPIO"/>
    <s v="DUSA"/>
    <n v="2"/>
    <n v="1155.18"/>
  </r>
  <r>
    <x v="9"/>
    <s v="31/01/2026"/>
    <s v="ANTONIO EDMUNDO E CAMBEROS"/>
    <s v="7503020104212"/>
    <s v="Vibrador multiorgasmico con aleta estimuladora Megan - CXO"/>
    <s v="JUGUETE PROPIO"/>
    <s v="CXO"/>
    <n v="1"/>
    <n v="2413.79"/>
  </r>
  <r>
    <x v="9"/>
    <s v="31/01/2026"/>
    <s v="ANTONIO EDMUNDO E CAMBEROS"/>
    <s v="7503032300443"/>
    <s v="Zoe bala vibradora RETAIL - CXO"/>
    <s v="JUGUETE PROPIO"/>
    <s v="CXO"/>
    <n v="1"/>
    <n v="155.16999999999999"/>
  </r>
  <r>
    <x v="10"/>
    <s v="26/01/2026"/>
    <s v="DELIA AGUIRRE CERVANTES"/>
    <s v="7503023462556"/>
    <s v="LUBRICANTE COLD EFFECTS 60ML"/>
    <s v="CONSUMIBLE"/>
    <s v="FEEL LOVE"/>
    <n v="1"/>
    <n v="267.24"/>
  </r>
  <r>
    <x v="10"/>
    <s v="26/01/2026"/>
    <s v="DELIA AGUIRRE CERVANTES"/>
    <s v="7503013378010"/>
    <s v="Rigidex 2 pzas - DUSA"/>
    <s v="CONSUMIBLE PROPIO"/>
    <s v="DUSA"/>
    <n v="1"/>
    <n v="431.03"/>
  </r>
  <r>
    <x v="10"/>
    <s v="27/01/2026"/>
    <s v="DELIA AGUIRRE CERVANTES"/>
    <s v="4630017970018"/>
    <s v="Alargador de Pene Titan Gel 50 ml"/>
    <s v="CONSUMIBLE"/>
    <s v="TITAN"/>
    <n v="1"/>
    <n v="594.83000000000004"/>
  </r>
  <r>
    <x v="10"/>
    <s v="27/01/2026"/>
    <s v="DELIA AGUIRRE CERVANTES"/>
    <s v="7503043917081"/>
    <s v="Blade rosa anillo vibrador - CXO"/>
    <s v="JUGUETE PROPIO"/>
    <s v="CXO"/>
    <n v="1"/>
    <n v="81.900000000000006"/>
  </r>
  <r>
    <x v="10"/>
    <s v="27/01/2026"/>
    <s v="DELIA AGUIRRE CERVANTES"/>
    <s v="7503014914002"/>
    <s v="CAPSULAS MULTIORGASMICO AMO O-GEN"/>
    <s v="CONSUMIBLE"/>
    <s v="POWER MAN"/>
    <n v="1"/>
    <n v="431.04"/>
  </r>
  <r>
    <x v="10"/>
    <s v="27/01/2026"/>
    <s v="DELIA AGUIRRE CERVANTES"/>
    <s v="7503024256154"/>
    <s v="Lubricante Body Surf Termico Cereza DUSA 60ml"/>
    <s v="CONSUMIBLE PROPIO"/>
    <s v="DUSA"/>
    <n v="1"/>
    <n v="387.93"/>
  </r>
  <r>
    <x v="10"/>
    <s v="27/01/2026"/>
    <s v="DELIA AGUIRRE CERVANTES"/>
    <s v="7503013378799"/>
    <s v="Lubricante Body Surf Termico Citricos DUSA 60ml"/>
    <s v="CONSUMIBLE PROPIO"/>
    <s v="DUSA"/>
    <n v="1"/>
    <n v="387.93"/>
  </r>
  <r>
    <x v="10"/>
    <s v="27/01/2026"/>
    <s v="DELIA AGUIRRE CERVANTES"/>
    <s v="7503032300856"/>
    <s v="Sachet vibrador liquido 2 ml - BANANA SHAKE"/>
    <s v="CONSUMIBLE"/>
    <s v="BANANA SHAKE"/>
    <n v="5"/>
    <n v="86.2"/>
  </r>
  <r>
    <x v="10"/>
    <s v="27/01/2026"/>
    <s v="DELIA AGUIRRE CERVANTES"/>
    <s v="7503013378690"/>
    <s v="Shumatsu 3 pzas - DUSA"/>
    <s v="CONSUMIBLE PROPIO"/>
    <s v="DUSA"/>
    <n v="2"/>
    <n v="1155.18"/>
  </r>
  <r>
    <x v="10"/>
    <s v="27/01/2026"/>
    <s v="DELIA AGUIRRE CERVANTES"/>
    <s v="7503032300443"/>
    <s v="Zoe bala vibradora RETAIL - CXO"/>
    <s v="JUGUETE PROPIO"/>
    <s v="CXO"/>
    <n v="1"/>
    <n v="155.16999999999999"/>
  </r>
  <r>
    <x v="10"/>
    <s v="28/01/2026"/>
    <s v="DELIA AGUIRRE CERVANTES"/>
    <s v="7503013378010"/>
    <s v="Rigidex 2 pzas - DUSA"/>
    <s v="CONSUMIBLE PROPIO"/>
    <s v="DUSA"/>
    <n v="1"/>
    <n v="431.03"/>
  </r>
  <r>
    <x v="10"/>
    <s v="28/01/2026"/>
    <s v="DELIA AGUIRRE CERVANTES"/>
    <s v="7503032300856"/>
    <s v="Sachet vibrador liquido 2 ml - BANANA SHAKE"/>
    <s v="CONSUMIBLE"/>
    <s v="BANANA SHAKE"/>
    <n v="5"/>
    <n v="86.2"/>
  </r>
  <r>
    <x v="10"/>
    <s v="28/01/2026"/>
    <s v="DELIA AGUIRRE CERVANTES"/>
    <s v="7503013378690"/>
    <s v="Shumatsu 3 pzas - DUSA"/>
    <s v="CONSUMIBLE PROPIO"/>
    <s v="DUSA"/>
    <n v="3"/>
    <n v="1732.77"/>
  </r>
  <r>
    <x v="10"/>
    <s v="29/01/2026"/>
    <s v="DELIA AGUIRRE CERVANTES"/>
    <s v="7503050226132"/>
    <s v="Body Carla - OLA MOU"/>
    <s v="LENCERIA"/>
    <s v="OLA MOU"/>
    <n v="1"/>
    <n v="431.03"/>
  </r>
  <r>
    <x v="10"/>
    <s v="29/01/2026"/>
    <s v="DELIA AGUIRRE CERVANTES"/>
    <s v="7503024256758"/>
    <s v="Cola de Zorro 45cm lila S - CXO"/>
    <s v="JUGUETE PROPIO"/>
    <s v="CXO"/>
    <n v="1"/>
    <n v="258.62"/>
  </r>
  <r>
    <x v="10"/>
    <s v="30/01/2026"/>
    <s v="ALFONSO  M CARBALLAR"/>
    <s v="7508304288917"/>
    <s v="Aceite de Almendras 130ml EROTICA -DIAMANTE"/>
    <s v="CONSUMIBLE"/>
    <s v="DIAMANTE"/>
    <n v="1"/>
    <n v="448.28"/>
  </r>
  <r>
    <x v="10"/>
    <s v="30/01/2026"/>
    <s v="ALFONSO  M CARBALLAR"/>
    <s v="6970556033477"/>
    <s v="Bala vibradora recargable Elisa– CXO"/>
    <s v="JUGUETE PROPIO"/>
    <s v="CXO"/>
    <n v="1"/>
    <n v="793.1"/>
  </r>
  <r>
    <x v="10"/>
    <s v="30/01/2026"/>
    <s v="ALFONSO  M CARBALLAR"/>
    <s v="7503050226162"/>
    <s v="Plug Anal con Vibración y Control Roberto - CXO"/>
    <s v="JUGUETE PROPIO"/>
    <s v="CXO"/>
    <n v="1"/>
    <n v="1293.0999999999999"/>
  </r>
  <r>
    <x v="10"/>
    <s v="30/01/2026"/>
    <s v="ALFONSO  M CARBALLAR"/>
    <s v="7503020596957"/>
    <s v="Shot Shumatsu Fun Hombre - DUSA"/>
    <s v="CONSUMIBLE PROPIO"/>
    <s v="DUSA"/>
    <n v="1"/>
    <n v="172.41"/>
  </r>
  <r>
    <x v="10"/>
    <s v="30/01/2026"/>
    <s v="ALFONSO  M CARBALLAR"/>
    <s v="CBD"/>
    <s v="SUNNY SIDE UP CBD HIPOALERGENICO 10ml"/>
    <s v="CONSUMIBLE"/>
    <s v="SUNNY SIDE UP"/>
    <n v="1"/>
    <n v="301.72000000000003"/>
  </r>
  <r>
    <x v="10"/>
    <s v="30/01/2026"/>
    <s v="ALFONSO  M CARBALLAR"/>
    <s v="7503032300443"/>
    <s v="Zoe bala vibradora RETAIL - CXO"/>
    <s v="JUGUETE PROPIO"/>
    <s v="CXO"/>
    <n v="1"/>
    <n v="155.16999999999999"/>
  </r>
  <r>
    <x v="10"/>
    <s v="31/01/2026"/>
    <s v="DELIA AGUIRRE CERVANTES"/>
    <s v="7503020111072"/>
    <s v="Anillo vibrador recargable con textura negra Hank - CXO"/>
    <s v="JUGUETE PROPIO"/>
    <s v="CXO"/>
    <n v="1"/>
    <n v="1267.24"/>
  </r>
  <r>
    <x v="10"/>
    <s v="31/01/2026"/>
    <s v="DELIA AGUIRRE CERVANTES"/>
    <s v="7503043917081"/>
    <s v="Blade rosa anillo vibrador - CXO"/>
    <s v="JUGUETE PROPIO"/>
    <s v="CXO"/>
    <n v="1"/>
    <n v="81.900000000000006"/>
  </r>
  <r>
    <x v="10"/>
    <s v="31/01/2026"/>
    <s v="DELIA AGUIRRE CERVANTES"/>
    <s v="7502214980015"/>
    <s v="Condon Clasico 3 pzs - PRUDENCE"/>
    <s v="CONSUMIBLE"/>
    <s v="PRUDENCE"/>
    <n v="1"/>
    <n v="60.34"/>
  </r>
  <r>
    <x v="10"/>
    <s v="31/01/2026"/>
    <s v="DELIA AGUIRRE CERVANTES"/>
    <s v="7502214982439"/>
    <s v="Condon Extra Time Retardante 3 pzs - PRUDENCE"/>
    <s v="CONSUMIBLE"/>
    <s v="PRUDENCE"/>
    <n v="1"/>
    <n v="77.59"/>
  </r>
  <r>
    <x v="10"/>
    <s v="31/01/2026"/>
    <s v="DELIA AGUIRRE CERVANTES"/>
    <s v="7503024256154"/>
    <s v="Lubricante Body Surf Termico Cereza DUSA 60ml"/>
    <s v="CONSUMIBLE PROPIO"/>
    <s v="DUSA"/>
    <n v="1"/>
    <n v="387.93"/>
  </r>
  <r>
    <x v="10"/>
    <s v="31/01/2026"/>
    <s v="DELIA AGUIRRE CERVANTES"/>
    <s v="6959633103494"/>
    <s v="Mora Neo multiorgasmico rosa - SVAKOM"/>
    <s v="JUGUETE"/>
    <s v="SVAKOM"/>
    <n v="1"/>
    <n v="1637.93"/>
  </r>
  <r>
    <x v="10"/>
    <s v="31/01/2026"/>
    <s v="DELIA AGUIRRE CERVANTES"/>
    <s v="7503020596957"/>
    <s v="Shot Shumatsu Fun Hombre - DUSA"/>
    <s v="CONSUMIBLE PROPIO"/>
    <s v="DUSA"/>
    <n v="1"/>
    <n v="172.41"/>
  </r>
  <r>
    <x v="10"/>
    <s v="31/01/2026"/>
    <s v="DELIA AGUIRRE CERVANTES"/>
    <s v="7503024256192"/>
    <s v="Shot Shumatsu Fun Mujer - DUSA"/>
    <s v="CONSUMIBLE PROPIO"/>
    <s v="DUSA"/>
    <n v="1"/>
    <n v="172.41"/>
  </r>
  <r>
    <x v="11"/>
    <s v="26/01/2026"/>
    <s v="OSCAR ANTONIO L CEL"/>
    <s v="7503032300993"/>
    <s v="Liquid Love Pleasure 30ml - DUSA"/>
    <s v="CONSUMIBLE PROPIO"/>
    <s v="DUSA"/>
    <n v="1"/>
    <n v="301.72000000000003"/>
  </r>
  <r>
    <x v="11"/>
    <s v="26/01/2026"/>
    <s v="OSCAR ANTONIO L CEL"/>
    <s v="7503023462235"/>
    <s v="Lubricante Masaje Térmico Comestible Piña Colada FEEL LOVE 4 en 1 - 60ml"/>
    <s v="LUBRICANTE"/>
    <s v="FEEL LOVE"/>
    <n v="1"/>
    <n v="344.83"/>
  </r>
  <r>
    <x v="11"/>
    <s v="26/01/2026"/>
    <s v="OSCAR ANTONIO L CEL"/>
    <s v="4061504007496"/>
    <s v="Succionado con App Curvy 1+ - Satisfayer"/>
    <s v="JUGUETE"/>
    <s v="SATISFAYER"/>
    <n v="1"/>
    <n v="1810.34"/>
  </r>
  <r>
    <x v="11"/>
    <s v="27/01/2026"/>
    <s v="OSCAR ANTONIO L CEL"/>
    <s v="7503043917081"/>
    <s v="Blade rosa anillo vibrador - CXO"/>
    <s v="JUGUETE PROPIO"/>
    <s v="CXO"/>
    <n v="1"/>
    <n v="81.900000000000006"/>
  </r>
  <r>
    <x v="11"/>
    <s v="27/01/2026"/>
    <s v="OSCAR ANTONIO L CEL"/>
    <s v="7503013378492"/>
    <s v="Clean Whisper 120ml - DUSA"/>
    <s v="CONSUMIBLE PROPIO"/>
    <s v="DUSA"/>
    <n v="1"/>
    <n v="301.72000000000003"/>
  </r>
  <r>
    <x v="11"/>
    <s v="27/01/2026"/>
    <s v="OSCAR ANTONIO L CEL"/>
    <s v="7350075029325"/>
    <s v="Enigma Wave negro - LELO"/>
    <s v="JUGUETE"/>
    <s v="LELO"/>
    <n v="1"/>
    <n v="5862.07"/>
  </r>
  <r>
    <x v="11"/>
    <s v="27/01/2026"/>
    <s v="OSCAR ANTONIO L CEL"/>
    <s v="7503043917005"/>
    <s v="Liquid Love Clear 30ml - DUSA"/>
    <s v="CONSUMIBLE PROPIO"/>
    <s v="DUSA"/>
    <n v="1"/>
    <n v="301.72000000000003"/>
  </r>
  <r>
    <x v="11"/>
    <s v="27/01/2026"/>
    <s v="OSCAR ANTONIO L CEL"/>
    <s v="7503024256154"/>
    <s v="Lubricante Body Surf Termico Cereza DUSA 60ml"/>
    <s v="CONSUMIBLE PROPIO"/>
    <s v="DUSA"/>
    <n v="1"/>
    <n v="387.93"/>
  </r>
  <r>
    <x v="11"/>
    <s v="27/01/2026"/>
    <s v="OSCAR ANTONIO L CEL"/>
    <s v="6959633189726"/>
    <s v="Masturbador Hedy X Control – SVAKOM"/>
    <s v="JUGUETE"/>
    <s v="SVAKOM"/>
    <n v="1"/>
    <n v="181.03"/>
  </r>
  <r>
    <x v="11"/>
    <s v="27/01/2026"/>
    <s v="OSCAR ANTONIO L CEL"/>
    <s v="7503013378010"/>
    <s v="Rigidex 2 pzas - DUSA"/>
    <s v="CONSUMIBLE PROPIO"/>
    <s v="DUSA"/>
    <n v="1"/>
    <n v="431.03"/>
  </r>
  <r>
    <x v="11"/>
    <s v="27/01/2026"/>
    <s v="OSCAR ANTONIO L CEL"/>
    <s v="7503032300856"/>
    <s v="Sachet vibrador liquido 2 ml - BANANA SHAKE"/>
    <s v="CONSUMIBLE"/>
    <s v="BANANA SHAKE"/>
    <n v="1"/>
    <n v="17.239999999999998"/>
  </r>
  <r>
    <x v="11"/>
    <s v="27/01/2026"/>
    <s v="OSCAR ANTONIO L CEL"/>
    <s v="7503020596957"/>
    <s v="Shot Shumatsu Fun Hombre - DUSA"/>
    <s v="CONSUMIBLE PROPIO"/>
    <s v="DUSA"/>
    <n v="1"/>
    <n v="172.41"/>
  </r>
  <r>
    <x v="11"/>
    <s v="28/01/2026"/>
    <s v="ALFONSO  M CARBALLAR"/>
    <s v="7503014914002"/>
    <s v="CAPSULAS MULTIORGASMICO AMO O-GEN"/>
    <s v="CONSUMIBLE"/>
    <s v="POWER MAN"/>
    <n v="1"/>
    <n v="431.04"/>
  </r>
  <r>
    <x v="11"/>
    <s v="28/01/2026"/>
    <s v="ALFONSO  M CARBALLAR"/>
    <s v="7503030102198"/>
    <s v="Dildo realista vibrador con ventosa Ulises - CXO"/>
    <s v="JUGUETE PROPIO"/>
    <s v="CXO"/>
    <n v="1"/>
    <n v="2000"/>
  </r>
  <r>
    <x v="11"/>
    <s v="28/01/2026"/>
    <s v="ALFONSO  M CARBALLAR"/>
    <s v="7503032300634"/>
    <s v="Kevin violeta - CXO"/>
    <s v="JUGUETE PROPIO"/>
    <s v="CXO"/>
    <n v="1"/>
    <n v="775.86"/>
  </r>
  <r>
    <x v="11"/>
    <s v="28/01/2026"/>
    <s v="ALFONSO  M CARBALLAR"/>
    <s v="7503013378010"/>
    <s v="Rigidex 2 pzas - DUSA"/>
    <s v="CONSUMIBLE PROPIO"/>
    <s v="DUSA"/>
    <n v="1"/>
    <n v="431.03"/>
  </r>
  <r>
    <x v="11"/>
    <s v="28/01/2026"/>
    <s v="ALFONSO  M CARBALLAR"/>
    <s v="7503020596957"/>
    <s v="Shot Shumatsu Fun Hombre - DUSA"/>
    <s v="CONSUMIBLE PROPIO"/>
    <s v="DUSA"/>
    <n v="1"/>
    <n v="172.41"/>
  </r>
  <r>
    <x v="11"/>
    <s v="29/01/2026"/>
    <s v="OSCAR ANTONIO L CEL"/>
    <s v="7503050524265"/>
    <s v="He Plus 30ml - DUSA"/>
    <s v="CONSUMIBLE PROPIO"/>
    <s v="DUSA"/>
    <n v="1"/>
    <n v="431.03"/>
  </r>
  <r>
    <x v="11"/>
    <s v="29/01/2026"/>
    <s v="OSCAR ANTONIO L CEL"/>
    <s v="7503013378645"/>
    <s v="Liquid Love Pleasure 100ml - DUSA"/>
    <s v="CONSUMIBLE PROPIO"/>
    <s v="DUSA"/>
    <n v="1"/>
    <n v="775.86"/>
  </r>
  <r>
    <x v="11"/>
    <s v="29/01/2026"/>
    <s v="OSCAR ANTONIO L CEL"/>
    <s v="7503032300825"/>
    <s v="Lubricante Sachet natural 2 ml - BANANA SHAKE"/>
    <s v="CONSUMIBLE"/>
    <s v="BANANA SHAKE"/>
    <n v="3"/>
    <n v="51.72"/>
  </r>
  <r>
    <x v="11"/>
    <s v="29/01/2026"/>
    <s v="OSCAR ANTONIO L CEL"/>
    <s v="6959633146972"/>
    <s v="Masturbador Hedy X Experience – SVAKOM"/>
    <s v="JUGUETE"/>
    <s v="SVAKOM"/>
    <n v="1"/>
    <n v="181.03"/>
  </r>
  <r>
    <x v="11"/>
    <s v="29/01/2026"/>
    <s v="OSCAR ANTONIO L CEL"/>
    <s v="7503050524241"/>
    <s v="Orgasmik 30ml - DUSA"/>
    <s v="CONSUMIBLE PROPIO"/>
    <s v="DUSA"/>
    <n v="1"/>
    <n v="431.03"/>
  </r>
  <r>
    <x v="11"/>
    <s v="29/01/2026"/>
    <s v="OSCAR ANTONIO L CEL"/>
    <s v="7503032300795"/>
    <s v="Sachet lubricante desensibilizador 2 ml - BANANA SHAKE"/>
    <s v="CONSUMIBLE"/>
    <s v="BANANA SHAKE"/>
    <n v="1"/>
    <n v="21.55"/>
  </r>
  <r>
    <x v="11"/>
    <s v="29/01/2026"/>
    <s v="OSCAR ANTONIO L CEL"/>
    <s v="7503032300856"/>
    <s v="Sachet vibrador liquido 2 ml - BANANA SHAKE"/>
    <s v="CONSUMIBLE"/>
    <s v="BANANA SHAKE"/>
    <n v="6"/>
    <n v="103.44"/>
  </r>
  <r>
    <x v="11"/>
    <s v="29/01/2026"/>
    <s v="OSCAR ANTONIO L CEL"/>
    <s v="7503020596957"/>
    <s v="Shot Shumatsu Fun Hombre - DUSA"/>
    <s v="CONSUMIBLE PROPIO"/>
    <s v="DUSA"/>
    <n v="2"/>
    <n v="344.82"/>
  </r>
  <r>
    <x v="11"/>
    <s v="30/01/2026"/>
    <s v="OSCAR ANTONIO L CEL"/>
    <s v="7503013378492"/>
    <s v="Clean Whisper 120ml - DUSA"/>
    <s v="CONSUMIBLE PROPIO"/>
    <s v="DUSA"/>
    <n v="1"/>
    <n v="301.72000000000003"/>
  </r>
  <r>
    <x v="11"/>
    <s v="30/01/2026"/>
    <s v="OSCAR ANTONIO L CEL"/>
    <s v="7503050524265"/>
    <s v="He Plus 30ml - DUSA"/>
    <s v="CONSUMIBLE PROPIO"/>
    <s v="DUSA"/>
    <n v="1"/>
    <n v="431.03"/>
  </r>
  <r>
    <x v="11"/>
    <s v="30/01/2026"/>
    <s v="OSCAR ANTONIO L CEL"/>
    <s v="7503013378010"/>
    <s v="Rigidex 2 pzas - DUSA"/>
    <s v="CONSUMIBLE PROPIO"/>
    <s v="DUSA"/>
    <n v="4"/>
    <n v="1724.1299999999999"/>
  </r>
  <r>
    <x v="11"/>
    <s v="30/01/2026"/>
    <s v="OSCAR ANTONIO L CEL"/>
    <s v="7503013378690"/>
    <s v="Shumatsu 3 pzas - DUSA"/>
    <s v="CONSUMIBLE PROPIO"/>
    <s v="DUSA"/>
    <n v="1"/>
    <n v="577.59"/>
  </r>
  <r>
    <x v="11"/>
    <s v="31/01/2026"/>
    <s v="OSCAR ANTONIO L CEL"/>
    <s v="7503043917036"/>
    <s v="Arnes universal de argolla negro - CXO"/>
    <s v="JUGUETE PROPIO"/>
    <s v="CXO"/>
    <n v="1"/>
    <n v="474.14"/>
  </r>
  <r>
    <x v="11"/>
    <s v="31/01/2026"/>
    <s v="OSCAR ANTONIO L CEL"/>
    <s v="BOD11CB033001XL"/>
    <s v="Body BD005 negro"/>
    <s v="LENCERIA"/>
    <s v="OLA MOU : CHOCOLATES"/>
    <n v="1"/>
    <n v="724.14"/>
  </r>
  <r>
    <x v="11"/>
    <s v="31/01/2026"/>
    <s v="OSCAR ANTONIO L CEL"/>
    <s v="7503013378492"/>
    <s v="Clean Whisper 120ml - DUSA"/>
    <s v="CONSUMIBLE PROPIO"/>
    <s v="DUSA"/>
    <n v="3"/>
    <n v="905.16000000000008"/>
  </r>
  <r>
    <x v="11"/>
    <s v="31/01/2026"/>
    <s v="OSCAR ANTONIO L CEL"/>
    <s v="7502214982491"/>
    <s v="CONDON PRUDENCE EXTRA TIME UVA"/>
    <s v="CONSUMIBLE"/>
    <s v="PRUDENCE"/>
    <n v="1"/>
    <n v="60.34"/>
  </r>
  <r>
    <x v="11"/>
    <s v="31/01/2026"/>
    <s v="OSCAR ANTONIO L CEL"/>
    <s v="CON01CH005002L"/>
    <s v="Conjunto Alexa L negro"/>
    <s v="LENCERIA"/>
    <s v="OLA MOU"/>
    <n v="1"/>
    <n v="814.66"/>
  </r>
  <r>
    <x v="11"/>
    <s v="31/01/2026"/>
    <s v="OSCAR ANTONIO L CEL"/>
    <s v="CON01CH029002L"/>
    <s v="Conjunto Paus L rosa-clear"/>
    <s v="LENCERIA"/>
    <s v="OLA MOU"/>
    <n v="1"/>
    <n v="814.66"/>
  </r>
  <r>
    <x v="11"/>
    <s v="31/01/2026"/>
    <s v="OSCAR ANTONIO L CEL"/>
    <s v="CON01CH03300485B"/>
    <s v="Conjunto Regal 85B azul oscuro"/>
    <s v="LENCERIA"/>
    <s v="OLA MOU"/>
    <n v="1"/>
    <n v="383.62"/>
  </r>
  <r>
    <x v="11"/>
    <s v="31/01/2026"/>
    <s v="OSCAR ANTONIO L CEL"/>
    <s v="7503030102034"/>
    <s v="Dildo vibrador con control Anthony - CXO"/>
    <s v="JUGUETE PROPIO"/>
    <s v="CXO"/>
    <n v="2"/>
    <n v="4224.1400000000003"/>
  </r>
  <r>
    <x v="11"/>
    <s v="31/01/2026"/>
    <s v="OSCAR ANTONIO L CEL"/>
    <s v="7503032300993"/>
    <s v="Liquid Love Pleasure 30ml - DUSA"/>
    <s v="CONSUMIBLE PROPIO"/>
    <s v="DUSA"/>
    <n v="1"/>
    <n v="301.72000000000003"/>
  </r>
  <r>
    <x v="11"/>
    <s v="31/01/2026"/>
    <s v="OSCAR ANTONIO L CEL"/>
    <s v="7503013378645"/>
    <s v="Liquid Love Pleasure 100ml - DUSA"/>
    <s v="CONSUMIBLE PROPIO"/>
    <s v="DUSA"/>
    <n v="2"/>
    <n v="1551.72"/>
  </r>
  <r>
    <x v="11"/>
    <s v="31/01/2026"/>
    <s v="OSCAR ANTONIO L CEL"/>
    <s v="7503024256154"/>
    <s v="Lubricante Body Surf Termico Cereza DUSA 60ml"/>
    <s v="CONSUMIBLE PROPIO"/>
    <s v="DUSA"/>
    <n v="1"/>
    <n v="387.93"/>
  </r>
  <r>
    <x v="11"/>
    <s v="31/01/2026"/>
    <s v="OSCAR ANTONIO L CEL"/>
    <s v="75078737"/>
    <s v="Mini Kit Dulces 2 piezas - SXO"/>
    <s v="CONSUMIBLE"/>
    <s v="SXO"/>
    <n v="1"/>
    <n v="120.69"/>
  </r>
  <r>
    <x v="11"/>
    <s v="31/01/2026"/>
    <s v="OSCAR ANTONIO L CEL"/>
    <s v="75079390"/>
    <s v="Mini Kit Mujer 3 piezas- SXO"/>
    <s v="CONSUMIBLE"/>
    <s v="SXO"/>
    <n v="1"/>
    <n v="284.48"/>
  </r>
  <r>
    <x v="11"/>
    <s v="31/01/2026"/>
    <s v="OSCAR ANTONIO L CEL"/>
    <s v="7503013378010"/>
    <s v="Rigidex 2 pzas - DUSA"/>
    <s v="CONSUMIBLE PROPIO"/>
    <s v="DUSA"/>
    <n v="1"/>
    <n v="431.03"/>
  </r>
  <r>
    <x v="11"/>
    <s v="31/01/2026"/>
    <s v="OSCAR ANTONIO L CEL"/>
    <s v="7503032300856"/>
    <s v="Sachet vibrador liquido 2 ml - BANANA SHAKE"/>
    <s v="CONSUMIBLE"/>
    <s v="BANANA SHAKE"/>
    <n v="13"/>
    <n v="224.11999999999998"/>
  </r>
  <r>
    <x v="11"/>
    <s v="31/01/2026"/>
    <s v="OSCAR ANTONIO L CEL"/>
    <s v="7503020596957"/>
    <s v="Shot Shumatsu Fun Hombre - DUSA"/>
    <s v="CONSUMIBLE PROPIO"/>
    <s v="DUSA"/>
    <n v="1"/>
    <n v="172.41"/>
  </r>
  <r>
    <x v="11"/>
    <s v="31/01/2026"/>
    <s v="OSCAR ANTONIO L CEL"/>
    <s v="7350075027840"/>
    <s v="Soraya Wave Magenta - LELO"/>
    <s v="JUGUETE"/>
    <s v="LELO"/>
    <n v="1"/>
    <n v="5862.07"/>
  </r>
  <r>
    <x v="11"/>
    <s v="31/01/2026"/>
    <s v="OSCAR ANTONIO L CEL"/>
    <s v="7503032300443"/>
    <s v="Zoe bala vibradora RETAIL - CXO"/>
    <s v="JUGUETE PROPIO"/>
    <s v="CXO"/>
    <n v="1"/>
    <n v="155.16999999999999"/>
  </r>
  <r>
    <x v="12"/>
    <s v="26/01/2026"/>
    <s v="ANGEL DANILO RODRIGUEZ LOPEZ"/>
    <s v="6959633185476"/>
    <s v="Masturbador Hedy X Confidence – SVAKOM"/>
    <s v="JUGUETE"/>
    <s v="SVAKOM"/>
    <n v="1"/>
    <n v="181.03"/>
  </r>
  <r>
    <x v="12"/>
    <s v="26/01/2026"/>
    <s v="ANGEL DANILO RODRIGUEZ LOPEZ"/>
    <s v="7503050524241"/>
    <s v="Orgasmik 30ml - DUSA"/>
    <s v="CONSUMIBLE PROPIO"/>
    <s v="DUSA"/>
    <n v="1"/>
    <n v="431.03"/>
  </r>
  <r>
    <x v="12"/>
    <s v="26/01/2026"/>
    <s v="ANGEL DANILO RODRIGUEZ LOPEZ"/>
    <s v="7503013378010"/>
    <s v="Rigidex 2 pzas - DUSA"/>
    <s v="CONSUMIBLE PROPIO"/>
    <s v="DUSA"/>
    <n v="1"/>
    <n v="431.03"/>
  </r>
  <r>
    <x v="12"/>
    <s v="26/01/2026"/>
    <s v="ANGEL DANILO RODRIGUEZ LOPEZ"/>
    <s v="7503013378690"/>
    <s v="Shumatsu 3 pzas - DUSA"/>
    <s v="CONSUMIBLE PROPIO"/>
    <s v="DUSA"/>
    <n v="1"/>
    <n v="577.59"/>
  </r>
  <r>
    <x v="12"/>
    <s v="27/01/2026"/>
    <s v="JESáS ULISES PEREZ VARGAS"/>
    <s v="7503014914002"/>
    <s v="CAPSULAS MULTIORGASMICO AMO O-GEN"/>
    <s v="CONSUMIBLE"/>
    <s v="POWER MAN"/>
    <n v="1"/>
    <n v="431.04"/>
  </r>
  <r>
    <x v="12"/>
    <s v="28/01/2026"/>
    <s v="JESáS ULISES PEREZ VARGAS"/>
    <s v="7503043917081"/>
    <s v="Blade rosa anillo vibrador - CXO"/>
    <s v="JUGUETE PROPIO"/>
    <s v="CXO"/>
    <n v="2"/>
    <n v="163.80000000000001"/>
  </r>
  <r>
    <x v="12"/>
    <s v="28/01/2026"/>
    <s v="JESáS ULISES PEREZ VARGAS"/>
    <s v="7503030102198"/>
    <s v="Dildo realista vibrador con ventosa Ulises - CXO"/>
    <s v="JUGUETE PROPIO"/>
    <s v="CXO"/>
    <n v="1"/>
    <n v="2000"/>
  </r>
  <r>
    <x v="12"/>
    <s v="28/01/2026"/>
    <s v="JESáS ULISES PEREZ VARGAS"/>
    <s v="7503013378645"/>
    <s v="Liquid Love Pleasure 100ml - DUSA"/>
    <s v="CONSUMIBLE PROPIO"/>
    <s v="DUSA"/>
    <n v="1"/>
    <n v="775.86"/>
  </r>
  <r>
    <x v="12"/>
    <s v="28/01/2026"/>
    <s v="JESáS ULISES PEREZ VARGAS"/>
    <s v="6959633146972"/>
    <s v="Masturbador Hedy X Experience – SVAKOM"/>
    <s v="JUGUETE"/>
    <s v="SVAKOM"/>
    <n v="1"/>
    <n v="181.03"/>
  </r>
  <r>
    <x v="12"/>
    <s v="28/01/2026"/>
    <s v="JESáS ULISES PEREZ VARGAS"/>
    <s v="ER8158394000"/>
    <s v="SMART BALLS DUO MODELO OVALADO MUESTRA"/>
    <s v="JUGUETE"/>
    <s v="FUN FACTORY"/>
    <n v="1"/>
    <n v="948.28"/>
  </r>
  <r>
    <x v="12"/>
    <s v="28/01/2026"/>
    <s v="JESáS ULISES PEREZ VARGAS"/>
    <s v="7503032300443"/>
    <s v="Zoe bala vibradora RETAIL - CXO"/>
    <s v="JUGUETE PROPIO"/>
    <s v="CXO"/>
    <n v="2"/>
    <n v="310.33999999999997"/>
  </r>
  <r>
    <x v="12"/>
    <s v="29/01/2026"/>
    <s v="JESáS ULISES PEREZ VARGAS"/>
    <s v="7503043917081"/>
    <s v="Blade rosa anillo vibrador - CXO"/>
    <s v="JUGUETE PROPIO"/>
    <s v="CXO"/>
    <n v="1"/>
    <n v="81.900000000000006"/>
  </r>
  <r>
    <x v="12"/>
    <s v="29/01/2026"/>
    <s v="JESáS ULISES PEREZ VARGAS"/>
    <s v="ER6699394000"/>
    <s v="SMART BALLS UNO MODELO OVALADO MUESTRA"/>
    <s v="JUGUETE"/>
    <s v="FUN FACTORY"/>
    <n v="1"/>
    <n v="784.48"/>
  </r>
  <r>
    <x v="12"/>
    <s v="30/01/2026"/>
    <s v="JESáS ULISES PEREZ VARGAS"/>
    <s v="4630017970018"/>
    <s v="Alargador de Pene Titan Gel 50 ml"/>
    <s v="CONSUMIBLE"/>
    <s v="TITAN"/>
    <n v="1"/>
    <n v="594.83000000000004"/>
  </r>
  <r>
    <x v="12"/>
    <s v="30/01/2026"/>
    <s v="JESáS ULISES PEREZ VARGAS"/>
    <s v="7503013378744"/>
    <s v="Anastasia silicon rosa - CXO"/>
    <s v="JUGUETE PROPIO"/>
    <s v="CXO"/>
    <n v="1"/>
    <n v="284.48"/>
  </r>
  <r>
    <x v="12"/>
    <s v="30/01/2026"/>
    <s v="JESáS ULISES PEREZ VARGAS"/>
    <s v="7503030202035"/>
    <s v="Dildo con testiculos y ventosa Mr. Garcia - CXO"/>
    <s v="JUGUETE PROPIO"/>
    <s v="CXO"/>
    <n v="1"/>
    <n v="646.54999999999995"/>
  </r>
  <r>
    <x v="12"/>
    <s v="30/01/2026"/>
    <s v="JESáS ULISES PEREZ VARGAS"/>
    <s v="7500464377302"/>
    <s v="Juego de Cartas Salto del Tigre"/>
    <s v="OTRO"/>
    <s v="SALTO DEL TIGRE"/>
    <n v="2"/>
    <n v="594.82000000000005"/>
  </r>
  <r>
    <x v="12"/>
    <s v="30/01/2026"/>
    <s v="JESáS ULISES PEREZ VARGAS"/>
    <s v="7503043917012"/>
    <s v="Liquid Love Backdoor 30ml - DUSA"/>
    <s v="CONSUMIBLE PROPIO"/>
    <s v="DUSA"/>
    <n v="1"/>
    <n v="301.72000000000003"/>
  </r>
  <r>
    <x v="12"/>
    <s v="30/01/2026"/>
    <s v="JESáS ULISES PEREZ VARGAS"/>
    <s v="7503043917005"/>
    <s v="Liquid Love Clear 30ml - DUSA"/>
    <s v="CONSUMIBLE PROPIO"/>
    <s v="DUSA"/>
    <n v="1"/>
    <n v="301.72000000000003"/>
  </r>
  <r>
    <x v="12"/>
    <s v="30/01/2026"/>
    <s v="JESáS ULISES PEREZ VARGAS"/>
    <s v="7503020596513"/>
    <s v="Liquid Love Natural 20ml - DUSA"/>
    <s v="CONSUMIBLE PROPIO"/>
    <s v="DUSA"/>
    <n v="1"/>
    <n v="258.62"/>
  </r>
  <r>
    <x v="12"/>
    <s v="30/01/2026"/>
    <s v="JESáS ULISES PEREZ VARGAS"/>
    <s v="7503023462921"/>
    <s v="ORAL SEX Beso Irlandes 30ml  - DIAMANTE"/>
    <s v="CONSUMIBLE"/>
    <s v="FEEL LOVE"/>
    <n v="1"/>
    <n v="310.35000000000002"/>
  </r>
  <r>
    <x v="12"/>
    <s v="30/01/2026"/>
    <s v="JESáS ULISES PEREZ VARGAS"/>
    <s v="7503013378690"/>
    <s v="Shumatsu 3 pzas - DUSA"/>
    <s v="CONSUMIBLE PROPIO"/>
    <s v="DUSA"/>
    <n v="1"/>
    <n v="577.59"/>
  </r>
  <r>
    <x v="12"/>
    <s v="30/01/2026"/>
    <s v="JESáS ULISES PEREZ VARGAS"/>
    <s v="CBD"/>
    <s v="SUNNY SIDE UP CBD HIPOALERGENICO 10ml"/>
    <s v="CONSUMIBLE"/>
    <s v="SUNNY SIDE UP"/>
    <n v="1"/>
    <n v="301.72000000000003"/>
  </r>
  <r>
    <x v="12"/>
    <s v="30/01/2026"/>
    <s v="JESáS ULISES PEREZ VARGAS"/>
    <s v="ER10107394000"/>
    <s v="VIBRADOR G MOTION RABBIT WAND MUESTRA"/>
    <s v="JUGUETE"/>
    <s v="ADAM &amp; EVE"/>
    <n v="1"/>
    <n v="3017.24"/>
  </r>
  <r>
    <x v="12"/>
    <s v="31/01/2026"/>
    <s v="JESáS ULISES PEREZ VARGAS"/>
    <s v="7503043917081"/>
    <s v="Blade rosa anillo vibrador - CXO"/>
    <s v="JUGUETE PROPIO"/>
    <s v="CXO"/>
    <n v="1"/>
    <n v="81.900000000000006"/>
  </r>
  <r>
    <x v="12"/>
    <s v="31/01/2026"/>
    <s v="JESáS ULISES PEREZ VARGAS"/>
    <s v="7503013378492"/>
    <s v="Clean Whisper 120ml - DUSA"/>
    <s v="CONSUMIBLE PROPIO"/>
    <s v="DUSA"/>
    <n v="1"/>
    <n v="301.72000000000003"/>
  </r>
  <r>
    <x v="12"/>
    <s v="31/01/2026"/>
    <s v="JESáS ULISES PEREZ VARGAS"/>
    <s v="7503043917012"/>
    <s v="Liquid Love Backdoor 30ml - DUSA"/>
    <s v="CONSUMIBLE PROPIO"/>
    <s v="DUSA"/>
    <n v="1"/>
    <n v="301.72000000000003"/>
  </r>
  <r>
    <x v="12"/>
    <s v="31/01/2026"/>
    <s v="JESáS ULISES PEREZ VARGAS"/>
    <s v="7503013378645"/>
    <s v="Liquid Love Pleasure 100ml - DUSA"/>
    <s v="CONSUMIBLE PROPIO"/>
    <s v="DUSA"/>
    <n v="1"/>
    <n v="775.86"/>
  </r>
  <r>
    <x v="12"/>
    <s v="31/01/2026"/>
    <s v="JESáS ULISES PEREZ VARGAS"/>
    <s v="7503050226162"/>
    <s v="Plug Anal con Vibración y Control Roberto - CXO"/>
    <s v="JUGUETE PROPIO"/>
    <s v="CXO"/>
    <n v="1"/>
    <n v="1293.0999999999999"/>
  </r>
  <r>
    <x v="12"/>
    <s v="31/01/2026"/>
    <s v="JESáS ULISES PEREZ VARGAS"/>
    <s v="7503032300795"/>
    <s v="Sachet lubricante desensibilizador 2 ml - BANANA SHAKE"/>
    <s v="CONSUMIBLE"/>
    <s v="BANANA SHAKE"/>
    <n v="3"/>
    <n v="64.650000000000006"/>
  </r>
  <r>
    <x v="12"/>
    <s v="31/01/2026"/>
    <s v="JESáS ULISES PEREZ VARGAS"/>
    <s v="7503032300856"/>
    <s v="Sachet vibrador liquido 2 ml - BANANA SHAKE"/>
    <s v="CONSUMIBLE"/>
    <s v="BANANA SHAKE"/>
    <n v="3"/>
    <n v="51.72"/>
  </r>
  <r>
    <x v="12"/>
    <s v="31/01/2026"/>
    <s v="JESáS ULISES PEREZ VARGAS"/>
    <s v="7503013378690"/>
    <s v="Shumatsu 3 pzas - DUSA"/>
    <s v="CONSUMIBLE PROPIO"/>
    <s v="DUSA"/>
    <n v="2"/>
    <n v="1155.18"/>
  </r>
  <r>
    <x v="12"/>
    <s v="31/01/2026"/>
    <s v="JESáS ULISES PEREZ VARGAS"/>
    <s v="7503020210517"/>
    <s v="Vibrador tipo c con control remoto rosa Maia - CXO"/>
    <s v="JUGUETE PROPIO"/>
    <s v="CXO"/>
    <n v="1"/>
    <n v="2672.41"/>
  </r>
  <r>
    <x v="13"/>
    <s v="26/01/2026"/>
    <s v="BERTHA SOFIA O BERMEJO"/>
    <s v="7503013378492"/>
    <s v="Clean Whisper 120ml - DUSA"/>
    <s v="CONSUMIBLE PROPIO"/>
    <s v="DUSA"/>
    <n v="1"/>
    <n v="301.72000000000003"/>
  </r>
  <r>
    <x v="13"/>
    <s v="26/01/2026"/>
    <s v="BERTHA SOFIA O BERMEJO"/>
    <s v="7503043917012"/>
    <s v="Liquid Love Backdoor 30ml - DUSA"/>
    <s v="CONSUMIBLE PROPIO"/>
    <s v="DUSA"/>
    <n v="1"/>
    <n v="301.72000000000003"/>
  </r>
  <r>
    <x v="13"/>
    <s v="26/01/2026"/>
    <s v="BERTHA SOFIA O BERMEJO"/>
    <s v="7503050524258"/>
    <s v="Sensicool 30ml - DUSA"/>
    <s v="CONSUMIBLE PROPIO"/>
    <s v="DUSA"/>
    <n v="1"/>
    <n v="431.03"/>
  </r>
  <r>
    <x v="13"/>
    <s v="26/01/2026"/>
    <s v="BERTHA SOFIA O BERMEJO"/>
    <s v="6974122611892"/>
    <s v="Succionador con 7 modos Esther - CXO"/>
    <s v="JUGUETE PROPIO"/>
    <s v="CXO"/>
    <n v="1"/>
    <n v="1853.45"/>
  </r>
  <r>
    <x v="13"/>
    <s v="26/01/2026"/>
    <s v="BERTHA SOFIA O BERMEJO"/>
    <s v="7503032300443"/>
    <s v="Zoe bala vibradora RETAIL - CXO"/>
    <s v="JUGUETE PROPIO"/>
    <s v="CXO"/>
    <n v="1"/>
    <n v="155.16999999999999"/>
  </r>
  <r>
    <x v="13"/>
    <s v="27/01/2026"/>
    <s v="BERTHA SOFIA O BERMEJO"/>
    <s v="7503013378010"/>
    <s v="Rigidex 2 pzas - DUSA"/>
    <s v="CONSUMIBLE PROPIO"/>
    <s v="DUSA"/>
    <n v="1"/>
    <n v="431.03"/>
  </r>
  <r>
    <x v="13"/>
    <s v="28/01/2026"/>
    <s v="BERTHA SOFIA O BERMEJO"/>
    <s v="7503013378386"/>
    <s v="Anillo de Acero Plano - CXO"/>
    <s v="JUGUETE PROPIO"/>
    <s v="CXO"/>
    <n v="1"/>
    <n v="168.1"/>
  </r>
  <r>
    <x v="13"/>
    <s v="28/01/2026"/>
    <s v="BERTHA SOFIA O BERMEJO"/>
    <s v="7502214980077"/>
    <s v="CONDON TRUST FRESA CON 3 MAQ - PRUDENCE"/>
    <s v="CONSUMIBLE"/>
    <s v="PRUDENCE"/>
    <n v="2"/>
    <n v="155.16999999999999"/>
  </r>
  <r>
    <x v="13"/>
    <s v="28/01/2026"/>
    <s v="BERTHA SOFIA O BERMEJO"/>
    <s v="7502214982811"/>
    <s v="Condones Mix Sabor y Aroma 5 pzs - PRUDENCE"/>
    <s v="CONSUMIBLE"/>
    <s v="PRUDENCE"/>
    <n v="1"/>
    <n v="77.59"/>
  </r>
  <r>
    <x v="13"/>
    <s v="28/01/2026"/>
    <s v="BERTHA SOFIA O BERMEJO"/>
    <s v="7503024256154"/>
    <s v="Lubricante Body Surf Termico Cereza DUSA 60ml"/>
    <s v="CONSUMIBLE PROPIO"/>
    <s v="DUSA"/>
    <n v="1"/>
    <n v="387.93"/>
  </r>
  <r>
    <x v="13"/>
    <s v="28/01/2026"/>
    <s v="BERTHA SOFIA O BERMEJO"/>
    <s v="7503013378799"/>
    <s v="Lubricante Body Surf Termico Citricos DUSA 60ml"/>
    <s v="CONSUMIBLE PROPIO"/>
    <s v="DUSA"/>
    <n v="1"/>
    <n v="387.93"/>
  </r>
  <r>
    <x v="13"/>
    <s v="29/01/2026"/>
    <s v="BERTHA SOFIA O BERMEJO"/>
    <s v="7502214982576"/>
    <s v="CONDON PRUDENCE SABOR Y AROMA EXTRA FUERTE"/>
    <s v="CONSUMIBLE"/>
    <s v="PRUDENCE"/>
    <n v="1"/>
    <n v="77.59"/>
  </r>
  <r>
    <x v="13"/>
    <s v="29/01/2026"/>
    <s v="BERTHA SOFIA O BERMEJO"/>
    <s v="7503013378690"/>
    <s v="Shumatsu 3 pzas - DUSA"/>
    <s v="CONSUMIBLE PROPIO"/>
    <s v="DUSA"/>
    <n v="3"/>
    <n v="1732.77"/>
  </r>
  <r>
    <x v="13"/>
    <s v="29/01/2026"/>
    <s v="BERTHA SOFIA O BERMEJO"/>
    <s v="7503032300443"/>
    <s v="Zoe bala vibradora RETAIL - CXO"/>
    <s v="JUGUETE PROPIO"/>
    <s v="CXO"/>
    <n v="1"/>
    <n v="155.16999999999999"/>
  </r>
  <r>
    <x v="13"/>
    <s v="30/01/2026"/>
    <s v="BERTHA SOFIA O BERMEJO"/>
    <s v="7503020111071"/>
    <s v="Anillo vibrador Hank gris con 10 velocidades – CXO"/>
    <s v="JUGUETE PROPIO"/>
    <s v="CXO"/>
    <n v="1"/>
    <n v="1267.24"/>
  </r>
  <r>
    <x v="13"/>
    <s v="30/01/2026"/>
    <s v="BERTHA SOFIA O BERMEJO"/>
    <s v="7503013378492"/>
    <s v="Clean Whisper 120ml - DUSA"/>
    <s v="CONSUMIBLE PROPIO"/>
    <s v="DUSA"/>
    <n v="1"/>
    <n v="301.72000000000003"/>
  </r>
  <r>
    <x v="13"/>
    <s v="30/01/2026"/>
    <s v="BERTHA SOFIA O BERMEJO"/>
    <s v="7503030102034"/>
    <s v="Dildo vibrador con control Anthony - CXO"/>
    <s v="JUGUETE PROPIO"/>
    <s v="CXO"/>
    <n v="1"/>
    <n v="2112.0700000000002"/>
  </r>
  <r>
    <x v="13"/>
    <s v="30/01/2026"/>
    <s v="BERTHA SOFIA O BERMEJO"/>
    <s v="MBS0530"/>
    <s v="Esposas de broche - CXO"/>
    <s v="JUGUETE PROPIO"/>
    <s v="CXO"/>
    <n v="1"/>
    <n v="172.41"/>
  </r>
  <r>
    <x v="13"/>
    <s v="30/01/2026"/>
    <s v="BERTHA SOFIA O BERMEJO"/>
    <s v="7503043917005"/>
    <s v="Liquid Love Clear 30ml - DUSA"/>
    <s v="CONSUMIBLE PROPIO"/>
    <s v="DUSA"/>
    <n v="1"/>
    <n v="301.72000000000003"/>
  </r>
  <r>
    <x v="13"/>
    <s v="30/01/2026"/>
    <s v="BERTHA SOFIA O BERMEJO"/>
    <s v="75079413"/>
    <s v="Mini Kit Hombre 3 piezas - SXO"/>
    <s v="CONSUMIBLE"/>
    <s v="SXO"/>
    <n v="1"/>
    <n v="284.48"/>
  </r>
  <r>
    <x v="13"/>
    <s v="30/01/2026"/>
    <s v="BERTHA SOFIA O BERMEJO"/>
    <s v="75079390"/>
    <s v="Mini Kit Mujer 3 piezas- SXO"/>
    <s v="CONSUMIBLE"/>
    <s v="SXO"/>
    <n v="1"/>
    <n v="284.48"/>
  </r>
  <r>
    <x v="13"/>
    <s v="30/01/2026"/>
    <s v="BERTHA SOFIA O BERMEJO"/>
    <s v="7503050524241"/>
    <s v="Orgasmik 30ml - DUSA"/>
    <s v="CONSUMIBLE PROPIO"/>
    <s v="DUSA"/>
    <n v="1"/>
    <n v="431.03"/>
  </r>
  <r>
    <x v="13"/>
    <s v="30/01/2026"/>
    <s v="BERTHA SOFIA O BERMEJO"/>
    <s v="7503013378690"/>
    <s v="Shumatsu 3 pzas - DUSA"/>
    <s v="CONSUMIBLE PROPIO"/>
    <s v="DUSA"/>
    <n v="1"/>
    <n v="577.59"/>
  </r>
  <r>
    <x v="13"/>
    <s v="30/01/2026"/>
    <s v="BERTHA SOFIA O BERMEJO"/>
    <s v="7503032300443"/>
    <s v="Zoe bala vibradora RETAIL - CXO"/>
    <s v="JUGUETE PROPIO"/>
    <s v="CXO"/>
    <n v="1"/>
    <n v="155.16999999999999"/>
  </r>
  <r>
    <x v="13"/>
    <s v="31/01/2026"/>
    <s v="BERTHA SOFIA O BERMEJO"/>
    <s v="7503043917081"/>
    <s v="Blade rosa anillo vibrador - CXO"/>
    <s v="JUGUETE PROPIO"/>
    <s v="CXO"/>
    <n v="1"/>
    <n v="81.900000000000006"/>
  </r>
  <r>
    <x v="13"/>
    <s v="31/01/2026"/>
    <s v="BERTHA SOFIA O BERMEJO"/>
    <s v="7503043917012"/>
    <s v="Liquid Love Backdoor 30ml - DUSA"/>
    <s v="CONSUMIBLE PROPIO"/>
    <s v="DUSA"/>
    <n v="1"/>
    <n v="301.72000000000003"/>
  </r>
  <r>
    <x v="13"/>
    <s v="31/01/2026"/>
    <s v="BERTHA SOFIA O BERMEJO"/>
    <s v="7503032300856"/>
    <s v="Sachet vibrador liquido 2 ml - BANANA SHAKE"/>
    <s v="CONSUMIBLE"/>
    <s v="BANANA SHAKE"/>
    <n v="3"/>
    <n v="51.72"/>
  </r>
  <r>
    <x v="13"/>
    <s v="31/01/2026"/>
    <s v="BERTHA SOFIA O BERMEJO"/>
    <s v="7503032300443"/>
    <s v="Zoe bala vibradora RETAIL - CXO"/>
    <s v="JUGUETE PROPIO"/>
    <s v="CXO"/>
    <n v="4"/>
    <n v="620.67999999999995"/>
  </r>
  <r>
    <x v="14"/>
    <s v="26/01/2026"/>
    <s v="FATIMA CAROLINA  VALENCIA ENRIQUEZ"/>
    <s v="7503024256734"/>
    <s v="Cola de Zorro 45cm blanco M - CXO"/>
    <s v="JUGUETE PROPIO"/>
    <s v="CXO"/>
    <n v="1"/>
    <n v="301.72000000000003"/>
  </r>
  <r>
    <x v="14"/>
    <s v="26/01/2026"/>
    <s v="FATIMA CAROLINA  VALENCIA ENRIQUEZ"/>
    <s v="GWPS_BANANASHAKE_001"/>
    <s v="Lub de Regalo - Banana Shake"/>
    <s v="ACTIVACION"/>
    <s v="BANANA SHAKE"/>
    <n v="2"/>
    <n v="0.02"/>
  </r>
  <r>
    <x v="14"/>
    <s v="26/01/2026"/>
    <s v="FATIMA CAROLINA  VALENCIA ENRIQUEZ"/>
    <s v="7503032300825"/>
    <s v="Lubricante Sachet natural 2 ml - BANANA SHAKE"/>
    <s v="CONSUMIBLE"/>
    <s v="BANANA SHAKE"/>
    <n v="1"/>
    <n v="17.239999999999998"/>
  </r>
  <r>
    <x v="14"/>
    <s v="26/01/2026"/>
    <s v="FATIMA CAROLINA  VALENCIA ENRIQUEZ"/>
    <s v="7503032300795"/>
    <s v="Sachet lubricante desensibilizador 2 ml - BANANA SHAKE"/>
    <s v="CONSUMIBLE"/>
    <s v="BANANA SHAKE"/>
    <n v="1"/>
    <n v="21.55"/>
  </r>
  <r>
    <x v="14"/>
    <s v="26/01/2026"/>
    <s v="FATIMA CAROLINA  VALENCIA ENRIQUEZ"/>
    <s v="7503013378690"/>
    <s v="Shumatsu 3 pzas - DUSA"/>
    <s v="CONSUMIBLE PROPIO"/>
    <s v="DUSA"/>
    <n v="4"/>
    <n v="2310.36"/>
  </r>
  <r>
    <x v="14"/>
    <s v="27/01/2026"/>
    <s v="FATIMA CAROLINA  VALENCIA ENRIQUEZ"/>
    <s v="7508304288917"/>
    <s v="Aceite de Almendras 130ml EROTICA -DIAMANTE"/>
    <s v="CONSUMIBLE"/>
    <s v="DIAMANTE"/>
    <n v="1"/>
    <n v="448.28"/>
  </r>
  <r>
    <x v="14"/>
    <s v="27/01/2026"/>
    <s v="FATIMA CAROLINA  VALENCIA ENRIQUEZ"/>
    <s v="7503043917081"/>
    <s v="Blade rosa anillo vibrador - CXO"/>
    <s v="JUGUETE PROPIO"/>
    <s v="CXO"/>
    <n v="1"/>
    <n v="81.900000000000006"/>
  </r>
  <r>
    <x v="14"/>
    <s v="27/01/2026"/>
    <s v="FATIMA CAROLINA  VALENCIA ENRIQUEZ"/>
    <s v="7503043917012"/>
    <s v="Liquid Love Backdoor 30ml - DUSA"/>
    <s v="CONSUMIBLE PROPIO"/>
    <s v="DUSA"/>
    <n v="1"/>
    <n v="301.72000000000003"/>
  </r>
  <r>
    <x v="14"/>
    <s v="27/01/2026"/>
    <s v="FATIMA CAROLINA  VALENCIA ENRIQUEZ"/>
    <s v="7503013378645"/>
    <s v="Liquid Love Pleasure 100ml - DUSA"/>
    <s v="CONSUMIBLE PROPIO"/>
    <s v="DUSA"/>
    <n v="1"/>
    <n v="775.86"/>
  </r>
  <r>
    <x v="14"/>
    <s v="27/01/2026"/>
    <s v="FATIMA CAROLINA  VALENCIA ENRIQUEZ"/>
    <s v="GWPS_BANANASHAKE_001"/>
    <s v="Lub de Regalo - Banana Shake"/>
    <s v="ACTIVACION"/>
    <s v="BANANA SHAKE"/>
    <n v="1"/>
    <n v="0.01"/>
  </r>
  <r>
    <x v="14"/>
    <s v="27/01/2026"/>
    <s v="FATIMA CAROLINA  VALENCIA ENRIQUEZ"/>
    <s v="7503023462235"/>
    <s v="Lubricante Masaje Térmico Comestible Piña Colada FEEL LOVE 4 en 1 - 60ml"/>
    <s v="LUBRICANTE"/>
    <s v="FEEL LOVE"/>
    <n v="1"/>
    <n v="344.83"/>
  </r>
  <r>
    <x v="14"/>
    <s v="27/01/2026"/>
    <s v="FATIMA CAROLINA  VALENCIA ENRIQUEZ"/>
    <s v="7503020596957"/>
    <s v="Shot Shumatsu Fun Hombre - DUSA"/>
    <s v="CONSUMIBLE PROPIO"/>
    <s v="DUSA"/>
    <n v="1"/>
    <n v="172.41"/>
  </r>
  <r>
    <x v="14"/>
    <s v="27/01/2026"/>
    <s v="FATIMA CAROLINA  VALENCIA ENRIQUEZ"/>
    <s v="7503013378690"/>
    <s v="Shumatsu 3 pzas - DUSA"/>
    <s v="CONSUMIBLE PROPIO"/>
    <s v="DUSA"/>
    <n v="2"/>
    <n v="1155.18"/>
  </r>
  <r>
    <x v="14"/>
    <s v="27/01/2026"/>
    <s v="FATIMA CAROLINA  VALENCIA ENRIQUEZ"/>
    <s v="7503020104212"/>
    <s v="Vibrador multiorgasmico con aleta estimuladora Megan - CXO"/>
    <s v="JUGUETE PROPIO"/>
    <s v="CXO"/>
    <n v="1"/>
    <n v="2413.79"/>
  </r>
  <r>
    <x v="14"/>
    <s v="28/01/2026"/>
    <s v="FATIMA CAROLINA  VALENCIA ENRIQUEZ"/>
    <s v="7503032300511"/>
    <s v="Cola de Zorro 45cm rosa M - CXO"/>
    <s v="JUGUETE PROPIO"/>
    <s v="CXO"/>
    <n v="1"/>
    <n v="301.72000000000003"/>
  </r>
  <r>
    <x v="14"/>
    <s v="28/01/2026"/>
    <s v="FATIMA CAROLINA  VALENCIA ENRIQUEZ"/>
    <s v="7503043917005"/>
    <s v="Liquid Love Clear 30ml - DUSA"/>
    <s v="CONSUMIBLE PROPIO"/>
    <s v="DUSA"/>
    <n v="1"/>
    <n v="301.72000000000003"/>
  </r>
  <r>
    <x v="14"/>
    <s v="28/01/2026"/>
    <s v="FATIMA CAROLINA  VALENCIA ENRIQUEZ"/>
    <s v="7503013378645"/>
    <s v="Liquid Love Pleasure 100ml - DUSA"/>
    <s v="CONSUMIBLE PROPIO"/>
    <s v="DUSA"/>
    <n v="2"/>
    <n v="1551.72"/>
  </r>
  <r>
    <x v="14"/>
    <s v="28/01/2026"/>
    <s v="FATIMA CAROLINA  VALENCIA ENRIQUEZ"/>
    <s v="7503023462204"/>
    <s v="Lubricante Masaje Térmico Comestible Manzana del Edén FEEL LOVE 4 en 1 - 60ml"/>
    <s v="LUBRICANTE"/>
    <s v="FEEL LOVE"/>
    <n v="1"/>
    <n v="344.83"/>
  </r>
  <r>
    <x v="14"/>
    <s v="28/01/2026"/>
    <s v="FATIMA CAROLINA  VALENCIA ENRIQUEZ"/>
    <s v="7503013378010"/>
    <s v="Rigidex 2 pzas - DUSA"/>
    <s v="CONSUMIBLE PROPIO"/>
    <s v="DUSA"/>
    <n v="1"/>
    <n v="431.03"/>
  </r>
  <r>
    <x v="14"/>
    <s v="28/01/2026"/>
    <s v="FATIMA CAROLINA  VALENCIA ENRIQUEZ"/>
    <s v="7503032300856"/>
    <s v="Sachet vibrador liquido 2 ml - BANANA SHAKE"/>
    <s v="CONSUMIBLE"/>
    <s v="BANANA SHAKE"/>
    <n v="1"/>
    <n v="17.239999999999998"/>
  </r>
  <r>
    <x v="14"/>
    <s v="28/01/2026"/>
    <s v="FATIMA CAROLINA  VALENCIA ENRIQUEZ"/>
    <s v="7503013378690"/>
    <s v="Shumatsu 3 pzas - DUSA"/>
    <s v="CONSUMIBLE PROPIO"/>
    <s v="DUSA"/>
    <n v="1"/>
    <n v="577.59"/>
  </r>
  <r>
    <x v="14"/>
    <s v="29/01/2026"/>
    <s v="FATIMA CAROLINA  VALENCIA ENRIQUEZ"/>
    <s v="7503013378409"/>
    <s v="Anillo de Acero Grueso - CXO"/>
    <s v="JUGUETE PROPIO"/>
    <s v="CXO"/>
    <n v="1"/>
    <n v="474.14"/>
  </r>
  <r>
    <x v="14"/>
    <s v="29/01/2026"/>
    <s v="FATIMA CAROLINA  VALENCIA ENRIQUEZ"/>
    <s v="7503043917036"/>
    <s v="Arnes universal de argolla negro - CXO"/>
    <s v="JUGUETE PROPIO"/>
    <s v="CXO"/>
    <n v="1"/>
    <n v="474.14"/>
  </r>
  <r>
    <x v="14"/>
    <s v="29/01/2026"/>
    <s v="FATIMA CAROLINA  VALENCIA ENRIQUEZ"/>
    <s v="7502214982514"/>
    <s v="Condon Chocolate 3 pzs - PRUDENCE"/>
    <s v="CONSUMIBLE"/>
    <s v="PRUDENCE"/>
    <n v="1"/>
    <n v="60.34"/>
  </r>
  <r>
    <x v="14"/>
    <s v="29/01/2026"/>
    <s v="FATIMA CAROLINA  VALENCIA ENRIQUEZ"/>
    <s v="7503020202214"/>
    <s v="Dildo realista con ventosa y testiculos Eddy - CXO"/>
    <s v="JUGUETE PROPIO"/>
    <s v="CXO"/>
    <n v="1"/>
    <n v="948.28"/>
  </r>
  <r>
    <x v="14"/>
    <s v="29/01/2026"/>
    <s v="FATIMA CAROLINA  VALENCIA ENRIQUEZ"/>
    <s v="7503030103028"/>
    <s v="Huevito vibrador con control a distancia Daniela - CXO"/>
    <s v="JUGUETE PROPIO"/>
    <s v="CXO"/>
    <n v="1"/>
    <n v="1500"/>
  </r>
  <r>
    <x v="14"/>
    <s v="29/01/2026"/>
    <s v="FATIMA CAROLINA  VALENCIA ENRIQUEZ"/>
    <s v="GWPS_BANANASHAKE_001"/>
    <s v="Lub de Regalo - Banana Shake"/>
    <s v="ACTIVACION"/>
    <s v="BANANA SHAKE"/>
    <n v="3"/>
    <n v="0.03"/>
  </r>
  <r>
    <x v="14"/>
    <s v="29/01/2026"/>
    <s v="FATIMA CAROLINA  VALENCIA ENRIQUEZ"/>
    <s v="7503023462198"/>
    <s v="Lubricante Masaje Térmico Comestible Plátano Excitante FEEL LOVE 4 en 1 - 60ml"/>
    <s v="LUBRICANTE"/>
    <s v="FEEL LOVE"/>
    <n v="1"/>
    <n v="344.83"/>
  </r>
  <r>
    <x v="14"/>
    <s v="29/01/2026"/>
    <s v="FATIMA CAROLINA  VALENCIA ENRIQUEZ"/>
    <s v="7503032300856"/>
    <s v="Sachet vibrador liquido 2 ml - BANANA SHAKE"/>
    <s v="CONSUMIBLE"/>
    <s v="BANANA SHAKE"/>
    <n v="1"/>
    <n v="17.239999999999998"/>
  </r>
  <r>
    <x v="14"/>
    <s v="29/01/2026"/>
    <s v="FATIMA CAROLINA  VALENCIA ENRIQUEZ"/>
    <s v="7503024256192"/>
    <s v="Shot Shumatsu Fun Mujer - DUSA"/>
    <s v="CONSUMIBLE PROPIO"/>
    <s v="DUSA"/>
    <n v="1"/>
    <n v="172.41"/>
  </r>
  <r>
    <x v="14"/>
    <s v="30/01/2026"/>
    <s v="FATIMA CAROLINA  VALENCIA ENRIQUEZ"/>
    <s v="7503050226138"/>
    <s v="Body Abri - OLA MOU"/>
    <s v="LENCERIA"/>
    <s v="OLA MOU"/>
    <n v="1"/>
    <n v="465.52"/>
  </r>
  <r>
    <x v="14"/>
    <s v="30/01/2026"/>
    <s v="FATIMA CAROLINA  VALENCIA ENRIQUEZ"/>
    <s v="7503013378645"/>
    <s v="Liquid Love Pleasure 100ml - DUSA"/>
    <s v="CONSUMIBLE PROPIO"/>
    <s v="DUSA"/>
    <n v="1"/>
    <n v="775.86"/>
  </r>
  <r>
    <x v="14"/>
    <s v="30/01/2026"/>
    <s v="FATIMA CAROLINA  VALENCIA ENRIQUEZ"/>
    <s v="7503023462235"/>
    <s v="Lubricante Masaje Térmico Comestible Piña Colada FEEL LOVE 4 en 1 - 60ml"/>
    <s v="LUBRICANTE"/>
    <s v="FEEL LOVE"/>
    <n v="1"/>
    <n v="344.83"/>
  </r>
  <r>
    <x v="14"/>
    <s v="30/01/2026"/>
    <s v="FATIMA CAROLINA  VALENCIA ENRIQUEZ"/>
    <s v="7503020596957"/>
    <s v="Shot Shumatsu Fun Hombre - DUSA"/>
    <s v="CONSUMIBLE PROPIO"/>
    <s v="DUSA"/>
    <n v="7"/>
    <n v="1206.8700000000001"/>
  </r>
  <r>
    <x v="14"/>
    <s v="30/01/2026"/>
    <s v="FATIMA CAROLINA  VALENCIA ENRIQUEZ"/>
    <s v="7503024256192"/>
    <s v="Shot Shumatsu Fun Mujer - DUSA"/>
    <s v="CONSUMIBLE PROPIO"/>
    <s v="DUSA"/>
    <n v="1"/>
    <n v="172.41"/>
  </r>
  <r>
    <x v="14"/>
    <s v="30/01/2026"/>
    <s v="FATIMA CAROLINA  VALENCIA ENRIQUEZ"/>
    <s v="7503013378690"/>
    <s v="Shumatsu 3 pzas - DUSA"/>
    <s v="CONSUMIBLE PROPIO"/>
    <s v="DUSA"/>
    <n v="1"/>
    <n v="577.59"/>
  </r>
  <r>
    <x v="14"/>
    <s v="31/01/2026"/>
    <s v="ALFONSO  M CARBALLAR"/>
    <s v="7503020596056"/>
    <s v="He Plus - DUSA"/>
    <s v="CONSUMIBLE PROPIO"/>
    <s v="DUSA"/>
    <n v="1"/>
    <n v="431.03"/>
  </r>
  <r>
    <x v="14"/>
    <s v="31/01/2026"/>
    <s v="ALFONSO  M CARBALLAR"/>
    <s v="6959633156094"/>
    <s v="Robin - SVAKOM"/>
    <s v="JUGUETE"/>
    <s v="SVAKOM"/>
    <n v="1"/>
    <n v="1318.97"/>
  </r>
  <r>
    <x v="14"/>
    <s v="31/01/2026"/>
    <s v="ALFONSO  M CARBALLAR"/>
    <s v="7503013378690"/>
    <s v="Shumatsu 3 pzas - DUSA"/>
    <s v="CONSUMIBLE PROPIO"/>
    <s v="DUSA"/>
    <n v="1"/>
    <n v="577.59"/>
  </r>
  <r>
    <x v="15"/>
    <s v="26/01/2026"/>
    <s v="NICOLAS H ACEVES"/>
    <s v="7503043917081"/>
    <s v="Blade rosa anillo vibrador - CXO"/>
    <s v="JUGUETE PROPIO"/>
    <s v="CXO"/>
    <n v="2"/>
    <n v="163.80000000000001"/>
  </r>
  <r>
    <x v="15"/>
    <s v="26/01/2026"/>
    <s v="NICOLAS H ACEVES"/>
    <s v="7503050226138"/>
    <s v="Body Abri - OLA MOU"/>
    <s v="LENCERIA"/>
    <s v="OLA MOU"/>
    <n v="1"/>
    <n v="465.52"/>
  </r>
  <r>
    <x v="15"/>
    <s v="26/01/2026"/>
    <s v="NICOLAS H ACEVES"/>
    <s v="7503030202035"/>
    <s v="Dildo con testiculos y ventosa Mr. Garcia - CXO"/>
    <s v="JUGUETE PROPIO"/>
    <s v="CXO"/>
    <n v="1"/>
    <n v="646.54999999999995"/>
  </r>
  <r>
    <x v="15"/>
    <s v="26/01/2026"/>
    <s v="NICOLAS H ACEVES"/>
    <s v="7503032300993"/>
    <s v="Liquid Love Pleasure 30ml - DUSA"/>
    <s v="CONSUMIBLE PROPIO"/>
    <s v="DUSA"/>
    <n v="1"/>
    <n v="301.72000000000003"/>
  </r>
  <r>
    <x v="15"/>
    <s v="27/01/2026"/>
    <s v="ALFONSO  M CARBALLAR"/>
    <s v="7503013378645"/>
    <s v="Liquid Love Pleasure 100ml - DUSA"/>
    <s v="CONSUMIBLE PROPIO"/>
    <s v="DUSA"/>
    <n v="1"/>
    <n v="775.86"/>
  </r>
  <r>
    <x v="15"/>
    <s v="27/01/2026"/>
    <s v="ALFONSO  M CARBALLAR"/>
    <s v="7503050524241"/>
    <s v="Orgasmik 30ml - DUSA"/>
    <s v="CONSUMIBLE PROPIO"/>
    <s v="DUSA"/>
    <n v="1"/>
    <n v="431.03"/>
  </r>
  <r>
    <x v="15"/>
    <s v="27/01/2026"/>
    <s v="ALFONSO  M CARBALLAR"/>
    <s v="7503013378690"/>
    <s v="Shumatsu 3 pzas - DUSA"/>
    <s v="CONSUMIBLE PROPIO"/>
    <s v="DUSA"/>
    <n v="1"/>
    <n v="577.59"/>
  </r>
  <r>
    <x v="15"/>
    <s v="28/01/2026"/>
    <s v="NICOLAS H ACEVES"/>
    <s v="ENFOLA0027719"/>
    <s v="Disfraz Enfermera - OLA MOU"/>
    <s v="LENCERIA"/>
    <s v="OLA MOU"/>
    <n v="1"/>
    <n v="508.62"/>
  </r>
  <r>
    <x v="15"/>
    <s v="29/01/2026"/>
    <s v="ANGEL DANILO RODRIGUEZ LOPEZ"/>
    <s v="4251460615655"/>
    <s v="Bond Charcoal Black - WE VIBE"/>
    <s v="JUGUETE"/>
    <s v="WE VIBE"/>
    <n v="1"/>
    <n v="4137.93"/>
  </r>
  <r>
    <x v="15"/>
    <s v="29/01/2026"/>
    <s v="ANGEL DANILO RODRIGUEZ LOPEZ"/>
    <s v="7503014914002"/>
    <s v="CAPSULAS MULTIORGASMICO AMO O-GEN"/>
    <s v="CONSUMIBLE"/>
    <s v="POWER MAN"/>
    <n v="2"/>
    <n v="862.08"/>
  </r>
  <r>
    <x v="15"/>
    <s v="29/01/2026"/>
    <s v="ANGEL DANILO RODRIGUEZ LOPEZ"/>
    <s v="7503043917012"/>
    <s v="Liquid Love Backdoor 30ml - DUSA"/>
    <s v="CONSUMIBLE PROPIO"/>
    <s v="DUSA"/>
    <n v="1"/>
    <n v="301.72000000000003"/>
  </r>
  <r>
    <x v="15"/>
    <s v="29/01/2026"/>
    <s v="ANGEL DANILO RODRIGUEZ LOPEZ"/>
    <s v="7503013378645"/>
    <s v="Liquid Love Pleasure 100ml - DUSA"/>
    <s v="CONSUMIBLE PROPIO"/>
    <s v="DUSA"/>
    <n v="1"/>
    <n v="775.86"/>
  </r>
  <r>
    <x v="15"/>
    <s v="29/01/2026"/>
    <s v="ANGEL DANILO RODRIGUEZ LOPEZ"/>
    <s v="6959633185476"/>
    <s v="Masturbador Hedy X Confidence – SVAKOM"/>
    <s v="JUGUETE"/>
    <s v="SVAKOM"/>
    <n v="1"/>
    <n v="181.03"/>
  </r>
  <r>
    <x v="15"/>
    <s v="29/01/2026"/>
    <s v="ANGEL DANILO RODRIGUEZ LOPEZ"/>
    <s v="6959633189726"/>
    <s v="Masturbador Hedy X Control – SVAKOM"/>
    <s v="JUGUETE"/>
    <s v="SVAKOM"/>
    <n v="1"/>
    <n v="181.03"/>
  </r>
  <r>
    <x v="15"/>
    <s v="29/01/2026"/>
    <s v="ANGEL DANILO RODRIGUEZ LOPEZ"/>
    <s v="6959633146972"/>
    <s v="Masturbador Hedy X Experience – SVAKOM"/>
    <s v="JUGUETE"/>
    <s v="SVAKOM"/>
    <n v="1"/>
    <n v="181.03"/>
  </r>
  <r>
    <x v="15"/>
    <s v="29/01/2026"/>
    <s v="ANGEL DANILO RODRIGUEZ LOPEZ"/>
    <s v="6959633185940"/>
    <s v="Masturbador Hedy X Reaction – SVAKOM"/>
    <s v="JUGUETE"/>
    <s v="SVAKOM"/>
    <n v="1"/>
    <n v="181.03"/>
  </r>
  <r>
    <x v="15"/>
    <s v="29/01/2026"/>
    <s v="ANGEL DANILO RODRIGUEZ LOPEZ"/>
    <s v="6959633183120"/>
    <s v="Masturbador Hedy X Speed – SVAKOM"/>
    <s v="JUGUETE"/>
    <s v="SVAKOM"/>
    <n v="1"/>
    <n v="181.03"/>
  </r>
  <r>
    <x v="15"/>
    <s v="29/01/2026"/>
    <s v="ANGEL DANILO RODRIGUEZ LOPEZ"/>
    <s v="7503013378690"/>
    <s v="Shumatsu 3 pzas - DUSA"/>
    <s v="CONSUMIBLE PROPIO"/>
    <s v="DUSA"/>
    <n v="1"/>
    <n v="577.59"/>
  </r>
  <r>
    <x v="15"/>
    <s v="29/01/2026"/>
    <s v="ANGEL DANILO RODRIGUEZ LOPEZ"/>
    <s v="7350075028632"/>
    <s v="Tiani Harmony Black -LELO"/>
    <s v="JUGUETE"/>
    <s v="LELO"/>
    <n v="1"/>
    <n v="5172.41"/>
  </r>
  <r>
    <x v="15"/>
    <s v="29/01/2026"/>
    <s v="ANGEL DANILO RODRIGUEZ LOPEZ"/>
    <s v="4630017971008"/>
    <s v="Titan gel original - TITAN"/>
    <s v="CONSUMIBLE"/>
    <s v="TITAN"/>
    <n v="1"/>
    <n v="517.24"/>
  </r>
  <r>
    <x v="15"/>
    <s v="29/01/2026"/>
    <s v="ANGEL DANILO RODRIGUEZ LOPEZ"/>
    <s v="7503010217048"/>
    <s v="Vela para masaje rose - DUSA"/>
    <s v="CONSUMIBLE PROPIO"/>
    <s v="DUSA"/>
    <n v="1"/>
    <n v="241.38"/>
  </r>
  <r>
    <x v="15"/>
    <s v="30/01/2026"/>
    <s v="NICOLAS H ACEVES"/>
    <s v="7503043917081"/>
    <s v="Blade rosa anillo vibrador - CXO"/>
    <s v="JUGUETE PROPIO"/>
    <s v="CXO"/>
    <n v="2"/>
    <n v="163.80000000000001"/>
  </r>
  <r>
    <x v="15"/>
    <s v="30/01/2026"/>
    <s v="NICOLAS H ACEVES"/>
    <s v="7503013378652"/>
    <s v="Liquid Love Backdoor 100ml - DUSA"/>
    <s v="CONSUMIBLE PROPIO"/>
    <s v="DUSA"/>
    <n v="1"/>
    <n v="1077.5899999999999"/>
  </r>
  <r>
    <x v="15"/>
    <s v="30/01/2026"/>
    <s v="NICOLAS H ACEVES"/>
    <s v="827160112073"/>
    <s v="Lubricante Basic Silicone  100ml - PJUR"/>
    <s v="CONSUMIBLE"/>
    <s v="PJUR"/>
    <n v="1"/>
    <n v="620.69000000000005"/>
  </r>
  <r>
    <x v="15"/>
    <s v="30/01/2026"/>
    <s v="NICOLAS H ACEVES"/>
    <s v="7503032300443"/>
    <s v="Zoe bala vibradora RETAIL - CXO"/>
    <s v="JUGUETE PROPIO"/>
    <s v="CXO"/>
    <n v="2"/>
    <n v="310.33999999999997"/>
  </r>
  <r>
    <x v="15"/>
    <s v="31/01/2026"/>
    <s v="NICOLAS H ACEVES"/>
    <s v="7503043917081"/>
    <s v="Blade rosa anillo vibrador - CXO"/>
    <s v="JUGUETE PROPIO"/>
    <s v="CXO"/>
    <n v="1"/>
    <n v="81.900000000000006"/>
  </r>
  <r>
    <x v="15"/>
    <s v="31/01/2026"/>
    <s v="NICOLAS H ACEVES"/>
    <s v="7503050226135"/>
    <s v="Body Julia - OLA MOU"/>
    <s v="LENCERIA"/>
    <s v="OLA MOU"/>
    <n v="1"/>
    <n v="517.24"/>
  </r>
  <r>
    <x v="15"/>
    <s v="31/01/2026"/>
    <s v="NICOLAS H ACEVES"/>
    <s v="7503014914002"/>
    <s v="CAPSULAS MULTIORGASMICO AMO O-GEN"/>
    <s v="CONSUMIBLE"/>
    <s v="POWER MAN"/>
    <n v="2"/>
    <n v="862.08"/>
  </r>
  <r>
    <x v="15"/>
    <s v="31/01/2026"/>
    <s v="NICOLAS H ACEVES"/>
    <s v="ROMOLA00262FY"/>
    <s v="Conjunto Romi - OLA MOU"/>
    <s v="LENCERIA"/>
    <s v="OLA MOU"/>
    <n v="1"/>
    <n v="560.34"/>
  </r>
  <r>
    <x v="15"/>
    <s v="31/01/2026"/>
    <s v="NICOLAS H ACEVES"/>
    <s v="7503020202213"/>
    <s v="Dildo realista con ventosa Nick - CXO"/>
    <s v="JUGUETE PROPIO"/>
    <s v="CXO"/>
    <n v="1"/>
    <n v="818.97"/>
  </r>
  <r>
    <x v="15"/>
    <s v="31/01/2026"/>
    <s v="NICOLAS H ACEVES"/>
    <s v="6959633166963"/>
    <s v="Ella Neo rojo- SVAKOM"/>
    <s v="JUGUETE"/>
    <s v="SVAKOM"/>
    <n v="1"/>
    <n v="3017.24"/>
  </r>
  <r>
    <x v="15"/>
    <s v="31/01/2026"/>
    <s v="NICOLAS H ACEVES"/>
    <s v="7503043917012"/>
    <s v="Liquid Love Backdoor 30ml - DUSA"/>
    <s v="CONSUMIBLE PROPIO"/>
    <s v="DUSA"/>
    <n v="1"/>
    <n v="301.72000000000003"/>
  </r>
  <r>
    <x v="15"/>
    <s v="31/01/2026"/>
    <s v="NICOLAS H ACEVES"/>
    <s v="7503032300993"/>
    <s v="Liquid Love Pleasure 30ml - DUSA"/>
    <s v="CONSUMIBLE PROPIO"/>
    <s v="DUSA"/>
    <n v="1"/>
    <n v="301.72000000000003"/>
  </r>
  <r>
    <x v="15"/>
    <s v="31/01/2026"/>
    <s v="NICOLAS H ACEVES"/>
    <s v="827160112073"/>
    <s v="Lubricante Basic Silicone  100ml - PJUR"/>
    <s v="CONSUMIBLE"/>
    <s v="PJUR"/>
    <n v="1"/>
    <n v="620.69000000000005"/>
  </r>
  <r>
    <x v="15"/>
    <s v="31/01/2026"/>
    <s v="NICOLAS H ACEVES"/>
    <s v="7503050524241"/>
    <s v="Orgasmik 30ml - DUSA"/>
    <s v="CONSUMIBLE PROPIO"/>
    <s v="DUSA"/>
    <n v="2"/>
    <n v="862.06"/>
  </r>
  <r>
    <x v="15"/>
    <s v="31/01/2026"/>
    <s v="NICOLAS H ACEVES"/>
    <s v="7503013378690"/>
    <s v="Shumatsu 3 pzas - DUSA"/>
    <s v="CONSUMIBLE PROPIO"/>
    <s v="DUSA"/>
    <n v="4"/>
    <n v="2310.36"/>
  </r>
  <r>
    <x v="15"/>
    <s v="31/01/2026"/>
    <s v="NICOLAS H ACEVES"/>
    <s v="7350075028571"/>
    <s v="Sila Cruise aqua - LELO"/>
    <s v="JUGUETE"/>
    <s v="LELO"/>
    <n v="1"/>
    <n v="4396.55"/>
  </r>
  <r>
    <x v="15"/>
    <s v="31/01/2026"/>
    <s v="NICOLAS H ACEVES"/>
    <s v="7350075028588"/>
    <s v="Sila Cruise lilac - LELO"/>
    <s v="JUGUETE"/>
    <s v="LELO"/>
    <n v="1"/>
    <n v="5086.21"/>
  </r>
  <r>
    <x v="15"/>
    <s v="31/01/2026"/>
    <s v="NICOLAS H ACEVES"/>
    <s v="7503020596063"/>
    <s v="Stallion Regenerador - DUSA"/>
    <s v="CONSUMIBLE PROPIO"/>
    <s v="DUSA"/>
    <n v="1"/>
    <n v="1293.0999999999999"/>
  </r>
  <r>
    <x v="15"/>
    <s v="31/01/2026"/>
    <s v="NICOLAS H ACEVES"/>
    <s v="4061504007533"/>
    <s v="Succionador con App Love Triangle - Satisfayer"/>
    <s v="JUGUETE"/>
    <s v="SATISFAYER"/>
    <n v="1"/>
    <n v="1465.52"/>
  </r>
  <r>
    <x v="15"/>
    <s v="31/01/2026"/>
    <s v="NICOLAS H ACEVES"/>
    <s v="4061504001197"/>
    <s v="Vibrador Secret Affair - Satisfayer"/>
    <s v="JUGUETE"/>
    <s v="SATISFAYER"/>
    <n v="1"/>
    <n v="1120.69"/>
  </r>
  <r>
    <x v="15"/>
    <s v="31/01/2026"/>
    <s v="NICOLAS H ACEVES"/>
    <s v="7503032300443"/>
    <s v="Zoe bala vibradora RETAIL - CXO"/>
    <s v="JUGUETE PROPIO"/>
    <s v="CXO"/>
    <n v="1"/>
    <n v="155.16999999999999"/>
  </r>
  <r>
    <x v="16"/>
    <s v="26/01/2026"/>
    <s v="BRYAN ALEJANDRO V BERNAL"/>
    <s v="MAROLA00279IF"/>
    <s v="Disfraz Marinera - OLA MOU"/>
    <s v="LENCERIA"/>
    <s v="OLA MOU"/>
    <n v="1"/>
    <n v="560.34"/>
  </r>
  <r>
    <x v="16"/>
    <s v="26/01/2026"/>
    <s v="BRYAN ALEJANDRO V BERNAL"/>
    <s v="GWPS_BANANASHAKE_001"/>
    <s v="Lub de Regalo - Banana Shake"/>
    <s v="ACTIVACION"/>
    <s v="BANANA SHAKE"/>
    <n v="1"/>
    <n v="0.01"/>
  </r>
  <r>
    <x v="16"/>
    <s v="26/01/2026"/>
    <s v="BRYAN ALEJANDRO V BERNAL"/>
    <s v="7503013378690"/>
    <s v="Shumatsu 3 pzas - DUSA"/>
    <s v="CONSUMIBLE PROPIO"/>
    <s v="DUSA"/>
    <n v="3"/>
    <n v="1732.77"/>
  </r>
  <r>
    <x v="16"/>
    <s v="27/01/2026"/>
    <s v="BRYAN ALEJANDRO V BERNAL"/>
    <s v="7503043917005"/>
    <s v="Liquid Love Clear 30ml - DUSA"/>
    <s v="CONSUMIBLE PROPIO"/>
    <s v="DUSA"/>
    <n v="2"/>
    <n v="603.44000000000005"/>
  </r>
  <r>
    <x v="16"/>
    <s v="27/01/2026"/>
    <s v="BRYAN ALEJANDRO V BERNAL"/>
    <s v="7503013378980"/>
    <s v="Lubricante Body Surf Termico Chicle DUSA 60ml"/>
    <s v="CONSUMIBLE PROPIO"/>
    <s v="DUSA"/>
    <n v="1"/>
    <n v="387.93"/>
  </r>
  <r>
    <x v="16"/>
    <s v="27/01/2026"/>
    <s v="BRYAN ALEJANDRO V BERNAL"/>
    <s v="SC258C01"/>
    <s v="Multiorgasmico dual con estimulador de clitoris 360 con 10 modos Dany - CXO"/>
    <s v="JUGUETE PROPIO"/>
    <s v="CXO"/>
    <n v="1"/>
    <n v="3017.24"/>
  </r>
  <r>
    <x v="16"/>
    <s v="27/01/2026"/>
    <s v="BRYAN ALEJANDRO V BERNAL"/>
    <s v="7503024256635"/>
    <s v="Olive  6.8&quot; rosa - CXO"/>
    <s v="JUGUETE PROPIO"/>
    <s v="CXO"/>
    <n v="1"/>
    <n v="603.45000000000005"/>
  </r>
  <r>
    <x v="16"/>
    <s v="27/01/2026"/>
    <s v="BRYAN ALEJANDRO V BERNAL"/>
    <s v="7503043917395"/>
    <s v="Vibrador multiorgásmico Krista Mod. 02  - CXO"/>
    <s v="JUGUETE PROPIO"/>
    <s v="CXO"/>
    <n v="1"/>
    <n v="2060.9299999999998"/>
  </r>
  <r>
    <x v="16"/>
    <s v="28/01/2026"/>
    <s v="BRYAN ALEJANDRO V BERNAL"/>
    <s v="7503043917081"/>
    <s v="Blade rosa anillo vibrador - CXO"/>
    <s v="JUGUETE PROPIO"/>
    <s v="CXO"/>
    <n v="1"/>
    <n v="81.900000000000006"/>
  </r>
  <r>
    <x v="16"/>
    <s v="28/01/2026"/>
    <s v="BRYAN ALEJANDRO V BERNAL"/>
    <s v="7503043917012"/>
    <s v="Liquid Love Backdoor 30ml - DUSA"/>
    <s v="CONSUMIBLE PROPIO"/>
    <s v="DUSA"/>
    <n v="1"/>
    <n v="301.72000000000003"/>
  </r>
  <r>
    <x v="16"/>
    <s v="28/01/2026"/>
    <s v="BRYAN ALEJANDRO V BERNAL"/>
    <s v="6959633185476"/>
    <s v="Masturbador Hedy X Confidence – SVAKOM"/>
    <s v="JUGUETE"/>
    <s v="SVAKOM"/>
    <n v="1"/>
    <n v="181.03"/>
  </r>
  <r>
    <x v="16"/>
    <s v="28/01/2026"/>
    <s v="BRYAN ALEJANDRO V BERNAL"/>
    <s v="6959633189726"/>
    <s v="Masturbador Hedy X Control – SVAKOM"/>
    <s v="JUGUETE"/>
    <s v="SVAKOM"/>
    <n v="1"/>
    <n v="181.03"/>
  </r>
  <r>
    <x v="16"/>
    <s v="28/01/2026"/>
    <s v="BRYAN ALEJANDRO V BERNAL"/>
    <s v="6959633146972"/>
    <s v="Masturbador Hedy X Experience – SVAKOM"/>
    <s v="JUGUETE"/>
    <s v="SVAKOM"/>
    <n v="1"/>
    <n v="181.03"/>
  </r>
  <r>
    <x v="16"/>
    <s v="28/01/2026"/>
    <s v="BRYAN ALEJANDRO V BERNAL"/>
    <s v="6959633185940"/>
    <s v="Masturbador Hedy X Reaction – SVAKOM"/>
    <s v="JUGUETE"/>
    <s v="SVAKOM"/>
    <n v="1"/>
    <n v="181.03"/>
  </r>
  <r>
    <x v="16"/>
    <s v="28/01/2026"/>
    <s v="BRYAN ALEJANDRO V BERNAL"/>
    <s v="6959633183120"/>
    <s v="Masturbador Hedy X Speed – SVAKOM"/>
    <s v="JUGUETE"/>
    <s v="SVAKOM"/>
    <n v="1"/>
    <n v="181.03"/>
  </r>
  <r>
    <x v="16"/>
    <s v="28/01/2026"/>
    <s v="BRYAN ALEJANDRO V BERNAL"/>
    <s v="7503050524258"/>
    <s v="Sensicool 30ml - DUSA"/>
    <s v="CONSUMIBLE PROPIO"/>
    <s v="DUSA"/>
    <n v="1"/>
    <n v="431.03"/>
  </r>
  <r>
    <x v="16"/>
    <s v="28/01/2026"/>
    <s v="BRYAN ALEJANDRO V BERNAL"/>
    <s v="7503020596957"/>
    <s v="Shot Shumatsu Fun Hombre - DUSA"/>
    <s v="CONSUMIBLE PROPIO"/>
    <s v="DUSA"/>
    <n v="2"/>
    <n v="344.82"/>
  </r>
  <r>
    <x v="16"/>
    <s v="28/01/2026"/>
    <s v="BRYAN ALEJANDRO V BERNAL"/>
    <s v="7503013378690"/>
    <s v="Shumatsu 3 pzas - DUSA"/>
    <s v="CONSUMIBLE PROPIO"/>
    <s v="DUSA"/>
    <n v="1"/>
    <n v="577.59"/>
  </r>
  <r>
    <x v="16"/>
    <s v="28/01/2026"/>
    <s v="BRYAN ALEJANDRO V BERNAL"/>
    <s v="4061504007359"/>
    <s v="Succionador Pingüino - Satisfayer"/>
    <s v="JUGUETE"/>
    <s v="SATISFAYER"/>
    <n v="1"/>
    <n v="1379.31"/>
  </r>
  <r>
    <x v="16"/>
    <s v="29/01/2026"/>
    <s v="BRYAN ALEJANDRO V BERNAL"/>
    <s v="7503020111072"/>
    <s v="Anillo vibrador recargable con textura negra Hank - CXO"/>
    <s v="JUGUETE PROPIO"/>
    <s v="CXO"/>
    <n v="2"/>
    <n v="2534.48"/>
  </r>
  <r>
    <x v="16"/>
    <s v="29/01/2026"/>
    <s v="BRYAN ALEJANDRO V BERNAL"/>
    <s v="7503043917012"/>
    <s v="Liquid Love Backdoor 30ml - DUSA"/>
    <s v="CONSUMIBLE PROPIO"/>
    <s v="DUSA"/>
    <n v="1"/>
    <n v="301.72000000000003"/>
  </r>
  <r>
    <x v="16"/>
    <s v="29/01/2026"/>
    <s v="BRYAN ALEJANDRO V BERNAL"/>
    <s v="7503013378652"/>
    <s v="Liquid Love Backdoor 100ml - DUSA"/>
    <s v="CONSUMIBLE PROPIO"/>
    <s v="DUSA"/>
    <n v="1"/>
    <n v="1077.5899999999999"/>
  </r>
  <r>
    <x v="16"/>
    <s v="29/01/2026"/>
    <s v="BRYAN ALEJANDRO V BERNAL"/>
    <s v="7503020596001"/>
    <s v="Liquid Love Clear 100ml - DUSA"/>
    <s v="CONSUMIBLE PROPIO"/>
    <s v="DUSA"/>
    <n v="1"/>
    <n v="775.86"/>
  </r>
  <r>
    <x v="16"/>
    <s v="29/01/2026"/>
    <s v="BRYAN ALEJANDRO V BERNAL"/>
    <s v="7503050524241"/>
    <s v="Orgasmik 30ml - DUSA"/>
    <s v="CONSUMIBLE PROPIO"/>
    <s v="DUSA"/>
    <n v="1"/>
    <n v="431.03"/>
  </r>
  <r>
    <x v="16"/>
    <s v="29/01/2026"/>
    <s v="BRYAN ALEJANDRO V BERNAL"/>
    <s v="7503050524258"/>
    <s v="Sensicool 30ml - DUSA"/>
    <s v="CONSUMIBLE PROPIO"/>
    <s v="DUSA"/>
    <n v="1"/>
    <n v="431.03"/>
  </r>
  <r>
    <x v="16"/>
    <s v="29/01/2026"/>
    <s v="BRYAN ALEJANDRO V BERNAL"/>
    <s v="7503020596957"/>
    <s v="Shot Shumatsu Fun Hombre - DUSA"/>
    <s v="CONSUMIBLE PROPIO"/>
    <s v="DUSA"/>
    <n v="3"/>
    <n v="517.23"/>
  </r>
  <r>
    <x v="16"/>
    <s v="29/01/2026"/>
    <s v="BRYAN ALEJANDRO V BERNAL"/>
    <s v="7503024256192"/>
    <s v="Shot Shumatsu Fun Mujer - DUSA"/>
    <s v="CONSUMIBLE PROPIO"/>
    <s v="DUSA"/>
    <n v="5"/>
    <n v="862.05"/>
  </r>
  <r>
    <x v="16"/>
    <s v="29/01/2026"/>
    <s v="BRYAN ALEJANDRO V BERNAL"/>
    <s v="7503013378690"/>
    <s v="Shumatsu 3 pzas - DUSA"/>
    <s v="CONSUMIBLE PROPIO"/>
    <s v="DUSA"/>
    <n v="1"/>
    <n v="577.59"/>
  </r>
  <r>
    <x v="16"/>
    <s v="29/01/2026"/>
    <s v="BRYAN ALEJANDRO V BERNAL"/>
    <s v="7503020596063"/>
    <s v="Stallion Regenerador - DUSA"/>
    <s v="CONSUMIBLE PROPIO"/>
    <s v="DUSA"/>
    <n v="1"/>
    <n v="1293.0999999999999"/>
  </r>
  <r>
    <x v="16"/>
    <s v="29/01/2026"/>
    <s v="BRYAN ALEJANDRO V BERNAL"/>
    <s v="7350075028632"/>
    <s v="Tiani Harmony Black -LELO"/>
    <s v="JUGUETE"/>
    <s v="LELO"/>
    <n v="1"/>
    <n v="5172.41"/>
  </r>
  <r>
    <x v="16"/>
    <s v="29/01/2026"/>
    <s v="BRYAN ALEJANDRO V BERNAL"/>
    <s v="7503030104190"/>
    <s v="Vibrador multiorgasmico con 10 modos de vibracion Norma - CXO"/>
    <s v="JUGUETE PROPIO"/>
    <s v="CXO"/>
    <n v="1"/>
    <n v="2396.5500000000002"/>
  </r>
  <r>
    <x v="16"/>
    <s v="29/01/2026"/>
    <s v="BRYAN ALEJANDRO V BERNAL"/>
    <s v="7503032300443"/>
    <s v="Zoe bala vibradora RETAIL - CXO"/>
    <s v="JUGUETE PROPIO"/>
    <s v="CXO"/>
    <n v="1"/>
    <n v="155.16999999999999"/>
  </r>
  <r>
    <x v="16"/>
    <s v="30/01/2026"/>
    <s v="BRYAN ALEJANDRO V BERNAL"/>
    <s v="7503050226139"/>
    <s v="Body Alma - OLA MOU"/>
    <s v="LENCERIA"/>
    <s v="OLA MOU"/>
    <n v="1"/>
    <n v="387.93"/>
  </r>
  <r>
    <x v="16"/>
    <s v="30/01/2026"/>
    <s v="BRYAN ALEJANDRO V BERNAL"/>
    <s v="7503020596001"/>
    <s v="Liquid Love Clear 100ml - DUSA"/>
    <s v="CONSUMIBLE PROPIO"/>
    <s v="DUSA"/>
    <n v="1"/>
    <n v="775.86"/>
  </r>
  <r>
    <x v="16"/>
    <s v="30/01/2026"/>
    <s v="BRYAN ALEJANDRO V BERNAL"/>
    <s v="7503013378980"/>
    <s v="Lubricante Body Surf Termico Chicle DUSA 60ml"/>
    <s v="CONSUMIBLE PROPIO"/>
    <s v="DUSA"/>
    <n v="1"/>
    <n v="387.93"/>
  </r>
  <r>
    <x v="16"/>
    <s v="30/01/2026"/>
    <s v="BRYAN ALEJANDRO V BERNAL"/>
    <s v="7503050524241"/>
    <s v="Orgasmik 30ml - DUSA"/>
    <s v="CONSUMIBLE PROPIO"/>
    <s v="DUSA"/>
    <n v="1"/>
    <n v="431.03"/>
  </r>
  <r>
    <x v="16"/>
    <s v="30/01/2026"/>
    <s v="BRYAN ALEJANDRO V BERNAL"/>
    <s v="7503013378010"/>
    <s v="Rigidex 2 pzas - DUSA"/>
    <s v="CONSUMIBLE PROPIO"/>
    <s v="DUSA"/>
    <n v="1"/>
    <n v="431.03"/>
  </r>
  <r>
    <x v="16"/>
    <s v="30/01/2026"/>
    <s v="BRYAN ALEJANDRO V BERNAL"/>
    <s v="7503024256192"/>
    <s v="Shot Shumatsu Fun Mujer - DUSA"/>
    <s v="CONSUMIBLE PROPIO"/>
    <s v="DUSA"/>
    <n v="1"/>
    <n v="172.41"/>
  </r>
  <r>
    <x v="16"/>
    <s v="30/01/2026"/>
    <s v="BRYAN ALEJANDRO V BERNAL"/>
    <s v="7503013378690"/>
    <s v="Shumatsu 3 pzas - DUSA"/>
    <s v="CONSUMIBLE PROPIO"/>
    <s v="DUSA"/>
    <n v="1"/>
    <n v="577.59"/>
  </r>
  <r>
    <x v="16"/>
    <s v="30/01/2026"/>
    <s v="BRYAN ALEJANDRO V BERNAL"/>
    <s v="4061504007496"/>
    <s v="Succionado con App Curvy 1+ - Satisfayer"/>
    <s v="JUGUETE"/>
    <s v="SATISFAYER"/>
    <n v="1"/>
    <n v="1810.34"/>
  </r>
  <r>
    <x v="16"/>
    <s v="30/01/2026"/>
    <s v="BRYAN ALEJANDRO V BERNAL"/>
    <s v="6974122611892"/>
    <s v="Succionador con 7 modos Esther - CXO"/>
    <s v="JUGUETE PROPIO"/>
    <s v="CXO"/>
    <n v="1"/>
    <n v="1853.45"/>
  </r>
  <r>
    <x v="16"/>
    <s v="30/01/2026"/>
    <s v="BRYAN ALEJANDRO V BERNAL"/>
    <s v="6920437903153"/>
    <s v="Vibrador con motor Dual con 8 modos Fany - CXO"/>
    <s v="JUGUETE PROPIO"/>
    <s v="CXO"/>
    <n v="1"/>
    <n v="2284.48"/>
  </r>
  <r>
    <x v="16"/>
    <s v="31/01/2026"/>
    <s v="ANGEL DANILO RODRIGUEZ LOPEZ"/>
    <s v="7503043917081"/>
    <s v="Blade rosa anillo vibrador - CXO"/>
    <s v="JUGUETE PROPIO"/>
    <s v="CXO"/>
    <n v="1"/>
    <n v="81.900000000000006"/>
  </r>
  <r>
    <x v="16"/>
    <s v="31/01/2026"/>
    <s v="ANGEL DANILO RODRIGUEZ LOPEZ"/>
    <s v="7503043917012"/>
    <s v="Liquid Love Backdoor 30ml - DUSA"/>
    <s v="CONSUMIBLE PROPIO"/>
    <s v="DUSA"/>
    <n v="1"/>
    <n v="301.72000000000003"/>
  </r>
  <r>
    <x v="16"/>
    <s v="31/01/2026"/>
    <s v="ANGEL DANILO RODRIGUEZ LOPEZ"/>
    <s v="75078737"/>
    <s v="Mini Kit Dulces 2 piezas - SXO"/>
    <s v="CONSUMIBLE"/>
    <s v="SXO"/>
    <n v="1"/>
    <n v="120.69"/>
  </r>
  <r>
    <x v="16"/>
    <s v="31/01/2026"/>
    <s v="ANGEL DANILO RODRIGUEZ LOPEZ"/>
    <s v="7503026484845"/>
    <s v="Oral Sex Erotic Nut 5g - Feel Love"/>
    <s v="CONSUMIBLE"/>
    <s v="DIAMANTE"/>
    <n v="1"/>
    <n v="51.72"/>
  </r>
  <r>
    <x v="16"/>
    <s v="31/01/2026"/>
    <s v="ANGEL DANILO RODRIGUEZ LOPEZ"/>
    <s v="7503032300443"/>
    <s v="Zoe bala vibradora RETAIL - CXO"/>
    <s v="JUGUETE PROPIO"/>
    <s v="CXO"/>
    <n v="1"/>
    <n v="155.16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BE99E-CEF4-40C0-9E9A-B2A2647AAB84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3" firstHeaderRow="1" firstDataRow="1" firstDataCol="1"/>
  <pivotFields count="9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axis="axisRow" showAll="0">
      <items count="21">
        <item x="5"/>
        <item x="1"/>
        <item x="13"/>
        <item x="16"/>
        <item x="19"/>
        <item x="9"/>
        <item x="14"/>
        <item x="12"/>
        <item x="17"/>
        <item x="2"/>
        <item x="7"/>
        <item x="6"/>
        <item x="3"/>
        <item x="4"/>
        <item x="8"/>
        <item x="18"/>
        <item x="10"/>
        <item x="0"/>
        <item x="15"/>
        <item x="11"/>
        <item t="default"/>
      </items>
    </pivotField>
    <pivotField showAll="0"/>
    <pivotField showAll="0"/>
    <pivotField showAll="0"/>
    <pivotField showAll="0"/>
    <pivotField numFmtId="3" showAll="0"/>
    <pivotField dataField="1" numFmtId="164" showAll="0"/>
  </pivotFields>
  <rowFields count="2">
    <field x="0"/>
    <field x="2"/>
  </rowFields>
  <rowItems count="70">
    <i>
      <x/>
    </i>
    <i r="1">
      <x v="1"/>
    </i>
    <i r="1">
      <x v="9"/>
    </i>
    <i r="1">
      <x v="12"/>
    </i>
    <i r="1">
      <x v="17"/>
    </i>
    <i>
      <x v="1"/>
    </i>
    <i r="1">
      <x/>
    </i>
    <i r="1">
      <x v="12"/>
    </i>
    <i r="1">
      <x v="13"/>
    </i>
    <i>
      <x v="2"/>
    </i>
    <i r="1">
      <x v="1"/>
    </i>
    <i r="1">
      <x v="9"/>
    </i>
    <i r="1">
      <x v="11"/>
    </i>
    <i r="1">
      <x v="12"/>
    </i>
    <i>
      <x v="3"/>
    </i>
    <i r="1">
      <x/>
    </i>
    <i r="1">
      <x v="9"/>
    </i>
    <i r="1">
      <x v="10"/>
    </i>
    <i>
      <x v="4"/>
    </i>
    <i r="1">
      <x v="1"/>
    </i>
    <i r="1">
      <x v="9"/>
    </i>
    <i r="1">
      <x v="14"/>
    </i>
    <i>
      <x v="5"/>
    </i>
    <i r="1">
      <x v="5"/>
    </i>
    <i r="1">
      <x v="9"/>
    </i>
    <i r="1">
      <x v="12"/>
    </i>
    <i>
      <x v="6"/>
    </i>
    <i r="1">
      <x/>
    </i>
    <i r="1">
      <x v="1"/>
    </i>
    <i r="1">
      <x v="9"/>
    </i>
    <i r="1">
      <x v="16"/>
    </i>
    <i>
      <x v="7"/>
    </i>
    <i r="1">
      <x v="19"/>
    </i>
    <i>
      <x v="8"/>
    </i>
    <i r="1">
      <x v="7"/>
    </i>
    <i>
      <x v="9"/>
    </i>
    <i r="1">
      <x v="1"/>
    </i>
    <i r="1">
      <x v="2"/>
    </i>
    <i r="1">
      <x v="9"/>
    </i>
    <i>
      <x v="10"/>
    </i>
    <i r="1">
      <x/>
    </i>
    <i r="1">
      <x v="1"/>
    </i>
    <i r="1">
      <x v="6"/>
    </i>
    <i r="1">
      <x v="12"/>
    </i>
    <i>
      <x v="11"/>
    </i>
    <i r="1">
      <x/>
    </i>
    <i r="1">
      <x v="18"/>
    </i>
    <i>
      <x v="12"/>
    </i>
    <i r="1">
      <x/>
    </i>
    <i r="1">
      <x v="1"/>
    </i>
    <i r="1">
      <x v="9"/>
    </i>
    <i r="1">
      <x v="12"/>
    </i>
    <i>
      <x v="13"/>
    </i>
    <i r="1">
      <x/>
    </i>
    <i r="1">
      <x v="3"/>
    </i>
    <i r="1">
      <x v="9"/>
    </i>
    <i>
      <x v="14"/>
    </i>
    <i r="1">
      <x/>
    </i>
    <i r="1">
      <x v="8"/>
    </i>
    <i r="1">
      <x v="12"/>
    </i>
    <i>
      <x v="15"/>
    </i>
    <i r="1">
      <x/>
    </i>
    <i r="1">
      <x v="1"/>
    </i>
    <i r="1">
      <x v="9"/>
    </i>
    <i r="1">
      <x v="15"/>
    </i>
    <i>
      <x v="16"/>
    </i>
    <i r="1">
      <x/>
    </i>
    <i r="1">
      <x v="1"/>
    </i>
    <i r="1">
      <x v="4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021A0-3E99-475C-8157-FD1FB8E5FBC3}" name="TablaDinámica10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6:M24" firstHeaderRow="1" firstDataRow="1" firstDataCol="1"/>
  <pivotFields count="9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dataField="1" numFmtId="164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8437B-F487-431E-89F7-303E2279637E}" name="TablaDinámica9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5:M23" firstHeaderRow="1" firstDataRow="1" firstDataCol="1"/>
  <pivotFields count="9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>
      <items count="21">
        <item x="14"/>
        <item x="15"/>
        <item x="11"/>
        <item x="16"/>
        <item x="19"/>
        <item x="7"/>
        <item x="12"/>
        <item x="10"/>
        <item x="17"/>
        <item x="5"/>
        <item x="4"/>
        <item x="3"/>
        <item x="1"/>
        <item x="2"/>
        <item x="6"/>
        <item x="18"/>
        <item x="8"/>
        <item x="0"/>
        <item x="13"/>
        <item x="9"/>
        <item t="default"/>
      </items>
    </pivotField>
    <pivotField showAll="0"/>
    <pivotField showAll="0"/>
    <pivotField showAll="0"/>
    <pivotField showAll="0"/>
    <pivotField numFmtId="3" showAll="0"/>
    <pivotField dataField="1" numFmtId="164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138AA-F975-4E09-A1C8-1279443C5DF0}" name="TablaDinámica8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9:M27" firstHeaderRow="1" firstDataRow="1" firstDataCol="1"/>
  <pivotFields count="9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dataField="1" numFmtId="164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22648-BEEA-4852-810D-4C75B072669C}" name="TablaDinámica7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5:M23" firstHeaderRow="1" firstDataRow="1" firstDataCol="1"/>
  <pivotFields count="9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dataField="1" numFmtId="164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BD873-C1BC-4B96-AFEF-BE90542444CA}" name="TablaDinámica5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9:M30" firstHeaderRow="1" firstDataRow="1" firstDataCol="1"/>
  <pivotFields count="9">
    <pivotField showAll="0"/>
    <pivotField showAll="0"/>
    <pivotField axis="axisRow" showAll="0">
      <items count="21">
        <item x="2"/>
        <item x="3"/>
        <item x="13"/>
        <item x="16"/>
        <item x="19"/>
        <item x="9"/>
        <item x="14"/>
        <item x="12"/>
        <item x="17"/>
        <item x="6"/>
        <item x="7"/>
        <item x="4"/>
        <item x="5"/>
        <item x="1"/>
        <item x="8"/>
        <item x="18"/>
        <item x="10"/>
        <item x="0"/>
        <item x="15"/>
        <item x="11"/>
        <item t="default"/>
      </items>
    </pivotField>
    <pivotField showAll="0"/>
    <pivotField showAll="0"/>
    <pivotField showAll="0"/>
    <pivotField showAll="0"/>
    <pivotField numFmtId="3" showAll="0"/>
    <pivotField dataField="1" numFmtId="164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08DE80-CC76-4CDB-BC09-A1B8D16834FD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7:M28" firstHeaderRow="1" firstDataRow="1" firstDataCol="1"/>
  <pivotFields count="9">
    <pivotField showAll="0"/>
    <pivotField showAll="0"/>
    <pivotField axis="axisRow" showAll="0">
      <items count="21">
        <item x="5"/>
        <item x="1"/>
        <item x="13"/>
        <item x="16"/>
        <item x="19"/>
        <item x="9"/>
        <item x="14"/>
        <item x="12"/>
        <item x="17"/>
        <item x="2"/>
        <item x="7"/>
        <item x="6"/>
        <item x="3"/>
        <item x="4"/>
        <item x="8"/>
        <item x="18"/>
        <item x="10"/>
        <item x="0"/>
        <item x="15"/>
        <item x="11"/>
        <item t="default"/>
      </items>
    </pivotField>
    <pivotField showAll="0"/>
    <pivotField showAll="0"/>
    <pivotField showAll="0"/>
    <pivotField showAll="0"/>
    <pivotField numFmtId="3" showAll="0"/>
    <pivotField dataField="1" numFmtId="164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A0759-2A5C-4596-A1E8-B3965EB915AD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9:M30" firstHeaderRow="1" firstDataRow="1" firstDataCol="1"/>
  <pivotFields count="9">
    <pivotField showAll="0"/>
    <pivotField showAll="0"/>
    <pivotField axis="axisRow" showAll="0">
      <items count="21">
        <item x="3"/>
        <item x="4"/>
        <item x="13"/>
        <item x="16"/>
        <item x="19"/>
        <item x="9"/>
        <item x="14"/>
        <item x="12"/>
        <item x="17"/>
        <item x="6"/>
        <item x="7"/>
        <item x="5"/>
        <item x="1"/>
        <item x="2"/>
        <item x="8"/>
        <item x="18"/>
        <item x="10"/>
        <item x="0"/>
        <item x="15"/>
        <item x="11"/>
        <item t="default"/>
      </items>
    </pivotField>
    <pivotField showAll="0"/>
    <pivotField showAll="0"/>
    <pivotField showAll="0"/>
    <pivotField showAll="0"/>
    <pivotField numFmtId="3" showAll="0"/>
    <pivotField dataField="1" numFmtId="164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E8417-C810-44D9-9E41-3AE6F66A6D65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8:M29" firstHeaderRow="1" firstDataRow="1" firstDataCol="1"/>
  <pivotFields count="9">
    <pivotField showAll="0"/>
    <pivotField showAll="0"/>
    <pivotField axis="axisRow" showAll="0">
      <items count="21">
        <item x="18"/>
        <item x="3"/>
        <item x="11"/>
        <item x="15"/>
        <item x="19"/>
        <item x="7"/>
        <item x="12"/>
        <item x="10"/>
        <item x="16"/>
        <item x="1"/>
        <item x="5"/>
        <item x="4"/>
        <item x="14"/>
        <item x="2"/>
        <item x="6"/>
        <item x="17"/>
        <item x="8"/>
        <item x="0"/>
        <item x="13"/>
        <item x="9"/>
        <item t="default"/>
      </items>
    </pivotField>
    <pivotField showAll="0"/>
    <pivotField showAll="0"/>
    <pivotField showAll="0"/>
    <pivotField showAll="0"/>
    <pivotField numFmtId="3" showAll="0"/>
    <pivotField dataField="1" numFmtId="164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a de SUBTO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F271-5290-40DC-83B5-75668083E158}">
  <dimension ref="A3:B73"/>
  <sheetViews>
    <sheetView topLeftCell="A43" workbookViewId="0">
      <selection activeCell="E12" sqref="E12"/>
    </sheetView>
  </sheetViews>
  <sheetFormatPr baseColWidth="10" defaultRowHeight="12.75" x14ac:dyDescent="0.2"/>
  <cols>
    <col min="1" max="1" width="45.5703125" bestFit="1" customWidth="1"/>
    <col min="2" max="2" width="17.42578125" bestFit="1" customWidth="1"/>
  </cols>
  <sheetData>
    <row r="3" spans="1:2" x14ac:dyDescent="0.2">
      <c r="A3" s="139" t="s">
        <v>1094</v>
      </c>
      <c r="B3" t="s">
        <v>1096</v>
      </c>
    </row>
    <row r="4" spans="1:2" x14ac:dyDescent="0.2">
      <c r="A4" s="140" t="s">
        <v>9</v>
      </c>
      <c r="B4" s="2">
        <v>154973.1699999999</v>
      </c>
    </row>
    <row r="5" spans="1:2" x14ac:dyDescent="0.2">
      <c r="A5" s="141" t="s">
        <v>32</v>
      </c>
      <c r="B5" s="2">
        <v>793.09</v>
      </c>
    </row>
    <row r="6" spans="1:2" x14ac:dyDescent="0.2">
      <c r="A6" s="141" t="s">
        <v>130</v>
      </c>
      <c r="B6" s="2">
        <v>6775.85</v>
      </c>
    </row>
    <row r="7" spans="1:2" x14ac:dyDescent="0.2">
      <c r="A7" s="141" t="s">
        <v>226</v>
      </c>
      <c r="B7" s="2">
        <v>1788.77</v>
      </c>
    </row>
    <row r="8" spans="1:2" x14ac:dyDescent="0.2">
      <c r="A8" s="141" t="s">
        <v>11</v>
      </c>
      <c r="B8" s="2">
        <v>145615.4599999999</v>
      </c>
    </row>
    <row r="9" spans="1:2" x14ac:dyDescent="0.2">
      <c r="A9" s="140" t="s">
        <v>261</v>
      </c>
      <c r="B9" s="2">
        <v>161222.13999999996</v>
      </c>
    </row>
    <row r="10" spans="1:2" x14ac:dyDescent="0.2">
      <c r="A10" s="141" t="s">
        <v>277</v>
      </c>
      <c r="B10" s="2">
        <v>6689.6400000000012</v>
      </c>
    </row>
    <row r="11" spans="1:2" x14ac:dyDescent="0.2">
      <c r="A11" s="141" t="s">
        <v>226</v>
      </c>
      <c r="B11" s="2">
        <v>689.65000000000009</v>
      </c>
    </row>
    <row r="12" spans="1:2" x14ac:dyDescent="0.2">
      <c r="A12" s="141" t="s">
        <v>262</v>
      </c>
      <c r="B12" s="2">
        <v>153842.84999999995</v>
      </c>
    </row>
    <row r="13" spans="1:2" x14ac:dyDescent="0.2">
      <c r="A13" s="140" t="s">
        <v>376</v>
      </c>
      <c r="B13" s="2">
        <v>126589.94999999997</v>
      </c>
    </row>
    <row r="14" spans="1:2" x14ac:dyDescent="0.2">
      <c r="A14" s="141" t="s">
        <v>32</v>
      </c>
      <c r="B14" s="2">
        <v>11926.739999999998</v>
      </c>
    </row>
    <row r="15" spans="1:2" x14ac:dyDescent="0.2">
      <c r="A15" s="141" t="s">
        <v>130</v>
      </c>
      <c r="B15" s="2">
        <v>6577.5999999999985</v>
      </c>
    </row>
    <row r="16" spans="1:2" x14ac:dyDescent="0.2">
      <c r="A16" s="141" t="s">
        <v>386</v>
      </c>
      <c r="B16" s="2">
        <v>104594.23999999998</v>
      </c>
    </row>
    <row r="17" spans="1:2" x14ac:dyDescent="0.2">
      <c r="A17" s="141" t="s">
        <v>226</v>
      </c>
      <c r="B17" s="2">
        <v>3491.37</v>
      </c>
    </row>
    <row r="18" spans="1:2" x14ac:dyDescent="0.2">
      <c r="A18" s="140" t="s">
        <v>453</v>
      </c>
      <c r="B18" s="2">
        <v>195400.96999999997</v>
      </c>
    </row>
    <row r="19" spans="1:2" x14ac:dyDescent="0.2">
      <c r="A19" s="141" t="s">
        <v>277</v>
      </c>
      <c r="B19" s="2">
        <v>20668.07</v>
      </c>
    </row>
    <row r="20" spans="1:2" x14ac:dyDescent="0.2">
      <c r="A20" s="141" t="s">
        <v>130</v>
      </c>
      <c r="B20" s="2">
        <v>14607.689999999999</v>
      </c>
    </row>
    <row r="21" spans="1:2" x14ac:dyDescent="0.2">
      <c r="A21" s="141" t="s">
        <v>456</v>
      </c>
      <c r="B21" s="2">
        <v>160125.20999999996</v>
      </c>
    </row>
    <row r="22" spans="1:2" x14ac:dyDescent="0.2">
      <c r="A22" s="140" t="s">
        <v>531</v>
      </c>
      <c r="B22" s="2">
        <v>68633.490000000005</v>
      </c>
    </row>
    <row r="23" spans="1:2" x14ac:dyDescent="0.2">
      <c r="A23" s="141" t="s">
        <v>32</v>
      </c>
      <c r="B23" s="2">
        <v>2413.8000000000002</v>
      </c>
    </row>
    <row r="24" spans="1:2" x14ac:dyDescent="0.2">
      <c r="A24" s="141" t="s">
        <v>130</v>
      </c>
      <c r="B24" s="2">
        <v>150.86000000000001</v>
      </c>
    </row>
    <row r="25" spans="1:2" x14ac:dyDescent="0.2">
      <c r="A25" s="141" t="s">
        <v>532</v>
      </c>
      <c r="B25" s="2">
        <v>66068.83</v>
      </c>
    </row>
    <row r="26" spans="1:2" x14ac:dyDescent="0.2">
      <c r="A26" s="140" t="s">
        <v>583</v>
      </c>
      <c r="B26" s="2">
        <v>68745.45</v>
      </c>
    </row>
    <row r="27" spans="1:2" x14ac:dyDescent="0.2">
      <c r="A27" s="141" t="s">
        <v>584</v>
      </c>
      <c r="B27" s="2">
        <v>54879.099999999991</v>
      </c>
    </row>
    <row r="28" spans="1:2" x14ac:dyDescent="0.2">
      <c r="A28" s="141" t="s">
        <v>130</v>
      </c>
      <c r="B28" s="2">
        <v>12051.710000000001</v>
      </c>
    </row>
    <row r="29" spans="1:2" x14ac:dyDescent="0.2">
      <c r="A29" s="141" t="s">
        <v>226</v>
      </c>
      <c r="B29" s="2">
        <v>1814.6399999999999</v>
      </c>
    </row>
    <row r="30" spans="1:2" x14ac:dyDescent="0.2">
      <c r="A30" s="140" t="s">
        <v>615</v>
      </c>
      <c r="B30" s="2">
        <v>56789.52000000004</v>
      </c>
    </row>
    <row r="31" spans="1:2" x14ac:dyDescent="0.2">
      <c r="A31" s="141" t="s">
        <v>277</v>
      </c>
      <c r="B31" s="2">
        <v>301.72000000000003</v>
      </c>
    </row>
    <row r="32" spans="1:2" x14ac:dyDescent="0.2">
      <c r="A32" s="141" t="s">
        <v>32</v>
      </c>
      <c r="B32" s="2">
        <v>1538.79</v>
      </c>
    </row>
    <row r="33" spans="1:2" x14ac:dyDescent="0.2">
      <c r="A33" s="141" t="s">
        <v>130</v>
      </c>
      <c r="B33" s="2">
        <v>4737.0700000000006</v>
      </c>
    </row>
    <row r="34" spans="1:2" x14ac:dyDescent="0.2">
      <c r="A34" s="141" t="s">
        <v>616</v>
      </c>
      <c r="B34" s="2">
        <v>50211.940000000039</v>
      </c>
    </row>
    <row r="35" spans="1:2" x14ac:dyDescent="0.2">
      <c r="A35" s="140" t="s">
        <v>654</v>
      </c>
      <c r="B35" s="2">
        <v>82956.75</v>
      </c>
    </row>
    <row r="36" spans="1:2" x14ac:dyDescent="0.2">
      <c r="A36" s="141" t="s">
        <v>655</v>
      </c>
      <c r="B36" s="2">
        <v>82956.75</v>
      </c>
    </row>
    <row r="37" spans="1:2" x14ac:dyDescent="0.2">
      <c r="A37" s="140" t="s">
        <v>690</v>
      </c>
      <c r="B37" s="2">
        <v>118721.68999999996</v>
      </c>
    </row>
    <row r="38" spans="1:2" x14ac:dyDescent="0.2">
      <c r="A38" s="141" t="s">
        <v>691</v>
      </c>
      <c r="B38" s="2">
        <v>118721.68999999996</v>
      </c>
    </row>
    <row r="39" spans="1:2" x14ac:dyDescent="0.2">
      <c r="A39" s="140" t="s">
        <v>740</v>
      </c>
      <c r="B39" s="2">
        <v>155305.82000000004</v>
      </c>
    </row>
    <row r="40" spans="1:2" x14ac:dyDescent="0.2">
      <c r="A40" s="141" t="s">
        <v>32</v>
      </c>
      <c r="B40" s="2">
        <v>8310.3499999999985</v>
      </c>
    </row>
    <row r="41" spans="1:2" x14ac:dyDescent="0.2">
      <c r="A41" s="141" t="s">
        <v>741</v>
      </c>
      <c r="B41" s="2">
        <v>132762.74000000002</v>
      </c>
    </row>
    <row r="42" spans="1:2" x14ac:dyDescent="0.2">
      <c r="A42" s="141" t="s">
        <v>130</v>
      </c>
      <c r="B42" s="2">
        <v>14232.73</v>
      </c>
    </row>
    <row r="43" spans="1:2" x14ac:dyDescent="0.2">
      <c r="A43" s="140" t="s">
        <v>780</v>
      </c>
      <c r="B43" s="2">
        <v>120782.11999999992</v>
      </c>
    </row>
    <row r="44" spans="1:2" x14ac:dyDescent="0.2">
      <c r="A44" s="141" t="s">
        <v>277</v>
      </c>
      <c r="B44" s="2">
        <v>3163.7799999999997</v>
      </c>
    </row>
    <row r="45" spans="1:2" x14ac:dyDescent="0.2">
      <c r="A45" s="141" t="s">
        <v>32</v>
      </c>
      <c r="B45" s="2">
        <v>2387.9299999999998</v>
      </c>
    </row>
    <row r="46" spans="1:2" x14ac:dyDescent="0.2">
      <c r="A46" s="141" t="s">
        <v>781</v>
      </c>
      <c r="B46" s="2">
        <v>112626.95999999993</v>
      </c>
    </row>
    <row r="47" spans="1:2" x14ac:dyDescent="0.2">
      <c r="A47" s="141" t="s">
        <v>226</v>
      </c>
      <c r="B47" s="2">
        <v>2603.4500000000003</v>
      </c>
    </row>
    <row r="48" spans="1:2" x14ac:dyDescent="0.2">
      <c r="A48" s="140" t="s">
        <v>824</v>
      </c>
      <c r="B48" s="2">
        <v>121603.09</v>
      </c>
    </row>
    <row r="49" spans="1:2" x14ac:dyDescent="0.2">
      <c r="A49" s="141" t="s">
        <v>277</v>
      </c>
      <c r="B49" s="2">
        <v>17913.77</v>
      </c>
    </row>
    <row r="50" spans="1:2" x14ac:dyDescent="0.2">
      <c r="A50" s="141" t="s">
        <v>825</v>
      </c>
      <c r="B50" s="2">
        <v>103689.31999999999</v>
      </c>
    </row>
    <row r="51" spans="1:2" x14ac:dyDescent="0.2">
      <c r="A51" s="140" t="s">
        <v>866</v>
      </c>
      <c r="B51" s="2">
        <v>113120.32000000001</v>
      </c>
    </row>
    <row r="52" spans="1:2" x14ac:dyDescent="0.2">
      <c r="A52" s="141" t="s">
        <v>277</v>
      </c>
      <c r="B52" s="2">
        <v>9271.5099999999984</v>
      </c>
    </row>
    <row r="53" spans="1:2" x14ac:dyDescent="0.2">
      <c r="A53" s="141" t="s">
        <v>32</v>
      </c>
      <c r="B53" s="2">
        <v>38357.629999999997</v>
      </c>
    </row>
    <row r="54" spans="1:2" x14ac:dyDescent="0.2">
      <c r="A54" s="141" t="s">
        <v>130</v>
      </c>
      <c r="B54" s="2">
        <v>3758.6</v>
      </c>
    </row>
    <row r="55" spans="1:2" x14ac:dyDescent="0.2">
      <c r="A55" s="141" t="s">
        <v>226</v>
      </c>
      <c r="B55" s="2">
        <v>61732.580000000016</v>
      </c>
    </row>
    <row r="56" spans="1:2" x14ac:dyDescent="0.2">
      <c r="A56" s="140" t="s">
        <v>907</v>
      </c>
      <c r="B56" s="2">
        <v>117663.63</v>
      </c>
    </row>
    <row r="57" spans="1:2" x14ac:dyDescent="0.2">
      <c r="A57" s="141" t="s">
        <v>277</v>
      </c>
      <c r="B57" s="2">
        <v>387.93</v>
      </c>
    </row>
    <row r="58" spans="1:2" x14ac:dyDescent="0.2">
      <c r="A58" s="141" t="s">
        <v>908</v>
      </c>
      <c r="B58" s="2">
        <v>96146.430000000008</v>
      </c>
    </row>
    <row r="59" spans="1:2" x14ac:dyDescent="0.2">
      <c r="A59" s="141" t="s">
        <v>130</v>
      </c>
      <c r="B59" s="2">
        <v>21129.27</v>
      </c>
    </row>
    <row r="60" spans="1:2" x14ac:dyDescent="0.2">
      <c r="A60" s="140" t="s">
        <v>933</v>
      </c>
      <c r="B60" s="2">
        <v>137467</v>
      </c>
    </row>
    <row r="61" spans="1:2" x14ac:dyDescent="0.2">
      <c r="A61" s="141" t="s">
        <v>277</v>
      </c>
      <c r="B61" s="2">
        <v>15737.019999999997</v>
      </c>
    </row>
    <row r="62" spans="1:2" x14ac:dyDescent="0.2">
      <c r="A62" s="141" t="s">
        <v>934</v>
      </c>
      <c r="B62" s="2">
        <v>115165.34</v>
      </c>
    </row>
    <row r="63" spans="1:2" x14ac:dyDescent="0.2">
      <c r="A63" s="141" t="s">
        <v>226</v>
      </c>
      <c r="B63" s="2">
        <v>6564.6399999999994</v>
      </c>
    </row>
    <row r="64" spans="1:2" x14ac:dyDescent="0.2">
      <c r="A64" s="140" t="s">
        <v>955</v>
      </c>
      <c r="B64" s="2">
        <v>264504.04999999976</v>
      </c>
    </row>
    <row r="65" spans="1:2" x14ac:dyDescent="0.2">
      <c r="A65" s="141" t="s">
        <v>277</v>
      </c>
      <c r="B65" s="2">
        <v>32150.829999999998</v>
      </c>
    </row>
    <row r="66" spans="1:2" x14ac:dyDescent="0.2">
      <c r="A66" s="141" t="s">
        <v>32</v>
      </c>
      <c r="B66" s="2">
        <v>23543.059999999998</v>
      </c>
    </row>
    <row r="67" spans="1:2" x14ac:dyDescent="0.2">
      <c r="A67" s="141" t="s">
        <v>130</v>
      </c>
      <c r="B67" s="2">
        <v>2456.9</v>
      </c>
    </row>
    <row r="68" spans="1:2" x14ac:dyDescent="0.2">
      <c r="A68" s="141" t="s">
        <v>956</v>
      </c>
      <c r="B68" s="2">
        <v>206353.25999999975</v>
      </c>
    </row>
    <row r="69" spans="1:2" x14ac:dyDescent="0.2">
      <c r="A69" s="140" t="s">
        <v>1016</v>
      </c>
      <c r="B69" s="2">
        <v>128293.39999999997</v>
      </c>
    </row>
    <row r="70" spans="1:2" x14ac:dyDescent="0.2">
      <c r="A70" s="141" t="s">
        <v>277</v>
      </c>
      <c r="B70" s="2">
        <v>2866.3599999999997</v>
      </c>
    </row>
    <row r="71" spans="1:2" x14ac:dyDescent="0.2">
      <c r="A71" s="141" t="s">
        <v>32</v>
      </c>
      <c r="B71" s="2">
        <v>18952.570000000003</v>
      </c>
    </row>
    <row r="72" spans="1:2" x14ac:dyDescent="0.2">
      <c r="A72" s="141" t="s">
        <v>1017</v>
      </c>
      <c r="B72" s="2">
        <v>106474.46999999996</v>
      </c>
    </row>
    <row r="73" spans="1:2" x14ac:dyDescent="0.2">
      <c r="A73" s="140" t="s">
        <v>1095</v>
      </c>
      <c r="B73" s="2">
        <v>2192772.5599999996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EFE4-A517-46A4-89BF-3F6CF00FB9AB}">
  <sheetPr filterMode="1"/>
  <dimension ref="B2:J3114"/>
  <sheetViews>
    <sheetView showGridLines="0" topLeftCell="F3090" workbookViewId="0">
      <selection activeCell="B4" sqref="B4:J3114"/>
    </sheetView>
  </sheetViews>
  <sheetFormatPr baseColWidth="10" defaultColWidth="9.140625" defaultRowHeight="12.75" x14ac:dyDescent="0.2"/>
  <cols>
    <col min="2" max="3" width="10.7109375" customWidth="1"/>
    <col min="4" max="4" width="41" bestFit="1" customWidth="1"/>
    <col min="5" max="5" width="26.42578125" bestFit="1" customWidth="1"/>
    <col min="6" max="6" width="110" bestFit="1" customWidth="1"/>
    <col min="7" max="7" width="19.85546875" bestFit="1" customWidth="1"/>
    <col min="8" max="8" width="24.5703125" bestFit="1" customWidth="1"/>
    <col min="9" max="9" width="10.7109375" customWidth="1"/>
    <col min="10" max="10" width="12.7109375" bestFit="1" customWidth="1"/>
  </cols>
  <sheetData>
    <row r="2" spans="2:10" x14ac:dyDescent="0.2">
      <c r="H2">
        <v>2139</v>
      </c>
      <c r="I2">
        <f>I3/H2</f>
        <v>1.9163160355306217</v>
      </c>
    </row>
    <row r="3" spans="2:10" x14ac:dyDescent="0.2">
      <c r="I3" s="1">
        <f>SUM(I5:I3114)</f>
        <v>4099</v>
      </c>
      <c r="J3" s="2">
        <f>SUM(J5:J3114)</f>
        <v>2192772.5600000033</v>
      </c>
    </row>
    <row r="4" spans="2:10" s="5" customFormat="1" x14ac:dyDescent="0.2"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</row>
    <row r="5" spans="2:10" hidden="1" x14ac:dyDescent="0.2"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1034</v>
      </c>
      <c r="H5" t="s">
        <v>15</v>
      </c>
      <c r="I5" s="1">
        <v>1</v>
      </c>
      <c r="J5" s="2">
        <v>1077.5899999999999</v>
      </c>
    </row>
    <row r="6" spans="2:10" hidden="1" x14ac:dyDescent="0.2">
      <c r="B6" t="s">
        <v>9</v>
      </c>
      <c r="C6" t="s">
        <v>10</v>
      </c>
      <c r="D6" t="s">
        <v>11</v>
      </c>
      <c r="E6" t="s">
        <v>16</v>
      </c>
      <c r="F6" t="s">
        <v>17</v>
      </c>
      <c r="G6" t="s">
        <v>1034</v>
      </c>
      <c r="H6" t="s">
        <v>15</v>
      </c>
      <c r="I6" s="1">
        <v>1</v>
      </c>
      <c r="J6" s="2">
        <v>577.59</v>
      </c>
    </row>
    <row r="7" spans="2:10" hidden="1" x14ac:dyDescent="0.2">
      <c r="B7" t="s">
        <v>9</v>
      </c>
      <c r="C7" t="s">
        <v>18</v>
      </c>
      <c r="D7" t="s">
        <v>11</v>
      </c>
      <c r="E7" t="s">
        <v>19</v>
      </c>
      <c r="F7" t="s">
        <v>20</v>
      </c>
      <c r="G7" t="s">
        <v>14</v>
      </c>
      <c r="H7" t="s">
        <v>21</v>
      </c>
      <c r="I7" s="1">
        <v>1</v>
      </c>
      <c r="J7" s="2">
        <v>431.04</v>
      </c>
    </row>
    <row r="8" spans="2:10" hidden="1" x14ac:dyDescent="0.2">
      <c r="B8" t="s">
        <v>9</v>
      </c>
      <c r="C8" t="s">
        <v>18</v>
      </c>
      <c r="D8" t="s">
        <v>11</v>
      </c>
      <c r="E8" t="s">
        <v>22</v>
      </c>
      <c r="F8" t="s">
        <v>23</v>
      </c>
      <c r="G8" t="s">
        <v>14</v>
      </c>
      <c r="H8" t="s">
        <v>24</v>
      </c>
      <c r="I8" s="1">
        <v>1</v>
      </c>
      <c r="J8" s="2">
        <v>215.52</v>
      </c>
    </row>
    <row r="9" spans="2:10" hidden="1" x14ac:dyDescent="0.2">
      <c r="B9" t="s">
        <v>9</v>
      </c>
      <c r="C9" t="s">
        <v>18</v>
      </c>
      <c r="D9" t="s">
        <v>11</v>
      </c>
      <c r="E9" t="s">
        <v>25</v>
      </c>
      <c r="F9" t="s">
        <v>26</v>
      </c>
      <c r="G9" t="s">
        <v>14</v>
      </c>
      <c r="H9" t="s">
        <v>27</v>
      </c>
      <c r="I9" s="1">
        <v>1</v>
      </c>
      <c r="J9" s="2">
        <v>310.35000000000002</v>
      </c>
    </row>
    <row r="10" spans="2:10" hidden="1" x14ac:dyDescent="0.2">
      <c r="B10" t="s">
        <v>9</v>
      </c>
      <c r="C10" t="s">
        <v>18</v>
      </c>
      <c r="D10" t="s">
        <v>11</v>
      </c>
      <c r="E10" t="s">
        <v>28</v>
      </c>
      <c r="F10" t="s">
        <v>29</v>
      </c>
      <c r="G10" t="s">
        <v>1033</v>
      </c>
      <c r="H10" t="s">
        <v>30</v>
      </c>
      <c r="I10" s="1">
        <v>2</v>
      </c>
      <c r="J10" s="2">
        <v>310.33999999999997</v>
      </c>
    </row>
    <row r="11" spans="2:10" hidden="1" x14ac:dyDescent="0.2">
      <c r="B11" t="s">
        <v>9</v>
      </c>
      <c r="C11" t="s">
        <v>31</v>
      </c>
      <c r="D11" t="s">
        <v>32</v>
      </c>
      <c r="E11" t="s">
        <v>33</v>
      </c>
      <c r="F11" t="s">
        <v>34</v>
      </c>
      <c r="G11" t="s">
        <v>14</v>
      </c>
      <c r="H11" t="s">
        <v>35</v>
      </c>
      <c r="I11" s="1">
        <v>1</v>
      </c>
      <c r="J11" s="2">
        <v>60.34</v>
      </c>
    </row>
    <row r="12" spans="2:10" hidden="1" x14ac:dyDescent="0.2">
      <c r="B12" t="s">
        <v>9</v>
      </c>
      <c r="C12" t="s">
        <v>31</v>
      </c>
      <c r="D12" t="s">
        <v>32</v>
      </c>
      <c r="E12" t="s">
        <v>36</v>
      </c>
      <c r="F12" t="s">
        <v>37</v>
      </c>
      <c r="G12" t="s">
        <v>1034</v>
      </c>
      <c r="H12" t="s">
        <v>15</v>
      </c>
      <c r="I12" s="1">
        <v>1</v>
      </c>
      <c r="J12" s="2">
        <v>301.72000000000003</v>
      </c>
    </row>
    <row r="13" spans="2:10" hidden="1" x14ac:dyDescent="0.2">
      <c r="B13" t="s">
        <v>9</v>
      </c>
      <c r="C13" t="s">
        <v>31</v>
      </c>
      <c r="D13" t="s">
        <v>32</v>
      </c>
      <c r="E13" t="s">
        <v>38</v>
      </c>
      <c r="F13" t="s">
        <v>39</v>
      </c>
      <c r="G13" t="s">
        <v>1034</v>
      </c>
      <c r="H13" t="s">
        <v>15</v>
      </c>
      <c r="I13" s="1">
        <v>1</v>
      </c>
      <c r="J13" s="2">
        <v>431.03</v>
      </c>
    </row>
    <row r="14" spans="2:10" hidden="1" x14ac:dyDescent="0.2">
      <c r="B14" t="s">
        <v>9</v>
      </c>
      <c r="C14" t="s">
        <v>40</v>
      </c>
      <c r="D14" t="s">
        <v>11</v>
      </c>
      <c r="E14" t="s">
        <v>41</v>
      </c>
      <c r="F14" t="s">
        <v>42</v>
      </c>
      <c r="G14" t="s">
        <v>1033</v>
      </c>
      <c r="H14" t="s">
        <v>30</v>
      </c>
      <c r="I14" s="1">
        <v>1</v>
      </c>
      <c r="J14" s="2">
        <v>34.479999999999997</v>
      </c>
    </row>
    <row r="15" spans="2:10" hidden="1" x14ac:dyDescent="0.2">
      <c r="B15" t="s">
        <v>9</v>
      </c>
      <c r="C15" t="s">
        <v>40</v>
      </c>
      <c r="D15" t="s">
        <v>11</v>
      </c>
      <c r="E15" t="s">
        <v>44</v>
      </c>
      <c r="F15" t="s">
        <v>45</v>
      </c>
      <c r="G15" t="s">
        <v>1033</v>
      </c>
      <c r="H15" t="s">
        <v>30</v>
      </c>
      <c r="I15" s="1">
        <v>1</v>
      </c>
      <c r="J15" s="2">
        <v>81.900000000000006</v>
      </c>
    </row>
    <row r="16" spans="2:10" hidden="1" x14ac:dyDescent="0.2">
      <c r="B16" t="s">
        <v>9</v>
      </c>
      <c r="C16" t="s">
        <v>40</v>
      </c>
      <c r="D16" t="s">
        <v>11</v>
      </c>
      <c r="E16" t="s">
        <v>46</v>
      </c>
      <c r="F16" t="s">
        <v>47</v>
      </c>
      <c r="G16" t="s">
        <v>1034</v>
      </c>
      <c r="H16" t="s">
        <v>15</v>
      </c>
      <c r="I16" s="1">
        <v>1</v>
      </c>
      <c r="J16" s="2">
        <v>301.72000000000003</v>
      </c>
    </row>
    <row r="17" spans="2:10" hidden="1" x14ac:dyDescent="0.2">
      <c r="B17" t="s">
        <v>9</v>
      </c>
      <c r="C17" t="s">
        <v>40</v>
      </c>
      <c r="D17" t="s">
        <v>11</v>
      </c>
      <c r="E17" t="s">
        <v>22</v>
      </c>
      <c r="F17" t="s">
        <v>23</v>
      </c>
      <c r="G17" t="s">
        <v>14</v>
      </c>
      <c r="H17" t="s">
        <v>24</v>
      </c>
      <c r="I17" s="1">
        <v>2</v>
      </c>
      <c r="J17" s="2">
        <v>431.04</v>
      </c>
    </row>
    <row r="18" spans="2:10" hidden="1" x14ac:dyDescent="0.2">
      <c r="B18" t="s">
        <v>9</v>
      </c>
      <c r="C18" t="s">
        <v>40</v>
      </c>
      <c r="D18" t="s">
        <v>11</v>
      </c>
      <c r="E18" t="s">
        <v>48</v>
      </c>
      <c r="F18" t="s">
        <v>49</v>
      </c>
      <c r="G18" t="s">
        <v>43</v>
      </c>
      <c r="H18" t="s">
        <v>50</v>
      </c>
      <c r="I18" s="1">
        <v>1</v>
      </c>
      <c r="J18" s="2">
        <v>1318.97</v>
      </c>
    </row>
    <row r="19" spans="2:10" hidden="1" x14ac:dyDescent="0.2">
      <c r="B19" t="s">
        <v>9</v>
      </c>
      <c r="C19" t="s">
        <v>40</v>
      </c>
      <c r="D19" t="s">
        <v>11</v>
      </c>
      <c r="E19" t="s">
        <v>28</v>
      </c>
      <c r="F19" t="s">
        <v>29</v>
      </c>
      <c r="G19" t="s">
        <v>1033</v>
      </c>
      <c r="H19" t="s">
        <v>30</v>
      </c>
      <c r="I19" s="1">
        <v>2</v>
      </c>
      <c r="J19" s="2">
        <v>310.33999999999997</v>
      </c>
    </row>
    <row r="20" spans="2:10" hidden="1" x14ac:dyDescent="0.2">
      <c r="B20" t="s">
        <v>9</v>
      </c>
      <c r="C20" t="s">
        <v>51</v>
      </c>
      <c r="D20" t="s">
        <v>11</v>
      </c>
      <c r="E20" t="s">
        <v>36</v>
      </c>
      <c r="F20" t="s">
        <v>37</v>
      </c>
      <c r="G20" t="s">
        <v>1034</v>
      </c>
      <c r="H20" t="s">
        <v>15</v>
      </c>
      <c r="I20" s="1">
        <v>1</v>
      </c>
      <c r="J20" s="2">
        <v>301.72000000000003</v>
      </c>
    </row>
    <row r="21" spans="2:10" hidden="1" x14ac:dyDescent="0.2">
      <c r="B21" t="s">
        <v>9</v>
      </c>
      <c r="C21" t="s">
        <v>51</v>
      </c>
      <c r="D21" t="s">
        <v>11</v>
      </c>
      <c r="E21" t="s">
        <v>22</v>
      </c>
      <c r="F21" t="s">
        <v>23</v>
      </c>
      <c r="G21" t="s">
        <v>14</v>
      </c>
      <c r="H21" t="s">
        <v>24</v>
      </c>
      <c r="I21" s="1">
        <v>1</v>
      </c>
      <c r="J21" s="2">
        <v>215.52</v>
      </c>
    </row>
    <row r="22" spans="2:10" hidden="1" x14ac:dyDescent="0.2">
      <c r="B22" t="s">
        <v>9</v>
      </c>
      <c r="C22" t="s">
        <v>51</v>
      </c>
      <c r="D22" t="s">
        <v>11</v>
      </c>
      <c r="E22" t="s">
        <v>52</v>
      </c>
      <c r="F22" t="s">
        <v>53</v>
      </c>
      <c r="G22" t="s">
        <v>54</v>
      </c>
      <c r="H22" t="s">
        <v>55</v>
      </c>
      <c r="I22" s="1">
        <v>1</v>
      </c>
      <c r="J22" s="2">
        <v>543.1</v>
      </c>
    </row>
    <row r="23" spans="2:10" hidden="1" x14ac:dyDescent="0.2">
      <c r="B23" t="s">
        <v>9</v>
      </c>
      <c r="C23" t="s">
        <v>51</v>
      </c>
      <c r="D23" t="s">
        <v>11</v>
      </c>
      <c r="E23" t="s">
        <v>56</v>
      </c>
      <c r="F23" t="s">
        <v>57</v>
      </c>
      <c r="G23" t="s">
        <v>1034</v>
      </c>
      <c r="H23" t="s">
        <v>15</v>
      </c>
      <c r="I23" s="1">
        <v>1</v>
      </c>
      <c r="J23" s="2">
        <v>431.03</v>
      </c>
    </row>
    <row r="24" spans="2:10" hidden="1" x14ac:dyDescent="0.2">
      <c r="B24" t="s">
        <v>9</v>
      </c>
      <c r="C24" t="s">
        <v>51</v>
      </c>
      <c r="D24" t="s">
        <v>11</v>
      </c>
      <c r="E24" t="s">
        <v>58</v>
      </c>
      <c r="F24" t="s">
        <v>59</v>
      </c>
      <c r="G24" t="s">
        <v>14</v>
      </c>
      <c r="H24" t="s">
        <v>60</v>
      </c>
      <c r="I24" s="1">
        <v>1</v>
      </c>
      <c r="J24" s="2">
        <v>172.41</v>
      </c>
    </row>
    <row r="25" spans="2:10" hidden="1" x14ac:dyDescent="0.2">
      <c r="B25" t="s">
        <v>9</v>
      </c>
      <c r="C25" t="s">
        <v>51</v>
      </c>
      <c r="D25" t="s">
        <v>11</v>
      </c>
      <c r="E25" t="s">
        <v>61</v>
      </c>
      <c r="F25" t="s">
        <v>62</v>
      </c>
      <c r="G25" t="s">
        <v>1034</v>
      </c>
      <c r="H25" t="s">
        <v>15</v>
      </c>
      <c r="I25" s="1">
        <v>1</v>
      </c>
      <c r="J25" s="2">
        <v>172.41</v>
      </c>
    </row>
    <row r="26" spans="2:10" hidden="1" x14ac:dyDescent="0.2">
      <c r="B26" t="s">
        <v>9</v>
      </c>
      <c r="C26" t="s">
        <v>51</v>
      </c>
      <c r="D26" t="s">
        <v>11</v>
      </c>
      <c r="E26" t="s">
        <v>63</v>
      </c>
      <c r="F26" t="s">
        <v>64</v>
      </c>
      <c r="G26" t="s">
        <v>1034</v>
      </c>
      <c r="H26" t="s">
        <v>15</v>
      </c>
      <c r="I26" s="1">
        <v>1</v>
      </c>
      <c r="J26" s="2">
        <v>172.41</v>
      </c>
    </row>
    <row r="27" spans="2:10" hidden="1" x14ac:dyDescent="0.2">
      <c r="B27" t="s">
        <v>9</v>
      </c>
      <c r="C27" t="s">
        <v>65</v>
      </c>
      <c r="D27" t="s">
        <v>11</v>
      </c>
      <c r="E27" t="s">
        <v>66</v>
      </c>
      <c r="F27" t="s">
        <v>67</v>
      </c>
      <c r="G27" t="s">
        <v>1033</v>
      </c>
      <c r="H27" t="s">
        <v>30</v>
      </c>
      <c r="I27" s="1">
        <v>1</v>
      </c>
      <c r="J27" s="2">
        <v>1681.03</v>
      </c>
    </row>
    <row r="28" spans="2:10" hidden="1" x14ac:dyDescent="0.2">
      <c r="B28" t="s">
        <v>9</v>
      </c>
      <c r="C28" t="s">
        <v>65</v>
      </c>
      <c r="D28" t="s">
        <v>11</v>
      </c>
      <c r="E28" t="s">
        <v>44</v>
      </c>
      <c r="F28" t="s">
        <v>45</v>
      </c>
      <c r="G28" t="s">
        <v>1033</v>
      </c>
      <c r="H28" t="s">
        <v>30</v>
      </c>
      <c r="I28" s="1">
        <v>3</v>
      </c>
      <c r="J28" s="2">
        <v>245.70000000000002</v>
      </c>
    </row>
    <row r="29" spans="2:10" hidden="1" x14ac:dyDescent="0.2">
      <c r="B29" t="s">
        <v>9</v>
      </c>
      <c r="C29" t="s">
        <v>65</v>
      </c>
      <c r="D29" t="s">
        <v>11</v>
      </c>
      <c r="E29" t="s">
        <v>19</v>
      </c>
      <c r="F29" t="s">
        <v>20</v>
      </c>
      <c r="G29" t="s">
        <v>14</v>
      </c>
      <c r="H29" t="s">
        <v>21</v>
      </c>
      <c r="I29" s="1">
        <v>1</v>
      </c>
      <c r="J29" s="2">
        <v>431.04</v>
      </c>
    </row>
    <row r="30" spans="2:10" hidden="1" x14ac:dyDescent="0.2">
      <c r="B30" t="s">
        <v>9</v>
      </c>
      <c r="C30" t="s">
        <v>65</v>
      </c>
      <c r="D30" t="s">
        <v>11</v>
      </c>
      <c r="E30" t="s">
        <v>68</v>
      </c>
      <c r="F30" t="s">
        <v>69</v>
      </c>
      <c r="G30" t="s">
        <v>1033</v>
      </c>
      <c r="H30" t="s">
        <v>30</v>
      </c>
      <c r="I30" s="1">
        <v>1</v>
      </c>
      <c r="J30" s="2">
        <v>689.66</v>
      </c>
    </row>
    <row r="31" spans="2:10" hidden="1" x14ac:dyDescent="0.2">
      <c r="B31" t="s">
        <v>9</v>
      </c>
      <c r="C31" t="s">
        <v>65</v>
      </c>
      <c r="D31" t="s">
        <v>11</v>
      </c>
      <c r="E31" t="s">
        <v>70</v>
      </c>
      <c r="F31" t="s">
        <v>71</v>
      </c>
      <c r="G31" t="s">
        <v>1033</v>
      </c>
      <c r="H31" t="s">
        <v>30</v>
      </c>
      <c r="I31" s="1">
        <v>1</v>
      </c>
      <c r="J31" s="2">
        <v>2112.0700000000002</v>
      </c>
    </row>
    <row r="32" spans="2:10" hidden="1" x14ac:dyDescent="0.2">
      <c r="B32" t="s">
        <v>9</v>
      </c>
      <c r="C32" t="s">
        <v>65</v>
      </c>
      <c r="D32" t="s">
        <v>11</v>
      </c>
      <c r="E32" t="s">
        <v>72</v>
      </c>
      <c r="F32" t="s">
        <v>73</v>
      </c>
      <c r="G32" t="s">
        <v>1034</v>
      </c>
      <c r="H32" t="s">
        <v>15</v>
      </c>
      <c r="I32" s="1">
        <v>2</v>
      </c>
      <c r="J32" s="2">
        <v>1551.72</v>
      </c>
    </row>
    <row r="33" spans="2:10" hidden="1" x14ac:dyDescent="0.2">
      <c r="B33" t="s">
        <v>9</v>
      </c>
      <c r="C33" t="s">
        <v>65</v>
      </c>
      <c r="D33" t="s">
        <v>11</v>
      </c>
      <c r="E33" t="s">
        <v>74</v>
      </c>
      <c r="F33" t="s">
        <v>75</v>
      </c>
      <c r="G33" t="s">
        <v>76</v>
      </c>
      <c r="H33" t="s">
        <v>60</v>
      </c>
      <c r="I33" s="1">
        <v>1</v>
      </c>
      <c r="J33" s="2">
        <v>344.83</v>
      </c>
    </row>
    <row r="34" spans="2:10" hidden="1" x14ac:dyDescent="0.2">
      <c r="B34" t="s">
        <v>9</v>
      </c>
      <c r="C34" t="s">
        <v>65</v>
      </c>
      <c r="D34" t="s">
        <v>11</v>
      </c>
      <c r="E34" t="s">
        <v>22</v>
      </c>
      <c r="F34" t="s">
        <v>23</v>
      </c>
      <c r="G34" t="s">
        <v>14</v>
      </c>
      <c r="H34" t="s">
        <v>24</v>
      </c>
      <c r="I34" s="1">
        <v>2</v>
      </c>
      <c r="J34" s="2">
        <v>431.03</v>
      </c>
    </row>
    <row r="35" spans="2:10" hidden="1" x14ac:dyDescent="0.2">
      <c r="B35" t="s">
        <v>9</v>
      </c>
      <c r="C35" t="s">
        <v>65</v>
      </c>
      <c r="D35" t="s">
        <v>11</v>
      </c>
      <c r="E35" t="s">
        <v>77</v>
      </c>
      <c r="F35" t="s">
        <v>78</v>
      </c>
      <c r="G35" t="s">
        <v>14</v>
      </c>
      <c r="H35" t="s">
        <v>27</v>
      </c>
      <c r="I35" s="1">
        <v>1</v>
      </c>
      <c r="J35" s="2">
        <v>51.72</v>
      </c>
    </row>
    <row r="36" spans="2:10" hidden="1" x14ac:dyDescent="0.2">
      <c r="B36" t="s">
        <v>9</v>
      </c>
      <c r="C36" t="s">
        <v>65</v>
      </c>
      <c r="D36" t="s">
        <v>11</v>
      </c>
      <c r="E36" t="s">
        <v>38</v>
      </c>
      <c r="F36" t="s">
        <v>39</v>
      </c>
      <c r="G36" t="s">
        <v>1034</v>
      </c>
      <c r="H36" t="s">
        <v>15</v>
      </c>
      <c r="I36" s="1">
        <v>1</v>
      </c>
      <c r="J36" s="2">
        <v>431.03</v>
      </c>
    </row>
    <row r="37" spans="2:10" hidden="1" x14ac:dyDescent="0.2">
      <c r="B37" t="s">
        <v>9</v>
      </c>
      <c r="C37" t="s">
        <v>65</v>
      </c>
      <c r="D37" t="s">
        <v>11</v>
      </c>
      <c r="E37" t="s">
        <v>79</v>
      </c>
      <c r="F37" t="s">
        <v>80</v>
      </c>
      <c r="G37" t="s">
        <v>43</v>
      </c>
      <c r="H37" t="s">
        <v>81</v>
      </c>
      <c r="I37" s="1">
        <v>1</v>
      </c>
      <c r="J37" s="2">
        <v>1810.34</v>
      </c>
    </row>
    <row r="38" spans="2:10" hidden="1" x14ac:dyDescent="0.2">
      <c r="B38" t="s">
        <v>9</v>
      </c>
      <c r="C38" t="s">
        <v>65</v>
      </c>
      <c r="D38" t="s">
        <v>11</v>
      </c>
      <c r="E38" t="s">
        <v>28</v>
      </c>
      <c r="F38" t="s">
        <v>29</v>
      </c>
      <c r="G38" t="s">
        <v>1033</v>
      </c>
      <c r="H38" t="s">
        <v>30</v>
      </c>
      <c r="I38" s="1">
        <v>3</v>
      </c>
      <c r="J38" s="2">
        <v>465.51</v>
      </c>
    </row>
    <row r="39" spans="2:10" hidden="1" x14ac:dyDescent="0.2">
      <c r="B39" t="s">
        <v>9</v>
      </c>
      <c r="C39" t="s">
        <v>82</v>
      </c>
      <c r="D39" t="s">
        <v>11</v>
      </c>
      <c r="E39" t="s">
        <v>44</v>
      </c>
      <c r="F39" t="s">
        <v>45</v>
      </c>
      <c r="G39" t="s">
        <v>1033</v>
      </c>
      <c r="H39" t="s">
        <v>30</v>
      </c>
      <c r="I39" s="1">
        <v>1</v>
      </c>
      <c r="J39" s="2">
        <v>81.900000000000006</v>
      </c>
    </row>
    <row r="40" spans="2:10" hidden="1" x14ac:dyDescent="0.2">
      <c r="B40" t="s">
        <v>9</v>
      </c>
      <c r="C40" t="s">
        <v>82</v>
      </c>
      <c r="D40" t="s">
        <v>11</v>
      </c>
      <c r="E40" t="s">
        <v>70</v>
      </c>
      <c r="F40" t="s">
        <v>71</v>
      </c>
      <c r="G40" t="s">
        <v>1033</v>
      </c>
      <c r="H40" t="s">
        <v>30</v>
      </c>
      <c r="I40" s="1">
        <v>1</v>
      </c>
      <c r="J40" s="2">
        <v>2112.0700000000002</v>
      </c>
    </row>
    <row r="41" spans="2:10" hidden="1" x14ac:dyDescent="0.2">
      <c r="B41" t="s">
        <v>9</v>
      </c>
      <c r="C41" t="s">
        <v>82</v>
      </c>
      <c r="D41" t="s">
        <v>11</v>
      </c>
      <c r="E41" t="s">
        <v>83</v>
      </c>
      <c r="F41" t="s">
        <v>84</v>
      </c>
      <c r="G41" t="s">
        <v>1034</v>
      </c>
      <c r="H41" t="s">
        <v>15</v>
      </c>
      <c r="I41" s="1">
        <v>1</v>
      </c>
      <c r="J41" s="2">
        <v>387.93</v>
      </c>
    </row>
    <row r="42" spans="2:10" hidden="1" x14ac:dyDescent="0.2">
      <c r="B42" t="s">
        <v>9</v>
      </c>
      <c r="C42" t="s">
        <v>82</v>
      </c>
      <c r="D42" t="s">
        <v>11</v>
      </c>
      <c r="E42" t="s">
        <v>85</v>
      </c>
      <c r="F42" t="s">
        <v>86</v>
      </c>
      <c r="G42" t="s">
        <v>14</v>
      </c>
      <c r="H42" t="s">
        <v>87</v>
      </c>
      <c r="I42" s="1">
        <v>1</v>
      </c>
      <c r="J42" s="2">
        <v>301.72000000000003</v>
      </c>
    </row>
    <row r="43" spans="2:10" hidden="1" x14ac:dyDescent="0.2">
      <c r="B43" t="s">
        <v>9</v>
      </c>
      <c r="C43" t="s">
        <v>88</v>
      </c>
      <c r="D43" t="s">
        <v>11</v>
      </c>
      <c r="E43" t="s">
        <v>44</v>
      </c>
      <c r="F43" t="s">
        <v>45</v>
      </c>
      <c r="G43" t="s">
        <v>1033</v>
      </c>
      <c r="H43" t="s">
        <v>30</v>
      </c>
      <c r="I43" s="1">
        <v>1</v>
      </c>
      <c r="J43" s="2">
        <v>81.900000000000006</v>
      </c>
    </row>
    <row r="44" spans="2:10" hidden="1" x14ac:dyDescent="0.2">
      <c r="B44" t="s">
        <v>9</v>
      </c>
      <c r="C44" t="s">
        <v>88</v>
      </c>
      <c r="D44" t="s">
        <v>11</v>
      </c>
      <c r="E44" t="s">
        <v>89</v>
      </c>
      <c r="F44" t="s">
        <v>90</v>
      </c>
      <c r="G44" t="s">
        <v>43</v>
      </c>
      <c r="H44" t="s">
        <v>91</v>
      </c>
      <c r="I44" s="1">
        <v>1</v>
      </c>
      <c r="J44" s="2">
        <v>1637.93</v>
      </c>
    </row>
    <row r="45" spans="2:10" hidden="1" x14ac:dyDescent="0.2">
      <c r="B45" t="s">
        <v>9</v>
      </c>
      <c r="C45" t="s">
        <v>88</v>
      </c>
      <c r="D45" t="s">
        <v>11</v>
      </c>
      <c r="E45" t="s">
        <v>92</v>
      </c>
      <c r="F45" t="s">
        <v>93</v>
      </c>
      <c r="G45" t="s">
        <v>43</v>
      </c>
      <c r="H45" t="s">
        <v>94</v>
      </c>
      <c r="I45" s="1">
        <v>1</v>
      </c>
      <c r="J45" s="2">
        <v>1448.28</v>
      </c>
    </row>
    <row r="46" spans="2:10" hidden="1" x14ac:dyDescent="0.2">
      <c r="B46" t="s">
        <v>9</v>
      </c>
      <c r="C46" t="s">
        <v>88</v>
      </c>
      <c r="D46" t="s">
        <v>11</v>
      </c>
      <c r="E46" t="s">
        <v>70</v>
      </c>
      <c r="F46" t="s">
        <v>71</v>
      </c>
      <c r="G46" t="s">
        <v>1033</v>
      </c>
      <c r="H46" t="s">
        <v>30</v>
      </c>
      <c r="I46" s="1">
        <v>1</v>
      </c>
      <c r="J46" s="2">
        <v>2112.0700000000002</v>
      </c>
    </row>
    <row r="47" spans="2:10" hidden="1" x14ac:dyDescent="0.2">
      <c r="B47" t="s">
        <v>9</v>
      </c>
      <c r="C47" t="s">
        <v>88</v>
      </c>
      <c r="D47" t="s">
        <v>11</v>
      </c>
      <c r="E47" t="s">
        <v>95</v>
      </c>
      <c r="F47" t="s">
        <v>96</v>
      </c>
      <c r="G47" t="s">
        <v>1033</v>
      </c>
      <c r="H47" t="s">
        <v>30</v>
      </c>
      <c r="I47" s="1">
        <v>1</v>
      </c>
      <c r="J47" s="2">
        <v>1706.9</v>
      </c>
    </row>
    <row r="48" spans="2:10" hidden="1" x14ac:dyDescent="0.2">
      <c r="B48" t="s">
        <v>9</v>
      </c>
      <c r="C48" t="s">
        <v>88</v>
      </c>
      <c r="D48" t="s">
        <v>11</v>
      </c>
      <c r="E48" t="s">
        <v>97</v>
      </c>
      <c r="F48" t="s">
        <v>98</v>
      </c>
      <c r="G48" t="s">
        <v>1033</v>
      </c>
      <c r="H48" t="s">
        <v>30</v>
      </c>
      <c r="I48" s="1">
        <v>1</v>
      </c>
      <c r="J48" s="2">
        <v>2500</v>
      </c>
    </row>
    <row r="49" spans="2:10" hidden="1" x14ac:dyDescent="0.2">
      <c r="B49" t="s">
        <v>9</v>
      </c>
      <c r="C49" t="s">
        <v>88</v>
      </c>
      <c r="D49" t="s">
        <v>11</v>
      </c>
      <c r="E49" t="s">
        <v>99</v>
      </c>
      <c r="F49" t="s">
        <v>100</v>
      </c>
      <c r="G49" t="s">
        <v>43</v>
      </c>
      <c r="H49" t="s">
        <v>50</v>
      </c>
      <c r="I49" s="1">
        <v>1</v>
      </c>
      <c r="J49" s="2">
        <v>3275.86</v>
      </c>
    </row>
    <row r="50" spans="2:10" hidden="1" x14ac:dyDescent="0.2">
      <c r="B50" t="s">
        <v>9</v>
      </c>
      <c r="C50" t="s">
        <v>88</v>
      </c>
      <c r="D50" t="s">
        <v>11</v>
      </c>
      <c r="E50" t="s">
        <v>72</v>
      </c>
      <c r="F50" t="s">
        <v>73</v>
      </c>
      <c r="G50" t="s">
        <v>1034</v>
      </c>
      <c r="H50" t="s">
        <v>15</v>
      </c>
      <c r="I50" s="1">
        <v>3</v>
      </c>
      <c r="J50" s="2">
        <v>2327.58</v>
      </c>
    </row>
    <row r="51" spans="2:10" hidden="1" x14ac:dyDescent="0.2">
      <c r="B51" t="s">
        <v>9</v>
      </c>
      <c r="C51" t="s">
        <v>88</v>
      </c>
      <c r="D51" t="s">
        <v>11</v>
      </c>
      <c r="E51" t="s">
        <v>101</v>
      </c>
      <c r="F51" t="s">
        <v>102</v>
      </c>
      <c r="G51" t="s">
        <v>103</v>
      </c>
      <c r="H51" t="s">
        <v>104</v>
      </c>
      <c r="I51" s="1">
        <v>1</v>
      </c>
      <c r="J51" s="2">
        <v>0.01</v>
      </c>
    </row>
    <row r="52" spans="2:10" hidden="1" x14ac:dyDescent="0.2">
      <c r="B52" t="s">
        <v>9</v>
      </c>
      <c r="C52" t="s">
        <v>88</v>
      </c>
      <c r="D52" t="s">
        <v>11</v>
      </c>
      <c r="E52" t="s">
        <v>83</v>
      </c>
      <c r="F52" t="s">
        <v>84</v>
      </c>
      <c r="G52" t="s">
        <v>1034</v>
      </c>
      <c r="H52" t="s">
        <v>15</v>
      </c>
      <c r="I52" s="1">
        <v>1</v>
      </c>
      <c r="J52" s="2">
        <v>387.93</v>
      </c>
    </row>
    <row r="53" spans="2:10" hidden="1" x14ac:dyDescent="0.2">
      <c r="B53" t="s">
        <v>9</v>
      </c>
      <c r="C53" t="s">
        <v>88</v>
      </c>
      <c r="D53" t="s">
        <v>11</v>
      </c>
      <c r="E53" t="s">
        <v>105</v>
      </c>
      <c r="F53" t="s">
        <v>106</v>
      </c>
      <c r="G53" t="s">
        <v>107</v>
      </c>
      <c r="H53" t="s">
        <v>50</v>
      </c>
      <c r="I53" s="1">
        <v>1</v>
      </c>
      <c r="J53" s="2">
        <v>2586.21</v>
      </c>
    </row>
    <row r="54" spans="2:10" hidden="1" x14ac:dyDescent="0.2">
      <c r="B54" t="s">
        <v>9</v>
      </c>
      <c r="C54" t="s">
        <v>88</v>
      </c>
      <c r="D54" t="s">
        <v>11</v>
      </c>
      <c r="E54" t="s">
        <v>108</v>
      </c>
      <c r="F54" t="s">
        <v>109</v>
      </c>
      <c r="G54" t="s">
        <v>43</v>
      </c>
      <c r="H54" t="s">
        <v>91</v>
      </c>
      <c r="I54" s="1">
        <v>1</v>
      </c>
      <c r="J54" s="2">
        <v>1637.93</v>
      </c>
    </row>
    <row r="55" spans="2:10" hidden="1" x14ac:dyDescent="0.2">
      <c r="B55" t="s">
        <v>9</v>
      </c>
      <c r="C55" t="s">
        <v>88</v>
      </c>
      <c r="D55" t="s">
        <v>11</v>
      </c>
      <c r="E55" t="s">
        <v>110</v>
      </c>
      <c r="F55" t="s">
        <v>111</v>
      </c>
      <c r="G55" t="s">
        <v>14</v>
      </c>
      <c r="H55" t="s">
        <v>112</v>
      </c>
      <c r="I55" s="1">
        <v>1</v>
      </c>
      <c r="J55" s="2">
        <v>301.72000000000003</v>
      </c>
    </row>
    <row r="56" spans="2:10" hidden="1" x14ac:dyDescent="0.2">
      <c r="B56" t="s">
        <v>9</v>
      </c>
      <c r="C56" t="s">
        <v>88</v>
      </c>
      <c r="D56" t="s">
        <v>11</v>
      </c>
      <c r="E56" t="s">
        <v>113</v>
      </c>
      <c r="F56" t="s">
        <v>114</v>
      </c>
      <c r="G56" t="s">
        <v>43</v>
      </c>
      <c r="H56" t="s">
        <v>91</v>
      </c>
      <c r="I56" s="1">
        <v>1</v>
      </c>
      <c r="J56" s="2">
        <v>775.86</v>
      </c>
    </row>
    <row r="57" spans="2:10" hidden="1" x14ac:dyDescent="0.2">
      <c r="B57" t="s">
        <v>9</v>
      </c>
      <c r="C57" t="s">
        <v>88</v>
      </c>
      <c r="D57" t="s">
        <v>11</v>
      </c>
      <c r="E57" t="s">
        <v>115</v>
      </c>
      <c r="F57" t="s">
        <v>116</v>
      </c>
      <c r="G57" t="s">
        <v>1033</v>
      </c>
      <c r="H57" t="s">
        <v>30</v>
      </c>
      <c r="I57" s="1">
        <v>1</v>
      </c>
      <c r="J57" s="2">
        <v>2465.52</v>
      </c>
    </row>
    <row r="58" spans="2:10" hidden="1" x14ac:dyDescent="0.2">
      <c r="B58" t="s">
        <v>9</v>
      </c>
      <c r="C58" t="s">
        <v>117</v>
      </c>
      <c r="D58" t="s">
        <v>11</v>
      </c>
      <c r="E58" t="s">
        <v>44</v>
      </c>
      <c r="F58" t="s">
        <v>45</v>
      </c>
      <c r="G58" t="s">
        <v>1033</v>
      </c>
      <c r="H58" t="s">
        <v>30</v>
      </c>
      <c r="I58" s="1">
        <v>4</v>
      </c>
      <c r="J58" s="2">
        <v>327.60000000000002</v>
      </c>
    </row>
    <row r="59" spans="2:10" hidden="1" x14ac:dyDescent="0.2">
      <c r="B59" t="s">
        <v>9</v>
      </c>
      <c r="C59" t="s">
        <v>117</v>
      </c>
      <c r="D59" t="s">
        <v>11</v>
      </c>
      <c r="E59" t="s">
        <v>118</v>
      </c>
      <c r="F59" t="s">
        <v>119</v>
      </c>
      <c r="G59" t="s">
        <v>14</v>
      </c>
      <c r="H59" t="s">
        <v>27</v>
      </c>
      <c r="I59" s="1">
        <v>1</v>
      </c>
      <c r="J59" s="2">
        <v>379.31</v>
      </c>
    </row>
    <row r="60" spans="2:10" hidden="1" x14ac:dyDescent="0.2">
      <c r="B60" t="s">
        <v>9</v>
      </c>
      <c r="C60" t="s">
        <v>117</v>
      </c>
      <c r="D60" t="s">
        <v>11</v>
      </c>
      <c r="E60" t="s">
        <v>120</v>
      </c>
      <c r="F60" t="s">
        <v>121</v>
      </c>
      <c r="G60" t="s">
        <v>1034</v>
      </c>
      <c r="H60" t="s">
        <v>15</v>
      </c>
      <c r="I60" s="1">
        <v>1</v>
      </c>
      <c r="J60" s="2">
        <v>301.72000000000003</v>
      </c>
    </row>
    <row r="61" spans="2:10" hidden="1" x14ac:dyDescent="0.2">
      <c r="B61" t="s">
        <v>9</v>
      </c>
      <c r="C61" t="s">
        <v>117</v>
      </c>
      <c r="D61" t="s">
        <v>11</v>
      </c>
      <c r="E61" t="s">
        <v>72</v>
      </c>
      <c r="F61" t="s">
        <v>73</v>
      </c>
      <c r="G61" t="s">
        <v>1034</v>
      </c>
      <c r="H61" t="s">
        <v>15</v>
      </c>
      <c r="I61" s="1">
        <v>1</v>
      </c>
      <c r="J61" s="2">
        <v>775.86</v>
      </c>
    </row>
    <row r="62" spans="2:10" hidden="1" x14ac:dyDescent="0.2">
      <c r="B62" t="s">
        <v>9</v>
      </c>
      <c r="C62" t="s">
        <v>117</v>
      </c>
      <c r="D62" t="s">
        <v>11</v>
      </c>
      <c r="E62" t="s">
        <v>122</v>
      </c>
      <c r="F62" t="s">
        <v>123</v>
      </c>
      <c r="G62" t="s">
        <v>1034</v>
      </c>
      <c r="H62" t="s">
        <v>15</v>
      </c>
      <c r="I62" s="1">
        <v>1</v>
      </c>
      <c r="J62" s="2">
        <v>387.93</v>
      </c>
    </row>
    <row r="63" spans="2:10" hidden="1" x14ac:dyDescent="0.2">
      <c r="B63" t="s">
        <v>9</v>
      </c>
      <c r="C63" t="s">
        <v>117</v>
      </c>
      <c r="D63" t="s">
        <v>11</v>
      </c>
      <c r="E63" t="s">
        <v>22</v>
      </c>
      <c r="F63" t="s">
        <v>23</v>
      </c>
      <c r="G63" t="s">
        <v>14</v>
      </c>
      <c r="H63" t="s">
        <v>24</v>
      </c>
      <c r="I63" s="1">
        <v>2</v>
      </c>
      <c r="J63" s="2">
        <v>431.03</v>
      </c>
    </row>
    <row r="64" spans="2:10" hidden="1" x14ac:dyDescent="0.2">
      <c r="B64" t="s">
        <v>9</v>
      </c>
      <c r="C64" t="s">
        <v>117</v>
      </c>
      <c r="D64" t="s">
        <v>11</v>
      </c>
      <c r="E64" t="s">
        <v>56</v>
      </c>
      <c r="F64" t="s">
        <v>57</v>
      </c>
      <c r="G64" t="s">
        <v>1034</v>
      </c>
      <c r="H64" t="s">
        <v>15</v>
      </c>
      <c r="I64" s="1">
        <v>3</v>
      </c>
      <c r="J64" s="2">
        <v>1293.0999999999999</v>
      </c>
    </row>
    <row r="65" spans="2:10" hidden="1" x14ac:dyDescent="0.2">
      <c r="B65" t="s">
        <v>9</v>
      </c>
      <c r="C65" t="s">
        <v>117</v>
      </c>
      <c r="D65" t="s">
        <v>11</v>
      </c>
      <c r="E65" t="s">
        <v>124</v>
      </c>
      <c r="F65" t="s">
        <v>125</v>
      </c>
      <c r="G65" t="s">
        <v>1034</v>
      </c>
      <c r="H65" t="s">
        <v>15</v>
      </c>
      <c r="I65" s="1">
        <v>1</v>
      </c>
      <c r="J65" s="2">
        <v>431.03</v>
      </c>
    </row>
    <row r="66" spans="2:10" hidden="1" x14ac:dyDescent="0.2">
      <c r="B66" t="s">
        <v>9</v>
      </c>
      <c r="C66" t="s">
        <v>117</v>
      </c>
      <c r="D66" t="s">
        <v>11</v>
      </c>
      <c r="E66" t="s">
        <v>61</v>
      </c>
      <c r="F66" t="s">
        <v>62</v>
      </c>
      <c r="G66" t="s">
        <v>1034</v>
      </c>
      <c r="H66" t="s">
        <v>15</v>
      </c>
      <c r="I66" s="1">
        <v>1</v>
      </c>
      <c r="J66" s="2">
        <v>172.41</v>
      </c>
    </row>
    <row r="67" spans="2:10" hidden="1" x14ac:dyDescent="0.2">
      <c r="B67" t="s">
        <v>9</v>
      </c>
      <c r="C67" t="s">
        <v>117</v>
      </c>
      <c r="D67" t="s">
        <v>11</v>
      </c>
      <c r="E67" t="s">
        <v>126</v>
      </c>
      <c r="F67" t="s">
        <v>127</v>
      </c>
      <c r="G67" t="s">
        <v>43</v>
      </c>
      <c r="H67" t="s">
        <v>128</v>
      </c>
      <c r="I67" s="1">
        <v>1</v>
      </c>
      <c r="J67" s="2">
        <v>2068.9699999999998</v>
      </c>
    </row>
    <row r="68" spans="2:10" hidden="1" x14ac:dyDescent="0.2">
      <c r="B68" t="s">
        <v>9</v>
      </c>
      <c r="C68" t="s">
        <v>117</v>
      </c>
      <c r="D68" t="s">
        <v>11</v>
      </c>
      <c r="E68" t="s">
        <v>28</v>
      </c>
      <c r="F68" t="s">
        <v>29</v>
      </c>
      <c r="G68" t="s">
        <v>1033</v>
      </c>
      <c r="H68" t="s">
        <v>30</v>
      </c>
      <c r="I68" s="1">
        <v>6</v>
      </c>
      <c r="J68" s="2">
        <v>931.03</v>
      </c>
    </row>
    <row r="69" spans="2:10" hidden="1" x14ac:dyDescent="0.2">
      <c r="B69" t="s">
        <v>9</v>
      </c>
      <c r="C69" t="s">
        <v>129</v>
      </c>
      <c r="D69" t="s">
        <v>130</v>
      </c>
      <c r="E69" t="s">
        <v>131</v>
      </c>
      <c r="F69" t="s">
        <v>132</v>
      </c>
      <c r="G69" t="s">
        <v>43</v>
      </c>
      <c r="H69" t="s">
        <v>133</v>
      </c>
      <c r="I69" s="1">
        <v>1</v>
      </c>
      <c r="J69" s="2">
        <v>2155.17</v>
      </c>
    </row>
    <row r="70" spans="2:10" hidden="1" x14ac:dyDescent="0.2">
      <c r="B70" t="s">
        <v>9</v>
      </c>
      <c r="C70" t="s">
        <v>134</v>
      </c>
      <c r="D70" t="s">
        <v>11</v>
      </c>
      <c r="E70" t="s">
        <v>48</v>
      </c>
      <c r="F70" t="s">
        <v>49</v>
      </c>
      <c r="G70" t="s">
        <v>43</v>
      </c>
      <c r="H70" t="s">
        <v>50</v>
      </c>
      <c r="I70" s="1">
        <v>1</v>
      </c>
      <c r="J70" s="2">
        <v>1318.97</v>
      </c>
    </row>
    <row r="71" spans="2:10" hidden="1" x14ac:dyDescent="0.2">
      <c r="B71" t="s">
        <v>9</v>
      </c>
      <c r="C71" t="s">
        <v>134</v>
      </c>
      <c r="D71" t="s">
        <v>11</v>
      </c>
      <c r="E71" t="s">
        <v>28</v>
      </c>
      <c r="F71" t="s">
        <v>29</v>
      </c>
      <c r="G71" t="s">
        <v>1033</v>
      </c>
      <c r="H71" t="s">
        <v>30</v>
      </c>
      <c r="I71" s="1">
        <v>1</v>
      </c>
      <c r="J71" s="2">
        <v>155.16999999999999</v>
      </c>
    </row>
    <row r="72" spans="2:10" hidden="1" x14ac:dyDescent="0.2">
      <c r="B72" t="s">
        <v>9</v>
      </c>
      <c r="C72" t="s">
        <v>135</v>
      </c>
      <c r="D72" t="s">
        <v>11</v>
      </c>
      <c r="E72" t="s">
        <v>44</v>
      </c>
      <c r="F72" t="s">
        <v>45</v>
      </c>
      <c r="G72" t="s">
        <v>1033</v>
      </c>
      <c r="H72" t="s">
        <v>30</v>
      </c>
      <c r="I72" s="1">
        <v>3</v>
      </c>
      <c r="J72" s="2">
        <v>245.70000000000002</v>
      </c>
    </row>
    <row r="73" spans="2:10" hidden="1" x14ac:dyDescent="0.2">
      <c r="B73" t="s">
        <v>9</v>
      </c>
      <c r="C73" t="s">
        <v>135</v>
      </c>
      <c r="D73" t="s">
        <v>11</v>
      </c>
      <c r="E73" t="s">
        <v>136</v>
      </c>
      <c r="F73" t="s">
        <v>137</v>
      </c>
      <c r="G73" t="s">
        <v>54</v>
      </c>
      <c r="H73" t="s">
        <v>138</v>
      </c>
      <c r="I73" s="1">
        <v>1</v>
      </c>
      <c r="J73" s="2">
        <v>260.33999999999997</v>
      </c>
    </row>
    <row r="74" spans="2:10" hidden="1" x14ac:dyDescent="0.2">
      <c r="B74" t="s">
        <v>9</v>
      </c>
      <c r="C74" t="s">
        <v>135</v>
      </c>
      <c r="D74" t="s">
        <v>11</v>
      </c>
      <c r="E74" t="s">
        <v>139</v>
      </c>
      <c r="F74" t="s">
        <v>140</v>
      </c>
      <c r="G74" t="s">
        <v>14</v>
      </c>
      <c r="H74" t="s">
        <v>87</v>
      </c>
      <c r="I74" s="1">
        <v>1</v>
      </c>
      <c r="J74" s="2">
        <v>120.69</v>
      </c>
    </row>
    <row r="75" spans="2:10" hidden="1" x14ac:dyDescent="0.2">
      <c r="B75" t="s">
        <v>9</v>
      </c>
      <c r="C75" t="s">
        <v>135</v>
      </c>
      <c r="D75" t="s">
        <v>11</v>
      </c>
      <c r="E75" t="s">
        <v>72</v>
      </c>
      <c r="F75" t="s">
        <v>73</v>
      </c>
      <c r="G75" t="s">
        <v>1034</v>
      </c>
      <c r="H75" t="s">
        <v>15</v>
      </c>
      <c r="I75" s="1">
        <v>2</v>
      </c>
      <c r="J75" s="2">
        <v>1551.72</v>
      </c>
    </row>
    <row r="76" spans="2:10" hidden="1" x14ac:dyDescent="0.2">
      <c r="B76" t="s">
        <v>9</v>
      </c>
      <c r="C76" t="s">
        <v>135</v>
      </c>
      <c r="D76" t="s">
        <v>11</v>
      </c>
      <c r="E76" t="s">
        <v>101</v>
      </c>
      <c r="F76" t="s">
        <v>102</v>
      </c>
      <c r="G76" t="s">
        <v>103</v>
      </c>
      <c r="H76" t="s">
        <v>104</v>
      </c>
      <c r="I76" s="1">
        <v>1</v>
      </c>
      <c r="J76" s="2">
        <v>0.01</v>
      </c>
    </row>
    <row r="77" spans="2:10" hidden="1" x14ac:dyDescent="0.2">
      <c r="B77" t="s">
        <v>9</v>
      </c>
      <c r="C77" t="s">
        <v>135</v>
      </c>
      <c r="D77" t="s">
        <v>11</v>
      </c>
      <c r="E77" t="s">
        <v>56</v>
      </c>
      <c r="F77" t="s">
        <v>57</v>
      </c>
      <c r="G77" t="s">
        <v>1034</v>
      </c>
      <c r="H77" t="s">
        <v>15</v>
      </c>
      <c r="I77" s="1">
        <v>3</v>
      </c>
      <c r="J77" s="2">
        <v>1293.0999999999999</v>
      </c>
    </row>
    <row r="78" spans="2:10" hidden="1" x14ac:dyDescent="0.2">
      <c r="B78" t="s">
        <v>9</v>
      </c>
      <c r="C78" t="s">
        <v>135</v>
      </c>
      <c r="D78" t="s">
        <v>11</v>
      </c>
      <c r="E78" t="s">
        <v>28</v>
      </c>
      <c r="F78" t="s">
        <v>29</v>
      </c>
      <c r="G78" t="s">
        <v>1033</v>
      </c>
      <c r="H78" t="s">
        <v>30</v>
      </c>
      <c r="I78" s="1">
        <v>1</v>
      </c>
      <c r="J78" s="2">
        <v>155.16999999999999</v>
      </c>
    </row>
    <row r="79" spans="2:10" hidden="1" x14ac:dyDescent="0.2">
      <c r="B79" t="s">
        <v>9</v>
      </c>
      <c r="C79" t="s">
        <v>141</v>
      </c>
      <c r="D79" t="s">
        <v>11</v>
      </c>
      <c r="E79" t="s">
        <v>142</v>
      </c>
      <c r="F79" t="s">
        <v>143</v>
      </c>
      <c r="G79" t="s">
        <v>43</v>
      </c>
      <c r="H79" t="s">
        <v>50</v>
      </c>
      <c r="I79" s="1">
        <v>1</v>
      </c>
      <c r="J79" s="2">
        <v>2155.17</v>
      </c>
    </row>
    <row r="80" spans="2:10" hidden="1" x14ac:dyDescent="0.2">
      <c r="B80" t="s">
        <v>9</v>
      </c>
      <c r="C80" t="s">
        <v>141</v>
      </c>
      <c r="D80" t="s">
        <v>11</v>
      </c>
      <c r="E80" t="s">
        <v>72</v>
      </c>
      <c r="F80" t="s">
        <v>73</v>
      </c>
      <c r="G80" t="s">
        <v>1034</v>
      </c>
      <c r="H80" t="s">
        <v>15</v>
      </c>
      <c r="I80" s="1">
        <v>1</v>
      </c>
      <c r="J80" s="2">
        <v>775.86</v>
      </c>
    </row>
    <row r="81" spans="2:10" hidden="1" x14ac:dyDescent="0.2">
      <c r="B81" t="s">
        <v>9</v>
      </c>
      <c r="C81" t="s">
        <v>141</v>
      </c>
      <c r="D81" t="s">
        <v>11</v>
      </c>
      <c r="E81" t="s">
        <v>56</v>
      </c>
      <c r="F81" t="s">
        <v>57</v>
      </c>
      <c r="G81" t="s">
        <v>1034</v>
      </c>
      <c r="H81" t="s">
        <v>15</v>
      </c>
      <c r="I81" s="1">
        <v>1</v>
      </c>
      <c r="J81" s="2">
        <v>431.03</v>
      </c>
    </row>
    <row r="82" spans="2:10" hidden="1" x14ac:dyDescent="0.2">
      <c r="B82" t="s">
        <v>9</v>
      </c>
      <c r="C82" t="s">
        <v>141</v>
      </c>
      <c r="D82" t="s">
        <v>11</v>
      </c>
      <c r="E82" t="s">
        <v>61</v>
      </c>
      <c r="F82" t="s">
        <v>62</v>
      </c>
      <c r="G82" t="s">
        <v>1034</v>
      </c>
      <c r="H82" t="s">
        <v>15</v>
      </c>
      <c r="I82" s="1">
        <v>3</v>
      </c>
      <c r="J82" s="2">
        <v>517.23</v>
      </c>
    </row>
    <row r="83" spans="2:10" hidden="1" x14ac:dyDescent="0.2">
      <c r="B83" t="s">
        <v>9</v>
      </c>
      <c r="C83" t="s">
        <v>141</v>
      </c>
      <c r="D83" t="s">
        <v>11</v>
      </c>
      <c r="E83" t="s">
        <v>63</v>
      </c>
      <c r="F83" t="s">
        <v>64</v>
      </c>
      <c r="G83" t="s">
        <v>1034</v>
      </c>
      <c r="H83" t="s">
        <v>15</v>
      </c>
      <c r="I83" s="1">
        <v>2</v>
      </c>
      <c r="J83" s="2">
        <v>344.82</v>
      </c>
    </row>
    <row r="84" spans="2:10" hidden="1" x14ac:dyDescent="0.2">
      <c r="B84" t="s">
        <v>9</v>
      </c>
      <c r="C84" t="s">
        <v>141</v>
      </c>
      <c r="D84" t="s">
        <v>11</v>
      </c>
      <c r="E84" t="s">
        <v>28</v>
      </c>
      <c r="F84" t="s">
        <v>29</v>
      </c>
      <c r="G84" t="s">
        <v>1033</v>
      </c>
      <c r="H84" t="s">
        <v>30</v>
      </c>
      <c r="I84" s="1">
        <v>1</v>
      </c>
      <c r="J84" s="2">
        <v>155.16999999999999</v>
      </c>
    </row>
    <row r="85" spans="2:10" hidden="1" x14ac:dyDescent="0.2">
      <c r="B85" t="s">
        <v>9</v>
      </c>
      <c r="C85" t="s">
        <v>144</v>
      </c>
      <c r="D85" t="s">
        <v>11</v>
      </c>
      <c r="E85" t="s">
        <v>44</v>
      </c>
      <c r="F85" t="s">
        <v>45</v>
      </c>
      <c r="G85" t="s">
        <v>1033</v>
      </c>
      <c r="H85" t="s">
        <v>30</v>
      </c>
      <c r="I85" s="1">
        <v>2</v>
      </c>
      <c r="J85" s="2">
        <v>163.80000000000001</v>
      </c>
    </row>
    <row r="86" spans="2:10" hidden="1" x14ac:dyDescent="0.2">
      <c r="B86" t="s">
        <v>9</v>
      </c>
      <c r="C86" t="s">
        <v>144</v>
      </c>
      <c r="D86" t="s">
        <v>11</v>
      </c>
      <c r="E86" t="s">
        <v>46</v>
      </c>
      <c r="F86" t="s">
        <v>47</v>
      </c>
      <c r="G86" t="s">
        <v>1034</v>
      </c>
      <c r="H86" t="s">
        <v>15</v>
      </c>
      <c r="I86" s="1">
        <v>2</v>
      </c>
      <c r="J86" s="2">
        <v>603.44000000000005</v>
      </c>
    </row>
    <row r="87" spans="2:10" hidden="1" x14ac:dyDescent="0.2">
      <c r="B87" t="s">
        <v>9</v>
      </c>
      <c r="C87" t="s">
        <v>144</v>
      </c>
      <c r="D87" t="s">
        <v>11</v>
      </c>
      <c r="E87" t="s">
        <v>145</v>
      </c>
      <c r="F87" t="s">
        <v>146</v>
      </c>
      <c r="G87" t="s">
        <v>54</v>
      </c>
      <c r="H87" t="s">
        <v>138</v>
      </c>
      <c r="I87" s="1">
        <v>1</v>
      </c>
      <c r="J87" s="2">
        <v>312.07</v>
      </c>
    </row>
    <row r="88" spans="2:10" hidden="1" x14ac:dyDescent="0.2">
      <c r="B88" t="s">
        <v>9</v>
      </c>
      <c r="C88" t="s">
        <v>144</v>
      </c>
      <c r="D88" t="s">
        <v>11</v>
      </c>
      <c r="E88" t="s">
        <v>147</v>
      </c>
      <c r="F88" t="s">
        <v>148</v>
      </c>
      <c r="G88" t="s">
        <v>54</v>
      </c>
      <c r="H88" t="s">
        <v>138</v>
      </c>
      <c r="I88" s="1">
        <v>1</v>
      </c>
      <c r="J88" s="2">
        <v>646.54999999999995</v>
      </c>
    </row>
    <row r="89" spans="2:10" hidden="1" x14ac:dyDescent="0.2">
      <c r="B89" t="s">
        <v>9</v>
      </c>
      <c r="C89" t="s">
        <v>144</v>
      </c>
      <c r="D89" t="s">
        <v>11</v>
      </c>
      <c r="E89" t="s">
        <v>149</v>
      </c>
      <c r="F89" t="s">
        <v>150</v>
      </c>
      <c r="G89" t="s">
        <v>43</v>
      </c>
      <c r="H89" t="s">
        <v>50</v>
      </c>
      <c r="I89" s="1">
        <v>1</v>
      </c>
      <c r="J89" s="2">
        <v>3017.24</v>
      </c>
    </row>
    <row r="90" spans="2:10" hidden="1" x14ac:dyDescent="0.2">
      <c r="B90" t="s">
        <v>9</v>
      </c>
      <c r="C90" t="s">
        <v>144</v>
      </c>
      <c r="D90" t="s">
        <v>11</v>
      </c>
      <c r="E90" t="s">
        <v>151</v>
      </c>
      <c r="F90" t="s">
        <v>152</v>
      </c>
      <c r="G90" t="s">
        <v>14</v>
      </c>
      <c r="H90" t="s">
        <v>27</v>
      </c>
      <c r="I90" s="1">
        <v>1</v>
      </c>
      <c r="J90" s="2">
        <v>379.31</v>
      </c>
    </row>
    <row r="91" spans="2:10" hidden="1" x14ac:dyDescent="0.2">
      <c r="B91" t="s">
        <v>9</v>
      </c>
      <c r="C91" t="s">
        <v>144</v>
      </c>
      <c r="D91" t="s">
        <v>11</v>
      </c>
      <c r="E91" t="s">
        <v>101</v>
      </c>
      <c r="F91" t="s">
        <v>102</v>
      </c>
      <c r="G91" t="s">
        <v>103</v>
      </c>
      <c r="H91" t="s">
        <v>104</v>
      </c>
      <c r="I91" s="1">
        <v>1</v>
      </c>
      <c r="J91" s="2">
        <v>0.01</v>
      </c>
    </row>
    <row r="92" spans="2:10" hidden="1" x14ac:dyDescent="0.2">
      <c r="B92" t="s">
        <v>9</v>
      </c>
      <c r="C92" t="s">
        <v>144</v>
      </c>
      <c r="D92" t="s">
        <v>11</v>
      </c>
      <c r="E92" t="s">
        <v>153</v>
      </c>
      <c r="F92" t="s">
        <v>154</v>
      </c>
      <c r="G92" t="s">
        <v>1034</v>
      </c>
      <c r="H92" t="s">
        <v>15</v>
      </c>
      <c r="I92" s="1">
        <v>1</v>
      </c>
      <c r="J92" s="2">
        <v>387.93</v>
      </c>
    </row>
    <row r="93" spans="2:10" hidden="1" x14ac:dyDescent="0.2">
      <c r="B93" t="s">
        <v>9</v>
      </c>
      <c r="C93" t="s">
        <v>144</v>
      </c>
      <c r="D93" t="s">
        <v>11</v>
      </c>
      <c r="E93" t="s">
        <v>155</v>
      </c>
      <c r="F93" t="s">
        <v>156</v>
      </c>
      <c r="G93" t="s">
        <v>76</v>
      </c>
      <c r="H93" t="s">
        <v>60</v>
      </c>
      <c r="I93" s="1">
        <v>1</v>
      </c>
      <c r="J93" s="2">
        <v>344.83</v>
      </c>
    </row>
    <row r="94" spans="2:10" hidden="1" x14ac:dyDescent="0.2">
      <c r="B94" t="s">
        <v>9</v>
      </c>
      <c r="C94" t="s">
        <v>144</v>
      </c>
      <c r="D94" t="s">
        <v>11</v>
      </c>
      <c r="E94" t="s">
        <v>105</v>
      </c>
      <c r="F94" t="s">
        <v>106</v>
      </c>
      <c r="G94" t="s">
        <v>107</v>
      </c>
      <c r="H94" t="s">
        <v>50</v>
      </c>
      <c r="I94" s="1">
        <v>1</v>
      </c>
      <c r="J94" s="2">
        <v>2586.21</v>
      </c>
    </row>
    <row r="95" spans="2:10" hidden="1" x14ac:dyDescent="0.2">
      <c r="B95" t="s">
        <v>9</v>
      </c>
      <c r="C95" t="s">
        <v>144</v>
      </c>
      <c r="D95" t="s">
        <v>11</v>
      </c>
      <c r="E95" t="s">
        <v>157</v>
      </c>
      <c r="F95" t="s">
        <v>158</v>
      </c>
      <c r="G95" t="s">
        <v>14</v>
      </c>
      <c r="H95" t="s">
        <v>87</v>
      </c>
      <c r="I95" s="1">
        <v>1</v>
      </c>
      <c r="J95" s="2">
        <v>284.48</v>
      </c>
    </row>
    <row r="96" spans="2:10" hidden="1" x14ac:dyDescent="0.2">
      <c r="B96" t="s">
        <v>9</v>
      </c>
      <c r="C96" t="s">
        <v>144</v>
      </c>
      <c r="D96" t="s">
        <v>11</v>
      </c>
      <c r="E96" t="s">
        <v>159</v>
      </c>
      <c r="F96" t="s">
        <v>160</v>
      </c>
      <c r="G96" t="s">
        <v>14</v>
      </c>
      <c r="H96" t="s">
        <v>87</v>
      </c>
      <c r="I96" s="1">
        <v>2</v>
      </c>
      <c r="J96" s="2">
        <v>568.97</v>
      </c>
    </row>
    <row r="97" spans="2:10" hidden="1" x14ac:dyDescent="0.2">
      <c r="B97" t="s">
        <v>9</v>
      </c>
      <c r="C97" t="s">
        <v>144</v>
      </c>
      <c r="D97" t="s">
        <v>11</v>
      </c>
      <c r="E97" t="s">
        <v>161</v>
      </c>
      <c r="F97" t="s">
        <v>162</v>
      </c>
      <c r="G97" t="s">
        <v>1033</v>
      </c>
      <c r="H97" t="s">
        <v>30</v>
      </c>
      <c r="I97" s="1">
        <v>1</v>
      </c>
      <c r="J97" s="2">
        <v>2474.14</v>
      </c>
    </row>
    <row r="98" spans="2:10" hidden="1" x14ac:dyDescent="0.2">
      <c r="B98" t="s">
        <v>9</v>
      </c>
      <c r="C98" t="s">
        <v>144</v>
      </c>
      <c r="D98" t="s">
        <v>11</v>
      </c>
      <c r="E98" t="s">
        <v>38</v>
      </c>
      <c r="F98" t="s">
        <v>39</v>
      </c>
      <c r="G98" t="s">
        <v>1034</v>
      </c>
      <c r="H98" t="s">
        <v>15</v>
      </c>
      <c r="I98" s="1">
        <v>3</v>
      </c>
      <c r="J98" s="2">
        <v>1293.0899999999999</v>
      </c>
    </row>
    <row r="99" spans="2:10" hidden="1" x14ac:dyDescent="0.2">
      <c r="B99" t="s">
        <v>9</v>
      </c>
      <c r="C99" t="s">
        <v>144</v>
      </c>
      <c r="D99" t="s">
        <v>11</v>
      </c>
      <c r="E99" t="s">
        <v>56</v>
      </c>
      <c r="F99" t="s">
        <v>57</v>
      </c>
      <c r="G99" t="s">
        <v>1034</v>
      </c>
      <c r="H99" t="s">
        <v>15</v>
      </c>
      <c r="I99" s="1">
        <v>1</v>
      </c>
      <c r="J99" s="2">
        <v>431.03</v>
      </c>
    </row>
    <row r="100" spans="2:10" hidden="1" x14ac:dyDescent="0.2">
      <c r="B100" t="s">
        <v>9</v>
      </c>
      <c r="C100" t="s">
        <v>144</v>
      </c>
      <c r="D100" t="s">
        <v>11</v>
      </c>
      <c r="E100" t="s">
        <v>48</v>
      </c>
      <c r="F100" t="s">
        <v>49</v>
      </c>
      <c r="G100" t="s">
        <v>43</v>
      </c>
      <c r="H100" t="s">
        <v>50</v>
      </c>
      <c r="I100" s="1">
        <v>1</v>
      </c>
      <c r="J100" s="2">
        <v>1318.97</v>
      </c>
    </row>
    <row r="101" spans="2:10" hidden="1" x14ac:dyDescent="0.2">
      <c r="B101" t="s">
        <v>9</v>
      </c>
      <c r="C101" t="s">
        <v>144</v>
      </c>
      <c r="D101" t="s">
        <v>11</v>
      </c>
      <c r="E101" t="s">
        <v>124</v>
      </c>
      <c r="F101" t="s">
        <v>125</v>
      </c>
      <c r="G101" t="s">
        <v>1034</v>
      </c>
      <c r="H101" t="s">
        <v>15</v>
      </c>
      <c r="I101" s="1">
        <v>1</v>
      </c>
      <c r="J101" s="2">
        <v>431.03</v>
      </c>
    </row>
    <row r="102" spans="2:10" hidden="1" x14ac:dyDescent="0.2">
      <c r="B102" t="s">
        <v>9</v>
      </c>
      <c r="C102" t="s">
        <v>144</v>
      </c>
      <c r="D102" t="s">
        <v>11</v>
      </c>
      <c r="E102" t="s">
        <v>163</v>
      </c>
      <c r="F102" t="s">
        <v>164</v>
      </c>
      <c r="G102" t="s">
        <v>1034</v>
      </c>
      <c r="H102" t="s">
        <v>15</v>
      </c>
      <c r="I102" s="1">
        <v>2</v>
      </c>
      <c r="J102" s="2">
        <v>862.07</v>
      </c>
    </row>
    <row r="103" spans="2:10" hidden="1" x14ac:dyDescent="0.2">
      <c r="B103" t="s">
        <v>9</v>
      </c>
      <c r="C103" t="s">
        <v>144</v>
      </c>
      <c r="D103" t="s">
        <v>11</v>
      </c>
      <c r="E103" t="s">
        <v>28</v>
      </c>
      <c r="F103" t="s">
        <v>29</v>
      </c>
      <c r="G103" t="s">
        <v>1033</v>
      </c>
      <c r="H103" t="s">
        <v>30</v>
      </c>
      <c r="I103" s="1">
        <v>1</v>
      </c>
      <c r="J103" s="2">
        <v>155.16999999999999</v>
      </c>
    </row>
    <row r="104" spans="2:10" hidden="1" x14ac:dyDescent="0.2">
      <c r="B104" t="s">
        <v>9</v>
      </c>
      <c r="C104" t="s">
        <v>165</v>
      </c>
      <c r="D104" t="s">
        <v>11</v>
      </c>
      <c r="E104" t="s">
        <v>16</v>
      </c>
      <c r="F104" t="s">
        <v>17</v>
      </c>
      <c r="G104" t="s">
        <v>1034</v>
      </c>
      <c r="H104" t="s">
        <v>15</v>
      </c>
      <c r="I104" s="1">
        <v>1</v>
      </c>
      <c r="J104" s="2">
        <v>577.59</v>
      </c>
    </row>
    <row r="105" spans="2:10" hidden="1" x14ac:dyDescent="0.2">
      <c r="B105" t="s">
        <v>9</v>
      </c>
      <c r="C105" t="s">
        <v>166</v>
      </c>
      <c r="D105" t="s">
        <v>11</v>
      </c>
      <c r="E105" t="s">
        <v>41</v>
      </c>
      <c r="F105" t="s">
        <v>42</v>
      </c>
      <c r="G105" t="s">
        <v>1033</v>
      </c>
      <c r="H105" t="s">
        <v>30</v>
      </c>
      <c r="I105" s="1">
        <v>1</v>
      </c>
      <c r="J105" s="2">
        <v>34.479999999999997</v>
      </c>
    </row>
    <row r="106" spans="2:10" hidden="1" x14ac:dyDescent="0.2">
      <c r="B106" t="s">
        <v>9</v>
      </c>
      <c r="C106" t="s">
        <v>166</v>
      </c>
      <c r="D106" t="s">
        <v>11</v>
      </c>
      <c r="E106" t="s">
        <v>167</v>
      </c>
      <c r="F106" t="s">
        <v>168</v>
      </c>
      <c r="G106" t="s">
        <v>1033</v>
      </c>
      <c r="H106" t="s">
        <v>30</v>
      </c>
      <c r="I106" s="1">
        <v>1</v>
      </c>
      <c r="J106" s="2">
        <v>1267.24</v>
      </c>
    </row>
    <row r="107" spans="2:10" hidden="1" x14ac:dyDescent="0.2">
      <c r="B107" t="s">
        <v>9</v>
      </c>
      <c r="C107" t="s">
        <v>166</v>
      </c>
      <c r="D107" t="s">
        <v>11</v>
      </c>
      <c r="E107" t="s">
        <v>44</v>
      </c>
      <c r="F107" t="s">
        <v>45</v>
      </c>
      <c r="G107" t="s">
        <v>1033</v>
      </c>
      <c r="H107" t="s">
        <v>30</v>
      </c>
      <c r="I107" s="1">
        <v>3</v>
      </c>
      <c r="J107" s="2">
        <v>245.70000000000002</v>
      </c>
    </row>
    <row r="108" spans="2:10" hidden="1" x14ac:dyDescent="0.2">
      <c r="B108" t="s">
        <v>9</v>
      </c>
      <c r="C108" t="s">
        <v>166</v>
      </c>
      <c r="D108" t="s">
        <v>11</v>
      </c>
      <c r="E108" t="s">
        <v>19</v>
      </c>
      <c r="F108" t="s">
        <v>20</v>
      </c>
      <c r="G108" t="s">
        <v>14</v>
      </c>
      <c r="H108" t="s">
        <v>21</v>
      </c>
      <c r="I108" s="1">
        <v>1</v>
      </c>
      <c r="J108" s="2">
        <v>431.04</v>
      </c>
    </row>
    <row r="109" spans="2:10" hidden="1" x14ac:dyDescent="0.2">
      <c r="B109" t="s">
        <v>9</v>
      </c>
      <c r="C109" t="s">
        <v>166</v>
      </c>
      <c r="D109" t="s">
        <v>11</v>
      </c>
      <c r="E109" t="s">
        <v>169</v>
      </c>
      <c r="F109" t="s">
        <v>170</v>
      </c>
      <c r="G109" t="s">
        <v>1033</v>
      </c>
      <c r="H109" t="s">
        <v>30</v>
      </c>
      <c r="I109" s="1">
        <v>1</v>
      </c>
      <c r="J109" s="2">
        <v>258.62</v>
      </c>
    </row>
    <row r="110" spans="2:10" hidden="1" x14ac:dyDescent="0.2">
      <c r="B110" t="s">
        <v>9</v>
      </c>
      <c r="C110" t="s">
        <v>166</v>
      </c>
      <c r="D110" t="s">
        <v>11</v>
      </c>
      <c r="E110" t="s">
        <v>171</v>
      </c>
      <c r="F110" t="s">
        <v>172</v>
      </c>
      <c r="G110" t="s">
        <v>14</v>
      </c>
      <c r="H110" t="s">
        <v>35</v>
      </c>
      <c r="I110" s="1">
        <v>1</v>
      </c>
      <c r="J110" s="2">
        <v>77.59</v>
      </c>
    </row>
    <row r="111" spans="2:10" hidden="1" x14ac:dyDescent="0.2">
      <c r="B111" t="s">
        <v>9</v>
      </c>
      <c r="C111" t="s">
        <v>166</v>
      </c>
      <c r="D111" t="s">
        <v>11</v>
      </c>
      <c r="E111" t="s">
        <v>173</v>
      </c>
      <c r="F111" t="s">
        <v>174</v>
      </c>
      <c r="G111" t="s">
        <v>14</v>
      </c>
      <c r="H111" t="s">
        <v>35</v>
      </c>
      <c r="I111" s="1">
        <v>1</v>
      </c>
      <c r="J111" s="2">
        <v>60.34</v>
      </c>
    </row>
    <row r="112" spans="2:10" hidden="1" x14ac:dyDescent="0.2">
      <c r="B112" t="s">
        <v>9</v>
      </c>
      <c r="C112" t="s">
        <v>166</v>
      </c>
      <c r="D112" t="s">
        <v>11</v>
      </c>
      <c r="E112" t="s">
        <v>175</v>
      </c>
      <c r="F112" t="s">
        <v>176</v>
      </c>
      <c r="G112" t="s">
        <v>54</v>
      </c>
      <c r="H112" t="s">
        <v>138</v>
      </c>
      <c r="I112" s="1">
        <v>1</v>
      </c>
      <c r="J112" s="2">
        <v>344.83</v>
      </c>
    </row>
    <row r="113" spans="2:10" hidden="1" x14ac:dyDescent="0.2">
      <c r="B113" t="s">
        <v>9</v>
      </c>
      <c r="C113" t="s">
        <v>166</v>
      </c>
      <c r="D113" t="s">
        <v>11</v>
      </c>
      <c r="E113" t="s">
        <v>177</v>
      </c>
      <c r="F113" t="s">
        <v>178</v>
      </c>
      <c r="G113" t="s">
        <v>1033</v>
      </c>
      <c r="H113" t="s">
        <v>30</v>
      </c>
      <c r="I113" s="1">
        <v>1</v>
      </c>
      <c r="J113" s="2">
        <v>637.92999999999995</v>
      </c>
    </row>
    <row r="114" spans="2:10" hidden="1" x14ac:dyDescent="0.2">
      <c r="B114" t="s">
        <v>9</v>
      </c>
      <c r="C114" t="s">
        <v>166</v>
      </c>
      <c r="D114" t="s">
        <v>11</v>
      </c>
      <c r="E114" t="s">
        <v>72</v>
      </c>
      <c r="F114" t="s">
        <v>73</v>
      </c>
      <c r="G114" t="s">
        <v>1034</v>
      </c>
      <c r="H114" t="s">
        <v>15</v>
      </c>
      <c r="I114" s="1">
        <v>1</v>
      </c>
      <c r="J114" s="2">
        <v>775.86</v>
      </c>
    </row>
    <row r="115" spans="2:10" hidden="1" x14ac:dyDescent="0.2">
      <c r="B115" t="s">
        <v>9</v>
      </c>
      <c r="C115" t="s">
        <v>166</v>
      </c>
      <c r="D115" t="s">
        <v>11</v>
      </c>
      <c r="E115" t="s">
        <v>101</v>
      </c>
      <c r="F115" t="s">
        <v>102</v>
      </c>
      <c r="G115" t="s">
        <v>103</v>
      </c>
      <c r="H115" t="s">
        <v>104</v>
      </c>
      <c r="I115" s="1">
        <v>1</v>
      </c>
      <c r="J115" s="2">
        <v>0.01</v>
      </c>
    </row>
    <row r="116" spans="2:10" hidden="1" x14ac:dyDescent="0.2">
      <c r="B116" t="s">
        <v>9</v>
      </c>
      <c r="C116" t="s">
        <v>166</v>
      </c>
      <c r="D116" t="s">
        <v>11</v>
      </c>
      <c r="E116" t="s">
        <v>179</v>
      </c>
      <c r="F116" t="s">
        <v>180</v>
      </c>
      <c r="G116" t="s">
        <v>76</v>
      </c>
      <c r="H116" t="s">
        <v>60</v>
      </c>
      <c r="I116" s="1">
        <v>1</v>
      </c>
      <c r="J116" s="2">
        <v>344.83</v>
      </c>
    </row>
    <row r="117" spans="2:10" hidden="1" x14ac:dyDescent="0.2">
      <c r="B117" t="s">
        <v>9</v>
      </c>
      <c r="C117" t="s">
        <v>166</v>
      </c>
      <c r="D117" t="s">
        <v>11</v>
      </c>
      <c r="E117" t="s">
        <v>16</v>
      </c>
      <c r="F117" t="s">
        <v>17</v>
      </c>
      <c r="G117" t="s">
        <v>1034</v>
      </c>
      <c r="H117" t="s">
        <v>15</v>
      </c>
      <c r="I117" s="1">
        <v>3</v>
      </c>
      <c r="J117" s="2">
        <v>1732.77</v>
      </c>
    </row>
    <row r="118" spans="2:10" hidden="1" x14ac:dyDescent="0.2">
      <c r="B118" t="s">
        <v>9</v>
      </c>
      <c r="C118" t="s">
        <v>166</v>
      </c>
      <c r="D118" t="s">
        <v>11</v>
      </c>
      <c r="E118" t="s">
        <v>181</v>
      </c>
      <c r="F118" t="s">
        <v>182</v>
      </c>
      <c r="G118" t="s">
        <v>43</v>
      </c>
      <c r="H118" t="s">
        <v>81</v>
      </c>
      <c r="I118" s="1">
        <v>1</v>
      </c>
      <c r="J118" s="2">
        <v>1379.31</v>
      </c>
    </row>
    <row r="119" spans="2:10" hidden="1" x14ac:dyDescent="0.2">
      <c r="B119" t="s">
        <v>9</v>
      </c>
      <c r="C119" t="s">
        <v>166</v>
      </c>
      <c r="D119" t="s">
        <v>11</v>
      </c>
      <c r="E119" t="s">
        <v>183</v>
      </c>
      <c r="F119" t="s">
        <v>184</v>
      </c>
      <c r="G119" t="s">
        <v>14</v>
      </c>
      <c r="H119" t="s">
        <v>94</v>
      </c>
      <c r="I119" s="1">
        <v>1</v>
      </c>
      <c r="J119" s="2">
        <v>1034.48</v>
      </c>
    </row>
    <row r="120" spans="2:10" hidden="1" x14ac:dyDescent="0.2">
      <c r="B120" t="s">
        <v>9</v>
      </c>
      <c r="C120" t="s">
        <v>166</v>
      </c>
      <c r="D120" t="s">
        <v>11</v>
      </c>
      <c r="E120" t="s">
        <v>28</v>
      </c>
      <c r="F120" t="s">
        <v>29</v>
      </c>
      <c r="G120" t="s">
        <v>1033</v>
      </c>
      <c r="H120" t="s">
        <v>30</v>
      </c>
      <c r="I120" s="1">
        <v>3</v>
      </c>
      <c r="J120" s="2">
        <v>465.51</v>
      </c>
    </row>
    <row r="121" spans="2:10" hidden="1" x14ac:dyDescent="0.2">
      <c r="B121" t="s">
        <v>9</v>
      </c>
      <c r="C121" t="s">
        <v>185</v>
      </c>
      <c r="D121" t="s">
        <v>130</v>
      </c>
      <c r="E121" t="s">
        <v>46</v>
      </c>
      <c r="F121" t="s">
        <v>47</v>
      </c>
      <c r="G121" t="s">
        <v>1034</v>
      </c>
      <c r="H121" t="s">
        <v>15</v>
      </c>
      <c r="I121" s="1">
        <v>1</v>
      </c>
      <c r="J121" s="2">
        <v>301.72000000000003</v>
      </c>
    </row>
    <row r="122" spans="2:10" hidden="1" x14ac:dyDescent="0.2">
      <c r="B122" t="s">
        <v>9</v>
      </c>
      <c r="C122" t="s">
        <v>185</v>
      </c>
      <c r="D122" t="s">
        <v>130</v>
      </c>
      <c r="E122" t="s">
        <v>99</v>
      </c>
      <c r="F122" t="s">
        <v>100</v>
      </c>
      <c r="G122" t="s">
        <v>43</v>
      </c>
      <c r="H122" t="s">
        <v>50</v>
      </c>
      <c r="I122" s="1">
        <v>1</v>
      </c>
      <c r="J122" s="2">
        <v>3275.86</v>
      </c>
    </row>
    <row r="123" spans="2:10" hidden="1" x14ac:dyDescent="0.2">
      <c r="B123" t="s">
        <v>9</v>
      </c>
      <c r="C123" t="s">
        <v>185</v>
      </c>
      <c r="D123" t="s">
        <v>130</v>
      </c>
      <c r="E123" t="s">
        <v>72</v>
      </c>
      <c r="F123" t="s">
        <v>73</v>
      </c>
      <c r="G123" t="s">
        <v>1034</v>
      </c>
      <c r="H123" t="s">
        <v>15</v>
      </c>
      <c r="I123" s="1">
        <v>1</v>
      </c>
      <c r="J123" s="2">
        <v>775.86</v>
      </c>
    </row>
    <row r="124" spans="2:10" hidden="1" x14ac:dyDescent="0.2">
      <c r="B124" t="s">
        <v>9</v>
      </c>
      <c r="C124" t="s">
        <v>185</v>
      </c>
      <c r="D124" t="s">
        <v>130</v>
      </c>
      <c r="E124" t="s">
        <v>22</v>
      </c>
      <c r="F124" t="s">
        <v>23</v>
      </c>
      <c r="G124" t="s">
        <v>14</v>
      </c>
      <c r="H124" t="s">
        <v>24</v>
      </c>
      <c r="I124" s="1">
        <v>1</v>
      </c>
      <c r="J124" s="2">
        <v>215.52</v>
      </c>
    </row>
    <row r="125" spans="2:10" hidden="1" x14ac:dyDescent="0.2">
      <c r="B125" t="s">
        <v>9</v>
      </c>
      <c r="C125" t="s">
        <v>185</v>
      </c>
      <c r="D125" t="s">
        <v>130</v>
      </c>
      <c r="E125" t="s">
        <v>77</v>
      </c>
      <c r="F125" t="s">
        <v>78</v>
      </c>
      <c r="G125" t="s">
        <v>14</v>
      </c>
      <c r="H125" t="s">
        <v>27</v>
      </c>
      <c r="I125" s="1">
        <v>1</v>
      </c>
      <c r="J125" s="2">
        <v>51.72</v>
      </c>
    </row>
    <row r="126" spans="2:10" hidden="1" x14ac:dyDescent="0.2">
      <c r="B126" t="s">
        <v>9</v>
      </c>
      <c r="C126" t="s">
        <v>186</v>
      </c>
      <c r="D126" t="s">
        <v>11</v>
      </c>
      <c r="E126" t="s">
        <v>41</v>
      </c>
      <c r="F126" t="s">
        <v>42</v>
      </c>
      <c r="G126" t="s">
        <v>1033</v>
      </c>
      <c r="H126" t="s">
        <v>30</v>
      </c>
      <c r="I126" s="1">
        <v>1</v>
      </c>
      <c r="J126" s="2">
        <v>34.479999999999997</v>
      </c>
    </row>
    <row r="127" spans="2:10" hidden="1" x14ac:dyDescent="0.2">
      <c r="B127" t="s">
        <v>9</v>
      </c>
      <c r="C127" t="s">
        <v>186</v>
      </c>
      <c r="D127" t="s">
        <v>11</v>
      </c>
      <c r="E127" t="s">
        <v>187</v>
      </c>
      <c r="F127" t="s">
        <v>188</v>
      </c>
      <c r="G127" t="s">
        <v>1033</v>
      </c>
      <c r="H127" t="s">
        <v>30</v>
      </c>
      <c r="I127" s="1">
        <v>1</v>
      </c>
      <c r="J127" s="2">
        <v>258.62</v>
      </c>
    </row>
    <row r="128" spans="2:10" hidden="1" x14ac:dyDescent="0.2">
      <c r="B128" t="s">
        <v>9</v>
      </c>
      <c r="C128" t="s">
        <v>186</v>
      </c>
      <c r="D128" t="s">
        <v>11</v>
      </c>
      <c r="E128" t="s">
        <v>189</v>
      </c>
      <c r="F128" t="s">
        <v>190</v>
      </c>
      <c r="G128" t="s">
        <v>1033</v>
      </c>
      <c r="H128" t="s">
        <v>30</v>
      </c>
      <c r="I128" s="1">
        <v>1</v>
      </c>
      <c r="J128" s="2">
        <v>818.97</v>
      </c>
    </row>
    <row r="129" spans="2:10" hidden="1" x14ac:dyDescent="0.2">
      <c r="B129" t="s">
        <v>9</v>
      </c>
      <c r="C129" t="s">
        <v>186</v>
      </c>
      <c r="D129" t="s">
        <v>11</v>
      </c>
      <c r="E129" t="s">
        <v>120</v>
      </c>
      <c r="F129" t="s">
        <v>121</v>
      </c>
      <c r="G129" t="s">
        <v>1034</v>
      </c>
      <c r="H129" t="s">
        <v>15</v>
      </c>
      <c r="I129" s="1">
        <v>1</v>
      </c>
      <c r="J129" s="2">
        <v>301.72000000000003</v>
      </c>
    </row>
    <row r="130" spans="2:10" hidden="1" x14ac:dyDescent="0.2">
      <c r="B130" t="s">
        <v>9</v>
      </c>
      <c r="C130" t="s">
        <v>186</v>
      </c>
      <c r="D130" t="s">
        <v>11</v>
      </c>
      <c r="E130" t="s">
        <v>191</v>
      </c>
      <c r="F130" t="s">
        <v>192</v>
      </c>
      <c r="G130" t="s">
        <v>43</v>
      </c>
      <c r="H130" t="s">
        <v>50</v>
      </c>
      <c r="I130" s="1">
        <v>1</v>
      </c>
      <c r="J130" s="2">
        <v>3534.48</v>
      </c>
    </row>
    <row r="131" spans="2:10" hidden="1" x14ac:dyDescent="0.2">
      <c r="B131" t="s">
        <v>9</v>
      </c>
      <c r="C131" t="s">
        <v>186</v>
      </c>
      <c r="D131" t="s">
        <v>11</v>
      </c>
      <c r="E131" t="s">
        <v>61</v>
      </c>
      <c r="F131" t="s">
        <v>62</v>
      </c>
      <c r="G131" t="s">
        <v>1034</v>
      </c>
      <c r="H131" t="s">
        <v>15</v>
      </c>
      <c r="I131" s="1">
        <v>5</v>
      </c>
      <c r="J131" s="2">
        <v>862.05</v>
      </c>
    </row>
    <row r="132" spans="2:10" hidden="1" x14ac:dyDescent="0.2">
      <c r="B132" t="s">
        <v>9</v>
      </c>
      <c r="C132" t="s">
        <v>186</v>
      </c>
      <c r="D132" t="s">
        <v>11</v>
      </c>
      <c r="E132" t="s">
        <v>63</v>
      </c>
      <c r="F132" t="s">
        <v>64</v>
      </c>
      <c r="G132" t="s">
        <v>1034</v>
      </c>
      <c r="H132" t="s">
        <v>15</v>
      </c>
      <c r="I132" s="1">
        <v>5</v>
      </c>
      <c r="J132" s="2">
        <v>862.05</v>
      </c>
    </row>
    <row r="133" spans="2:10" hidden="1" x14ac:dyDescent="0.2">
      <c r="B133" t="s">
        <v>9</v>
      </c>
      <c r="C133" t="s">
        <v>186</v>
      </c>
      <c r="D133" t="s">
        <v>11</v>
      </c>
      <c r="E133" t="s">
        <v>193</v>
      </c>
      <c r="F133" t="s">
        <v>194</v>
      </c>
      <c r="G133" t="s">
        <v>1034</v>
      </c>
      <c r="H133" t="s">
        <v>15</v>
      </c>
      <c r="I133" s="1">
        <v>1</v>
      </c>
      <c r="J133" s="2">
        <v>1293.0999999999999</v>
      </c>
    </row>
    <row r="134" spans="2:10" hidden="1" x14ac:dyDescent="0.2">
      <c r="B134" t="s">
        <v>9</v>
      </c>
      <c r="C134" t="s">
        <v>186</v>
      </c>
      <c r="D134" t="s">
        <v>11</v>
      </c>
      <c r="E134" t="s">
        <v>195</v>
      </c>
      <c r="F134" t="s">
        <v>196</v>
      </c>
      <c r="G134" t="s">
        <v>1033</v>
      </c>
      <c r="H134" t="s">
        <v>30</v>
      </c>
      <c r="I134" s="1">
        <v>1</v>
      </c>
      <c r="J134" s="2">
        <v>2120.69</v>
      </c>
    </row>
    <row r="135" spans="2:10" hidden="1" x14ac:dyDescent="0.2">
      <c r="B135" t="s">
        <v>9</v>
      </c>
      <c r="C135" t="s">
        <v>186</v>
      </c>
      <c r="D135" t="s">
        <v>11</v>
      </c>
      <c r="E135" t="s">
        <v>28</v>
      </c>
      <c r="F135" t="s">
        <v>29</v>
      </c>
      <c r="G135" t="s">
        <v>1033</v>
      </c>
      <c r="H135" t="s">
        <v>30</v>
      </c>
      <c r="I135" s="1">
        <v>2</v>
      </c>
      <c r="J135" s="2">
        <v>310.33999999999997</v>
      </c>
    </row>
    <row r="136" spans="2:10" hidden="1" x14ac:dyDescent="0.2">
      <c r="B136" t="s">
        <v>9</v>
      </c>
      <c r="C136" t="s">
        <v>197</v>
      </c>
      <c r="D136" t="s">
        <v>11</v>
      </c>
      <c r="E136" t="s">
        <v>198</v>
      </c>
      <c r="F136" t="s">
        <v>199</v>
      </c>
      <c r="G136" t="s">
        <v>14</v>
      </c>
      <c r="H136" t="s">
        <v>200</v>
      </c>
      <c r="I136" s="1">
        <v>1</v>
      </c>
      <c r="J136" s="2">
        <v>594.83000000000004</v>
      </c>
    </row>
    <row r="137" spans="2:10" hidden="1" x14ac:dyDescent="0.2">
      <c r="B137" t="s">
        <v>9</v>
      </c>
      <c r="C137" t="s">
        <v>197</v>
      </c>
      <c r="D137" t="s">
        <v>11</v>
      </c>
      <c r="E137" t="s">
        <v>44</v>
      </c>
      <c r="F137" t="s">
        <v>45</v>
      </c>
      <c r="G137" t="s">
        <v>1033</v>
      </c>
      <c r="H137" t="s">
        <v>30</v>
      </c>
      <c r="I137" s="1">
        <v>1</v>
      </c>
      <c r="J137" s="2">
        <v>81.900000000000006</v>
      </c>
    </row>
    <row r="138" spans="2:10" hidden="1" x14ac:dyDescent="0.2">
      <c r="B138" t="s">
        <v>9</v>
      </c>
      <c r="C138" t="s">
        <v>197</v>
      </c>
      <c r="D138" t="s">
        <v>11</v>
      </c>
      <c r="E138" t="s">
        <v>142</v>
      </c>
      <c r="F138" t="s">
        <v>143</v>
      </c>
      <c r="G138" t="s">
        <v>43</v>
      </c>
      <c r="H138" t="s">
        <v>50</v>
      </c>
      <c r="I138" s="1">
        <v>1</v>
      </c>
      <c r="J138" s="2">
        <v>2155.17</v>
      </c>
    </row>
    <row r="139" spans="2:10" hidden="1" x14ac:dyDescent="0.2">
      <c r="B139" t="s">
        <v>9</v>
      </c>
      <c r="C139" t="s">
        <v>197</v>
      </c>
      <c r="D139" t="s">
        <v>11</v>
      </c>
      <c r="E139" t="s">
        <v>201</v>
      </c>
      <c r="F139" t="s">
        <v>202</v>
      </c>
      <c r="G139" t="s">
        <v>1033</v>
      </c>
      <c r="H139" t="s">
        <v>30</v>
      </c>
      <c r="I139" s="1">
        <v>1</v>
      </c>
      <c r="J139" s="2">
        <v>948.28</v>
      </c>
    </row>
    <row r="140" spans="2:10" hidden="1" x14ac:dyDescent="0.2">
      <c r="B140" t="s">
        <v>9</v>
      </c>
      <c r="C140" t="s">
        <v>197</v>
      </c>
      <c r="D140" t="s">
        <v>11</v>
      </c>
      <c r="E140" t="s">
        <v>203</v>
      </c>
      <c r="F140" t="s">
        <v>204</v>
      </c>
      <c r="G140" t="s">
        <v>43</v>
      </c>
      <c r="H140" t="s">
        <v>205</v>
      </c>
      <c r="I140" s="1">
        <v>1</v>
      </c>
      <c r="J140" s="2">
        <v>344.83</v>
      </c>
    </row>
    <row r="141" spans="2:10" hidden="1" x14ac:dyDescent="0.2">
      <c r="B141" t="s">
        <v>9</v>
      </c>
      <c r="C141" t="s">
        <v>197</v>
      </c>
      <c r="D141" t="s">
        <v>11</v>
      </c>
      <c r="E141" t="s">
        <v>72</v>
      </c>
      <c r="F141" t="s">
        <v>73</v>
      </c>
      <c r="G141" t="s">
        <v>1034</v>
      </c>
      <c r="H141" t="s">
        <v>15</v>
      </c>
      <c r="I141" s="1">
        <v>2</v>
      </c>
      <c r="J141" s="2">
        <v>1551.72</v>
      </c>
    </row>
    <row r="142" spans="2:10" hidden="1" x14ac:dyDescent="0.2">
      <c r="B142" t="s">
        <v>9</v>
      </c>
      <c r="C142" t="s">
        <v>197</v>
      </c>
      <c r="D142" t="s">
        <v>11</v>
      </c>
      <c r="E142" t="s">
        <v>28</v>
      </c>
      <c r="F142" t="s">
        <v>29</v>
      </c>
      <c r="G142" t="s">
        <v>1033</v>
      </c>
      <c r="H142" t="s">
        <v>30</v>
      </c>
      <c r="I142" s="1">
        <v>2</v>
      </c>
      <c r="J142" s="2">
        <v>310.33999999999997</v>
      </c>
    </row>
    <row r="143" spans="2:10" hidden="1" x14ac:dyDescent="0.2">
      <c r="B143" t="s">
        <v>9</v>
      </c>
      <c r="C143" t="s">
        <v>206</v>
      </c>
      <c r="D143" t="s">
        <v>11</v>
      </c>
      <c r="E143" t="s">
        <v>207</v>
      </c>
      <c r="F143" t="s">
        <v>208</v>
      </c>
      <c r="G143" t="s">
        <v>14</v>
      </c>
      <c r="H143" t="s">
        <v>209</v>
      </c>
      <c r="I143" s="1">
        <v>1</v>
      </c>
      <c r="J143" s="2">
        <v>926.72</v>
      </c>
    </row>
    <row r="144" spans="2:10" hidden="1" x14ac:dyDescent="0.2">
      <c r="B144" t="s">
        <v>9</v>
      </c>
      <c r="C144" t="s">
        <v>206</v>
      </c>
      <c r="D144" t="s">
        <v>11</v>
      </c>
      <c r="E144" t="s">
        <v>44</v>
      </c>
      <c r="F144" t="s">
        <v>45</v>
      </c>
      <c r="G144" t="s">
        <v>1033</v>
      </c>
      <c r="H144" t="s">
        <v>30</v>
      </c>
      <c r="I144" s="1">
        <v>2</v>
      </c>
      <c r="J144" s="2">
        <v>163.80000000000001</v>
      </c>
    </row>
    <row r="145" spans="2:10" hidden="1" x14ac:dyDescent="0.2">
      <c r="B145" t="s">
        <v>9</v>
      </c>
      <c r="C145" t="s">
        <v>206</v>
      </c>
      <c r="D145" t="s">
        <v>11</v>
      </c>
      <c r="E145" t="s">
        <v>210</v>
      </c>
      <c r="F145" t="s">
        <v>211</v>
      </c>
      <c r="G145" t="s">
        <v>1033</v>
      </c>
      <c r="H145" t="s">
        <v>30</v>
      </c>
      <c r="I145" s="1">
        <v>1</v>
      </c>
      <c r="J145" s="2">
        <v>301.72000000000003</v>
      </c>
    </row>
    <row r="146" spans="2:10" hidden="1" x14ac:dyDescent="0.2">
      <c r="B146" t="s">
        <v>9</v>
      </c>
      <c r="C146" t="s">
        <v>206</v>
      </c>
      <c r="D146" t="s">
        <v>11</v>
      </c>
      <c r="E146" t="s">
        <v>212</v>
      </c>
      <c r="F146" t="s">
        <v>213</v>
      </c>
      <c r="G146" t="s">
        <v>14</v>
      </c>
      <c r="H146" t="s">
        <v>35</v>
      </c>
      <c r="I146" s="1">
        <v>1</v>
      </c>
      <c r="J146" s="2">
        <v>77.59</v>
      </c>
    </row>
    <row r="147" spans="2:10" hidden="1" x14ac:dyDescent="0.2">
      <c r="B147" t="s">
        <v>9</v>
      </c>
      <c r="C147" t="s">
        <v>206</v>
      </c>
      <c r="D147" t="s">
        <v>11</v>
      </c>
      <c r="E147" t="s">
        <v>214</v>
      </c>
      <c r="F147" t="s">
        <v>215</v>
      </c>
      <c r="G147" t="s">
        <v>1034</v>
      </c>
      <c r="H147" t="s">
        <v>15</v>
      </c>
      <c r="I147" s="1">
        <v>1</v>
      </c>
      <c r="J147" s="2">
        <v>301.72000000000003</v>
      </c>
    </row>
    <row r="148" spans="2:10" hidden="1" x14ac:dyDescent="0.2">
      <c r="B148" t="s">
        <v>9</v>
      </c>
      <c r="C148" t="s">
        <v>206</v>
      </c>
      <c r="D148" t="s">
        <v>11</v>
      </c>
      <c r="E148" t="s">
        <v>36</v>
      </c>
      <c r="F148" t="s">
        <v>37</v>
      </c>
      <c r="G148" t="s">
        <v>1034</v>
      </c>
      <c r="H148" t="s">
        <v>15</v>
      </c>
      <c r="I148" s="1">
        <v>2</v>
      </c>
      <c r="J148" s="2">
        <v>603.44000000000005</v>
      </c>
    </row>
    <row r="149" spans="2:10" hidden="1" x14ac:dyDescent="0.2">
      <c r="B149" t="s">
        <v>9</v>
      </c>
      <c r="C149" t="s">
        <v>206</v>
      </c>
      <c r="D149" t="s">
        <v>11</v>
      </c>
      <c r="E149" t="s">
        <v>72</v>
      </c>
      <c r="F149" t="s">
        <v>73</v>
      </c>
      <c r="G149" t="s">
        <v>1034</v>
      </c>
      <c r="H149" t="s">
        <v>15</v>
      </c>
      <c r="I149" s="1">
        <v>1</v>
      </c>
      <c r="J149" s="2">
        <v>775.86</v>
      </c>
    </row>
    <row r="150" spans="2:10" hidden="1" x14ac:dyDescent="0.2">
      <c r="B150" t="s">
        <v>9</v>
      </c>
      <c r="C150" t="s">
        <v>206</v>
      </c>
      <c r="D150" t="s">
        <v>11</v>
      </c>
      <c r="E150" t="s">
        <v>216</v>
      </c>
      <c r="F150" t="s">
        <v>217</v>
      </c>
      <c r="G150" t="s">
        <v>14</v>
      </c>
      <c r="H150" t="s">
        <v>104</v>
      </c>
      <c r="I150" s="1">
        <v>1</v>
      </c>
      <c r="J150" s="2">
        <v>17.239999999999998</v>
      </c>
    </row>
    <row r="151" spans="2:10" hidden="1" x14ac:dyDescent="0.2">
      <c r="B151" t="s">
        <v>9</v>
      </c>
      <c r="C151" t="s">
        <v>206</v>
      </c>
      <c r="D151" t="s">
        <v>11</v>
      </c>
      <c r="E151" t="s">
        <v>16</v>
      </c>
      <c r="F151" t="s">
        <v>17</v>
      </c>
      <c r="G151" t="s">
        <v>1034</v>
      </c>
      <c r="H151" t="s">
        <v>15</v>
      </c>
      <c r="I151" s="1">
        <v>5</v>
      </c>
      <c r="J151" s="2">
        <v>2887.9500000000003</v>
      </c>
    </row>
    <row r="152" spans="2:10" hidden="1" x14ac:dyDescent="0.2">
      <c r="B152" t="s">
        <v>9</v>
      </c>
      <c r="C152" t="s">
        <v>206</v>
      </c>
      <c r="D152" t="s">
        <v>11</v>
      </c>
      <c r="E152" t="s">
        <v>218</v>
      </c>
      <c r="F152" t="s">
        <v>219</v>
      </c>
      <c r="G152" t="s">
        <v>43</v>
      </c>
      <c r="H152" t="s">
        <v>128</v>
      </c>
      <c r="I152" s="1">
        <v>1</v>
      </c>
      <c r="J152" s="2">
        <v>4396.55</v>
      </c>
    </row>
    <row r="153" spans="2:10" hidden="1" x14ac:dyDescent="0.2">
      <c r="B153" t="s">
        <v>9</v>
      </c>
      <c r="C153" t="s">
        <v>206</v>
      </c>
      <c r="D153" t="s">
        <v>11</v>
      </c>
      <c r="E153" t="s">
        <v>28</v>
      </c>
      <c r="F153" t="s">
        <v>29</v>
      </c>
      <c r="G153" t="s">
        <v>1033</v>
      </c>
      <c r="H153" t="s">
        <v>30</v>
      </c>
      <c r="I153" s="1">
        <v>4</v>
      </c>
      <c r="J153" s="2">
        <v>620.67999999999995</v>
      </c>
    </row>
    <row r="154" spans="2:10" hidden="1" x14ac:dyDescent="0.2">
      <c r="B154" t="s">
        <v>9</v>
      </c>
      <c r="C154" t="s">
        <v>220</v>
      </c>
      <c r="D154" t="s">
        <v>11</v>
      </c>
      <c r="E154" t="s">
        <v>44</v>
      </c>
      <c r="F154" t="s">
        <v>45</v>
      </c>
      <c r="G154" t="s">
        <v>1033</v>
      </c>
      <c r="H154" t="s">
        <v>30</v>
      </c>
      <c r="I154" s="1">
        <v>1</v>
      </c>
      <c r="J154" s="2">
        <v>81.900000000000006</v>
      </c>
    </row>
    <row r="155" spans="2:10" hidden="1" x14ac:dyDescent="0.2">
      <c r="B155" t="s">
        <v>9</v>
      </c>
      <c r="C155" t="s">
        <v>220</v>
      </c>
      <c r="D155" t="s">
        <v>11</v>
      </c>
      <c r="E155" t="s">
        <v>221</v>
      </c>
      <c r="F155" t="s">
        <v>222</v>
      </c>
      <c r="G155" t="s">
        <v>1034</v>
      </c>
      <c r="H155" t="s">
        <v>15</v>
      </c>
      <c r="I155" s="1">
        <v>1</v>
      </c>
      <c r="J155" s="2">
        <v>431.03</v>
      </c>
    </row>
    <row r="156" spans="2:10" hidden="1" x14ac:dyDescent="0.2">
      <c r="B156" t="s">
        <v>9</v>
      </c>
      <c r="C156" t="s">
        <v>220</v>
      </c>
      <c r="D156" t="s">
        <v>11</v>
      </c>
      <c r="E156" t="s">
        <v>223</v>
      </c>
      <c r="F156" t="s">
        <v>224</v>
      </c>
      <c r="G156" t="s">
        <v>43</v>
      </c>
      <c r="H156" t="s">
        <v>50</v>
      </c>
      <c r="I156" s="1">
        <v>1</v>
      </c>
      <c r="J156" s="2">
        <v>1637.93</v>
      </c>
    </row>
    <row r="157" spans="2:10" hidden="1" x14ac:dyDescent="0.2">
      <c r="B157" t="s">
        <v>9</v>
      </c>
      <c r="C157" t="s">
        <v>220</v>
      </c>
      <c r="D157" t="s">
        <v>11</v>
      </c>
      <c r="E157" t="s">
        <v>16</v>
      </c>
      <c r="F157" t="s">
        <v>17</v>
      </c>
      <c r="G157" t="s">
        <v>1034</v>
      </c>
      <c r="H157" t="s">
        <v>15</v>
      </c>
      <c r="I157" s="1">
        <v>1</v>
      </c>
      <c r="J157" s="2">
        <v>577.59</v>
      </c>
    </row>
    <row r="158" spans="2:10" hidden="1" x14ac:dyDescent="0.2">
      <c r="B158" t="s">
        <v>9</v>
      </c>
      <c r="C158" t="s">
        <v>220</v>
      </c>
      <c r="D158" t="s">
        <v>11</v>
      </c>
      <c r="E158" t="s">
        <v>28</v>
      </c>
      <c r="F158" t="s">
        <v>29</v>
      </c>
      <c r="G158" t="s">
        <v>1033</v>
      </c>
      <c r="H158" t="s">
        <v>30</v>
      </c>
      <c r="I158" s="1">
        <v>3</v>
      </c>
      <c r="J158" s="2">
        <v>465.52</v>
      </c>
    </row>
    <row r="159" spans="2:10" hidden="1" x14ac:dyDescent="0.2">
      <c r="B159" t="s">
        <v>9</v>
      </c>
      <c r="C159" t="s">
        <v>225</v>
      </c>
      <c r="D159" t="s">
        <v>226</v>
      </c>
      <c r="E159" t="s">
        <v>44</v>
      </c>
      <c r="F159" t="s">
        <v>45</v>
      </c>
      <c r="G159" t="s">
        <v>1033</v>
      </c>
      <c r="H159" t="s">
        <v>30</v>
      </c>
      <c r="I159" s="1">
        <v>1</v>
      </c>
      <c r="J159" s="2">
        <v>81.900000000000006</v>
      </c>
    </row>
    <row r="160" spans="2:10" hidden="1" x14ac:dyDescent="0.2">
      <c r="B160" t="s">
        <v>9</v>
      </c>
      <c r="C160" t="s">
        <v>225</v>
      </c>
      <c r="D160" t="s">
        <v>226</v>
      </c>
      <c r="E160" t="s">
        <v>214</v>
      </c>
      <c r="F160" t="s">
        <v>215</v>
      </c>
      <c r="G160" t="s">
        <v>1034</v>
      </c>
      <c r="H160" t="s">
        <v>15</v>
      </c>
      <c r="I160" s="1">
        <v>1</v>
      </c>
      <c r="J160" s="2">
        <v>301.72000000000003</v>
      </c>
    </row>
    <row r="161" spans="2:10" hidden="1" x14ac:dyDescent="0.2">
      <c r="B161" t="s">
        <v>9</v>
      </c>
      <c r="C161" t="s">
        <v>225</v>
      </c>
      <c r="D161" t="s">
        <v>226</v>
      </c>
      <c r="E161" t="s">
        <v>36</v>
      </c>
      <c r="F161" t="s">
        <v>37</v>
      </c>
      <c r="G161" t="s">
        <v>1034</v>
      </c>
      <c r="H161" t="s">
        <v>15</v>
      </c>
      <c r="I161" s="1">
        <v>1</v>
      </c>
      <c r="J161" s="2">
        <v>301.72000000000003</v>
      </c>
    </row>
    <row r="162" spans="2:10" hidden="1" x14ac:dyDescent="0.2">
      <c r="B162" t="s">
        <v>9</v>
      </c>
      <c r="C162" t="s">
        <v>225</v>
      </c>
      <c r="D162" t="s">
        <v>226</v>
      </c>
      <c r="E162" t="s">
        <v>56</v>
      </c>
      <c r="F162" t="s">
        <v>57</v>
      </c>
      <c r="G162" t="s">
        <v>1034</v>
      </c>
      <c r="H162" t="s">
        <v>15</v>
      </c>
      <c r="I162" s="1">
        <v>1</v>
      </c>
      <c r="J162" s="2">
        <v>431.03</v>
      </c>
    </row>
    <row r="163" spans="2:10" hidden="1" x14ac:dyDescent="0.2">
      <c r="B163" t="s">
        <v>9</v>
      </c>
      <c r="C163" t="s">
        <v>225</v>
      </c>
      <c r="D163" t="s">
        <v>226</v>
      </c>
      <c r="E163" t="s">
        <v>61</v>
      </c>
      <c r="F163" t="s">
        <v>62</v>
      </c>
      <c r="G163" t="s">
        <v>1034</v>
      </c>
      <c r="H163" t="s">
        <v>15</v>
      </c>
      <c r="I163" s="1">
        <v>2</v>
      </c>
      <c r="J163" s="2">
        <v>344.82</v>
      </c>
    </row>
    <row r="164" spans="2:10" hidden="1" x14ac:dyDescent="0.2">
      <c r="B164" t="s">
        <v>9</v>
      </c>
      <c r="C164" t="s">
        <v>225</v>
      </c>
      <c r="D164" t="s">
        <v>226</v>
      </c>
      <c r="E164" t="s">
        <v>63</v>
      </c>
      <c r="F164" t="s">
        <v>64</v>
      </c>
      <c r="G164" t="s">
        <v>1034</v>
      </c>
      <c r="H164" t="s">
        <v>15</v>
      </c>
      <c r="I164" s="1">
        <v>1</v>
      </c>
      <c r="J164" s="2">
        <v>172.41</v>
      </c>
    </row>
    <row r="165" spans="2:10" hidden="1" x14ac:dyDescent="0.2">
      <c r="B165" t="s">
        <v>9</v>
      </c>
      <c r="C165" t="s">
        <v>225</v>
      </c>
      <c r="D165" t="s">
        <v>226</v>
      </c>
      <c r="E165" t="s">
        <v>28</v>
      </c>
      <c r="F165" t="s">
        <v>29</v>
      </c>
      <c r="G165" t="s">
        <v>1033</v>
      </c>
      <c r="H165" t="s">
        <v>30</v>
      </c>
      <c r="I165" s="1">
        <v>1</v>
      </c>
      <c r="J165" s="2">
        <v>155.16999999999999</v>
      </c>
    </row>
    <row r="166" spans="2:10" x14ac:dyDescent="0.2">
      <c r="B166" t="s">
        <v>9</v>
      </c>
      <c r="C166" t="s">
        <v>227</v>
      </c>
      <c r="D166" t="s">
        <v>11</v>
      </c>
      <c r="E166" t="s">
        <v>72</v>
      </c>
      <c r="F166" t="s">
        <v>73</v>
      </c>
      <c r="G166" t="s">
        <v>1034</v>
      </c>
      <c r="H166" t="s">
        <v>15</v>
      </c>
      <c r="I166" s="1">
        <v>1</v>
      </c>
      <c r="J166" s="2">
        <v>775.86</v>
      </c>
    </row>
    <row r="167" spans="2:10" x14ac:dyDescent="0.2">
      <c r="B167" t="s">
        <v>9</v>
      </c>
      <c r="C167" t="s">
        <v>228</v>
      </c>
      <c r="D167" t="s">
        <v>11</v>
      </c>
      <c r="E167" t="s">
        <v>44</v>
      </c>
      <c r="F167" t="s">
        <v>45</v>
      </c>
      <c r="G167" t="s">
        <v>1033</v>
      </c>
      <c r="H167" t="s">
        <v>30</v>
      </c>
      <c r="I167" s="1">
        <v>1</v>
      </c>
      <c r="J167" s="2">
        <v>81.900000000000006</v>
      </c>
    </row>
    <row r="168" spans="2:10" x14ac:dyDescent="0.2">
      <c r="B168" t="s">
        <v>9</v>
      </c>
      <c r="C168" t="s">
        <v>228</v>
      </c>
      <c r="D168" t="s">
        <v>11</v>
      </c>
      <c r="E168" t="s">
        <v>229</v>
      </c>
      <c r="F168" t="s">
        <v>230</v>
      </c>
      <c r="G168" t="s">
        <v>54</v>
      </c>
      <c r="H168" t="s">
        <v>138</v>
      </c>
      <c r="I168" s="1">
        <v>1</v>
      </c>
      <c r="J168" s="2">
        <v>260.33999999999997</v>
      </c>
    </row>
    <row r="169" spans="2:10" x14ac:dyDescent="0.2">
      <c r="B169" t="s">
        <v>9</v>
      </c>
      <c r="C169" t="s">
        <v>228</v>
      </c>
      <c r="D169" t="s">
        <v>11</v>
      </c>
      <c r="E169" t="s">
        <v>214</v>
      </c>
      <c r="F169" t="s">
        <v>215</v>
      </c>
      <c r="G169" t="s">
        <v>1034</v>
      </c>
      <c r="H169" t="s">
        <v>15</v>
      </c>
      <c r="I169" s="1">
        <v>1</v>
      </c>
      <c r="J169" s="2">
        <v>301.72000000000003</v>
      </c>
    </row>
    <row r="170" spans="2:10" x14ac:dyDescent="0.2">
      <c r="B170" t="s">
        <v>9</v>
      </c>
      <c r="C170" t="s">
        <v>228</v>
      </c>
      <c r="D170" t="s">
        <v>11</v>
      </c>
      <c r="E170" t="s">
        <v>153</v>
      </c>
      <c r="F170" t="s">
        <v>154</v>
      </c>
      <c r="G170" t="s">
        <v>1034</v>
      </c>
      <c r="H170" t="s">
        <v>15</v>
      </c>
      <c r="I170" s="1">
        <v>1</v>
      </c>
      <c r="J170" s="2">
        <v>387.93</v>
      </c>
    </row>
    <row r="171" spans="2:10" x14ac:dyDescent="0.2">
      <c r="B171" t="s">
        <v>9</v>
      </c>
      <c r="C171" t="s">
        <v>228</v>
      </c>
      <c r="D171" t="s">
        <v>11</v>
      </c>
      <c r="E171" t="s">
        <v>231</v>
      </c>
      <c r="F171" t="s">
        <v>232</v>
      </c>
      <c r="G171" t="s">
        <v>43</v>
      </c>
      <c r="H171" t="s">
        <v>50</v>
      </c>
      <c r="I171" s="1">
        <v>1</v>
      </c>
      <c r="J171" s="2">
        <v>3017.24</v>
      </c>
    </row>
    <row r="172" spans="2:10" x14ac:dyDescent="0.2">
      <c r="B172" t="s">
        <v>9</v>
      </c>
      <c r="C172" t="s">
        <v>233</v>
      </c>
      <c r="D172" t="s">
        <v>11</v>
      </c>
      <c r="E172" t="s">
        <v>234</v>
      </c>
      <c r="F172" t="s">
        <v>235</v>
      </c>
      <c r="G172" t="s">
        <v>54</v>
      </c>
      <c r="H172" t="s">
        <v>138</v>
      </c>
      <c r="I172" s="1">
        <v>1</v>
      </c>
      <c r="J172" s="2">
        <v>260.33999999999997</v>
      </c>
    </row>
    <row r="173" spans="2:10" x14ac:dyDescent="0.2">
      <c r="B173" t="s">
        <v>9</v>
      </c>
      <c r="C173" t="s">
        <v>233</v>
      </c>
      <c r="D173" t="s">
        <v>11</v>
      </c>
      <c r="E173" t="s">
        <v>149</v>
      </c>
      <c r="F173" t="s">
        <v>150</v>
      </c>
      <c r="G173" t="s">
        <v>43</v>
      </c>
      <c r="H173" t="s">
        <v>50</v>
      </c>
      <c r="I173" s="1">
        <v>1</v>
      </c>
      <c r="J173" s="2">
        <v>3017.24</v>
      </c>
    </row>
    <row r="174" spans="2:10" x14ac:dyDescent="0.2">
      <c r="B174" t="s">
        <v>9</v>
      </c>
      <c r="C174" t="s">
        <v>233</v>
      </c>
      <c r="D174" t="s">
        <v>11</v>
      </c>
      <c r="E174" t="s">
        <v>120</v>
      </c>
      <c r="F174" t="s">
        <v>121</v>
      </c>
      <c r="G174" t="s">
        <v>1034</v>
      </c>
      <c r="H174" t="s">
        <v>15</v>
      </c>
      <c r="I174" s="1">
        <v>1</v>
      </c>
      <c r="J174" s="2">
        <v>301.72000000000003</v>
      </c>
    </row>
    <row r="175" spans="2:10" x14ac:dyDescent="0.2">
      <c r="B175" t="s">
        <v>9</v>
      </c>
      <c r="C175" t="s">
        <v>233</v>
      </c>
      <c r="D175" t="s">
        <v>11</v>
      </c>
      <c r="E175" t="s">
        <v>101</v>
      </c>
      <c r="F175" t="s">
        <v>102</v>
      </c>
      <c r="G175" t="s">
        <v>103</v>
      </c>
      <c r="H175" t="s">
        <v>104</v>
      </c>
      <c r="I175" s="1">
        <v>1</v>
      </c>
      <c r="J175" s="2">
        <v>0.01</v>
      </c>
    </row>
    <row r="176" spans="2:10" x14ac:dyDescent="0.2">
      <c r="B176" t="s">
        <v>9</v>
      </c>
      <c r="C176" t="s">
        <v>233</v>
      </c>
      <c r="D176" t="s">
        <v>11</v>
      </c>
      <c r="E176" t="s">
        <v>216</v>
      </c>
      <c r="F176" t="s">
        <v>217</v>
      </c>
      <c r="G176" t="s">
        <v>14</v>
      </c>
      <c r="H176" t="s">
        <v>104</v>
      </c>
      <c r="I176" s="1">
        <v>1</v>
      </c>
      <c r="J176" s="2">
        <v>17.239999999999998</v>
      </c>
    </row>
    <row r="177" spans="2:10" x14ac:dyDescent="0.2">
      <c r="B177" t="s">
        <v>9</v>
      </c>
      <c r="C177" t="s">
        <v>233</v>
      </c>
      <c r="D177" t="s">
        <v>11</v>
      </c>
      <c r="E177" t="s">
        <v>28</v>
      </c>
      <c r="F177" t="s">
        <v>29</v>
      </c>
      <c r="G177" t="s">
        <v>1033</v>
      </c>
      <c r="H177" t="s">
        <v>30</v>
      </c>
      <c r="I177" s="1">
        <v>2</v>
      </c>
      <c r="J177" s="2">
        <v>310.33999999999997</v>
      </c>
    </row>
    <row r="178" spans="2:10" x14ac:dyDescent="0.2">
      <c r="B178" t="s">
        <v>9</v>
      </c>
      <c r="C178" t="s">
        <v>236</v>
      </c>
      <c r="D178" t="s">
        <v>11</v>
      </c>
      <c r="E178" t="s">
        <v>201</v>
      </c>
      <c r="F178" t="s">
        <v>202</v>
      </c>
      <c r="G178" t="s">
        <v>1033</v>
      </c>
      <c r="H178" t="s">
        <v>30</v>
      </c>
      <c r="I178" s="1">
        <v>1</v>
      </c>
      <c r="J178" s="2">
        <v>948.28</v>
      </c>
    </row>
    <row r="179" spans="2:10" x14ac:dyDescent="0.2">
      <c r="B179" t="s">
        <v>9</v>
      </c>
      <c r="C179" t="s">
        <v>236</v>
      </c>
      <c r="D179" t="s">
        <v>11</v>
      </c>
      <c r="E179" t="s">
        <v>12</v>
      </c>
      <c r="F179" t="s">
        <v>13</v>
      </c>
      <c r="G179" t="s">
        <v>1034</v>
      </c>
      <c r="H179" t="s">
        <v>15</v>
      </c>
      <c r="I179" s="1">
        <v>1</v>
      </c>
      <c r="J179" s="2">
        <v>1077.5899999999999</v>
      </c>
    </row>
    <row r="180" spans="2:10" x14ac:dyDescent="0.2">
      <c r="B180" t="s">
        <v>9</v>
      </c>
      <c r="C180" t="s">
        <v>236</v>
      </c>
      <c r="D180" t="s">
        <v>11</v>
      </c>
      <c r="E180" t="s">
        <v>72</v>
      </c>
      <c r="F180" t="s">
        <v>73</v>
      </c>
      <c r="G180" t="s">
        <v>1034</v>
      </c>
      <c r="H180" t="s">
        <v>15</v>
      </c>
      <c r="I180" s="1">
        <v>1</v>
      </c>
      <c r="J180" s="2">
        <v>775.86</v>
      </c>
    </row>
    <row r="181" spans="2:10" x14ac:dyDescent="0.2">
      <c r="B181" t="s">
        <v>9</v>
      </c>
      <c r="C181" t="s">
        <v>236</v>
      </c>
      <c r="D181" t="s">
        <v>11</v>
      </c>
      <c r="E181" t="s">
        <v>122</v>
      </c>
      <c r="F181" t="s">
        <v>123</v>
      </c>
      <c r="G181" t="s">
        <v>1034</v>
      </c>
      <c r="H181" t="s">
        <v>15</v>
      </c>
      <c r="I181" s="1">
        <v>1</v>
      </c>
      <c r="J181" s="2">
        <v>387.93</v>
      </c>
    </row>
    <row r="182" spans="2:10" x14ac:dyDescent="0.2">
      <c r="B182" t="s">
        <v>9</v>
      </c>
      <c r="C182" t="s">
        <v>236</v>
      </c>
      <c r="D182" t="s">
        <v>11</v>
      </c>
      <c r="E182" t="s">
        <v>61</v>
      </c>
      <c r="F182" t="s">
        <v>62</v>
      </c>
      <c r="G182" t="s">
        <v>1034</v>
      </c>
      <c r="H182" t="s">
        <v>15</v>
      </c>
      <c r="I182" s="1">
        <v>2</v>
      </c>
      <c r="J182" s="2">
        <v>344.82</v>
      </c>
    </row>
    <row r="183" spans="2:10" x14ac:dyDescent="0.2">
      <c r="B183" t="s">
        <v>9</v>
      </c>
      <c r="C183" t="s">
        <v>236</v>
      </c>
      <c r="D183" t="s">
        <v>11</v>
      </c>
      <c r="E183" t="s">
        <v>28</v>
      </c>
      <c r="F183" t="s">
        <v>29</v>
      </c>
      <c r="G183" t="s">
        <v>1033</v>
      </c>
      <c r="H183" t="s">
        <v>30</v>
      </c>
      <c r="I183" s="1">
        <v>1</v>
      </c>
      <c r="J183" s="2">
        <v>155.16999999999999</v>
      </c>
    </row>
    <row r="184" spans="2:10" x14ac:dyDescent="0.2">
      <c r="B184" t="s">
        <v>9</v>
      </c>
      <c r="C184" t="s">
        <v>237</v>
      </c>
      <c r="D184" t="s">
        <v>11</v>
      </c>
      <c r="E184" t="s">
        <v>238</v>
      </c>
      <c r="F184" t="s">
        <v>239</v>
      </c>
      <c r="G184" t="s">
        <v>1033</v>
      </c>
      <c r="H184" t="s">
        <v>30</v>
      </c>
      <c r="I184" s="1">
        <v>1</v>
      </c>
      <c r="J184" s="2">
        <v>396.55</v>
      </c>
    </row>
    <row r="185" spans="2:10" x14ac:dyDescent="0.2">
      <c r="B185" t="s">
        <v>9</v>
      </c>
      <c r="C185" t="s">
        <v>237</v>
      </c>
      <c r="D185" t="s">
        <v>11</v>
      </c>
      <c r="E185" t="s">
        <v>44</v>
      </c>
      <c r="F185" t="s">
        <v>45</v>
      </c>
      <c r="G185" t="s">
        <v>1033</v>
      </c>
      <c r="H185" t="s">
        <v>30</v>
      </c>
      <c r="I185" s="1">
        <v>3</v>
      </c>
      <c r="J185" s="2">
        <v>245.70000000000002</v>
      </c>
    </row>
    <row r="186" spans="2:10" x14ac:dyDescent="0.2">
      <c r="B186" t="s">
        <v>9</v>
      </c>
      <c r="C186" t="s">
        <v>237</v>
      </c>
      <c r="D186" t="s">
        <v>11</v>
      </c>
      <c r="E186" t="s">
        <v>240</v>
      </c>
      <c r="F186" t="s">
        <v>241</v>
      </c>
      <c r="G186" t="s">
        <v>54</v>
      </c>
      <c r="H186" t="s">
        <v>138</v>
      </c>
      <c r="I186" s="1">
        <v>1</v>
      </c>
      <c r="J186" s="2">
        <v>371.55</v>
      </c>
    </row>
    <row r="187" spans="2:10" x14ac:dyDescent="0.2">
      <c r="B187" t="s">
        <v>9</v>
      </c>
      <c r="C187" t="s">
        <v>237</v>
      </c>
      <c r="D187" t="s">
        <v>11</v>
      </c>
      <c r="E187" t="s">
        <v>242</v>
      </c>
      <c r="F187" t="s">
        <v>243</v>
      </c>
      <c r="G187" t="s">
        <v>14</v>
      </c>
      <c r="H187" t="s">
        <v>87</v>
      </c>
      <c r="I187" s="1">
        <v>1</v>
      </c>
      <c r="J187" s="2">
        <v>120.69</v>
      </c>
    </row>
    <row r="188" spans="2:10" x14ac:dyDescent="0.2">
      <c r="B188" t="s">
        <v>9</v>
      </c>
      <c r="C188" t="s">
        <v>237</v>
      </c>
      <c r="D188" t="s">
        <v>11</v>
      </c>
      <c r="E188" t="s">
        <v>120</v>
      </c>
      <c r="F188" t="s">
        <v>121</v>
      </c>
      <c r="G188" t="s">
        <v>1034</v>
      </c>
      <c r="H188" t="s">
        <v>15</v>
      </c>
      <c r="I188" s="1">
        <v>1</v>
      </c>
      <c r="J188" s="2">
        <v>301.72000000000003</v>
      </c>
    </row>
    <row r="189" spans="2:10" x14ac:dyDescent="0.2">
      <c r="B189" t="s">
        <v>9</v>
      </c>
      <c r="C189" t="s">
        <v>237</v>
      </c>
      <c r="D189" t="s">
        <v>11</v>
      </c>
      <c r="E189" t="s">
        <v>101</v>
      </c>
      <c r="F189" t="s">
        <v>102</v>
      </c>
      <c r="G189" t="s">
        <v>103</v>
      </c>
      <c r="H189" t="s">
        <v>104</v>
      </c>
      <c r="I189" s="1">
        <v>1</v>
      </c>
      <c r="J189" s="2">
        <v>0.01</v>
      </c>
    </row>
    <row r="190" spans="2:10" x14ac:dyDescent="0.2">
      <c r="B190" t="s">
        <v>9</v>
      </c>
      <c r="C190" t="s">
        <v>237</v>
      </c>
      <c r="D190" t="s">
        <v>11</v>
      </c>
      <c r="E190" t="s">
        <v>179</v>
      </c>
      <c r="F190" t="s">
        <v>180</v>
      </c>
      <c r="G190" t="s">
        <v>76</v>
      </c>
      <c r="H190" t="s">
        <v>60</v>
      </c>
      <c r="I190" s="1">
        <v>1</v>
      </c>
      <c r="J190" s="2">
        <v>344.83</v>
      </c>
    </row>
    <row r="191" spans="2:10" x14ac:dyDescent="0.2">
      <c r="B191" t="s">
        <v>9</v>
      </c>
      <c r="C191" t="s">
        <v>237</v>
      </c>
      <c r="D191" t="s">
        <v>11</v>
      </c>
      <c r="E191" t="s">
        <v>244</v>
      </c>
      <c r="F191" t="s">
        <v>245</v>
      </c>
      <c r="G191" t="s">
        <v>14</v>
      </c>
      <c r="H191" t="s">
        <v>94</v>
      </c>
      <c r="I191" s="1">
        <v>2</v>
      </c>
      <c r="J191" s="2">
        <v>137.94</v>
      </c>
    </row>
    <row r="192" spans="2:10" x14ac:dyDescent="0.2">
      <c r="B192" t="s">
        <v>9</v>
      </c>
      <c r="C192" t="s">
        <v>237</v>
      </c>
      <c r="D192" t="s">
        <v>11</v>
      </c>
      <c r="E192" t="s">
        <v>16</v>
      </c>
      <c r="F192" t="s">
        <v>17</v>
      </c>
      <c r="G192" t="s">
        <v>1034</v>
      </c>
      <c r="H192" t="s">
        <v>15</v>
      </c>
      <c r="I192" s="1">
        <v>1</v>
      </c>
      <c r="J192" s="2">
        <v>577.59</v>
      </c>
    </row>
    <row r="193" spans="2:10" x14ac:dyDescent="0.2">
      <c r="B193" t="s">
        <v>9</v>
      </c>
      <c r="C193" t="s">
        <v>237</v>
      </c>
      <c r="D193" t="s">
        <v>11</v>
      </c>
      <c r="E193" t="s">
        <v>246</v>
      </c>
      <c r="F193" t="s">
        <v>247</v>
      </c>
      <c r="G193" t="s">
        <v>1033</v>
      </c>
      <c r="H193" t="s">
        <v>30</v>
      </c>
      <c r="I193" s="1">
        <v>1</v>
      </c>
      <c r="J193" s="2">
        <v>2008.62</v>
      </c>
    </row>
    <row r="194" spans="2:10" x14ac:dyDescent="0.2">
      <c r="B194" t="s">
        <v>9</v>
      </c>
      <c r="C194" t="s">
        <v>248</v>
      </c>
      <c r="D194" t="s">
        <v>11</v>
      </c>
      <c r="E194" t="s">
        <v>167</v>
      </c>
      <c r="F194" t="s">
        <v>168</v>
      </c>
      <c r="G194" t="s">
        <v>1033</v>
      </c>
      <c r="H194" t="s">
        <v>30</v>
      </c>
      <c r="I194" s="1">
        <v>1</v>
      </c>
      <c r="J194" s="2">
        <v>1267.24</v>
      </c>
    </row>
    <row r="195" spans="2:10" x14ac:dyDescent="0.2">
      <c r="B195" t="s">
        <v>9</v>
      </c>
      <c r="C195" t="s">
        <v>248</v>
      </c>
      <c r="D195" t="s">
        <v>11</v>
      </c>
      <c r="E195" t="s">
        <v>44</v>
      </c>
      <c r="F195" t="s">
        <v>45</v>
      </c>
      <c r="G195" t="s">
        <v>1033</v>
      </c>
      <c r="H195" t="s">
        <v>30</v>
      </c>
      <c r="I195" s="1">
        <v>4</v>
      </c>
      <c r="J195" s="2">
        <v>327.60000000000002</v>
      </c>
    </row>
    <row r="196" spans="2:10" x14ac:dyDescent="0.2">
      <c r="B196" t="s">
        <v>9</v>
      </c>
      <c r="C196" t="s">
        <v>248</v>
      </c>
      <c r="D196" t="s">
        <v>11</v>
      </c>
      <c r="E196" t="s">
        <v>249</v>
      </c>
      <c r="F196" t="s">
        <v>250</v>
      </c>
      <c r="G196" t="s">
        <v>1033</v>
      </c>
      <c r="H196" t="s">
        <v>30</v>
      </c>
      <c r="I196" s="1">
        <v>1</v>
      </c>
      <c r="J196" s="2">
        <v>517.24</v>
      </c>
    </row>
    <row r="197" spans="2:10" x14ac:dyDescent="0.2">
      <c r="B197" t="s">
        <v>9</v>
      </c>
      <c r="C197" t="s">
        <v>248</v>
      </c>
      <c r="D197" t="s">
        <v>11</v>
      </c>
      <c r="E197" t="s">
        <v>251</v>
      </c>
      <c r="F197" t="s">
        <v>252</v>
      </c>
      <c r="G197" t="s">
        <v>1033</v>
      </c>
      <c r="H197" t="s">
        <v>30</v>
      </c>
      <c r="I197" s="1">
        <v>1</v>
      </c>
      <c r="J197" s="2">
        <v>1500</v>
      </c>
    </row>
    <row r="198" spans="2:10" x14ac:dyDescent="0.2">
      <c r="B198" t="s">
        <v>9</v>
      </c>
      <c r="C198" t="s">
        <v>248</v>
      </c>
      <c r="D198" t="s">
        <v>11</v>
      </c>
      <c r="E198" t="s">
        <v>253</v>
      </c>
      <c r="F198" t="s">
        <v>254</v>
      </c>
      <c r="G198" t="s">
        <v>1034</v>
      </c>
      <c r="H198" t="s">
        <v>15</v>
      </c>
      <c r="I198" s="1">
        <v>2</v>
      </c>
      <c r="J198" s="2">
        <v>1551.72</v>
      </c>
    </row>
    <row r="199" spans="2:10" x14ac:dyDescent="0.2">
      <c r="B199" t="s">
        <v>9</v>
      </c>
      <c r="C199" t="s">
        <v>248</v>
      </c>
      <c r="D199" t="s">
        <v>11</v>
      </c>
      <c r="E199" t="s">
        <v>255</v>
      </c>
      <c r="F199" t="s">
        <v>256</v>
      </c>
      <c r="G199" t="s">
        <v>1033</v>
      </c>
      <c r="H199" t="s">
        <v>30</v>
      </c>
      <c r="I199" s="1">
        <v>4</v>
      </c>
      <c r="J199" s="2">
        <v>2068.96</v>
      </c>
    </row>
    <row r="200" spans="2:10" x14ac:dyDescent="0.2">
      <c r="B200" t="s">
        <v>9</v>
      </c>
      <c r="C200" t="s">
        <v>248</v>
      </c>
      <c r="D200" t="s">
        <v>11</v>
      </c>
      <c r="E200" t="s">
        <v>257</v>
      </c>
      <c r="F200" t="s">
        <v>258</v>
      </c>
      <c r="G200" t="s">
        <v>1033</v>
      </c>
      <c r="H200" t="s">
        <v>30</v>
      </c>
      <c r="I200" s="1">
        <v>1</v>
      </c>
      <c r="J200" s="2">
        <v>1577.59</v>
      </c>
    </row>
    <row r="201" spans="2:10" x14ac:dyDescent="0.2">
      <c r="B201" t="s">
        <v>9</v>
      </c>
      <c r="C201" t="s">
        <v>248</v>
      </c>
      <c r="D201" t="s">
        <v>11</v>
      </c>
      <c r="E201" t="s">
        <v>259</v>
      </c>
      <c r="F201" t="s">
        <v>260</v>
      </c>
      <c r="G201" t="s">
        <v>103</v>
      </c>
      <c r="H201" t="s">
        <v>128</v>
      </c>
      <c r="I201" s="1">
        <v>1</v>
      </c>
      <c r="J201" s="2">
        <v>2068.9699999999998</v>
      </c>
    </row>
    <row r="202" spans="2:10" x14ac:dyDescent="0.2">
      <c r="B202" t="s">
        <v>9</v>
      </c>
      <c r="C202" t="s">
        <v>248</v>
      </c>
      <c r="D202" t="s">
        <v>11</v>
      </c>
      <c r="E202" t="s">
        <v>28</v>
      </c>
      <c r="F202" t="s">
        <v>29</v>
      </c>
      <c r="G202" t="s">
        <v>1033</v>
      </c>
      <c r="H202" t="s">
        <v>30</v>
      </c>
      <c r="I202" s="1">
        <v>3</v>
      </c>
      <c r="J202" s="2">
        <v>465.51</v>
      </c>
    </row>
    <row r="203" spans="2:10" hidden="1" x14ac:dyDescent="0.2">
      <c r="B203" t="s">
        <v>261</v>
      </c>
      <c r="C203" t="s">
        <v>10</v>
      </c>
      <c r="D203" t="s">
        <v>262</v>
      </c>
      <c r="E203" t="s">
        <v>19</v>
      </c>
      <c r="F203" t="s">
        <v>20</v>
      </c>
      <c r="G203" t="s">
        <v>14</v>
      </c>
      <c r="H203" t="s">
        <v>21</v>
      </c>
      <c r="I203" s="1">
        <v>1</v>
      </c>
      <c r="J203" s="2">
        <v>431.04</v>
      </c>
    </row>
    <row r="204" spans="2:10" hidden="1" x14ac:dyDescent="0.2">
      <c r="B204" t="s">
        <v>261</v>
      </c>
      <c r="C204" t="s">
        <v>10</v>
      </c>
      <c r="D204" t="s">
        <v>262</v>
      </c>
      <c r="E204" t="s">
        <v>263</v>
      </c>
      <c r="F204" t="s">
        <v>264</v>
      </c>
      <c r="G204" t="s">
        <v>14</v>
      </c>
      <c r="H204" t="s">
        <v>35</v>
      </c>
      <c r="I204" s="1">
        <v>1</v>
      </c>
      <c r="J204" s="2">
        <v>77.59</v>
      </c>
    </row>
    <row r="205" spans="2:10" hidden="1" x14ac:dyDescent="0.2">
      <c r="B205" t="s">
        <v>261</v>
      </c>
      <c r="C205" t="s">
        <v>10</v>
      </c>
      <c r="D205" t="s">
        <v>262</v>
      </c>
      <c r="E205" t="s">
        <v>214</v>
      </c>
      <c r="F205" t="s">
        <v>215</v>
      </c>
      <c r="G205" t="s">
        <v>1034</v>
      </c>
      <c r="H205" t="s">
        <v>15</v>
      </c>
      <c r="I205" s="1">
        <v>1</v>
      </c>
      <c r="J205" s="2">
        <v>301.72000000000003</v>
      </c>
    </row>
    <row r="206" spans="2:10" hidden="1" x14ac:dyDescent="0.2">
      <c r="B206" t="s">
        <v>261</v>
      </c>
      <c r="C206" t="s">
        <v>10</v>
      </c>
      <c r="D206" t="s">
        <v>262</v>
      </c>
      <c r="E206" t="s">
        <v>56</v>
      </c>
      <c r="F206" t="s">
        <v>57</v>
      </c>
      <c r="G206" t="s">
        <v>1034</v>
      </c>
      <c r="H206" t="s">
        <v>15</v>
      </c>
      <c r="I206" s="1">
        <v>1</v>
      </c>
      <c r="J206" s="2">
        <v>431.03</v>
      </c>
    </row>
    <row r="207" spans="2:10" hidden="1" x14ac:dyDescent="0.2">
      <c r="B207" t="s">
        <v>261</v>
      </c>
      <c r="C207" t="s">
        <v>10</v>
      </c>
      <c r="D207" t="s">
        <v>262</v>
      </c>
      <c r="E207" t="s">
        <v>163</v>
      </c>
      <c r="F207" t="s">
        <v>164</v>
      </c>
      <c r="G207" t="s">
        <v>1034</v>
      </c>
      <c r="H207" t="s">
        <v>15</v>
      </c>
      <c r="I207" s="1">
        <v>1</v>
      </c>
      <c r="J207" s="2">
        <v>431.03</v>
      </c>
    </row>
    <row r="208" spans="2:10" hidden="1" x14ac:dyDescent="0.2">
      <c r="B208" t="s">
        <v>261</v>
      </c>
      <c r="C208" t="s">
        <v>10</v>
      </c>
      <c r="D208" t="s">
        <v>262</v>
      </c>
      <c r="E208" t="s">
        <v>16</v>
      </c>
      <c r="F208" t="s">
        <v>17</v>
      </c>
      <c r="G208" t="s">
        <v>1034</v>
      </c>
      <c r="H208" t="s">
        <v>15</v>
      </c>
      <c r="I208" s="1">
        <v>1</v>
      </c>
      <c r="J208" s="2">
        <v>577.59</v>
      </c>
    </row>
    <row r="209" spans="2:10" hidden="1" x14ac:dyDescent="0.2">
      <c r="B209" t="s">
        <v>261</v>
      </c>
      <c r="C209" t="s">
        <v>10</v>
      </c>
      <c r="D209" t="s">
        <v>262</v>
      </c>
      <c r="E209" t="s">
        <v>265</v>
      </c>
      <c r="F209" t="s">
        <v>266</v>
      </c>
      <c r="G209" t="s">
        <v>43</v>
      </c>
      <c r="H209" t="s">
        <v>128</v>
      </c>
      <c r="I209" s="1">
        <v>1</v>
      </c>
      <c r="J209" s="2">
        <v>5862.07</v>
      </c>
    </row>
    <row r="210" spans="2:10" hidden="1" x14ac:dyDescent="0.2">
      <c r="B210" t="s">
        <v>261</v>
      </c>
      <c r="C210" t="s">
        <v>18</v>
      </c>
      <c r="D210" t="s">
        <v>262</v>
      </c>
      <c r="E210" t="s">
        <v>142</v>
      </c>
      <c r="F210" t="s">
        <v>143</v>
      </c>
      <c r="G210" t="s">
        <v>43</v>
      </c>
      <c r="H210" t="s">
        <v>50</v>
      </c>
      <c r="I210" s="1">
        <v>1</v>
      </c>
      <c r="J210" s="2">
        <v>2155.17</v>
      </c>
    </row>
    <row r="211" spans="2:10" hidden="1" x14ac:dyDescent="0.2">
      <c r="B211" t="s">
        <v>261</v>
      </c>
      <c r="C211" t="s">
        <v>18</v>
      </c>
      <c r="D211" t="s">
        <v>262</v>
      </c>
      <c r="E211" t="s">
        <v>46</v>
      </c>
      <c r="F211" t="s">
        <v>47</v>
      </c>
      <c r="G211" t="s">
        <v>1034</v>
      </c>
      <c r="H211" t="s">
        <v>15</v>
      </c>
      <c r="I211" s="1">
        <v>1</v>
      </c>
      <c r="J211" s="2">
        <v>301.72000000000003</v>
      </c>
    </row>
    <row r="212" spans="2:10" hidden="1" x14ac:dyDescent="0.2">
      <c r="B212" t="s">
        <v>261</v>
      </c>
      <c r="C212" t="s">
        <v>18</v>
      </c>
      <c r="D212" t="s">
        <v>262</v>
      </c>
      <c r="E212" t="s">
        <v>267</v>
      </c>
      <c r="F212" t="s">
        <v>268</v>
      </c>
      <c r="G212" t="s">
        <v>1034</v>
      </c>
      <c r="H212" t="s">
        <v>15</v>
      </c>
      <c r="I212" s="1">
        <v>1</v>
      </c>
      <c r="J212" s="2">
        <v>258.62</v>
      </c>
    </row>
    <row r="213" spans="2:10" hidden="1" x14ac:dyDescent="0.2">
      <c r="B213" t="s">
        <v>261</v>
      </c>
      <c r="C213" t="s">
        <v>18</v>
      </c>
      <c r="D213" t="s">
        <v>262</v>
      </c>
      <c r="E213" t="s">
        <v>36</v>
      </c>
      <c r="F213" t="s">
        <v>37</v>
      </c>
      <c r="G213" t="s">
        <v>1034</v>
      </c>
      <c r="H213" t="s">
        <v>15</v>
      </c>
      <c r="I213" s="1">
        <v>3</v>
      </c>
      <c r="J213" s="2">
        <v>905.16000000000008</v>
      </c>
    </row>
    <row r="214" spans="2:10" hidden="1" x14ac:dyDescent="0.2">
      <c r="B214" t="s">
        <v>261</v>
      </c>
      <c r="C214" t="s">
        <v>18</v>
      </c>
      <c r="D214" t="s">
        <v>262</v>
      </c>
      <c r="E214" t="s">
        <v>269</v>
      </c>
      <c r="F214" t="s">
        <v>270</v>
      </c>
      <c r="G214" t="s">
        <v>1033</v>
      </c>
      <c r="H214" t="s">
        <v>30</v>
      </c>
      <c r="I214" s="1">
        <v>1</v>
      </c>
      <c r="J214" s="2">
        <v>948.28</v>
      </c>
    </row>
    <row r="215" spans="2:10" hidden="1" x14ac:dyDescent="0.2">
      <c r="B215" t="s">
        <v>261</v>
      </c>
      <c r="C215" t="s">
        <v>18</v>
      </c>
      <c r="D215" t="s">
        <v>262</v>
      </c>
      <c r="E215" t="s">
        <v>271</v>
      </c>
      <c r="F215" t="s">
        <v>272</v>
      </c>
      <c r="G215" t="s">
        <v>54</v>
      </c>
      <c r="H215" t="s">
        <v>138</v>
      </c>
      <c r="I215" s="1">
        <v>1</v>
      </c>
      <c r="J215" s="2">
        <v>344.83</v>
      </c>
    </row>
    <row r="216" spans="2:10" hidden="1" x14ac:dyDescent="0.2">
      <c r="B216" t="s">
        <v>261</v>
      </c>
      <c r="C216" t="s">
        <v>18</v>
      </c>
      <c r="D216" t="s">
        <v>262</v>
      </c>
      <c r="E216" t="s">
        <v>273</v>
      </c>
      <c r="F216" t="s">
        <v>274</v>
      </c>
      <c r="G216" t="s">
        <v>1033</v>
      </c>
      <c r="H216" t="s">
        <v>30</v>
      </c>
      <c r="I216" s="1">
        <v>1</v>
      </c>
      <c r="J216" s="2">
        <v>1293.0999999999999</v>
      </c>
    </row>
    <row r="217" spans="2:10" hidden="1" x14ac:dyDescent="0.2">
      <c r="B217" t="s">
        <v>261</v>
      </c>
      <c r="C217" t="s">
        <v>18</v>
      </c>
      <c r="D217" t="s">
        <v>262</v>
      </c>
      <c r="E217" t="s">
        <v>275</v>
      </c>
      <c r="F217" t="s">
        <v>276</v>
      </c>
      <c r="G217" t="s">
        <v>1033</v>
      </c>
      <c r="H217" t="s">
        <v>30</v>
      </c>
      <c r="I217" s="1">
        <v>1</v>
      </c>
      <c r="J217" s="2">
        <v>1551.72</v>
      </c>
    </row>
    <row r="218" spans="2:10" hidden="1" x14ac:dyDescent="0.2">
      <c r="B218" t="s">
        <v>261</v>
      </c>
      <c r="C218" t="s">
        <v>18</v>
      </c>
      <c r="D218" t="s">
        <v>262</v>
      </c>
      <c r="E218" t="s">
        <v>163</v>
      </c>
      <c r="F218" t="s">
        <v>164</v>
      </c>
      <c r="G218" t="s">
        <v>1034</v>
      </c>
      <c r="H218" t="s">
        <v>15</v>
      </c>
      <c r="I218" s="1">
        <v>2</v>
      </c>
      <c r="J218" s="2">
        <v>862.06</v>
      </c>
    </row>
    <row r="219" spans="2:10" hidden="1" x14ac:dyDescent="0.2">
      <c r="B219" t="s">
        <v>261</v>
      </c>
      <c r="C219" t="s">
        <v>18</v>
      </c>
      <c r="D219" t="s">
        <v>262</v>
      </c>
      <c r="E219" t="s">
        <v>61</v>
      </c>
      <c r="F219" t="s">
        <v>62</v>
      </c>
      <c r="G219" t="s">
        <v>1034</v>
      </c>
      <c r="H219" t="s">
        <v>15</v>
      </c>
      <c r="I219" s="1">
        <v>1</v>
      </c>
      <c r="J219" s="2">
        <v>172.41</v>
      </c>
    </row>
    <row r="220" spans="2:10" hidden="1" x14ac:dyDescent="0.2">
      <c r="B220" t="s">
        <v>261</v>
      </c>
      <c r="C220" t="s">
        <v>18</v>
      </c>
      <c r="D220" t="s">
        <v>262</v>
      </c>
      <c r="E220" t="s">
        <v>63</v>
      </c>
      <c r="F220" t="s">
        <v>64</v>
      </c>
      <c r="G220" t="s">
        <v>1034</v>
      </c>
      <c r="H220" t="s">
        <v>15</v>
      </c>
      <c r="I220" s="1">
        <v>1</v>
      </c>
      <c r="J220" s="2">
        <v>172.41</v>
      </c>
    </row>
    <row r="221" spans="2:10" hidden="1" x14ac:dyDescent="0.2">
      <c r="B221" t="s">
        <v>261</v>
      </c>
      <c r="C221" t="s">
        <v>18</v>
      </c>
      <c r="D221" t="s">
        <v>262</v>
      </c>
      <c r="E221" t="s">
        <v>16</v>
      </c>
      <c r="F221" t="s">
        <v>17</v>
      </c>
      <c r="G221" t="s">
        <v>1034</v>
      </c>
      <c r="H221" t="s">
        <v>15</v>
      </c>
      <c r="I221" s="1">
        <v>1</v>
      </c>
      <c r="J221" s="2">
        <v>577.59</v>
      </c>
    </row>
    <row r="222" spans="2:10" hidden="1" x14ac:dyDescent="0.2">
      <c r="B222" t="s">
        <v>261</v>
      </c>
      <c r="C222" t="s">
        <v>31</v>
      </c>
      <c r="D222" t="s">
        <v>262</v>
      </c>
      <c r="E222" t="s">
        <v>44</v>
      </c>
      <c r="F222" t="s">
        <v>45</v>
      </c>
      <c r="G222" t="s">
        <v>1033</v>
      </c>
      <c r="H222" t="s">
        <v>30</v>
      </c>
      <c r="I222" s="1">
        <v>1</v>
      </c>
      <c r="J222" s="2">
        <v>81.900000000000006</v>
      </c>
    </row>
    <row r="223" spans="2:10" hidden="1" x14ac:dyDescent="0.2">
      <c r="B223" t="s">
        <v>261</v>
      </c>
      <c r="C223" t="s">
        <v>31</v>
      </c>
      <c r="D223" t="s">
        <v>262</v>
      </c>
      <c r="E223" t="s">
        <v>251</v>
      </c>
      <c r="F223" t="s">
        <v>252</v>
      </c>
      <c r="G223" t="s">
        <v>1033</v>
      </c>
      <c r="H223" t="s">
        <v>30</v>
      </c>
      <c r="I223" s="1">
        <v>1</v>
      </c>
      <c r="J223" s="2">
        <v>1500</v>
      </c>
    </row>
    <row r="224" spans="2:10" hidden="1" x14ac:dyDescent="0.2">
      <c r="B224" t="s">
        <v>261</v>
      </c>
      <c r="C224" t="s">
        <v>31</v>
      </c>
      <c r="D224" t="s">
        <v>262</v>
      </c>
      <c r="E224" t="s">
        <v>153</v>
      </c>
      <c r="F224" t="s">
        <v>154</v>
      </c>
      <c r="G224" t="s">
        <v>1034</v>
      </c>
      <c r="H224" t="s">
        <v>15</v>
      </c>
      <c r="I224" s="1">
        <v>1</v>
      </c>
      <c r="J224" s="2">
        <v>387.93</v>
      </c>
    </row>
    <row r="225" spans="2:10" hidden="1" x14ac:dyDescent="0.2">
      <c r="B225" t="s">
        <v>261</v>
      </c>
      <c r="C225" t="s">
        <v>31</v>
      </c>
      <c r="D225" t="s">
        <v>262</v>
      </c>
      <c r="E225" t="s">
        <v>223</v>
      </c>
      <c r="F225" t="s">
        <v>224</v>
      </c>
      <c r="G225" t="s">
        <v>43</v>
      </c>
      <c r="H225" t="s">
        <v>50</v>
      </c>
      <c r="I225" s="1">
        <v>1</v>
      </c>
      <c r="J225" s="2">
        <v>1637.93</v>
      </c>
    </row>
    <row r="226" spans="2:10" hidden="1" x14ac:dyDescent="0.2">
      <c r="B226" t="s">
        <v>261</v>
      </c>
      <c r="C226" t="s">
        <v>40</v>
      </c>
      <c r="D226" t="s">
        <v>277</v>
      </c>
      <c r="E226" t="s">
        <v>278</v>
      </c>
      <c r="F226" t="s">
        <v>279</v>
      </c>
      <c r="G226" t="s">
        <v>1033</v>
      </c>
      <c r="H226" t="s">
        <v>30</v>
      </c>
      <c r="I226" s="1">
        <v>1</v>
      </c>
      <c r="J226" s="2">
        <v>112.07</v>
      </c>
    </row>
    <row r="227" spans="2:10" hidden="1" x14ac:dyDescent="0.2">
      <c r="B227" t="s">
        <v>261</v>
      </c>
      <c r="C227" t="s">
        <v>40</v>
      </c>
      <c r="D227" t="s">
        <v>277</v>
      </c>
      <c r="E227" t="s">
        <v>280</v>
      </c>
      <c r="F227" t="s">
        <v>281</v>
      </c>
      <c r="G227" t="s">
        <v>1033</v>
      </c>
      <c r="H227" t="s">
        <v>30</v>
      </c>
      <c r="I227" s="1">
        <v>1</v>
      </c>
      <c r="J227" s="2">
        <v>474.14</v>
      </c>
    </row>
    <row r="228" spans="2:10" hidden="1" x14ac:dyDescent="0.2">
      <c r="B228" t="s">
        <v>261</v>
      </c>
      <c r="C228" t="s">
        <v>40</v>
      </c>
      <c r="D228" t="s">
        <v>277</v>
      </c>
      <c r="E228" t="s">
        <v>122</v>
      </c>
      <c r="F228" t="s">
        <v>123</v>
      </c>
      <c r="G228" t="s">
        <v>1034</v>
      </c>
      <c r="H228" t="s">
        <v>15</v>
      </c>
      <c r="I228" s="1">
        <v>1</v>
      </c>
      <c r="J228" s="2">
        <v>387.93</v>
      </c>
    </row>
    <row r="229" spans="2:10" hidden="1" x14ac:dyDescent="0.2">
      <c r="B229" t="s">
        <v>261</v>
      </c>
      <c r="C229" t="s">
        <v>40</v>
      </c>
      <c r="D229" t="s">
        <v>277</v>
      </c>
      <c r="E229" t="s">
        <v>83</v>
      </c>
      <c r="F229" t="s">
        <v>84</v>
      </c>
      <c r="G229" t="s">
        <v>1034</v>
      </c>
      <c r="H229" t="s">
        <v>15</v>
      </c>
      <c r="I229" s="1">
        <v>1</v>
      </c>
      <c r="J229" s="2">
        <v>387.93</v>
      </c>
    </row>
    <row r="230" spans="2:10" hidden="1" x14ac:dyDescent="0.2">
      <c r="B230" t="s">
        <v>261</v>
      </c>
      <c r="C230" t="s">
        <v>40</v>
      </c>
      <c r="D230" t="s">
        <v>277</v>
      </c>
      <c r="E230" t="s">
        <v>269</v>
      </c>
      <c r="F230" t="s">
        <v>270</v>
      </c>
      <c r="G230" t="s">
        <v>1033</v>
      </c>
      <c r="H230" t="s">
        <v>30</v>
      </c>
      <c r="I230" s="1">
        <v>1</v>
      </c>
      <c r="J230" s="2">
        <v>948.28</v>
      </c>
    </row>
    <row r="231" spans="2:10" hidden="1" x14ac:dyDescent="0.2">
      <c r="B231" t="s">
        <v>261</v>
      </c>
      <c r="C231" t="s">
        <v>40</v>
      </c>
      <c r="D231" t="s">
        <v>277</v>
      </c>
      <c r="E231" t="s">
        <v>16</v>
      </c>
      <c r="F231" t="s">
        <v>17</v>
      </c>
      <c r="G231" t="s">
        <v>1034</v>
      </c>
      <c r="H231" t="s">
        <v>15</v>
      </c>
      <c r="I231" s="1">
        <v>1</v>
      </c>
      <c r="J231" s="2">
        <v>577.59</v>
      </c>
    </row>
    <row r="232" spans="2:10" hidden="1" x14ac:dyDescent="0.2">
      <c r="B232" t="s">
        <v>261</v>
      </c>
      <c r="C232" t="s">
        <v>40</v>
      </c>
      <c r="D232" t="s">
        <v>277</v>
      </c>
      <c r="E232" t="s">
        <v>28</v>
      </c>
      <c r="F232" t="s">
        <v>29</v>
      </c>
      <c r="G232" t="s">
        <v>1033</v>
      </c>
      <c r="H232" t="s">
        <v>30</v>
      </c>
      <c r="I232" s="1">
        <v>1</v>
      </c>
      <c r="J232" s="2">
        <v>155.16999999999999</v>
      </c>
    </row>
    <row r="233" spans="2:10" hidden="1" x14ac:dyDescent="0.2">
      <c r="B233" t="s">
        <v>261</v>
      </c>
      <c r="C233" t="s">
        <v>51</v>
      </c>
      <c r="D233" t="s">
        <v>262</v>
      </c>
      <c r="E233" t="s">
        <v>282</v>
      </c>
      <c r="F233" t="s">
        <v>283</v>
      </c>
      <c r="G233" t="s">
        <v>1033</v>
      </c>
      <c r="H233" t="s">
        <v>30</v>
      </c>
      <c r="I233" s="1">
        <v>1</v>
      </c>
      <c r="J233" s="2">
        <v>129.31</v>
      </c>
    </row>
    <row r="234" spans="2:10" hidden="1" x14ac:dyDescent="0.2">
      <c r="B234" t="s">
        <v>261</v>
      </c>
      <c r="C234" t="s">
        <v>51</v>
      </c>
      <c r="D234" t="s">
        <v>262</v>
      </c>
      <c r="E234" t="s">
        <v>120</v>
      </c>
      <c r="F234" t="s">
        <v>121</v>
      </c>
      <c r="G234" t="s">
        <v>1034</v>
      </c>
      <c r="H234" t="s">
        <v>15</v>
      </c>
      <c r="I234" s="1">
        <v>1</v>
      </c>
      <c r="J234" s="2">
        <v>301.72000000000003</v>
      </c>
    </row>
    <row r="235" spans="2:10" hidden="1" x14ac:dyDescent="0.2">
      <c r="B235" t="s">
        <v>261</v>
      </c>
      <c r="C235" t="s">
        <v>51</v>
      </c>
      <c r="D235" t="s">
        <v>262</v>
      </c>
      <c r="E235" t="s">
        <v>285</v>
      </c>
      <c r="F235" t="s">
        <v>286</v>
      </c>
      <c r="G235" t="s">
        <v>1033</v>
      </c>
      <c r="H235" t="s">
        <v>30</v>
      </c>
      <c r="I235" s="1">
        <v>1</v>
      </c>
      <c r="J235" s="2">
        <v>1034.48</v>
      </c>
    </row>
    <row r="236" spans="2:10" hidden="1" x14ac:dyDescent="0.2">
      <c r="B236" t="s">
        <v>261</v>
      </c>
      <c r="C236" t="s">
        <v>51</v>
      </c>
      <c r="D236" t="s">
        <v>262</v>
      </c>
      <c r="E236" t="s">
        <v>269</v>
      </c>
      <c r="F236" t="s">
        <v>270</v>
      </c>
      <c r="G236" t="s">
        <v>1033</v>
      </c>
      <c r="H236" t="s">
        <v>30</v>
      </c>
      <c r="I236" s="1">
        <v>1</v>
      </c>
      <c r="J236" s="2">
        <v>948.28</v>
      </c>
    </row>
    <row r="237" spans="2:10" hidden="1" x14ac:dyDescent="0.2">
      <c r="B237" t="s">
        <v>261</v>
      </c>
      <c r="C237" t="s">
        <v>51</v>
      </c>
      <c r="D237" t="s">
        <v>262</v>
      </c>
      <c r="E237" t="s">
        <v>61</v>
      </c>
      <c r="F237" t="s">
        <v>62</v>
      </c>
      <c r="G237" t="s">
        <v>1034</v>
      </c>
      <c r="H237" t="s">
        <v>15</v>
      </c>
      <c r="I237" s="1">
        <v>2</v>
      </c>
      <c r="J237" s="2">
        <v>344.82</v>
      </c>
    </row>
    <row r="238" spans="2:10" hidden="1" x14ac:dyDescent="0.2">
      <c r="B238" t="s">
        <v>261</v>
      </c>
      <c r="C238" t="s">
        <v>51</v>
      </c>
      <c r="D238" t="s">
        <v>262</v>
      </c>
      <c r="E238" t="s">
        <v>16</v>
      </c>
      <c r="F238" t="s">
        <v>17</v>
      </c>
      <c r="G238" t="s">
        <v>1034</v>
      </c>
      <c r="H238" t="s">
        <v>15</v>
      </c>
      <c r="I238" s="1">
        <v>2</v>
      </c>
      <c r="J238" s="2">
        <v>1155.18</v>
      </c>
    </row>
    <row r="239" spans="2:10" hidden="1" x14ac:dyDescent="0.2">
      <c r="B239" t="s">
        <v>261</v>
      </c>
      <c r="C239" t="s">
        <v>65</v>
      </c>
      <c r="D239" t="s">
        <v>262</v>
      </c>
      <c r="E239" t="s">
        <v>19</v>
      </c>
      <c r="F239" t="s">
        <v>20</v>
      </c>
      <c r="G239" t="s">
        <v>14</v>
      </c>
      <c r="H239" t="s">
        <v>21</v>
      </c>
      <c r="I239" s="1">
        <v>1</v>
      </c>
      <c r="J239" s="2">
        <v>431.04</v>
      </c>
    </row>
    <row r="240" spans="2:10" hidden="1" x14ac:dyDescent="0.2">
      <c r="B240" t="s">
        <v>261</v>
      </c>
      <c r="C240" t="s">
        <v>65</v>
      </c>
      <c r="D240" t="s">
        <v>262</v>
      </c>
      <c r="E240" t="s">
        <v>46</v>
      </c>
      <c r="F240" t="s">
        <v>47</v>
      </c>
      <c r="G240" t="s">
        <v>1034</v>
      </c>
      <c r="H240" t="s">
        <v>15</v>
      </c>
      <c r="I240" s="1">
        <v>1</v>
      </c>
      <c r="J240" s="2">
        <v>301.72000000000003</v>
      </c>
    </row>
    <row r="241" spans="2:10" hidden="1" x14ac:dyDescent="0.2">
      <c r="B241" t="s">
        <v>261</v>
      </c>
      <c r="C241" t="s">
        <v>65</v>
      </c>
      <c r="D241" t="s">
        <v>262</v>
      </c>
      <c r="E241" t="s">
        <v>287</v>
      </c>
      <c r="F241" t="s">
        <v>288</v>
      </c>
      <c r="G241" t="s">
        <v>14</v>
      </c>
      <c r="H241" t="s">
        <v>35</v>
      </c>
      <c r="I241" s="1">
        <v>1</v>
      </c>
      <c r="J241" s="2">
        <v>60.34</v>
      </c>
    </row>
    <row r="242" spans="2:10" hidden="1" x14ac:dyDescent="0.2">
      <c r="B242" t="s">
        <v>261</v>
      </c>
      <c r="C242" t="s">
        <v>65</v>
      </c>
      <c r="D242" t="s">
        <v>262</v>
      </c>
      <c r="E242" t="s">
        <v>289</v>
      </c>
      <c r="F242" t="s">
        <v>290</v>
      </c>
      <c r="G242" t="s">
        <v>54</v>
      </c>
      <c r="H242" t="s">
        <v>138</v>
      </c>
      <c r="I242" s="1">
        <v>1</v>
      </c>
      <c r="J242" s="2">
        <v>468.1</v>
      </c>
    </row>
    <row r="243" spans="2:10" hidden="1" x14ac:dyDescent="0.2">
      <c r="B243" t="s">
        <v>261</v>
      </c>
      <c r="C243" t="s">
        <v>65</v>
      </c>
      <c r="D243" t="s">
        <v>262</v>
      </c>
      <c r="E243" t="s">
        <v>291</v>
      </c>
      <c r="F243" t="s">
        <v>292</v>
      </c>
      <c r="G243" t="s">
        <v>54</v>
      </c>
      <c r="H243" t="s">
        <v>138</v>
      </c>
      <c r="I243" s="1">
        <v>1</v>
      </c>
      <c r="J243" s="2">
        <v>327.58999999999997</v>
      </c>
    </row>
    <row r="244" spans="2:10" hidden="1" x14ac:dyDescent="0.2">
      <c r="B244" t="s">
        <v>261</v>
      </c>
      <c r="C244" t="s">
        <v>65</v>
      </c>
      <c r="D244" t="s">
        <v>262</v>
      </c>
      <c r="E244" t="s">
        <v>293</v>
      </c>
      <c r="F244" t="s">
        <v>294</v>
      </c>
      <c r="G244" t="s">
        <v>43</v>
      </c>
      <c r="H244" t="s">
        <v>128</v>
      </c>
      <c r="I244" s="1">
        <v>1</v>
      </c>
      <c r="J244" s="2">
        <v>5862.07</v>
      </c>
    </row>
    <row r="245" spans="2:10" hidden="1" x14ac:dyDescent="0.2">
      <c r="B245" t="s">
        <v>261</v>
      </c>
      <c r="C245" t="s">
        <v>65</v>
      </c>
      <c r="D245" t="s">
        <v>262</v>
      </c>
      <c r="E245" t="s">
        <v>295</v>
      </c>
      <c r="F245" t="s">
        <v>296</v>
      </c>
      <c r="G245" t="s">
        <v>43</v>
      </c>
      <c r="H245" t="s">
        <v>297</v>
      </c>
      <c r="I245" s="1">
        <v>1</v>
      </c>
      <c r="J245" s="2">
        <v>224.14</v>
      </c>
    </row>
    <row r="246" spans="2:10" hidden="1" x14ac:dyDescent="0.2">
      <c r="B246" t="s">
        <v>261</v>
      </c>
      <c r="C246" t="s">
        <v>65</v>
      </c>
      <c r="D246" t="s">
        <v>262</v>
      </c>
      <c r="E246" t="s">
        <v>36</v>
      </c>
      <c r="F246" t="s">
        <v>37</v>
      </c>
      <c r="G246" t="s">
        <v>1034</v>
      </c>
      <c r="H246" t="s">
        <v>15</v>
      </c>
      <c r="I246" s="1">
        <v>3</v>
      </c>
      <c r="J246" s="2">
        <v>905.16000000000008</v>
      </c>
    </row>
    <row r="247" spans="2:10" hidden="1" x14ac:dyDescent="0.2">
      <c r="B247" t="s">
        <v>261</v>
      </c>
      <c r="C247" t="s">
        <v>65</v>
      </c>
      <c r="D247" t="s">
        <v>262</v>
      </c>
      <c r="E247" t="s">
        <v>22</v>
      </c>
      <c r="F247" t="s">
        <v>23</v>
      </c>
      <c r="G247" t="s">
        <v>14</v>
      </c>
      <c r="H247" t="s">
        <v>24</v>
      </c>
      <c r="I247" s="1">
        <v>1</v>
      </c>
      <c r="J247" s="2">
        <v>215.52</v>
      </c>
    </row>
    <row r="248" spans="2:10" hidden="1" x14ac:dyDescent="0.2">
      <c r="B248" t="s">
        <v>261</v>
      </c>
      <c r="C248" t="s">
        <v>65</v>
      </c>
      <c r="D248" t="s">
        <v>262</v>
      </c>
      <c r="E248" t="s">
        <v>63</v>
      </c>
      <c r="F248" t="s">
        <v>64</v>
      </c>
      <c r="G248" t="s">
        <v>1034</v>
      </c>
      <c r="H248" t="s">
        <v>15</v>
      </c>
      <c r="I248" s="1">
        <v>1</v>
      </c>
      <c r="J248" s="2">
        <v>172.41</v>
      </c>
    </row>
    <row r="249" spans="2:10" hidden="1" x14ac:dyDescent="0.2">
      <c r="B249" t="s">
        <v>261</v>
      </c>
      <c r="C249" t="s">
        <v>82</v>
      </c>
      <c r="D249" t="s">
        <v>262</v>
      </c>
      <c r="E249" t="s">
        <v>99</v>
      </c>
      <c r="F249" t="s">
        <v>100</v>
      </c>
      <c r="G249" t="s">
        <v>43</v>
      </c>
      <c r="H249" t="s">
        <v>50</v>
      </c>
      <c r="I249" s="1">
        <v>1</v>
      </c>
      <c r="J249" s="2">
        <v>3275.86</v>
      </c>
    </row>
    <row r="250" spans="2:10" hidden="1" x14ac:dyDescent="0.2">
      <c r="B250" t="s">
        <v>261</v>
      </c>
      <c r="C250" t="s">
        <v>88</v>
      </c>
      <c r="D250" t="s">
        <v>262</v>
      </c>
      <c r="E250" t="s">
        <v>19</v>
      </c>
      <c r="F250" t="s">
        <v>20</v>
      </c>
      <c r="G250" t="s">
        <v>14</v>
      </c>
      <c r="H250" t="s">
        <v>21</v>
      </c>
      <c r="I250" s="1">
        <v>2</v>
      </c>
      <c r="J250" s="2">
        <v>862.08</v>
      </c>
    </row>
    <row r="251" spans="2:10" hidden="1" x14ac:dyDescent="0.2">
      <c r="B251" t="s">
        <v>261</v>
      </c>
      <c r="C251" t="s">
        <v>88</v>
      </c>
      <c r="D251" t="s">
        <v>262</v>
      </c>
      <c r="E251" t="s">
        <v>70</v>
      </c>
      <c r="F251" t="s">
        <v>71</v>
      </c>
      <c r="G251" t="s">
        <v>1033</v>
      </c>
      <c r="H251" t="s">
        <v>30</v>
      </c>
      <c r="I251" s="1">
        <v>1</v>
      </c>
      <c r="J251" s="2">
        <v>2112.0700000000002</v>
      </c>
    </row>
    <row r="252" spans="2:10" hidden="1" x14ac:dyDescent="0.2">
      <c r="B252" t="s">
        <v>261</v>
      </c>
      <c r="C252" t="s">
        <v>88</v>
      </c>
      <c r="D252" t="s">
        <v>262</v>
      </c>
      <c r="E252" t="s">
        <v>298</v>
      </c>
      <c r="F252" t="s">
        <v>299</v>
      </c>
      <c r="G252" t="s">
        <v>14</v>
      </c>
      <c r="H252" t="s">
        <v>27</v>
      </c>
      <c r="I252" s="1">
        <v>1</v>
      </c>
      <c r="J252" s="2">
        <v>387.93</v>
      </c>
    </row>
    <row r="253" spans="2:10" hidden="1" x14ac:dyDescent="0.2">
      <c r="B253" t="s">
        <v>261</v>
      </c>
      <c r="C253" t="s">
        <v>88</v>
      </c>
      <c r="D253" t="s">
        <v>262</v>
      </c>
      <c r="E253" t="s">
        <v>221</v>
      </c>
      <c r="F253" t="s">
        <v>222</v>
      </c>
      <c r="G253" t="s">
        <v>1034</v>
      </c>
      <c r="H253" t="s">
        <v>15</v>
      </c>
      <c r="I253" s="1">
        <v>1</v>
      </c>
      <c r="J253" s="2">
        <v>431.03</v>
      </c>
    </row>
    <row r="254" spans="2:10" hidden="1" x14ac:dyDescent="0.2">
      <c r="B254" t="s">
        <v>261</v>
      </c>
      <c r="C254" t="s">
        <v>88</v>
      </c>
      <c r="D254" t="s">
        <v>262</v>
      </c>
      <c r="E254" t="s">
        <v>214</v>
      </c>
      <c r="F254" t="s">
        <v>215</v>
      </c>
      <c r="G254" t="s">
        <v>1034</v>
      </c>
      <c r="H254" t="s">
        <v>15</v>
      </c>
      <c r="I254" s="1">
        <v>1</v>
      </c>
      <c r="J254" s="2">
        <v>301.72000000000003</v>
      </c>
    </row>
    <row r="255" spans="2:10" hidden="1" x14ac:dyDescent="0.2">
      <c r="B255" t="s">
        <v>261</v>
      </c>
      <c r="C255" t="s">
        <v>88</v>
      </c>
      <c r="D255" t="s">
        <v>262</v>
      </c>
      <c r="E255" t="s">
        <v>72</v>
      </c>
      <c r="F255" t="s">
        <v>73</v>
      </c>
      <c r="G255" t="s">
        <v>1034</v>
      </c>
      <c r="H255" t="s">
        <v>15</v>
      </c>
      <c r="I255" s="1">
        <v>1</v>
      </c>
      <c r="J255" s="2">
        <v>775.86</v>
      </c>
    </row>
    <row r="256" spans="2:10" hidden="1" x14ac:dyDescent="0.2">
      <c r="B256" t="s">
        <v>261</v>
      </c>
      <c r="C256" t="s">
        <v>88</v>
      </c>
      <c r="D256" t="s">
        <v>262</v>
      </c>
      <c r="E256" t="s">
        <v>22</v>
      </c>
      <c r="F256" t="s">
        <v>23</v>
      </c>
      <c r="G256" t="s">
        <v>14</v>
      </c>
      <c r="H256" t="s">
        <v>24</v>
      </c>
      <c r="I256" s="1">
        <v>2</v>
      </c>
      <c r="J256" s="2">
        <v>431.03</v>
      </c>
    </row>
    <row r="257" spans="2:10" hidden="1" x14ac:dyDescent="0.2">
      <c r="B257" t="s">
        <v>261</v>
      </c>
      <c r="C257" t="s">
        <v>88</v>
      </c>
      <c r="D257" t="s">
        <v>262</v>
      </c>
      <c r="E257" t="s">
        <v>38</v>
      </c>
      <c r="F257" t="s">
        <v>39</v>
      </c>
      <c r="G257" t="s">
        <v>1034</v>
      </c>
      <c r="H257" t="s">
        <v>15</v>
      </c>
      <c r="I257" s="1">
        <v>1</v>
      </c>
      <c r="J257" s="2">
        <v>431.03</v>
      </c>
    </row>
    <row r="258" spans="2:10" hidden="1" x14ac:dyDescent="0.2">
      <c r="B258" t="s">
        <v>261</v>
      </c>
      <c r="C258" t="s">
        <v>88</v>
      </c>
      <c r="D258" t="s">
        <v>262</v>
      </c>
      <c r="E258" t="s">
        <v>61</v>
      </c>
      <c r="F258" t="s">
        <v>62</v>
      </c>
      <c r="G258" t="s">
        <v>1034</v>
      </c>
      <c r="H258" t="s">
        <v>15</v>
      </c>
      <c r="I258" s="1">
        <v>16</v>
      </c>
      <c r="J258" s="2">
        <v>2758.56</v>
      </c>
    </row>
    <row r="259" spans="2:10" hidden="1" x14ac:dyDescent="0.2">
      <c r="B259" t="s">
        <v>261</v>
      </c>
      <c r="C259" t="s">
        <v>88</v>
      </c>
      <c r="D259" t="s">
        <v>262</v>
      </c>
      <c r="E259" t="s">
        <v>63</v>
      </c>
      <c r="F259" t="s">
        <v>64</v>
      </c>
      <c r="G259" t="s">
        <v>1034</v>
      </c>
      <c r="H259" t="s">
        <v>15</v>
      </c>
      <c r="I259" s="1">
        <v>2</v>
      </c>
      <c r="J259" s="2">
        <v>344.82</v>
      </c>
    </row>
    <row r="260" spans="2:10" hidden="1" x14ac:dyDescent="0.2">
      <c r="B260" t="s">
        <v>261</v>
      </c>
      <c r="C260" t="s">
        <v>88</v>
      </c>
      <c r="D260" t="s">
        <v>262</v>
      </c>
      <c r="E260" t="s">
        <v>300</v>
      </c>
      <c r="F260" t="s">
        <v>301</v>
      </c>
      <c r="G260" t="s">
        <v>1033</v>
      </c>
      <c r="H260" t="s">
        <v>30</v>
      </c>
      <c r="I260" s="1">
        <v>1</v>
      </c>
      <c r="J260" s="2">
        <v>2413.79</v>
      </c>
    </row>
    <row r="261" spans="2:10" hidden="1" x14ac:dyDescent="0.2">
      <c r="B261" t="s">
        <v>261</v>
      </c>
      <c r="C261" t="s">
        <v>117</v>
      </c>
      <c r="D261" t="s">
        <v>262</v>
      </c>
      <c r="E261" t="s">
        <v>302</v>
      </c>
      <c r="F261" t="s">
        <v>303</v>
      </c>
      <c r="G261" t="s">
        <v>1033</v>
      </c>
      <c r="H261" t="s">
        <v>30</v>
      </c>
      <c r="I261" s="1">
        <v>1</v>
      </c>
      <c r="J261" s="2">
        <v>474.14</v>
      </c>
    </row>
    <row r="262" spans="2:10" hidden="1" x14ac:dyDescent="0.2">
      <c r="B262" t="s">
        <v>261</v>
      </c>
      <c r="C262" t="s">
        <v>117</v>
      </c>
      <c r="D262" t="s">
        <v>262</v>
      </c>
      <c r="E262" t="s">
        <v>44</v>
      </c>
      <c r="F262" t="s">
        <v>45</v>
      </c>
      <c r="G262" t="s">
        <v>1033</v>
      </c>
      <c r="H262" t="s">
        <v>30</v>
      </c>
      <c r="I262" s="1">
        <v>2</v>
      </c>
      <c r="J262" s="2">
        <v>163.80000000000001</v>
      </c>
    </row>
    <row r="263" spans="2:10" hidden="1" x14ac:dyDescent="0.2">
      <c r="B263" t="s">
        <v>261</v>
      </c>
      <c r="C263" t="s">
        <v>117</v>
      </c>
      <c r="D263" t="s">
        <v>262</v>
      </c>
      <c r="E263" t="s">
        <v>19</v>
      </c>
      <c r="F263" t="s">
        <v>20</v>
      </c>
      <c r="G263" t="s">
        <v>14</v>
      </c>
      <c r="H263" t="s">
        <v>21</v>
      </c>
      <c r="I263" s="1">
        <v>1</v>
      </c>
      <c r="J263" s="2">
        <v>431.04</v>
      </c>
    </row>
    <row r="264" spans="2:10" hidden="1" x14ac:dyDescent="0.2">
      <c r="B264" t="s">
        <v>261</v>
      </c>
      <c r="C264" t="s">
        <v>117</v>
      </c>
      <c r="D264" t="s">
        <v>262</v>
      </c>
      <c r="E264" t="s">
        <v>70</v>
      </c>
      <c r="F264" t="s">
        <v>71</v>
      </c>
      <c r="G264" t="s">
        <v>1033</v>
      </c>
      <c r="H264" t="s">
        <v>30</v>
      </c>
      <c r="I264" s="1">
        <v>1</v>
      </c>
      <c r="J264" s="2">
        <v>2112.0700000000002</v>
      </c>
    </row>
    <row r="265" spans="2:10" hidden="1" x14ac:dyDescent="0.2">
      <c r="B265" t="s">
        <v>261</v>
      </c>
      <c r="C265" t="s">
        <v>117</v>
      </c>
      <c r="D265" t="s">
        <v>262</v>
      </c>
      <c r="E265" t="s">
        <v>214</v>
      </c>
      <c r="F265" t="s">
        <v>215</v>
      </c>
      <c r="G265" t="s">
        <v>1034</v>
      </c>
      <c r="H265" t="s">
        <v>15</v>
      </c>
      <c r="I265" s="1">
        <v>2</v>
      </c>
      <c r="J265" s="2">
        <v>603.44000000000005</v>
      </c>
    </row>
    <row r="266" spans="2:10" hidden="1" x14ac:dyDescent="0.2">
      <c r="B266" t="s">
        <v>261</v>
      </c>
      <c r="C266" t="s">
        <v>117</v>
      </c>
      <c r="D266" t="s">
        <v>262</v>
      </c>
      <c r="E266" t="s">
        <v>36</v>
      </c>
      <c r="F266" t="s">
        <v>37</v>
      </c>
      <c r="G266" t="s">
        <v>1034</v>
      </c>
      <c r="H266" t="s">
        <v>15</v>
      </c>
      <c r="I266" s="1">
        <v>2</v>
      </c>
      <c r="J266" s="2">
        <v>603.44000000000005</v>
      </c>
    </row>
    <row r="267" spans="2:10" hidden="1" x14ac:dyDescent="0.2">
      <c r="B267" t="s">
        <v>261</v>
      </c>
      <c r="C267" t="s">
        <v>117</v>
      </c>
      <c r="D267" t="s">
        <v>262</v>
      </c>
      <c r="E267" t="s">
        <v>72</v>
      </c>
      <c r="F267" t="s">
        <v>73</v>
      </c>
      <c r="G267" t="s">
        <v>1034</v>
      </c>
      <c r="H267" t="s">
        <v>15</v>
      </c>
      <c r="I267" s="1">
        <v>3</v>
      </c>
      <c r="J267" s="2">
        <v>2327.58</v>
      </c>
    </row>
    <row r="268" spans="2:10" hidden="1" x14ac:dyDescent="0.2">
      <c r="B268" t="s">
        <v>261</v>
      </c>
      <c r="C268" t="s">
        <v>117</v>
      </c>
      <c r="D268" t="s">
        <v>262</v>
      </c>
      <c r="E268" t="s">
        <v>61</v>
      </c>
      <c r="F268" t="s">
        <v>62</v>
      </c>
      <c r="G268" t="s">
        <v>1034</v>
      </c>
      <c r="H268" t="s">
        <v>15</v>
      </c>
      <c r="I268" s="1">
        <v>1</v>
      </c>
      <c r="J268" s="2">
        <v>172.41</v>
      </c>
    </row>
    <row r="269" spans="2:10" hidden="1" x14ac:dyDescent="0.2">
      <c r="B269" t="s">
        <v>261</v>
      </c>
      <c r="C269" t="s">
        <v>117</v>
      </c>
      <c r="D269" t="s">
        <v>262</v>
      </c>
      <c r="E269" t="s">
        <v>28</v>
      </c>
      <c r="F269" t="s">
        <v>29</v>
      </c>
      <c r="G269" t="s">
        <v>1033</v>
      </c>
      <c r="H269" t="s">
        <v>30</v>
      </c>
      <c r="I269" s="1">
        <v>2</v>
      </c>
      <c r="J269" s="2">
        <v>310.33999999999997</v>
      </c>
    </row>
    <row r="270" spans="2:10" hidden="1" x14ac:dyDescent="0.2">
      <c r="B270" t="s">
        <v>261</v>
      </c>
      <c r="C270" t="s">
        <v>129</v>
      </c>
      <c r="D270" t="s">
        <v>262</v>
      </c>
      <c r="E270" t="s">
        <v>44</v>
      </c>
      <c r="F270" t="s">
        <v>45</v>
      </c>
      <c r="G270" t="s">
        <v>1033</v>
      </c>
      <c r="H270" t="s">
        <v>30</v>
      </c>
      <c r="I270" s="1">
        <v>1</v>
      </c>
      <c r="J270" s="2">
        <v>81.900000000000006</v>
      </c>
    </row>
    <row r="271" spans="2:10" hidden="1" x14ac:dyDescent="0.2">
      <c r="B271" t="s">
        <v>261</v>
      </c>
      <c r="C271" t="s">
        <v>129</v>
      </c>
      <c r="D271" t="s">
        <v>262</v>
      </c>
      <c r="E271" t="s">
        <v>36</v>
      </c>
      <c r="F271" t="s">
        <v>37</v>
      </c>
      <c r="G271" t="s">
        <v>1034</v>
      </c>
      <c r="H271" t="s">
        <v>15</v>
      </c>
      <c r="I271" s="1">
        <v>1</v>
      </c>
      <c r="J271" s="2">
        <v>301.72000000000003</v>
      </c>
    </row>
    <row r="272" spans="2:10" hidden="1" x14ac:dyDescent="0.2">
      <c r="B272" t="s">
        <v>261</v>
      </c>
      <c r="C272" t="s">
        <v>129</v>
      </c>
      <c r="D272" t="s">
        <v>262</v>
      </c>
      <c r="E272" t="s">
        <v>83</v>
      </c>
      <c r="F272" t="s">
        <v>84</v>
      </c>
      <c r="G272" t="s">
        <v>1034</v>
      </c>
      <c r="H272" t="s">
        <v>15</v>
      </c>
      <c r="I272" s="1">
        <v>1</v>
      </c>
      <c r="J272" s="2">
        <v>387.93</v>
      </c>
    </row>
    <row r="273" spans="2:10" hidden="1" x14ac:dyDescent="0.2">
      <c r="B273" t="s">
        <v>261</v>
      </c>
      <c r="C273" t="s">
        <v>134</v>
      </c>
      <c r="D273" t="s">
        <v>277</v>
      </c>
      <c r="E273" t="s">
        <v>304</v>
      </c>
      <c r="F273" t="s">
        <v>305</v>
      </c>
      <c r="G273" t="s">
        <v>76</v>
      </c>
      <c r="H273" t="s">
        <v>60</v>
      </c>
      <c r="I273" s="1">
        <v>1</v>
      </c>
      <c r="J273" s="2">
        <v>344.83</v>
      </c>
    </row>
    <row r="274" spans="2:10" hidden="1" x14ac:dyDescent="0.2">
      <c r="B274" t="s">
        <v>261</v>
      </c>
      <c r="C274" t="s">
        <v>134</v>
      </c>
      <c r="D274" t="s">
        <v>262</v>
      </c>
      <c r="E274" t="s">
        <v>306</v>
      </c>
      <c r="F274" t="s">
        <v>307</v>
      </c>
      <c r="G274" t="s">
        <v>1033</v>
      </c>
      <c r="H274" t="s">
        <v>30</v>
      </c>
      <c r="I274" s="1">
        <v>1</v>
      </c>
      <c r="J274" s="2">
        <v>258.62</v>
      </c>
    </row>
    <row r="275" spans="2:10" hidden="1" x14ac:dyDescent="0.2">
      <c r="B275" t="s">
        <v>261</v>
      </c>
      <c r="C275" t="s">
        <v>134</v>
      </c>
      <c r="D275" t="s">
        <v>262</v>
      </c>
      <c r="E275" t="s">
        <v>308</v>
      </c>
      <c r="F275" t="s">
        <v>309</v>
      </c>
      <c r="G275" t="s">
        <v>1033</v>
      </c>
      <c r="H275" t="s">
        <v>30</v>
      </c>
      <c r="I275" s="1">
        <v>1</v>
      </c>
      <c r="J275" s="2">
        <v>818.97</v>
      </c>
    </row>
    <row r="276" spans="2:10" hidden="1" x14ac:dyDescent="0.2">
      <c r="B276" t="s">
        <v>261</v>
      </c>
      <c r="C276" t="s">
        <v>134</v>
      </c>
      <c r="D276" t="s">
        <v>262</v>
      </c>
      <c r="E276" t="s">
        <v>251</v>
      </c>
      <c r="F276" t="s">
        <v>252</v>
      </c>
      <c r="G276" t="s">
        <v>1033</v>
      </c>
      <c r="H276" t="s">
        <v>30</v>
      </c>
      <c r="I276" s="1">
        <v>1</v>
      </c>
      <c r="J276" s="2">
        <v>1500</v>
      </c>
    </row>
    <row r="277" spans="2:10" hidden="1" x14ac:dyDescent="0.2">
      <c r="B277" t="s">
        <v>261</v>
      </c>
      <c r="C277" t="s">
        <v>134</v>
      </c>
      <c r="D277" t="s">
        <v>262</v>
      </c>
      <c r="E277" t="s">
        <v>310</v>
      </c>
      <c r="F277" t="s">
        <v>311</v>
      </c>
      <c r="G277" t="s">
        <v>1033</v>
      </c>
      <c r="H277" t="s">
        <v>30</v>
      </c>
      <c r="I277" s="1">
        <v>1</v>
      </c>
      <c r="J277" s="2">
        <v>474.14</v>
      </c>
    </row>
    <row r="278" spans="2:10" hidden="1" x14ac:dyDescent="0.2">
      <c r="B278" t="s">
        <v>261</v>
      </c>
      <c r="C278" t="s">
        <v>134</v>
      </c>
      <c r="D278" t="s">
        <v>262</v>
      </c>
      <c r="E278" t="s">
        <v>312</v>
      </c>
      <c r="F278" t="s">
        <v>313</v>
      </c>
      <c r="G278" t="s">
        <v>1033</v>
      </c>
      <c r="H278" t="s">
        <v>30</v>
      </c>
      <c r="I278" s="1">
        <v>1</v>
      </c>
      <c r="J278" s="2">
        <v>603.45000000000005</v>
      </c>
    </row>
    <row r="279" spans="2:10" hidden="1" x14ac:dyDescent="0.2">
      <c r="B279" t="s">
        <v>261</v>
      </c>
      <c r="C279" t="s">
        <v>134</v>
      </c>
      <c r="D279" t="s">
        <v>262</v>
      </c>
      <c r="E279" t="s">
        <v>38</v>
      </c>
      <c r="F279" t="s">
        <v>39</v>
      </c>
      <c r="G279" t="s">
        <v>1034</v>
      </c>
      <c r="H279" t="s">
        <v>15</v>
      </c>
      <c r="I279" s="1">
        <v>1</v>
      </c>
      <c r="J279" s="2">
        <v>431.03</v>
      </c>
    </row>
    <row r="280" spans="2:10" hidden="1" x14ac:dyDescent="0.2">
      <c r="B280" t="s">
        <v>261</v>
      </c>
      <c r="C280" t="s">
        <v>134</v>
      </c>
      <c r="D280" t="s">
        <v>262</v>
      </c>
      <c r="E280" t="s">
        <v>61</v>
      </c>
      <c r="F280" t="s">
        <v>62</v>
      </c>
      <c r="G280" t="s">
        <v>1034</v>
      </c>
      <c r="H280" t="s">
        <v>15</v>
      </c>
      <c r="I280" s="1">
        <v>1</v>
      </c>
      <c r="J280" s="2">
        <v>172.41</v>
      </c>
    </row>
    <row r="281" spans="2:10" hidden="1" x14ac:dyDescent="0.2">
      <c r="B281" t="s">
        <v>261</v>
      </c>
      <c r="C281" t="s">
        <v>134</v>
      </c>
      <c r="D281" t="s">
        <v>262</v>
      </c>
      <c r="E281" t="s">
        <v>63</v>
      </c>
      <c r="F281" t="s">
        <v>64</v>
      </c>
      <c r="G281" t="s">
        <v>1034</v>
      </c>
      <c r="H281" t="s">
        <v>15</v>
      </c>
      <c r="I281" s="1">
        <v>1</v>
      </c>
      <c r="J281" s="2">
        <v>172.41</v>
      </c>
    </row>
    <row r="282" spans="2:10" hidden="1" x14ac:dyDescent="0.2">
      <c r="B282" t="s">
        <v>261</v>
      </c>
      <c r="C282" t="s">
        <v>135</v>
      </c>
      <c r="D282" t="s">
        <v>262</v>
      </c>
      <c r="E282" t="s">
        <v>314</v>
      </c>
      <c r="F282" t="s">
        <v>315</v>
      </c>
      <c r="G282" t="s">
        <v>54</v>
      </c>
      <c r="H282" t="s">
        <v>138</v>
      </c>
      <c r="I282" s="1">
        <v>1</v>
      </c>
      <c r="J282" s="2">
        <v>775.86</v>
      </c>
    </row>
    <row r="283" spans="2:10" hidden="1" x14ac:dyDescent="0.2">
      <c r="B283" t="s">
        <v>261</v>
      </c>
      <c r="C283" t="s">
        <v>135</v>
      </c>
      <c r="D283" t="s">
        <v>262</v>
      </c>
      <c r="E283" t="s">
        <v>316</v>
      </c>
      <c r="F283" t="s">
        <v>317</v>
      </c>
      <c r="G283" t="s">
        <v>14</v>
      </c>
      <c r="H283" t="s">
        <v>27</v>
      </c>
      <c r="I283" s="1">
        <v>1</v>
      </c>
      <c r="J283" s="2">
        <v>413.79</v>
      </c>
    </row>
    <row r="284" spans="2:10" hidden="1" x14ac:dyDescent="0.2">
      <c r="B284" t="s">
        <v>261</v>
      </c>
      <c r="C284" t="s">
        <v>135</v>
      </c>
      <c r="D284" t="s">
        <v>262</v>
      </c>
      <c r="E284" t="s">
        <v>36</v>
      </c>
      <c r="F284" t="s">
        <v>37</v>
      </c>
      <c r="G284" t="s">
        <v>1034</v>
      </c>
      <c r="H284" t="s">
        <v>15</v>
      </c>
      <c r="I284" s="1">
        <v>1</v>
      </c>
      <c r="J284" s="2">
        <v>301.72000000000003</v>
      </c>
    </row>
    <row r="285" spans="2:10" hidden="1" x14ac:dyDescent="0.2">
      <c r="B285" t="s">
        <v>261</v>
      </c>
      <c r="C285" t="s">
        <v>135</v>
      </c>
      <c r="D285" t="s">
        <v>262</v>
      </c>
      <c r="E285" t="s">
        <v>72</v>
      </c>
      <c r="F285" t="s">
        <v>73</v>
      </c>
      <c r="G285" t="s">
        <v>1034</v>
      </c>
      <c r="H285" t="s">
        <v>15</v>
      </c>
      <c r="I285" s="1">
        <v>1</v>
      </c>
      <c r="J285" s="2">
        <v>775.86</v>
      </c>
    </row>
    <row r="286" spans="2:10" hidden="1" x14ac:dyDescent="0.2">
      <c r="B286" t="s">
        <v>261</v>
      </c>
      <c r="C286" t="s">
        <v>135</v>
      </c>
      <c r="D286" t="s">
        <v>262</v>
      </c>
      <c r="E286" t="s">
        <v>273</v>
      </c>
      <c r="F286" t="s">
        <v>274</v>
      </c>
      <c r="G286" t="s">
        <v>1033</v>
      </c>
      <c r="H286" t="s">
        <v>30</v>
      </c>
      <c r="I286" s="1">
        <v>1</v>
      </c>
      <c r="J286" s="2">
        <v>1293.0999999999999</v>
      </c>
    </row>
    <row r="287" spans="2:10" hidden="1" x14ac:dyDescent="0.2">
      <c r="B287" t="s">
        <v>261</v>
      </c>
      <c r="C287" t="s">
        <v>135</v>
      </c>
      <c r="D287" t="s">
        <v>262</v>
      </c>
      <c r="E287" t="s">
        <v>56</v>
      </c>
      <c r="F287" t="s">
        <v>57</v>
      </c>
      <c r="G287" t="s">
        <v>1034</v>
      </c>
      <c r="H287" t="s">
        <v>15</v>
      </c>
      <c r="I287" s="1">
        <v>1</v>
      </c>
      <c r="J287" s="2">
        <v>431.03</v>
      </c>
    </row>
    <row r="288" spans="2:10" hidden="1" x14ac:dyDescent="0.2">
      <c r="B288" t="s">
        <v>261</v>
      </c>
      <c r="C288" t="s">
        <v>141</v>
      </c>
      <c r="D288" t="s">
        <v>262</v>
      </c>
      <c r="E288" t="s">
        <v>318</v>
      </c>
      <c r="F288" t="s">
        <v>319</v>
      </c>
      <c r="G288" t="s">
        <v>1033</v>
      </c>
      <c r="H288" t="s">
        <v>30</v>
      </c>
      <c r="I288" s="1">
        <v>1</v>
      </c>
      <c r="J288" s="2">
        <v>456.9</v>
      </c>
    </row>
    <row r="289" spans="2:10" hidden="1" x14ac:dyDescent="0.2">
      <c r="B289" t="s">
        <v>261</v>
      </c>
      <c r="C289" t="s">
        <v>141</v>
      </c>
      <c r="D289" t="s">
        <v>262</v>
      </c>
      <c r="E289" t="s">
        <v>44</v>
      </c>
      <c r="F289" t="s">
        <v>45</v>
      </c>
      <c r="G289" t="s">
        <v>1033</v>
      </c>
      <c r="H289" t="s">
        <v>30</v>
      </c>
      <c r="I289" s="1">
        <v>1</v>
      </c>
      <c r="J289" s="2">
        <v>81.900000000000006</v>
      </c>
    </row>
    <row r="290" spans="2:10" hidden="1" x14ac:dyDescent="0.2">
      <c r="B290" t="s">
        <v>261</v>
      </c>
      <c r="C290" t="s">
        <v>141</v>
      </c>
      <c r="D290" t="s">
        <v>262</v>
      </c>
      <c r="E290" t="s">
        <v>36</v>
      </c>
      <c r="F290" t="s">
        <v>37</v>
      </c>
      <c r="G290" t="s">
        <v>1034</v>
      </c>
      <c r="H290" t="s">
        <v>15</v>
      </c>
      <c r="I290" s="1">
        <v>1</v>
      </c>
      <c r="J290" s="2">
        <v>301.72000000000003</v>
      </c>
    </row>
    <row r="291" spans="2:10" hidden="1" x14ac:dyDescent="0.2">
      <c r="B291" t="s">
        <v>261</v>
      </c>
      <c r="C291" t="s">
        <v>141</v>
      </c>
      <c r="D291" t="s">
        <v>262</v>
      </c>
      <c r="E291" t="s">
        <v>83</v>
      </c>
      <c r="F291" t="s">
        <v>84</v>
      </c>
      <c r="G291" t="s">
        <v>1034</v>
      </c>
      <c r="H291" t="s">
        <v>15</v>
      </c>
      <c r="I291" s="1">
        <v>1</v>
      </c>
      <c r="J291" s="2">
        <v>387.93</v>
      </c>
    </row>
    <row r="292" spans="2:10" hidden="1" x14ac:dyDescent="0.2">
      <c r="B292" t="s">
        <v>261</v>
      </c>
      <c r="C292" t="s">
        <v>141</v>
      </c>
      <c r="D292" t="s">
        <v>262</v>
      </c>
      <c r="E292" t="s">
        <v>223</v>
      </c>
      <c r="F292" t="s">
        <v>224</v>
      </c>
      <c r="G292" t="s">
        <v>43</v>
      </c>
      <c r="H292" t="s">
        <v>50</v>
      </c>
      <c r="I292" s="1">
        <v>1</v>
      </c>
      <c r="J292" s="2">
        <v>1637.93</v>
      </c>
    </row>
    <row r="293" spans="2:10" hidden="1" x14ac:dyDescent="0.2">
      <c r="B293" t="s">
        <v>261</v>
      </c>
      <c r="C293" t="s">
        <v>141</v>
      </c>
      <c r="D293" t="s">
        <v>262</v>
      </c>
      <c r="E293" t="s">
        <v>320</v>
      </c>
      <c r="F293" t="s">
        <v>321</v>
      </c>
      <c r="G293" t="s">
        <v>1033</v>
      </c>
      <c r="H293" t="s">
        <v>30</v>
      </c>
      <c r="I293" s="1">
        <v>1</v>
      </c>
      <c r="J293" s="2">
        <v>603.45000000000005</v>
      </c>
    </row>
    <row r="294" spans="2:10" hidden="1" x14ac:dyDescent="0.2">
      <c r="B294" t="s">
        <v>261</v>
      </c>
      <c r="C294" t="s">
        <v>141</v>
      </c>
      <c r="D294" t="s">
        <v>262</v>
      </c>
      <c r="E294" t="s">
        <v>28</v>
      </c>
      <c r="F294" t="s">
        <v>29</v>
      </c>
      <c r="G294" t="s">
        <v>1033</v>
      </c>
      <c r="H294" t="s">
        <v>30</v>
      </c>
      <c r="I294" s="1">
        <v>1</v>
      </c>
      <c r="J294" s="2">
        <v>155.16999999999999</v>
      </c>
    </row>
    <row r="295" spans="2:10" hidden="1" x14ac:dyDescent="0.2">
      <c r="B295" t="s">
        <v>261</v>
      </c>
      <c r="C295" t="s">
        <v>144</v>
      </c>
      <c r="D295" t="s">
        <v>262</v>
      </c>
      <c r="E295" t="s">
        <v>221</v>
      </c>
      <c r="F295" t="s">
        <v>222</v>
      </c>
      <c r="G295" t="s">
        <v>1034</v>
      </c>
      <c r="H295" t="s">
        <v>15</v>
      </c>
      <c r="I295" s="1">
        <v>1</v>
      </c>
      <c r="J295" s="2">
        <v>431.03</v>
      </c>
    </row>
    <row r="296" spans="2:10" hidden="1" x14ac:dyDescent="0.2">
      <c r="B296" t="s">
        <v>261</v>
      </c>
      <c r="C296" t="s">
        <v>144</v>
      </c>
      <c r="D296" t="s">
        <v>262</v>
      </c>
      <c r="E296" t="s">
        <v>28</v>
      </c>
      <c r="F296" t="s">
        <v>29</v>
      </c>
      <c r="G296" t="s">
        <v>1033</v>
      </c>
      <c r="H296" t="s">
        <v>30</v>
      </c>
      <c r="I296" s="1">
        <v>1</v>
      </c>
      <c r="J296" s="2">
        <v>155.16999999999999</v>
      </c>
    </row>
    <row r="297" spans="2:10" hidden="1" x14ac:dyDescent="0.2">
      <c r="B297" t="s">
        <v>261</v>
      </c>
      <c r="C297" t="s">
        <v>165</v>
      </c>
      <c r="D297" t="s">
        <v>262</v>
      </c>
      <c r="E297" t="s">
        <v>46</v>
      </c>
      <c r="F297" t="s">
        <v>47</v>
      </c>
      <c r="G297" t="s">
        <v>1034</v>
      </c>
      <c r="H297" t="s">
        <v>15</v>
      </c>
      <c r="I297" s="1">
        <v>1</v>
      </c>
      <c r="J297" s="2">
        <v>301.72000000000003</v>
      </c>
    </row>
    <row r="298" spans="2:10" hidden="1" x14ac:dyDescent="0.2">
      <c r="B298" t="s">
        <v>261</v>
      </c>
      <c r="C298" t="s">
        <v>165</v>
      </c>
      <c r="D298" t="s">
        <v>262</v>
      </c>
      <c r="E298" t="s">
        <v>322</v>
      </c>
      <c r="F298" t="s">
        <v>323</v>
      </c>
      <c r="G298" t="s">
        <v>43</v>
      </c>
      <c r="H298" t="s">
        <v>205</v>
      </c>
      <c r="I298" s="1">
        <v>1</v>
      </c>
      <c r="J298" s="2">
        <v>2081.9</v>
      </c>
    </row>
    <row r="299" spans="2:10" hidden="1" x14ac:dyDescent="0.2">
      <c r="B299" t="s">
        <v>261</v>
      </c>
      <c r="C299" t="s">
        <v>165</v>
      </c>
      <c r="D299" t="s">
        <v>262</v>
      </c>
      <c r="E299" t="s">
        <v>28</v>
      </c>
      <c r="F299" t="s">
        <v>29</v>
      </c>
      <c r="G299" t="s">
        <v>1033</v>
      </c>
      <c r="H299" t="s">
        <v>30</v>
      </c>
      <c r="I299" s="1">
        <v>1</v>
      </c>
      <c r="J299" s="2">
        <v>155.16999999999999</v>
      </c>
    </row>
    <row r="300" spans="2:10" hidden="1" x14ac:dyDescent="0.2">
      <c r="B300" t="s">
        <v>261</v>
      </c>
      <c r="C300" t="s">
        <v>166</v>
      </c>
      <c r="D300" t="s">
        <v>262</v>
      </c>
      <c r="E300" t="s">
        <v>318</v>
      </c>
      <c r="F300" t="s">
        <v>319</v>
      </c>
      <c r="G300" t="s">
        <v>1033</v>
      </c>
      <c r="H300" t="s">
        <v>30</v>
      </c>
      <c r="I300" s="1">
        <v>1</v>
      </c>
      <c r="J300" s="2">
        <v>456.9</v>
      </c>
    </row>
    <row r="301" spans="2:10" hidden="1" x14ac:dyDescent="0.2">
      <c r="B301" t="s">
        <v>261</v>
      </c>
      <c r="C301" t="s">
        <v>166</v>
      </c>
      <c r="D301" t="s">
        <v>262</v>
      </c>
      <c r="E301" t="s">
        <v>167</v>
      </c>
      <c r="F301" t="s">
        <v>168</v>
      </c>
      <c r="G301" t="s">
        <v>1033</v>
      </c>
      <c r="H301" t="s">
        <v>30</v>
      </c>
      <c r="I301" s="1">
        <v>1</v>
      </c>
      <c r="J301" s="2">
        <v>1267.24</v>
      </c>
    </row>
    <row r="302" spans="2:10" hidden="1" x14ac:dyDescent="0.2">
      <c r="B302" t="s">
        <v>261</v>
      </c>
      <c r="C302" t="s">
        <v>166</v>
      </c>
      <c r="D302" t="s">
        <v>262</v>
      </c>
      <c r="E302" t="s">
        <v>19</v>
      </c>
      <c r="F302" t="s">
        <v>20</v>
      </c>
      <c r="G302" t="s">
        <v>14</v>
      </c>
      <c r="H302" t="s">
        <v>21</v>
      </c>
      <c r="I302" s="1">
        <v>1</v>
      </c>
      <c r="J302" s="2">
        <v>431.04</v>
      </c>
    </row>
    <row r="303" spans="2:10" hidden="1" x14ac:dyDescent="0.2">
      <c r="B303" t="s">
        <v>261</v>
      </c>
      <c r="C303" t="s">
        <v>166</v>
      </c>
      <c r="D303" t="s">
        <v>262</v>
      </c>
      <c r="E303" t="s">
        <v>324</v>
      </c>
      <c r="F303" t="s">
        <v>325</v>
      </c>
      <c r="G303" t="s">
        <v>1033</v>
      </c>
      <c r="H303" t="s">
        <v>30</v>
      </c>
      <c r="I303" s="1">
        <v>1</v>
      </c>
      <c r="J303" s="2">
        <v>2000</v>
      </c>
    </row>
    <row r="304" spans="2:10" hidden="1" x14ac:dyDescent="0.2">
      <c r="B304" t="s">
        <v>261</v>
      </c>
      <c r="C304" t="s">
        <v>166</v>
      </c>
      <c r="D304" t="s">
        <v>262</v>
      </c>
      <c r="E304" t="s">
        <v>326</v>
      </c>
      <c r="F304" t="s">
        <v>327</v>
      </c>
      <c r="G304" t="s">
        <v>1033</v>
      </c>
      <c r="H304" t="s">
        <v>30</v>
      </c>
      <c r="I304" s="1">
        <v>1</v>
      </c>
      <c r="J304" s="2">
        <v>1862.07</v>
      </c>
    </row>
    <row r="305" spans="2:10" hidden="1" x14ac:dyDescent="0.2">
      <c r="B305" t="s">
        <v>261</v>
      </c>
      <c r="C305" t="s">
        <v>166</v>
      </c>
      <c r="D305" t="s">
        <v>262</v>
      </c>
      <c r="E305" t="s">
        <v>120</v>
      </c>
      <c r="F305" t="s">
        <v>121</v>
      </c>
      <c r="G305" t="s">
        <v>1034</v>
      </c>
      <c r="H305" t="s">
        <v>15</v>
      </c>
      <c r="I305" s="1">
        <v>1</v>
      </c>
      <c r="J305" s="2">
        <v>301.72000000000003</v>
      </c>
    </row>
    <row r="306" spans="2:10" hidden="1" x14ac:dyDescent="0.2">
      <c r="B306" t="s">
        <v>261</v>
      </c>
      <c r="C306" t="s">
        <v>166</v>
      </c>
      <c r="D306" t="s">
        <v>262</v>
      </c>
      <c r="E306" t="s">
        <v>36</v>
      </c>
      <c r="F306" t="s">
        <v>37</v>
      </c>
      <c r="G306" t="s">
        <v>1034</v>
      </c>
      <c r="H306" t="s">
        <v>15</v>
      </c>
      <c r="I306" s="1">
        <v>2</v>
      </c>
      <c r="J306" s="2">
        <v>603.44000000000005</v>
      </c>
    </row>
    <row r="307" spans="2:10" hidden="1" x14ac:dyDescent="0.2">
      <c r="B307" t="s">
        <v>261</v>
      </c>
      <c r="C307" t="s">
        <v>166</v>
      </c>
      <c r="D307" t="s">
        <v>262</v>
      </c>
      <c r="E307" t="s">
        <v>72</v>
      </c>
      <c r="F307" t="s">
        <v>73</v>
      </c>
      <c r="G307" t="s">
        <v>1034</v>
      </c>
      <c r="H307" t="s">
        <v>15</v>
      </c>
      <c r="I307" s="1">
        <v>3</v>
      </c>
      <c r="J307" s="2">
        <v>2327.58</v>
      </c>
    </row>
    <row r="308" spans="2:10" hidden="1" x14ac:dyDescent="0.2">
      <c r="B308" t="s">
        <v>261</v>
      </c>
      <c r="C308" t="s">
        <v>166</v>
      </c>
      <c r="D308" t="s">
        <v>262</v>
      </c>
      <c r="E308" t="s">
        <v>61</v>
      </c>
      <c r="F308" t="s">
        <v>62</v>
      </c>
      <c r="G308" t="s">
        <v>1034</v>
      </c>
      <c r="H308" t="s">
        <v>15</v>
      </c>
      <c r="I308" s="1">
        <v>1</v>
      </c>
      <c r="J308" s="2">
        <v>172.41</v>
      </c>
    </row>
    <row r="309" spans="2:10" hidden="1" x14ac:dyDescent="0.2">
      <c r="B309" t="s">
        <v>261</v>
      </c>
      <c r="C309" t="s">
        <v>166</v>
      </c>
      <c r="D309" t="s">
        <v>262</v>
      </c>
      <c r="E309" t="s">
        <v>16</v>
      </c>
      <c r="F309" t="s">
        <v>17</v>
      </c>
      <c r="G309" t="s">
        <v>1034</v>
      </c>
      <c r="H309" t="s">
        <v>15</v>
      </c>
      <c r="I309" s="1">
        <v>5</v>
      </c>
      <c r="J309" s="2">
        <v>2887.95</v>
      </c>
    </row>
    <row r="310" spans="2:10" hidden="1" x14ac:dyDescent="0.2">
      <c r="B310" t="s">
        <v>261</v>
      </c>
      <c r="C310" t="s">
        <v>166</v>
      </c>
      <c r="D310" t="s">
        <v>262</v>
      </c>
      <c r="E310" t="s">
        <v>28</v>
      </c>
      <c r="F310" t="s">
        <v>29</v>
      </c>
      <c r="G310" t="s">
        <v>1033</v>
      </c>
      <c r="H310" t="s">
        <v>30</v>
      </c>
      <c r="I310" s="1">
        <v>2</v>
      </c>
      <c r="J310" s="2">
        <v>310.33999999999997</v>
      </c>
    </row>
    <row r="311" spans="2:10" hidden="1" x14ac:dyDescent="0.2">
      <c r="B311" t="s">
        <v>261</v>
      </c>
      <c r="C311" t="s">
        <v>185</v>
      </c>
      <c r="D311" t="s">
        <v>262</v>
      </c>
      <c r="E311" t="s">
        <v>328</v>
      </c>
      <c r="F311" t="s">
        <v>329</v>
      </c>
      <c r="G311" t="s">
        <v>1033</v>
      </c>
      <c r="H311" t="s">
        <v>30</v>
      </c>
      <c r="I311" s="1">
        <v>1</v>
      </c>
      <c r="J311" s="2">
        <v>172.41</v>
      </c>
    </row>
    <row r="312" spans="2:10" hidden="1" x14ac:dyDescent="0.2">
      <c r="B312" t="s">
        <v>261</v>
      </c>
      <c r="C312" t="s">
        <v>185</v>
      </c>
      <c r="D312" t="s">
        <v>262</v>
      </c>
      <c r="E312" t="s">
        <v>120</v>
      </c>
      <c r="F312" t="s">
        <v>121</v>
      </c>
      <c r="G312" t="s">
        <v>1034</v>
      </c>
      <c r="H312" t="s">
        <v>15</v>
      </c>
      <c r="I312" s="1">
        <v>1</v>
      </c>
      <c r="J312" s="2">
        <v>301.72000000000003</v>
      </c>
    </row>
    <row r="313" spans="2:10" hidden="1" x14ac:dyDescent="0.2">
      <c r="B313" t="s">
        <v>261</v>
      </c>
      <c r="C313" t="s">
        <v>185</v>
      </c>
      <c r="D313" t="s">
        <v>262</v>
      </c>
      <c r="E313" t="s">
        <v>72</v>
      </c>
      <c r="F313" t="s">
        <v>73</v>
      </c>
      <c r="G313" t="s">
        <v>1034</v>
      </c>
      <c r="H313" t="s">
        <v>15</v>
      </c>
      <c r="I313" s="1">
        <v>1</v>
      </c>
      <c r="J313" s="2">
        <v>775.86</v>
      </c>
    </row>
    <row r="314" spans="2:10" hidden="1" x14ac:dyDescent="0.2">
      <c r="B314" t="s">
        <v>261</v>
      </c>
      <c r="C314" t="s">
        <v>185</v>
      </c>
      <c r="D314" t="s">
        <v>262</v>
      </c>
      <c r="E314" t="s">
        <v>330</v>
      </c>
      <c r="F314" t="s">
        <v>331</v>
      </c>
      <c r="G314" t="s">
        <v>43</v>
      </c>
      <c r="H314" t="s">
        <v>332</v>
      </c>
      <c r="I314" s="1">
        <v>1</v>
      </c>
      <c r="J314" s="2">
        <v>146.55000000000001</v>
      </c>
    </row>
    <row r="315" spans="2:10" hidden="1" x14ac:dyDescent="0.2">
      <c r="B315" t="s">
        <v>261</v>
      </c>
      <c r="C315" t="s">
        <v>185</v>
      </c>
      <c r="D315" t="s">
        <v>262</v>
      </c>
      <c r="E315" t="s">
        <v>304</v>
      </c>
      <c r="F315" t="s">
        <v>305</v>
      </c>
      <c r="G315" t="s">
        <v>76</v>
      </c>
      <c r="H315" t="s">
        <v>60</v>
      </c>
      <c r="I315" s="1">
        <v>1</v>
      </c>
      <c r="J315" s="2">
        <v>344.83</v>
      </c>
    </row>
    <row r="316" spans="2:10" hidden="1" x14ac:dyDescent="0.2">
      <c r="B316" t="s">
        <v>261</v>
      </c>
      <c r="C316" t="s">
        <v>185</v>
      </c>
      <c r="D316" t="s">
        <v>262</v>
      </c>
      <c r="E316" t="s">
        <v>333</v>
      </c>
      <c r="F316" t="s">
        <v>334</v>
      </c>
      <c r="G316" t="s">
        <v>1033</v>
      </c>
      <c r="H316" t="s">
        <v>30</v>
      </c>
      <c r="I316" s="1">
        <v>1</v>
      </c>
      <c r="J316" s="2">
        <v>2413.79</v>
      </c>
    </row>
    <row r="317" spans="2:10" hidden="1" x14ac:dyDescent="0.2">
      <c r="B317" t="s">
        <v>261</v>
      </c>
      <c r="C317" t="s">
        <v>185</v>
      </c>
      <c r="D317" t="s">
        <v>262</v>
      </c>
      <c r="E317" t="s">
        <v>28</v>
      </c>
      <c r="F317" t="s">
        <v>29</v>
      </c>
      <c r="G317" t="s">
        <v>1033</v>
      </c>
      <c r="H317" t="s">
        <v>30</v>
      </c>
      <c r="I317" s="1">
        <v>1</v>
      </c>
      <c r="J317" s="2">
        <v>155.16999999999999</v>
      </c>
    </row>
    <row r="318" spans="2:10" hidden="1" x14ac:dyDescent="0.2">
      <c r="B318" t="s">
        <v>261</v>
      </c>
      <c r="C318" t="s">
        <v>335</v>
      </c>
      <c r="D318" t="s">
        <v>226</v>
      </c>
      <c r="E318" t="s">
        <v>214</v>
      </c>
      <c r="F318" t="s">
        <v>215</v>
      </c>
      <c r="G318" t="s">
        <v>1034</v>
      </c>
      <c r="H318" t="s">
        <v>15</v>
      </c>
      <c r="I318" s="1">
        <v>1</v>
      </c>
      <c r="J318" s="2">
        <v>301.72000000000003</v>
      </c>
    </row>
    <row r="319" spans="2:10" hidden="1" x14ac:dyDescent="0.2">
      <c r="B319" t="s">
        <v>261</v>
      </c>
      <c r="C319" t="s">
        <v>335</v>
      </c>
      <c r="D319" t="s">
        <v>226</v>
      </c>
      <c r="E319" t="s">
        <v>336</v>
      </c>
      <c r="F319" t="s">
        <v>337</v>
      </c>
      <c r="G319" t="s">
        <v>1034</v>
      </c>
      <c r="H319" t="s">
        <v>15</v>
      </c>
      <c r="I319" s="1">
        <v>1</v>
      </c>
      <c r="J319" s="2">
        <v>387.93</v>
      </c>
    </row>
    <row r="320" spans="2:10" hidden="1" x14ac:dyDescent="0.2">
      <c r="B320" t="s">
        <v>261</v>
      </c>
      <c r="C320" t="s">
        <v>186</v>
      </c>
      <c r="D320" t="s">
        <v>262</v>
      </c>
      <c r="E320" t="s">
        <v>149</v>
      </c>
      <c r="F320" t="s">
        <v>150</v>
      </c>
      <c r="G320" t="s">
        <v>43</v>
      </c>
      <c r="H320" t="s">
        <v>50</v>
      </c>
      <c r="I320" s="1">
        <v>1</v>
      </c>
      <c r="J320" s="2">
        <v>3017.24</v>
      </c>
    </row>
    <row r="321" spans="2:10" hidden="1" x14ac:dyDescent="0.2">
      <c r="B321" t="s">
        <v>261</v>
      </c>
      <c r="C321" t="s">
        <v>186</v>
      </c>
      <c r="D321" t="s">
        <v>262</v>
      </c>
      <c r="E321" t="s">
        <v>214</v>
      </c>
      <c r="F321" t="s">
        <v>215</v>
      </c>
      <c r="G321" t="s">
        <v>1034</v>
      </c>
      <c r="H321" t="s">
        <v>15</v>
      </c>
      <c r="I321" s="1">
        <v>2</v>
      </c>
      <c r="J321" s="2">
        <v>603.44000000000005</v>
      </c>
    </row>
    <row r="322" spans="2:10" hidden="1" x14ac:dyDescent="0.2">
      <c r="B322" t="s">
        <v>261</v>
      </c>
      <c r="C322" t="s">
        <v>186</v>
      </c>
      <c r="D322" t="s">
        <v>262</v>
      </c>
      <c r="E322" t="s">
        <v>36</v>
      </c>
      <c r="F322" t="s">
        <v>37</v>
      </c>
      <c r="G322" t="s">
        <v>1034</v>
      </c>
      <c r="H322" t="s">
        <v>15</v>
      </c>
      <c r="I322" s="1">
        <v>1</v>
      </c>
      <c r="J322" s="2">
        <v>301.72000000000003</v>
      </c>
    </row>
    <row r="323" spans="2:10" hidden="1" x14ac:dyDescent="0.2">
      <c r="B323" t="s">
        <v>261</v>
      </c>
      <c r="C323" t="s">
        <v>186</v>
      </c>
      <c r="D323" t="s">
        <v>262</v>
      </c>
      <c r="E323" t="s">
        <v>48</v>
      </c>
      <c r="F323" t="s">
        <v>49</v>
      </c>
      <c r="G323" t="s">
        <v>43</v>
      </c>
      <c r="H323" t="s">
        <v>50</v>
      </c>
      <c r="I323" s="1">
        <v>1</v>
      </c>
      <c r="J323" s="2">
        <v>1318.97</v>
      </c>
    </row>
    <row r="324" spans="2:10" hidden="1" x14ac:dyDescent="0.2">
      <c r="B324" t="s">
        <v>261</v>
      </c>
      <c r="C324" t="s">
        <v>186</v>
      </c>
      <c r="D324" t="s">
        <v>262</v>
      </c>
      <c r="E324" t="s">
        <v>16</v>
      </c>
      <c r="F324" t="s">
        <v>17</v>
      </c>
      <c r="G324" t="s">
        <v>1034</v>
      </c>
      <c r="H324" t="s">
        <v>15</v>
      </c>
      <c r="I324" s="1">
        <v>4</v>
      </c>
      <c r="J324" s="2">
        <v>2310.36</v>
      </c>
    </row>
    <row r="325" spans="2:10" hidden="1" x14ac:dyDescent="0.2">
      <c r="B325" t="s">
        <v>261</v>
      </c>
      <c r="C325" t="s">
        <v>197</v>
      </c>
      <c r="D325" t="s">
        <v>262</v>
      </c>
      <c r="E325" t="s">
        <v>214</v>
      </c>
      <c r="F325" t="s">
        <v>215</v>
      </c>
      <c r="G325" t="s">
        <v>1034</v>
      </c>
      <c r="H325" t="s">
        <v>15</v>
      </c>
      <c r="I325" s="1">
        <v>5</v>
      </c>
      <c r="J325" s="2">
        <v>1508.6000000000001</v>
      </c>
    </row>
    <row r="326" spans="2:10" hidden="1" x14ac:dyDescent="0.2">
      <c r="B326" t="s">
        <v>261</v>
      </c>
      <c r="C326" t="s">
        <v>197</v>
      </c>
      <c r="D326" t="s">
        <v>262</v>
      </c>
      <c r="E326" t="s">
        <v>72</v>
      </c>
      <c r="F326" t="s">
        <v>73</v>
      </c>
      <c r="G326" t="s">
        <v>1034</v>
      </c>
      <c r="H326" t="s">
        <v>15</v>
      </c>
      <c r="I326" s="1">
        <v>1</v>
      </c>
      <c r="J326" s="2">
        <v>775.86</v>
      </c>
    </row>
    <row r="327" spans="2:10" hidden="1" x14ac:dyDescent="0.2">
      <c r="B327" t="s">
        <v>261</v>
      </c>
      <c r="C327" t="s">
        <v>197</v>
      </c>
      <c r="D327" t="s">
        <v>262</v>
      </c>
      <c r="E327" t="s">
        <v>257</v>
      </c>
      <c r="F327" t="s">
        <v>258</v>
      </c>
      <c r="G327" t="s">
        <v>1033</v>
      </c>
      <c r="H327" t="s">
        <v>30</v>
      </c>
      <c r="I327" s="1">
        <v>1</v>
      </c>
      <c r="J327" s="2">
        <v>1577.59</v>
      </c>
    </row>
    <row r="328" spans="2:10" hidden="1" x14ac:dyDescent="0.2">
      <c r="B328" t="s">
        <v>261</v>
      </c>
      <c r="C328" t="s">
        <v>197</v>
      </c>
      <c r="D328" t="s">
        <v>262</v>
      </c>
      <c r="E328" t="s">
        <v>16</v>
      </c>
      <c r="F328" t="s">
        <v>17</v>
      </c>
      <c r="G328" t="s">
        <v>1034</v>
      </c>
      <c r="H328" t="s">
        <v>15</v>
      </c>
      <c r="I328" s="1">
        <v>1</v>
      </c>
      <c r="J328" s="2">
        <v>577.59</v>
      </c>
    </row>
    <row r="329" spans="2:10" hidden="1" x14ac:dyDescent="0.2">
      <c r="B329" t="s">
        <v>261</v>
      </c>
      <c r="C329" t="s">
        <v>206</v>
      </c>
      <c r="D329" t="s">
        <v>262</v>
      </c>
      <c r="E329" t="s">
        <v>19</v>
      </c>
      <c r="F329" t="s">
        <v>20</v>
      </c>
      <c r="G329" t="s">
        <v>14</v>
      </c>
      <c r="H329" t="s">
        <v>21</v>
      </c>
      <c r="I329" s="1">
        <v>1</v>
      </c>
      <c r="J329" s="2">
        <v>431.04</v>
      </c>
    </row>
    <row r="330" spans="2:10" hidden="1" x14ac:dyDescent="0.2">
      <c r="B330" t="s">
        <v>261</v>
      </c>
      <c r="C330" t="s">
        <v>206</v>
      </c>
      <c r="D330" t="s">
        <v>262</v>
      </c>
      <c r="E330" t="s">
        <v>173</v>
      </c>
      <c r="F330" t="s">
        <v>174</v>
      </c>
      <c r="G330" t="s">
        <v>14</v>
      </c>
      <c r="H330" t="s">
        <v>35</v>
      </c>
      <c r="I330" s="1">
        <v>2</v>
      </c>
      <c r="J330" s="2">
        <v>120.68</v>
      </c>
    </row>
    <row r="331" spans="2:10" hidden="1" x14ac:dyDescent="0.2">
      <c r="B331" t="s">
        <v>261</v>
      </c>
      <c r="C331" t="s">
        <v>206</v>
      </c>
      <c r="D331" t="s">
        <v>262</v>
      </c>
      <c r="E331" t="s">
        <v>338</v>
      </c>
      <c r="F331" t="s">
        <v>339</v>
      </c>
      <c r="G331" t="s">
        <v>1033</v>
      </c>
      <c r="H331" t="s">
        <v>30</v>
      </c>
      <c r="I331" s="1">
        <v>1</v>
      </c>
      <c r="J331" s="2">
        <v>1525.86</v>
      </c>
    </row>
    <row r="332" spans="2:10" hidden="1" x14ac:dyDescent="0.2">
      <c r="B332" t="s">
        <v>261</v>
      </c>
      <c r="C332" t="s">
        <v>206</v>
      </c>
      <c r="D332" t="s">
        <v>262</v>
      </c>
      <c r="E332" t="s">
        <v>201</v>
      </c>
      <c r="F332" t="s">
        <v>202</v>
      </c>
      <c r="G332" t="s">
        <v>1033</v>
      </c>
      <c r="H332" t="s">
        <v>30</v>
      </c>
      <c r="I332" s="1">
        <v>1</v>
      </c>
      <c r="J332" s="2">
        <v>948.28</v>
      </c>
    </row>
    <row r="333" spans="2:10" hidden="1" x14ac:dyDescent="0.2">
      <c r="B333" t="s">
        <v>261</v>
      </c>
      <c r="C333" t="s">
        <v>206</v>
      </c>
      <c r="D333" t="s">
        <v>262</v>
      </c>
      <c r="E333" t="s">
        <v>340</v>
      </c>
      <c r="F333" t="s">
        <v>341</v>
      </c>
      <c r="G333" t="s">
        <v>43</v>
      </c>
      <c r="H333" t="s">
        <v>50</v>
      </c>
      <c r="I333" s="1">
        <v>1</v>
      </c>
      <c r="J333" s="2">
        <v>5603.45</v>
      </c>
    </row>
    <row r="334" spans="2:10" hidden="1" x14ac:dyDescent="0.2">
      <c r="B334" t="s">
        <v>261</v>
      </c>
      <c r="C334" t="s">
        <v>206</v>
      </c>
      <c r="D334" t="s">
        <v>262</v>
      </c>
      <c r="E334" t="s">
        <v>120</v>
      </c>
      <c r="F334" t="s">
        <v>121</v>
      </c>
      <c r="G334" t="s">
        <v>1034</v>
      </c>
      <c r="H334" t="s">
        <v>15</v>
      </c>
      <c r="I334" s="1">
        <v>3</v>
      </c>
      <c r="J334" s="2">
        <v>905.16000000000008</v>
      </c>
    </row>
    <row r="335" spans="2:10" hidden="1" x14ac:dyDescent="0.2">
      <c r="B335" t="s">
        <v>261</v>
      </c>
      <c r="C335" t="s">
        <v>206</v>
      </c>
      <c r="D335" t="s">
        <v>262</v>
      </c>
      <c r="E335" t="s">
        <v>72</v>
      </c>
      <c r="F335" t="s">
        <v>73</v>
      </c>
      <c r="G335" t="s">
        <v>1034</v>
      </c>
      <c r="H335" t="s">
        <v>15</v>
      </c>
      <c r="I335" s="1">
        <v>3</v>
      </c>
      <c r="J335" s="2">
        <v>2327.58</v>
      </c>
    </row>
    <row r="336" spans="2:10" hidden="1" x14ac:dyDescent="0.2">
      <c r="B336" t="s">
        <v>261</v>
      </c>
      <c r="C336" t="s">
        <v>206</v>
      </c>
      <c r="D336" t="s">
        <v>262</v>
      </c>
      <c r="E336" t="s">
        <v>342</v>
      </c>
      <c r="F336" t="s">
        <v>343</v>
      </c>
      <c r="G336" t="s">
        <v>1033</v>
      </c>
      <c r="H336" t="s">
        <v>30</v>
      </c>
      <c r="I336" s="1">
        <v>1</v>
      </c>
      <c r="J336" s="2">
        <v>1681.03</v>
      </c>
    </row>
    <row r="337" spans="2:10" hidden="1" x14ac:dyDescent="0.2">
      <c r="B337" t="s">
        <v>261</v>
      </c>
      <c r="C337" t="s">
        <v>206</v>
      </c>
      <c r="D337" t="s">
        <v>262</v>
      </c>
      <c r="E337" t="s">
        <v>16</v>
      </c>
      <c r="F337" t="s">
        <v>17</v>
      </c>
      <c r="G337" t="s">
        <v>1034</v>
      </c>
      <c r="H337" t="s">
        <v>15</v>
      </c>
      <c r="I337" s="1">
        <v>1</v>
      </c>
      <c r="J337" s="2">
        <v>577.59</v>
      </c>
    </row>
    <row r="338" spans="2:10" hidden="1" x14ac:dyDescent="0.2">
      <c r="B338" t="s">
        <v>261</v>
      </c>
      <c r="C338" t="s">
        <v>206</v>
      </c>
      <c r="D338" t="s">
        <v>262</v>
      </c>
      <c r="E338" t="s">
        <v>193</v>
      </c>
      <c r="F338" t="s">
        <v>194</v>
      </c>
      <c r="G338" t="s">
        <v>1034</v>
      </c>
      <c r="H338" t="s">
        <v>15</v>
      </c>
      <c r="I338" s="1">
        <v>1</v>
      </c>
      <c r="J338" s="2">
        <v>1293.0999999999999</v>
      </c>
    </row>
    <row r="339" spans="2:10" hidden="1" x14ac:dyDescent="0.2">
      <c r="B339" t="s">
        <v>261</v>
      </c>
      <c r="C339" t="s">
        <v>206</v>
      </c>
      <c r="D339" t="s">
        <v>262</v>
      </c>
      <c r="E339" t="s">
        <v>344</v>
      </c>
      <c r="F339" t="s">
        <v>345</v>
      </c>
      <c r="G339" t="s">
        <v>1033</v>
      </c>
      <c r="H339" t="s">
        <v>30</v>
      </c>
      <c r="I339" s="1">
        <v>1</v>
      </c>
      <c r="J339" s="2">
        <v>2163.79</v>
      </c>
    </row>
    <row r="340" spans="2:10" hidden="1" x14ac:dyDescent="0.2">
      <c r="B340" t="s">
        <v>261</v>
      </c>
      <c r="C340" t="s">
        <v>220</v>
      </c>
      <c r="D340" t="s">
        <v>262</v>
      </c>
      <c r="E340" t="s">
        <v>19</v>
      </c>
      <c r="F340" t="s">
        <v>20</v>
      </c>
      <c r="G340" t="s">
        <v>14</v>
      </c>
      <c r="H340" t="s">
        <v>21</v>
      </c>
      <c r="I340" s="1">
        <v>1</v>
      </c>
      <c r="J340" s="2">
        <v>431.04</v>
      </c>
    </row>
    <row r="341" spans="2:10" hidden="1" x14ac:dyDescent="0.2">
      <c r="B341" t="s">
        <v>261</v>
      </c>
      <c r="C341" t="s">
        <v>220</v>
      </c>
      <c r="D341" t="s">
        <v>262</v>
      </c>
      <c r="E341" t="s">
        <v>72</v>
      </c>
      <c r="F341" t="s">
        <v>73</v>
      </c>
      <c r="G341" t="s">
        <v>1034</v>
      </c>
      <c r="H341" t="s">
        <v>15</v>
      </c>
      <c r="I341" s="1">
        <v>1</v>
      </c>
      <c r="J341" s="2">
        <v>775.86</v>
      </c>
    </row>
    <row r="342" spans="2:10" hidden="1" x14ac:dyDescent="0.2">
      <c r="B342" t="s">
        <v>261</v>
      </c>
      <c r="C342" t="s">
        <v>220</v>
      </c>
      <c r="D342" t="s">
        <v>262</v>
      </c>
      <c r="E342" t="s">
        <v>63</v>
      </c>
      <c r="F342" t="s">
        <v>64</v>
      </c>
      <c r="G342" t="s">
        <v>1034</v>
      </c>
      <c r="H342" t="s">
        <v>15</v>
      </c>
      <c r="I342" s="1">
        <v>2</v>
      </c>
      <c r="J342" s="2">
        <v>344.82</v>
      </c>
    </row>
    <row r="343" spans="2:10" hidden="1" x14ac:dyDescent="0.2">
      <c r="B343" t="s">
        <v>261</v>
      </c>
      <c r="C343" t="s">
        <v>220</v>
      </c>
      <c r="D343" t="s">
        <v>262</v>
      </c>
      <c r="E343" t="s">
        <v>16</v>
      </c>
      <c r="F343" t="s">
        <v>17</v>
      </c>
      <c r="G343" t="s">
        <v>1034</v>
      </c>
      <c r="H343" t="s">
        <v>15</v>
      </c>
      <c r="I343" s="1">
        <v>1</v>
      </c>
      <c r="J343" s="2">
        <v>577.59</v>
      </c>
    </row>
    <row r="344" spans="2:10" hidden="1" x14ac:dyDescent="0.2">
      <c r="B344" t="s">
        <v>261</v>
      </c>
      <c r="C344" t="s">
        <v>220</v>
      </c>
      <c r="D344" t="s">
        <v>262</v>
      </c>
      <c r="E344" t="s">
        <v>346</v>
      </c>
      <c r="F344" t="s">
        <v>347</v>
      </c>
      <c r="G344" t="s">
        <v>1033</v>
      </c>
      <c r="H344" t="s">
        <v>30</v>
      </c>
      <c r="I344" s="1">
        <v>1</v>
      </c>
      <c r="J344" s="2">
        <v>2413.79</v>
      </c>
    </row>
    <row r="345" spans="2:10" hidden="1" x14ac:dyDescent="0.2">
      <c r="B345" t="s">
        <v>261</v>
      </c>
      <c r="C345" t="s">
        <v>220</v>
      </c>
      <c r="D345" t="s">
        <v>262</v>
      </c>
      <c r="E345" t="s">
        <v>333</v>
      </c>
      <c r="F345" t="s">
        <v>334</v>
      </c>
      <c r="G345" t="s">
        <v>1033</v>
      </c>
      <c r="H345" t="s">
        <v>30</v>
      </c>
      <c r="I345" s="1">
        <v>1</v>
      </c>
      <c r="J345" s="2">
        <v>2413.79</v>
      </c>
    </row>
    <row r="346" spans="2:10" hidden="1" x14ac:dyDescent="0.2">
      <c r="B346" t="s">
        <v>261</v>
      </c>
      <c r="C346" t="s">
        <v>225</v>
      </c>
      <c r="D346" t="s">
        <v>262</v>
      </c>
      <c r="E346" t="s">
        <v>46</v>
      </c>
      <c r="F346" t="s">
        <v>47</v>
      </c>
      <c r="G346" t="s">
        <v>1034</v>
      </c>
      <c r="H346" t="s">
        <v>15</v>
      </c>
      <c r="I346" s="1">
        <v>1</v>
      </c>
      <c r="J346" s="2">
        <v>301.72000000000003</v>
      </c>
    </row>
    <row r="347" spans="2:10" hidden="1" x14ac:dyDescent="0.2">
      <c r="B347" t="s">
        <v>261</v>
      </c>
      <c r="C347" t="s">
        <v>225</v>
      </c>
      <c r="D347" t="s">
        <v>262</v>
      </c>
      <c r="E347" t="s">
        <v>214</v>
      </c>
      <c r="F347" t="s">
        <v>215</v>
      </c>
      <c r="G347" t="s">
        <v>1034</v>
      </c>
      <c r="H347" t="s">
        <v>15</v>
      </c>
      <c r="I347" s="1">
        <v>1</v>
      </c>
      <c r="J347" s="2">
        <v>301.72000000000003</v>
      </c>
    </row>
    <row r="348" spans="2:10" hidden="1" x14ac:dyDescent="0.2">
      <c r="B348" t="s">
        <v>261</v>
      </c>
      <c r="C348" t="s">
        <v>225</v>
      </c>
      <c r="D348" t="s">
        <v>262</v>
      </c>
      <c r="E348" t="s">
        <v>38</v>
      </c>
      <c r="F348" t="s">
        <v>39</v>
      </c>
      <c r="G348" t="s">
        <v>1034</v>
      </c>
      <c r="H348" t="s">
        <v>15</v>
      </c>
      <c r="I348" s="1">
        <v>1</v>
      </c>
      <c r="J348" s="2">
        <v>431.03</v>
      </c>
    </row>
    <row r="349" spans="2:10" hidden="1" x14ac:dyDescent="0.2">
      <c r="B349" t="s">
        <v>261</v>
      </c>
      <c r="C349" t="s">
        <v>225</v>
      </c>
      <c r="D349" t="s">
        <v>262</v>
      </c>
      <c r="E349" t="s">
        <v>61</v>
      </c>
      <c r="F349" t="s">
        <v>62</v>
      </c>
      <c r="G349" t="s">
        <v>1034</v>
      </c>
      <c r="H349" t="s">
        <v>15</v>
      </c>
      <c r="I349" s="1">
        <v>1</v>
      </c>
      <c r="J349" s="2">
        <v>172.41</v>
      </c>
    </row>
    <row r="350" spans="2:10" hidden="1" x14ac:dyDescent="0.2">
      <c r="B350" t="s">
        <v>261</v>
      </c>
      <c r="C350" t="s">
        <v>225</v>
      </c>
      <c r="D350" t="s">
        <v>262</v>
      </c>
      <c r="E350" t="s">
        <v>63</v>
      </c>
      <c r="F350" t="s">
        <v>64</v>
      </c>
      <c r="G350" t="s">
        <v>1034</v>
      </c>
      <c r="H350" t="s">
        <v>15</v>
      </c>
      <c r="I350" s="1">
        <v>1</v>
      </c>
      <c r="J350" s="2">
        <v>172.41</v>
      </c>
    </row>
    <row r="351" spans="2:10" hidden="1" x14ac:dyDescent="0.2">
      <c r="B351" t="s">
        <v>261</v>
      </c>
      <c r="C351" t="s">
        <v>225</v>
      </c>
      <c r="D351" t="s">
        <v>262</v>
      </c>
      <c r="E351" t="s">
        <v>16</v>
      </c>
      <c r="F351" t="s">
        <v>17</v>
      </c>
      <c r="G351" t="s">
        <v>1034</v>
      </c>
      <c r="H351" t="s">
        <v>15</v>
      </c>
      <c r="I351" s="1">
        <v>1</v>
      </c>
      <c r="J351" s="2">
        <v>577.59</v>
      </c>
    </row>
    <row r="352" spans="2:10" hidden="1" x14ac:dyDescent="0.2">
      <c r="B352" t="s">
        <v>261</v>
      </c>
      <c r="C352" t="s">
        <v>225</v>
      </c>
      <c r="D352" t="s">
        <v>262</v>
      </c>
      <c r="E352" t="s">
        <v>348</v>
      </c>
      <c r="F352" t="s">
        <v>349</v>
      </c>
      <c r="G352" t="s">
        <v>1034</v>
      </c>
      <c r="H352" t="s">
        <v>15</v>
      </c>
      <c r="I352" s="1">
        <v>1</v>
      </c>
      <c r="J352" s="2">
        <v>241.38</v>
      </c>
    </row>
    <row r="353" spans="2:10" x14ac:dyDescent="0.2">
      <c r="B353" t="s">
        <v>261</v>
      </c>
      <c r="C353" t="s">
        <v>227</v>
      </c>
      <c r="D353" t="s">
        <v>262</v>
      </c>
      <c r="E353" t="s">
        <v>350</v>
      </c>
      <c r="F353" t="s">
        <v>351</v>
      </c>
      <c r="G353" t="s">
        <v>1033</v>
      </c>
      <c r="H353" t="s">
        <v>30</v>
      </c>
      <c r="I353" s="1">
        <v>1</v>
      </c>
      <c r="J353" s="2">
        <v>818.97</v>
      </c>
    </row>
    <row r="354" spans="2:10" x14ac:dyDescent="0.2">
      <c r="B354" t="s">
        <v>261</v>
      </c>
      <c r="C354" t="s">
        <v>227</v>
      </c>
      <c r="D354" t="s">
        <v>262</v>
      </c>
      <c r="E354" t="s">
        <v>201</v>
      </c>
      <c r="F354" t="s">
        <v>202</v>
      </c>
      <c r="G354" t="s">
        <v>1033</v>
      </c>
      <c r="H354" t="s">
        <v>30</v>
      </c>
      <c r="I354" s="1">
        <v>1</v>
      </c>
      <c r="J354" s="2">
        <v>948.28</v>
      </c>
    </row>
    <row r="355" spans="2:10" x14ac:dyDescent="0.2">
      <c r="B355" t="s">
        <v>261</v>
      </c>
      <c r="C355" t="s">
        <v>227</v>
      </c>
      <c r="D355" t="s">
        <v>262</v>
      </c>
      <c r="E355" t="s">
        <v>120</v>
      </c>
      <c r="F355" t="s">
        <v>121</v>
      </c>
      <c r="G355" t="s">
        <v>1034</v>
      </c>
      <c r="H355" t="s">
        <v>15</v>
      </c>
      <c r="I355" s="1">
        <v>1</v>
      </c>
      <c r="J355" s="2">
        <v>301.72000000000003</v>
      </c>
    </row>
    <row r="356" spans="2:10" x14ac:dyDescent="0.2">
      <c r="B356" t="s">
        <v>261</v>
      </c>
      <c r="C356" t="s">
        <v>227</v>
      </c>
      <c r="D356" t="s">
        <v>262</v>
      </c>
      <c r="E356" t="s">
        <v>56</v>
      </c>
      <c r="F356" t="s">
        <v>57</v>
      </c>
      <c r="G356" t="s">
        <v>1034</v>
      </c>
      <c r="H356" t="s">
        <v>15</v>
      </c>
      <c r="I356" s="1">
        <v>1</v>
      </c>
      <c r="J356" s="2">
        <v>431.03</v>
      </c>
    </row>
    <row r="357" spans="2:10" x14ac:dyDescent="0.2">
      <c r="B357" t="s">
        <v>261</v>
      </c>
      <c r="C357" t="s">
        <v>227</v>
      </c>
      <c r="D357" t="s">
        <v>262</v>
      </c>
      <c r="E357" t="s">
        <v>16</v>
      </c>
      <c r="F357" t="s">
        <v>17</v>
      </c>
      <c r="G357" t="s">
        <v>1034</v>
      </c>
      <c r="H357" t="s">
        <v>15</v>
      </c>
      <c r="I357" s="1">
        <v>1</v>
      </c>
      <c r="J357" s="2">
        <v>577.59</v>
      </c>
    </row>
    <row r="358" spans="2:10" x14ac:dyDescent="0.2">
      <c r="B358" t="s">
        <v>261</v>
      </c>
      <c r="C358" t="s">
        <v>228</v>
      </c>
      <c r="D358" t="s">
        <v>262</v>
      </c>
      <c r="E358" t="s">
        <v>198</v>
      </c>
      <c r="F358" t="s">
        <v>199</v>
      </c>
      <c r="G358" t="s">
        <v>14</v>
      </c>
      <c r="H358" t="s">
        <v>200</v>
      </c>
      <c r="I358" s="1">
        <v>1</v>
      </c>
      <c r="J358" s="2">
        <v>594.83000000000004</v>
      </c>
    </row>
    <row r="359" spans="2:10" x14ac:dyDescent="0.2">
      <c r="B359" t="s">
        <v>261</v>
      </c>
      <c r="C359" t="s">
        <v>228</v>
      </c>
      <c r="D359" t="s">
        <v>262</v>
      </c>
      <c r="E359" t="s">
        <v>352</v>
      </c>
      <c r="F359" t="s">
        <v>353</v>
      </c>
      <c r="G359" t="s">
        <v>1033</v>
      </c>
      <c r="H359" t="s">
        <v>30</v>
      </c>
      <c r="I359" s="1">
        <v>1</v>
      </c>
      <c r="J359" s="2">
        <v>1422.41</v>
      </c>
    </row>
    <row r="360" spans="2:10" x14ac:dyDescent="0.2">
      <c r="B360" t="s">
        <v>261</v>
      </c>
      <c r="C360" t="s">
        <v>228</v>
      </c>
      <c r="D360" t="s">
        <v>262</v>
      </c>
      <c r="E360" t="s">
        <v>354</v>
      </c>
      <c r="F360" t="s">
        <v>355</v>
      </c>
      <c r="G360" t="s">
        <v>1033</v>
      </c>
      <c r="H360" t="s">
        <v>30</v>
      </c>
      <c r="I360" s="1">
        <v>1</v>
      </c>
      <c r="J360" s="2">
        <v>2543.1</v>
      </c>
    </row>
    <row r="361" spans="2:10" x14ac:dyDescent="0.2">
      <c r="B361" t="s">
        <v>261</v>
      </c>
      <c r="C361" t="s">
        <v>228</v>
      </c>
      <c r="D361" t="s">
        <v>262</v>
      </c>
      <c r="E361" t="s">
        <v>38</v>
      </c>
      <c r="F361" t="s">
        <v>39</v>
      </c>
      <c r="G361" t="s">
        <v>1034</v>
      </c>
      <c r="H361" t="s">
        <v>15</v>
      </c>
      <c r="I361" s="1">
        <v>1</v>
      </c>
      <c r="J361" s="2">
        <v>431.03</v>
      </c>
    </row>
    <row r="362" spans="2:10" x14ac:dyDescent="0.2">
      <c r="B362" t="s">
        <v>261</v>
      </c>
      <c r="C362" t="s">
        <v>228</v>
      </c>
      <c r="D362" t="s">
        <v>262</v>
      </c>
      <c r="E362" t="s">
        <v>56</v>
      </c>
      <c r="F362" t="s">
        <v>57</v>
      </c>
      <c r="G362" t="s">
        <v>1034</v>
      </c>
      <c r="H362" t="s">
        <v>15</v>
      </c>
      <c r="I362" s="1">
        <v>3</v>
      </c>
      <c r="J362" s="2">
        <v>1293.0999999999999</v>
      </c>
    </row>
    <row r="363" spans="2:10" x14ac:dyDescent="0.2">
      <c r="B363" t="s">
        <v>261</v>
      </c>
      <c r="C363" t="s">
        <v>228</v>
      </c>
      <c r="D363" t="s">
        <v>262</v>
      </c>
      <c r="E363" t="s">
        <v>16</v>
      </c>
      <c r="F363" t="s">
        <v>17</v>
      </c>
      <c r="G363" t="s">
        <v>1034</v>
      </c>
      <c r="H363" t="s">
        <v>15</v>
      </c>
      <c r="I363" s="1">
        <v>3</v>
      </c>
      <c r="J363" s="2">
        <v>1732.77</v>
      </c>
    </row>
    <row r="364" spans="2:10" x14ac:dyDescent="0.2">
      <c r="B364" t="s">
        <v>261</v>
      </c>
      <c r="C364" t="s">
        <v>228</v>
      </c>
      <c r="D364" t="s">
        <v>262</v>
      </c>
      <c r="E364" t="s">
        <v>110</v>
      </c>
      <c r="F364" t="s">
        <v>111</v>
      </c>
      <c r="G364" t="s">
        <v>14</v>
      </c>
      <c r="H364" t="s">
        <v>112</v>
      </c>
      <c r="I364" s="1">
        <v>1</v>
      </c>
      <c r="J364" s="2">
        <v>301.72000000000003</v>
      </c>
    </row>
    <row r="365" spans="2:10" x14ac:dyDescent="0.2">
      <c r="B365" t="s">
        <v>261</v>
      </c>
      <c r="C365" t="s">
        <v>233</v>
      </c>
      <c r="D365" t="s">
        <v>262</v>
      </c>
      <c r="E365" t="s">
        <v>19</v>
      </c>
      <c r="F365" t="s">
        <v>20</v>
      </c>
      <c r="G365" t="s">
        <v>14</v>
      </c>
      <c r="H365" t="s">
        <v>21</v>
      </c>
      <c r="I365" s="1">
        <v>1</v>
      </c>
      <c r="J365" s="2">
        <v>431.04</v>
      </c>
    </row>
    <row r="366" spans="2:10" x14ac:dyDescent="0.2">
      <c r="B366" t="s">
        <v>261</v>
      </c>
      <c r="C366" t="s">
        <v>233</v>
      </c>
      <c r="D366" t="s">
        <v>262</v>
      </c>
      <c r="E366" t="s">
        <v>356</v>
      </c>
      <c r="F366" t="s">
        <v>357</v>
      </c>
      <c r="G366" t="s">
        <v>1033</v>
      </c>
      <c r="H366" t="s">
        <v>30</v>
      </c>
      <c r="I366" s="1">
        <v>1</v>
      </c>
      <c r="J366" s="2">
        <v>2198.2800000000002</v>
      </c>
    </row>
    <row r="367" spans="2:10" x14ac:dyDescent="0.2">
      <c r="B367" t="s">
        <v>261</v>
      </c>
      <c r="C367" t="s">
        <v>233</v>
      </c>
      <c r="D367" t="s">
        <v>262</v>
      </c>
      <c r="E367" t="s">
        <v>358</v>
      </c>
      <c r="F367" t="s">
        <v>359</v>
      </c>
      <c r="G367" t="s">
        <v>1033</v>
      </c>
      <c r="H367" t="s">
        <v>30</v>
      </c>
      <c r="I367" s="1">
        <v>1</v>
      </c>
      <c r="J367" s="2">
        <v>1500</v>
      </c>
    </row>
    <row r="368" spans="2:10" x14ac:dyDescent="0.2">
      <c r="B368" t="s">
        <v>261</v>
      </c>
      <c r="C368" t="s">
        <v>233</v>
      </c>
      <c r="D368" t="s">
        <v>262</v>
      </c>
      <c r="E368" t="s">
        <v>120</v>
      </c>
      <c r="F368" t="s">
        <v>121</v>
      </c>
      <c r="G368" t="s">
        <v>1034</v>
      </c>
      <c r="H368" t="s">
        <v>15</v>
      </c>
      <c r="I368" s="1">
        <v>1</v>
      </c>
      <c r="J368" s="2">
        <v>301.72000000000003</v>
      </c>
    </row>
    <row r="369" spans="2:10" x14ac:dyDescent="0.2">
      <c r="B369" t="s">
        <v>261</v>
      </c>
      <c r="C369" t="s">
        <v>233</v>
      </c>
      <c r="D369" t="s">
        <v>262</v>
      </c>
      <c r="E369" t="s">
        <v>214</v>
      </c>
      <c r="F369" t="s">
        <v>215</v>
      </c>
      <c r="G369" t="s">
        <v>1034</v>
      </c>
      <c r="H369" t="s">
        <v>15</v>
      </c>
      <c r="I369" s="1">
        <v>1</v>
      </c>
      <c r="J369" s="2">
        <v>301.72000000000003</v>
      </c>
    </row>
    <row r="370" spans="2:10" x14ac:dyDescent="0.2">
      <c r="B370" t="s">
        <v>261</v>
      </c>
      <c r="C370" t="s">
        <v>233</v>
      </c>
      <c r="D370" t="s">
        <v>262</v>
      </c>
      <c r="E370" t="s">
        <v>267</v>
      </c>
      <c r="F370" t="s">
        <v>268</v>
      </c>
      <c r="G370" t="s">
        <v>1034</v>
      </c>
      <c r="H370" t="s">
        <v>15</v>
      </c>
      <c r="I370" s="1">
        <v>1</v>
      </c>
      <c r="J370" s="2">
        <v>258.62</v>
      </c>
    </row>
    <row r="371" spans="2:10" x14ac:dyDescent="0.2">
      <c r="B371" t="s">
        <v>261</v>
      </c>
      <c r="C371" t="s">
        <v>233</v>
      </c>
      <c r="D371" t="s">
        <v>262</v>
      </c>
      <c r="E371" t="s">
        <v>72</v>
      </c>
      <c r="F371" t="s">
        <v>73</v>
      </c>
      <c r="G371" t="s">
        <v>1034</v>
      </c>
      <c r="H371" t="s">
        <v>15</v>
      </c>
      <c r="I371" s="1">
        <v>1</v>
      </c>
      <c r="J371" s="2">
        <v>775.86</v>
      </c>
    </row>
    <row r="372" spans="2:10" x14ac:dyDescent="0.2">
      <c r="B372" t="s">
        <v>261</v>
      </c>
      <c r="C372" t="s">
        <v>233</v>
      </c>
      <c r="D372" t="s">
        <v>262</v>
      </c>
      <c r="E372" t="s">
        <v>360</v>
      </c>
      <c r="F372" t="s">
        <v>361</v>
      </c>
      <c r="G372" t="s">
        <v>43</v>
      </c>
      <c r="H372" t="s">
        <v>332</v>
      </c>
      <c r="I372" s="1">
        <v>1</v>
      </c>
      <c r="J372" s="2">
        <v>137.93</v>
      </c>
    </row>
    <row r="373" spans="2:10" x14ac:dyDescent="0.2">
      <c r="B373" t="s">
        <v>261</v>
      </c>
      <c r="C373" t="s">
        <v>236</v>
      </c>
      <c r="D373" t="s">
        <v>277</v>
      </c>
      <c r="E373" t="s">
        <v>46</v>
      </c>
      <c r="F373" t="s">
        <v>47</v>
      </c>
      <c r="G373" t="s">
        <v>1034</v>
      </c>
      <c r="H373" t="s">
        <v>15</v>
      </c>
      <c r="I373" s="1">
        <v>1</v>
      </c>
      <c r="J373" s="2">
        <v>301.72000000000003</v>
      </c>
    </row>
    <row r="374" spans="2:10" x14ac:dyDescent="0.2">
      <c r="B374" t="s">
        <v>261</v>
      </c>
      <c r="C374" t="s">
        <v>236</v>
      </c>
      <c r="D374" t="s">
        <v>277</v>
      </c>
      <c r="E374" t="s">
        <v>362</v>
      </c>
      <c r="F374" t="s">
        <v>363</v>
      </c>
      <c r="G374" t="s">
        <v>1033</v>
      </c>
      <c r="H374" t="s">
        <v>30</v>
      </c>
      <c r="I374" s="1">
        <v>1</v>
      </c>
      <c r="J374" s="2">
        <v>1810.34</v>
      </c>
    </row>
    <row r="375" spans="2:10" x14ac:dyDescent="0.2">
      <c r="B375" t="s">
        <v>261</v>
      </c>
      <c r="C375" t="s">
        <v>236</v>
      </c>
      <c r="D375" t="s">
        <v>277</v>
      </c>
      <c r="E375" t="s">
        <v>38</v>
      </c>
      <c r="F375" t="s">
        <v>39</v>
      </c>
      <c r="G375" t="s">
        <v>1034</v>
      </c>
      <c r="H375" t="s">
        <v>15</v>
      </c>
      <c r="I375" s="1">
        <v>2</v>
      </c>
      <c r="J375" s="2">
        <v>862.06</v>
      </c>
    </row>
    <row r="376" spans="2:10" x14ac:dyDescent="0.2">
      <c r="B376" t="s">
        <v>261</v>
      </c>
      <c r="C376" t="s">
        <v>236</v>
      </c>
      <c r="D376" t="s">
        <v>277</v>
      </c>
      <c r="E376" t="s">
        <v>61</v>
      </c>
      <c r="F376" t="s">
        <v>62</v>
      </c>
      <c r="G376" t="s">
        <v>1034</v>
      </c>
      <c r="H376" t="s">
        <v>15</v>
      </c>
      <c r="I376" s="1">
        <v>1</v>
      </c>
      <c r="J376" s="2">
        <v>172.41</v>
      </c>
    </row>
    <row r="377" spans="2:10" x14ac:dyDescent="0.2">
      <c r="B377" t="s">
        <v>261</v>
      </c>
      <c r="C377" t="s">
        <v>236</v>
      </c>
      <c r="D377" t="s">
        <v>277</v>
      </c>
      <c r="E377" t="s">
        <v>28</v>
      </c>
      <c r="F377" t="s">
        <v>29</v>
      </c>
      <c r="G377" t="s">
        <v>1033</v>
      </c>
      <c r="H377" t="s">
        <v>30</v>
      </c>
      <c r="I377" s="1">
        <v>1</v>
      </c>
      <c r="J377" s="2">
        <v>155.16999999999999</v>
      </c>
    </row>
    <row r="378" spans="2:10" x14ac:dyDescent="0.2">
      <c r="B378" t="s">
        <v>261</v>
      </c>
      <c r="C378" t="s">
        <v>237</v>
      </c>
      <c r="D378" t="s">
        <v>262</v>
      </c>
      <c r="E378" t="s">
        <v>198</v>
      </c>
      <c r="F378" t="s">
        <v>199</v>
      </c>
      <c r="G378" t="s">
        <v>14</v>
      </c>
      <c r="H378" t="s">
        <v>200</v>
      </c>
      <c r="I378" s="1">
        <v>1</v>
      </c>
      <c r="J378" s="2">
        <v>594.83000000000004</v>
      </c>
    </row>
    <row r="379" spans="2:10" x14ac:dyDescent="0.2">
      <c r="B379" t="s">
        <v>261</v>
      </c>
      <c r="C379" t="s">
        <v>237</v>
      </c>
      <c r="D379" t="s">
        <v>262</v>
      </c>
      <c r="E379" t="s">
        <v>364</v>
      </c>
      <c r="F379" t="s">
        <v>365</v>
      </c>
      <c r="G379" t="s">
        <v>54</v>
      </c>
      <c r="H379" t="s">
        <v>138</v>
      </c>
      <c r="I379" s="1">
        <v>1</v>
      </c>
      <c r="J379" s="2">
        <v>323.27999999999997</v>
      </c>
    </row>
    <row r="380" spans="2:10" x14ac:dyDescent="0.2">
      <c r="B380" t="s">
        <v>261</v>
      </c>
      <c r="C380" t="s">
        <v>237</v>
      </c>
      <c r="D380" t="s">
        <v>262</v>
      </c>
      <c r="E380" t="s">
        <v>19</v>
      </c>
      <c r="F380" t="s">
        <v>20</v>
      </c>
      <c r="G380" t="s">
        <v>14</v>
      </c>
      <c r="H380" t="s">
        <v>21</v>
      </c>
      <c r="I380" s="1">
        <v>1</v>
      </c>
      <c r="J380" s="2">
        <v>431.04</v>
      </c>
    </row>
    <row r="381" spans="2:10" x14ac:dyDescent="0.2">
      <c r="B381" t="s">
        <v>261</v>
      </c>
      <c r="C381" t="s">
        <v>237</v>
      </c>
      <c r="D381" t="s">
        <v>262</v>
      </c>
      <c r="E381" t="s">
        <v>46</v>
      </c>
      <c r="F381" t="s">
        <v>47</v>
      </c>
      <c r="G381" t="s">
        <v>1034</v>
      </c>
      <c r="H381" t="s">
        <v>15</v>
      </c>
      <c r="I381" s="1">
        <v>1</v>
      </c>
      <c r="J381" s="2">
        <v>301.72000000000003</v>
      </c>
    </row>
    <row r="382" spans="2:10" x14ac:dyDescent="0.2">
      <c r="B382" t="s">
        <v>261</v>
      </c>
      <c r="C382" t="s">
        <v>237</v>
      </c>
      <c r="D382" t="s">
        <v>262</v>
      </c>
      <c r="E382" t="s">
        <v>187</v>
      </c>
      <c r="F382" t="s">
        <v>188</v>
      </c>
      <c r="G382" t="s">
        <v>1033</v>
      </c>
      <c r="H382" t="s">
        <v>30</v>
      </c>
      <c r="I382" s="1">
        <v>1</v>
      </c>
      <c r="J382" s="2">
        <v>258.62</v>
      </c>
    </row>
    <row r="383" spans="2:10" x14ac:dyDescent="0.2">
      <c r="B383" t="s">
        <v>261</v>
      </c>
      <c r="C383" t="s">
        <v>237</v>
      </c>
      <c r="D383" t="s">
        <v>262</v>
      </c>
      <c r="E383" t="s">
        <v>366</v>
      </c>
      <c r="F383" t="s">
        <v>367</v>
      </c>
      <c r="G383" t="s">
        <v>14</v>
      </c>
      <c r="H383" t="s">
        <v>87</v>
      </c>
      <c r="I383" s="1">
        <v>1</v>
      </c>
      <c r="J383" s="2">
        <v>86.21</v>
      </c>
    </row>
    <row r="384" spans="2:10" x14ac:dyDescent="0.2">
      <c r="B384" t="s">
        <v>261</v>
      </c>
      <c r="C384" t="s">
        <v>237</v>
      </c>
      <c r="D384" t="s">
        <v>262</v>
      </c>
      <c r="E384" t="s">
        <v>368</v>
      </c>
      <c r="F384" t="s">
        <v>369</v>
      </c>
      <c r="G384" t="s">
        <v>1033</v>
      </c>
      <c r="H384" t="s">
        <v>30</v>
      </c>
      <c r="I384" s="1">
        <v>1</v>
      </c>
      <c r="J384" s="2">
        <v>612.07000000000005</v>
      </c>
    </row>
    <row r="385" spans="2:10" x14ac:dyDescent="0.2">
      <c r="B385" t="s">
        <v>261</v>
      </c>
      <c r="C385" t="s">
        <v>237</v>
      </c>
      <c r="D385" t="s">
        <v>262</v>
      </c>
      <c r="E385" t="s">
        <v>120</v>
      </c>
      <c r="F385" t="s">
        <v>121</v>
      </c>
      <c r="G385" t="s">
        <v>1034</v>
      </c>
      <c r="H385" t="s">
        <v>15</v>
      </c>
      <c r="I385" s="1">
        <v>1</v>
      </c>
      <c r="J385" s="2">
        <v>301.72000000000003</v>
      </c>
    </row>
    <row r="386" spans="2:10" x14ac:dyDescent="0.2">
      <c r="B386" t="s">
        <v>261</v>
      </c>
      <c r="C386" t="s">
        <v>237</v>
      </c>
      <c r="D386" t="s">
        <v>262</v>
      </c>
      <c r="E386" t="s">
        <v>370</v>
      </c>
      <c r="F386" t="s">
        <v>371</v>
      </c>
      <c r="G386" t="s">
        <v>1033</v>
      </c>
      <c r="H386" t="s">
        <v>30</v>
      </c>
      <c r="I386" s="1">
        <v>1</v>
      </c>
      <c r="J386" s="2">
        <v>1034.48</v>
      </c>
    </row>
    <row r="387" spans="2:10" x14ac:dyDescent="0.2">
      <c r="B387" t="s">
        <v>261</v>
      </c>
      <c r="C387" t="s">
        <v>237</v>
      </c>
      <c r="D387" t="s">
        <v>262</v>
      </c>
      <c r="E387" t="s">
        <v>61</v>
      </c>
      <c r="F387" t="s">
        <v>62</v>
      </c>
      <c r="G387" t="s">
        <v>1034</v>
      </c>
      <c r="H387" t="s">
        <v>15</v>
      </c>
      <c r="I387" s="1">
        <v>1</v>
      </c>
      <c r="J387" s="2">
        <v>172.41</v>
      </c>
    </row>
    <row r="388" spans="2:10" x14ac:dyDescent="0.2">
      <c r="B388" t="s">
        <v>261</v>
      </c>
      <c r="C388" t="s">
        <v>237</v>
      </c>
      <c r="D388" t="s">
        <v>262</v>
      </c>
      <c r="E388" t="s">
        <v>63</v>
      </c>
      <c r="F388" t="s">
        <v>64</v>
      </c>
      <c r="G388" t="s">
        <v>1034</v>
      </c>
      <c r="H388" t="s">
        <v>15</v>
      </c>
      <c r="I388" s="1">
        <v>1</v>
      </c>
      <c r="J388" s="2">
        <v>172.41</v>
      </c>
    </row>
    <row r="389" spans="2:10" x14ac:dyDescent="0.2">
      <c r="B389" t="s">
        <v>261</v>
      </c>
      <c r="C389" t="s">
        <v>237</v>
      </c>
      <c r="D389" t="s">
        <v>262</v>
      </c>
      <c r="E389" t="s">
        <v>16</v>
      </c>
      <c r="F389" t="s">
        <v>17</v>
      </c>
      <c r="G389" t="s">
        <v>1034</v>
      </c>
      <c r="H389" t="s">
        <v>15</v>
      </c>
      <c r="I389" s="1">
        <v>2</v>
      </c>
      <c r="J389" s="2">
        <v>1155.18</v>
      </c>
    </row>
    <row r="390" spans="2:10" x14ac:dyDescent="0.2">
      <c r="B390" t="s">
        <v>261</v>
      </c>
      <c r="C390" t="s">
        <v>237</v>
      </c>
      <c r="D390" t="s">
        <v>262</v>
      </c>
      <c r="E390" t="s">
        <v>372</v>
      </c>
      <c r="F390" t="s">
        <v>373</v>
      </c>
      <c r="G390" t="s">
        <v>1033</v>
      </c>
      <c r="H390" t="s">
        <v>30</v>
      </c>
      <c r="I390" s="1">
        <v>1</v>
      </c>
      <c r="J390" s="2">
        <v>2465.52</v>
      </c>
    </row>
    <row r="391" spans="2:10" x14ac:dyDescent="0.2">
      <c r="B391" t="s">
        <v>261</v>
      </c>
      <c r="C391" t="s">
        <v>248</v>
      </c>
      <c r="D391" t="s">
        <v>262</v>
      </c>
      <c r="E391" t="s">
        <v>374</v>
      </c>
      <c r="F391" t="s">
        <v>375</v>
      </c>
      <c r="G391" t="s">
        <v>54</v>
      </c>
      <c r="H391" t="s">
        <v>138</v>
      </c>
      <c r="I391" s="1">
        <v>1</v>
      </c>
      <c r="J391" s="2">
        <v>387.93</v>
      </c>
    </row>
    <row r="392" spans="2:10" x14ac:dyDescent="0.2">
      <c r="B392" t="s">
        <v>261</v>
      </c>
      <c r="C392" t="s">
        <v>248</v>
      </c>
      <c r="D392" t="s">
        <v>262</v>
      </c>
      <c r="E392" t="s">
        <v>72</v>
      </c>
      <c r="F392" t="s">
        <v>73</v>
      </c>
      <c r="G392" t="s">
        <v>1034</v>
      </c>
      <c r="H392" t="s">
        <v>15</v>
      </c>
      <c r="I392" s="1">
        <v>1</v>
      </c>
      <c r="J392" s="2">
        <v>775.86</v>
      </c>
    </row>
    <row r="393" spans="2:10" hidden="1" x14ac:dyDescent="0.2">
      <c r="B393" t="s">
        <v>376</v>
      </c>
      <c r="C393" t="s">
        <v>10</v>
      </c>
      <c r="D393" t="s">
        <v>32</v>
      </c>
      <c r="E393" t="s">
        <v>44</v>
      </c>
      <c r="F393" t="s">
        <v>45</v>
      </c>
      <c r="G393" t="s">
        <v>1033</v>
      </c>
      <c r="H393" t="s">
        <v>30</v>
      </c>
      <c r="I393" s="1">
        <v>1</v>
      </c>
      <c r="J393" s="2">
        <v>81.900000000000006</v>
      </c>
    </row>
    <row r="394" spans="2:10" hidden="1" x14ac:dyDescent="0.2">
      <c r="B394" t="s">
        <v>376</v>
      </c>
      <c r="C394" t="s">
        <v>10</v>
      </c>
      <c r="D394" t="s">
        <v>32</v>
      </c>
      <c r="E394" t="s">
        <v>19</v>
      </c>
      <c r="F394" t="s">
        <v>20</v>
      </c>
      <c r="G394" t="s">
        <v>14</v>
      </c>
      <c r="H394" t="s">
        <v>21</v>
      </c>
      <c r="I394" s="1">
        <v>2</v>
      </c>
      <c r="J394" s="2">
        <v>862.08</v>
      </c>
    </row>
    <row r="395" spans="2:10" hidden="1" x14ac:dyDescent="0.2">
      <c r="B395" t="s">
        <v>376</v>
      </c>
      <c r="C395" t="s">
        <v>10</v>
      </c>
      <c r="D395" t="s">
        <v>32</v>
      </c>
      <c r="E395" t="s">
        <v>377</v>
      </c>
      <c r="F395" t="s">
        <v>378</v>
      </c>
      <c r="G395" t="s">
        <v>54</v>
      </c>
      <c r="H395" t="s">
        <v>138</v>
      </c>
      <c r="I395" s="1">
        <v>1</v>
      </c>
      <c r="J395" s="2">
        <v>431.03</v>
      </c>
    </row>
    <row r="396" spans="2:10" hidden="1" x14ac:dyDescent="0.2">
      <c r="B396" t="s">
        <v>376</v>
      </c>
      <c r="C396" t="s">
        <v>10</v>
      </c>
      <c r="D396" t="s">
        <v>32</v>
      </c>
      <c r="E396" t="s">
        <v>242</v>
      </c>
      <c r="F396" t="s">
        <v>243</v>
      </c>
      <c r="G396" t="s">
        <v>14</v>
      </c>
      <c r="H396" t="s">
        <v>87</v>
      </c>
      <c r="I396" s="1">
        <v>1</v>
      </c>
      <c r="J396" s="2">
        <v>120.69</v>
      </c>
    </row>
    <row r="397" spans="2:10" hidden="1" x14ac:dyDescent="0.2">
      <c r="B397" t="s">
        <v>376</v>
      </c>
      <c r="C397" t="s">
        <v>10</v>
      </c>
      <c r="D397" t="s">
        <v>32</v>
      </c>
      <c r="E397" t="s">
        <v>379</v>
      </c>
      <c r="F397" t="s">
        <v>380</v>
      </c>
      <c r="G397" t="s">
        <v>1033</v>
      </c>
      <c r="H397" t="s">
        <v>30</v>
      </c>
      <c r="I397" s="1">
        <v>1</v>
      </c>
      <c r="J397" s="2">
        <v>775.86</v>
      </c>
    </row>
    <row r="398" spans="2:10" hidden="1" x14ac:dyDescent="0.2">
      <c r="B398" t="s">
        <v>376</v>
      </c>
      <c r="C398" t="s">
        <v>10</v>
      </c>
      <c r="D398" t="s">
        <v>32</v>
      </c>
      <c r="E398" t="s">
        <v>36</v>
      </c>
      <c r="F398" t="s">
        <v>37</v>
      </c>
      <c r="G398" t="s">
        <v>1034</v>
      </c>
      <c r="H398" t="s">
        <v>15</v>
      </c>
      <c r="I398" s="1">
        <v>1</v>
      </c>
      <c r="J398" s="2">
        <v>301.72000000000003</v>
      </c>
    </row>
    <row r="399" spans="2:10" hidden="1" x14ac:dyDescent="0.2">
      <c r="B399" t="s">
        <v>376</v>
      </c>
      <c r="C399" t="s">
        <v>10</v>
      </c>
      <c r="D399" t="s">
        <v>32</v>
      </c>
      <c r="E399" t="s">
        <v>122</v>
      </c>
      <c r="F399" t="s">
        <v>123</v>
      </c>
      <c r="G399" t="s">
        <v>1034</v>
      </c>
      <c r="H399" t="s">
        <v>15</v>
      </c>
      <c r="I399" s="1">
        <v>1</v>
      </c>
      <c r="J399" s="2">
        <v>387.93</v>
      </c>
    </row>
    <row r="400" spans="2:10" hidden="1" x14ac:dyDescent="0.2">
      <c r="B400" t="s">
        <v>376</v>
      </c>
      <c r="C400" t="s">
        <v>10</v>
      </c>
      <c r="D400" t="s">
        <v>32</v>
      </c>
      <c r="E400" t="s">
        <v>74</v>
      </c>
      <c r="F400" t="s">
        <v>75</v>
      </c>
      <c r="G400" t="s">
        <v>76</v>
      </c>
      <c r="H400" t="s">
        <v>60</v>
      </c>
      <c r="I400" s="1">
        <v>1</v>
      </c>
      <c r="J400" s="2">
        <v>344.83</v>
      </c>
    </row>
    <row r="401" spans="2:10" hidden="1" x14ac:dyDescent="0.2">
      <c r="B401" t="s">
        <v>376</v>
      </c>
      <c r="C401" t="s">
        <v>10</v>
      </c>
      <c r="D401" t="s">
        <v>32</v>
      </c>
      <c r="E401" t="s">
        <v>381</v>
      </c>
      <c r="F401" t="s">
        <v>382</v>
      </c>
      <c r="G401" t="s">
        <v>43</v>
      </c>
      <c r="H401" t="s">
        <v>383</v>
      </c>
      <c r="I401" s="1">
        <v>1</v>
      </c>
      <c r="J401" s="2">
        <v>301.72000000000003</v>
      </c>
    </row>
    <row r="402" spans="2:10" hidden="1" x14ac:dyDescent="0.2">
      <c r="B402" t="s">
        <v>376</v>
      </c>
      <c r="C402" t="s">
        <v>10</v>
      </c>
      <c r="D402" t="s">
        <v>32</v>
      </c>
      <c r="E402" t="s">
        <v>56</v>
      </c>
      <c r="F402" t="s">
        <v>57</v>
      </c>
      <c r="G402" t="s">
        <v>1034</v>
      </c>
      <c r="H402" t="s">
        <v>15</v>
      </c>
      <c r="I402" s="1">
        <v>1</v>
      </c>
      <c r="J402" s="2">
        <v>431.03</v>
      </c>
    </row>
    <row r="403" spans="2:10" hidden="1" x14ac:dyDescent="0.2">
      <c r="B403" t="s">
        <v>376</v>
      </c>
      <c r="C403" t="s">
        <v>10</v>
      </c>
      <c r="D403" t="s">
        <v>32</v>
      </c>
      <c r="E403" t="s">
        <v>48</v>
      </c>
      <c r="F403" t="s">
        <v>49</v>
      </c>
      <c r="G403" t="s">
        <v>43</v>
      </c>
      <c r="H403" t="s">
        <v>50</v>
      </c>
      <c r="I403" s="1">
        <v>1</v>
      </c>
      <c r="J403" s="2">
        <v>1318.97</v>
      </c>
    </row>
    <row r="404" spans="2:10" hidden="1" x14ac:dyDescent="0.2">
      <c r="B404" t="s">
        <v>376</v>
      </c>
      <c r="C404" t="s">
        <v>10</v>
      </c>
      <c r="D404" t="s">
        <v>32</v>
      </c>
      <c r="E404" t="s">
        <v>16</v>
      </c>
      <c r="F404" t="s">
        <v>17</v>
      </c>
      <c r="G404" t="s">
        <v>1034</v>
      </c>
      <c r="H404" t="s">
        <v>15</v>
      </c>
      <c r="I404" s="1">
        <v>3</v>
      </c>
      <c r="J404" s="2">
        <v>1732.77</v>
      </c>
    </row>
    <row r="405" spans="2:10" hidden="1" x14ac:dyDescent="0.2">
      <c r="B405" t="s">
        <v>376</v>
      </c>
      <c r="C405" t="s">
        <v>10</v>
      </c>
      <c r="D405" t="s">
        <v>32</v>
      </c>
      <c r="E405" t="s">
        <v>384</v>
      </c>
      <c r="F405" t="s">
        <v>385</v>
      </c>
      <c r="G405" t="s">
        <v>43</v>
      </c>
      <c r="H405" t="s">
        <v>50</v>
      </c>
      <c r="I405" s="1">
        <v>1</v>
      </c>
      <c r="J405" s="2">
        <v>2155.17</v>
      </c>
    </row>
    <row r="406" spans="2:10" hidden="1" x14ac:dyDescent="0.2">
      <c r="B406" t="s">
        <v>376</v>
      </c>
      <c r="C406" t="s">
        <v>18</v>
      </c>
      <c r="D406" t="s">
        <v>386</v>
      </c>
      <c r="E406" t="s">
        <v>44</v>
      </c>
      <c r="F406" t="s">
        <v>45</v>
      </c>
      <c r="G406" t="s">
        <v>1033</v>
      </c>
      <c r="H406" t="s">
        <v>30</v>
      </c>
      <c r="I406" s="1">
        <v>1</v>
      </c>
      <c r="J406" s="2">
        <v>81.900000000000006</v>
      </c>
    </row>
    <row r="407" spans="2:10" hidden="1" x14ac:dyDescent="0.2">
      <c r="B407" t="s">
        <v>376</v>
      </c>
      <c r="C407" t="s">
        <v>18</v>
      </c>
      <c r="D407" t="s">
        <v>386</v>
      </c>
      <c r="E407" t="s">
        <v>19</v>
      </c>
      <c r="F407" t="s">
        <v>20</v>
      </c>
      <c r="G407" t="s">
        <v>14</v>
      </c>
      <c r="H407" t="s">
        <v>21</v>
      </c>
      <c r="I407" s="1">
        <v>1</v>
      </c>
      <c r="J407" s="2">
        <v>431.04</v>
      </c>
    </row>
    <row r="408" spans="2:10" hidden="1" x14ac:dyDescent="0.2">
      <c r="B408" t="s">
        <v>376</v>
      </c>
      <c r="C408" t="s">
        <v>18</v>
      </c>
      <c r="D408" t="s">
        <v>386</v>
      </c>
      <c r="E408" t="s">
        <v>46</v>
      </c>
      <c r="F408" t="s">
        <v>47</v>
      </c>
      <c r="G408" t="s">
        <v>1034</v>
      </c>
      <c r="H408" t="s">
        <v>15</v>
      </c>
      <c r="I408" s="1">
        <v>1</v>
      </c>
      <c r="J408" s="2">
        <v>301.72000000000003</v>
      </c>
    </row>
    <row r="409" spans="2:10" hidden="1" x14ac:dyDescent="0.2">
      <c r="B409" t="s">
        <v>376</v>
      </c>
      <c r="C409" t="s">
        <v>18</v>
      </c>
      <c r="D409" t="s">
        <v>386</v>
      </c>
      <c r="E409" t="s">
        <v>221</v>
      </c>
      <c r="F409" t="s">
        <v>222</v>
      </c>
      <c r="G409" t="s">
        <v>1034</v>
      </c>
      <c r="H409" t="s">
        <v>15</v>
      </c>
      <c r="I409" s="1">
        <v>1</v>
      </c>
      <c r="J409" s="2">
        <v>431.03</v>
      </c>
    </row>
    <row r="410" spans="2:10" hidden="1" x14ac:dyDescent="0.2">
      <c r="B410" t="s">
        <v>376</v>
      </c>
      <c r="C410" t="s">
        <v>18</v>
      </c>
      <c r="D410" t="s">
        <v>386</v>
      </c>
      <c r="E410" t="s">
        <v>12</v>
      </c>
      <c r="F410" t="s">
        <v>13</v>
      </c>
      <c r="G410" t="s">
        <v>1034</v>
      </c>
      <c r="H410" t="s">
        <v>15</v>
      </c>
      <c r="I410" s="1">
        <v>1</v>
      </c>
      <c r="J410" s="2">
        <v>1077.5899999999999</v>
      </c>
    </row>
    <row r="411" spans="2:10" hidden="1" x14ac:dyDescent="0.2">
      <c r="B411" t="s">
        <v>376</v>
      </c>
      <c r="C411" t="s">
        <v>18</v>
      </c>
      <c r="D411" t="s">
        <v>386</v>
      </c>
      <c r="E411" t="s">
        <v>253</v>
      </c>
      <c r="F411" t="s">
        <v>254</v>
      </c>
      <c r="G411" t="s">
        <v>1034</v>
      </c>
      <c r="H411" t="s">
        <v>15</v>
      </c>
      <c r="I411" s="1">
        <v>1</v>
      </c>
      <c r="J411" s="2">
        <v>775.86</v>
      </c>
    </row>
    <row r="412" spans="2:10" hidden="1" x14ac:dyDescent="0.2">
      <c r="B412" t="s">
        <v>376</v>
      </c>
      <c r="C412" t="s">
        <v>18</v>
      </c>
      <c r="D412" t="s">
        <v>386</v>
      </c>
      <c r="E412" t="s">
        <v>101</v>
      </c>
      <c r="F412" t="s">
        <v>102</v>
      </c>
      <c r="G412" t="s">
        <v>103</v>
      </c>
      <c r="H412" t="s">
        <v>104</v>
      </c>
      <c r="I412" s="1">
        <v>1</v>
      </c>
      <c r="J412" s="2">
        <v>0.01</v>
      </c>
    </row>
    <row r="413" spans="2:10" hidden="1" x14ac:dyDescent="0.2">
      <c r="B413" t="s">
        <v>376</v>
      </c>
      <c r="C413" t="s">
        <v>18</v>
      </c>
      <c r="D413" t="s">
        <v>386</v>
      </c>
      <c r="E413" t="s">
        <v>179</v>
      </c>
      <c r="F413" t="s">
        <v>180</v>
      </c>
      <c r="G413" t="s">
        <v>76</v>
      </c>
      <c r="H413" t="s">
        <v>60</v>
      </c>
      <c r="I413" s="1">
        <v>1</v>
      </c>
      <c r="J413" s="2">
        <v>344.83</v>
      </c>
    </row>
    <row r="414" spans="2:10" hidden="1" x14ac:dyDescent="0.2">
      <c r="B414" t="s">
        <v>376</v>
      </c>
      <c r="C414" t="s">
        <v>18</v>
      </c>
      <c r="D414" t="s">
        <v>386</v>
      </c>
      <c r="E414" t="s">
        <v>38</v>
      </c>
      <c r="F414" t="s">
        <v>39</v>
      </c>
      <c r="G414" t="s">
        <v>1034</v>
      </c>
      <c r="H414" t="s">
        <v>15</v>
      </c>
      <c r="I414" s="1">
        <v>1</v>
      </c>
      <c r="J414" s="2">
        <v>431.03</v>
      </c>
    </row>
    <row r="415" spans="2:10" hidden="1" x14ac:dyDescent="0.2">
      <c r="B415" t="s">
        <v>376</v>
      </c>
      <c r="C415" t="s">
        <v>18</v>
      </c>
      <c r="D415" t="s">
        <v>386</v>
      </c>
      <c r="E415" t="s">
        <v>231</v>
      </c>
      <c r="F415" t="s">
        <v>232</v>
      </c>
      <c r="G415" t="s">
        <v>43</v>
      </c>
      <c r="H415" t="s">
        <v>50</v>
      </c>
      <c r="I415" s="1">
        <v>1</v>
      </c>
      <c r="J415" s="2">
        <v>3017.24</v>
      </c>
    </row>
    <row r="416" spans="2:10" hidden="1" x14ac:dyDescent="0.2">
      <c r="B416" t="s">
        <v>376</v>
      </c>
      <c r="C416" t="s">
        <v>18</v>
      </c>
      <c r="D416" t="s">
        <v>386</v>
      </c>
      <c r="E416" t="s">
        <v>275</v>
      </c>
      <c r="F416" t="s">
        <v>276</v>
      </c>
      <c r="G416" t="s">
        <v>1033</v>
      </c>
      <c r="H416" t="s">
        <v>30</v>
      </c>
      <c r="I416" s="1">
        <v>1</v>
      </c>
      <c r="J416" s="2">
        <v>1551.72</v>
      </c>
    </row>
    <row r="417" spans="2:10" hidden="1" x14ac:dyDescent="0.2">
      <c r="B417" t="s">
        <v>376</v>
      </c>
      <c r="C417" t="s">
        <v>18</v>
      </c>
      <c r="D417" t="s">
        <v>386</v>
      </c>
      <c r="E417" t="s">
        <v>16</v>
      </c>
      <c r="F417" t="s">
        <v>17</v>
      </c>
      <c r="G417" t="s">
        <v>1034</v>
      </c>
      <c r="H417" t="s">
        <v>15</v>
      </c>
      <c r="I417" s="1">
        <v>1</v>
      </c>
      <c r="J417" s="2">
        <v>577.59</v>
      </c>
    </row>
    <row r="418" spans="2:10" hidden="1" x14ac:dyDescent="0.2">
      <c r="B418" t="s">
        <v>376</v>
      </c>
      <c r="C418" t="s">
        <v>31</v>
      </c>
      <c r="D418" t="s">
        <v>386</v>
      </c>
      <c r="E418" t="s">
        <v>44</v>
      </c>
      <c r="F418" t="s">
        <v>45</v>
      </c>
      <c r="G418" t="s">
        <v>1033</v>
      </c>
      <c r="H418" t="s">
        <v>30</v>
      </c>
      <c r="I418" s="1">
        <v>1</v>
      </c>
      <c r="J418" s="2">
        <v>81.900000000000006</v>
      </c>
    </row>
    <row r="419" spans="2:10" hidden="1" x14ac:dyDescent="0.2">
      <c r="B419" t="s">
        <v>376</v>
      </c>
      <c r="C419" t="s">
        <v>31</v>
      </c>
      <c r="D419" t="s">
        <v>386</v>
      </c>
      <c r="E419" t="s">
        <v>139</v>
      </c>
      <c r="F419" t="s">
        <v>140</v>
      </c>
      <c r="G419" t="s">
        <v>14</v>
      </c>
      <c r="H419" t="s">
        <v>87</v>
      </c>
      <c r="I419" s="1">
        <v>1</v>
      </c>
      <c r="J419" s="2">
        <v>120.69</v>
      </c>
    </row>
    <row r="420" spans="2:10" hidden="1" x14ac:dyDescent="0.2">
      <c r="B420" t="s">
        <v>376</v>
      </c>
      <c r="C420" t="s">
        <v>31</v>
      </c>
      <c r="D420" t="s">
        <v>386</v>
      </c>
      <c r="E420" t="s">
        <v>328</v>
      </c>
      <c r="F420" t="s">
        <v>329</v>
      </c>
      <c r="G420" t="s">
        <v>1033</v>
      </c>
      <c r="H420" t="s">
        <v>30</v>
      </c>
      <c r="I420" s="1">
        <v>1</v>
      </c>
      <c r="J420" s="2">
        <v>172.41</v>
      </c>
    </row>
    <row r="421" spans="2:10" hidden="1" x14ac:dyDescent="0.2">
      <c r="B421" t="s">
        <v>376</v>
      </c>
      <c r="C421" t="s">
        <v>31</v>
      </c>
      <c r="D421" t="s">
        <v>386</v>
      </c>
      <c r="E421" t="s">
        <v>22</v>
      </c>
      <c r="F421" t="s">
        <v>23</v>
      </c>
      <c r="G421" t="s">
        <v>14</v>
      </c>
      <c r="H421" t="s">
        <v>24</v>
      </c>
      <c r="I421" s="1">
        <v>2</v>
      </c>
      <c r="J421" s="2">
        <v>431.04</v>
      </c>
    </row>
    <row r="422" spans="2:10" hidden="1" x14ac:dyDescent="0.2">
      <c r="B422" t="s">
        <v>376</v>
      </c>
      <c r="C422" t="s">
        <v>31</v>
      </c>
      <c r="D422" t="s">
        <v>386</v>
      </c>
      <c r="E422" t="s">
        <v>370</v>
      </c>
      <c r="F422" t="s">
        <v>371</v>
      </c>
      <c r="G422" t="s">
        <v>1033</v>
      </c>
      <c r="H422" t="s">
        <v>30</v>
      </c>
      <c r="I422" s="1">
        <v>1</v>
      </c>
      <c r="J422" s="2">
        <v>1034.48</v>
      </c>
    </row>
    <row r="423" spans="2:10" hidden="1" x14ac:dyDescent="0.2">
      <c r="B423" t="s">
        <v>376</v>
      </c>
      <c r="C423" t="s">
        <v>31</v>
      </c>
      <c r="D423" t="s">
        <v>386</v>
      </c>
      <c r="E423" t="s">
        <v>244</v>
      </c>
      <c r="F423" t="s">
        <v>245</v>
      </c>
      <c r="G423" t="s">
        <v>14</v>
      </c>
      <c r="H423" t="s">
        <v>94</v>
      </c>
      <c r="I423" s="1">
        <v>1</v>
      </c>
      <c r="J423" s="2">
        <v>68.97</v>
      </c>
    </row>
    <row r="424" spans="2:10" hidden="1" x14ac:dyDescent="0.2">
      <c r="B424" t="s">
        <v>376</v>
      </c>
      <c r="C424" t="s">
        <v>31</v>
      </c>
      <c r="D424" t="s">
        <v>386</v>
      </c>
      <c r="E424" t="s">
        <v>56</v>
      </c>
      <c r="F424" t="s">
        <v>57</v>
      </c>
      <c r="G424" t="s">
        <v>1034</v>
      </c>
      <c r="H424" t="s">
        <v>15</v>
      </c>
      <c r="I424" s="1">
        <v>1</v>
      </c>
      <c r="J424" s="2">
        <v>431.03</v>
      </c>
    </row>
    <row r="425" spans="2:10" hidden="1" x14ac:dyDescent="0.2">
      <c r="B425" t="s">
        <v>376</v>
      </c>
      <c r="C425" t="s">
        <v>31</v>
      </c>
      <c r="D425" t="s">
        <v>386</v>
      </c>
      <c r="E425" t="s">
        <v>387</v>
      </c>
      <c r="F425" t="s">
        <v>388</v>
      </c>
      <c r="G425" t="s">
        <v>1033</v>
      </c>
      <c r="H425" t="s">
        <v>30</v>
      </c>
      <c r="I425" s="1">
        <v>1</v>
      </c>
      <c r="J425" s="2">
        <v>775.86</v>
      </c>
    </row>
    <row r="426" spans="2:10" hidden="1" x14ac:dyDescent="0.2">
      <c r="B426" t="s">
        <v>376</v>
      </c>
      <c r="C426" t="s">
        <v>40</v>
      </c>
      <c r="D426" t="s">
        <v>386</v>
      </c>
      <c r="E426" t="s">
        <v>316</v>
      </c>
      <c r="F426" t="s">
        <v>317</v>
      </c>
      <c r="G426" t="s">
        <v>14</v>
      </c>
      <c r="H426" t="s">
        <v>27</v>
      </c>
      <c r="I426" s="1">
        <v>1</v>
      </c>
      <c r="J426" s="2">
        <v>413.79</v>
      </c>
    </row>
    <row r="427" spans="2:10" hidden="1" x14ac:dyDescent="0.2">
      <c r="B427" t="s">
        <v>376</v>
      </c>
      <c r="C427" t="s">
        <v>40</v>
      </c>
      <c r="D427" t="s">
        <v>386</v>
      </c>
      <c r="E427" t="s">
        <v>214</v>
      </c>
      <c r="F427" t="s">
        <v>215</v>
      </c>
      <c r="G427" t="s">
        <v>1034</v>
      </c>
      <c r="H427" t="s">
        <v>15</v>
      </c>
      <c r="I427" s="1">
        <v>1</v>
      </c>
      <c r="J427" s="2">
        <v>301.72000000000003</v>
      </c>
    </row>
    <row r="428" spans="2:10" hidden="1" x14ac:dyDescent="0.2">
      <c r="B428" t="s">
        <v>376</v>
      </c>
      <c r="C428" t="s">
        <v>40</v>
      </c>
      <c r="D428" t="s">
        <v>386</v>
      </c>
      <c r="E428" t="s">
        <v>28</v>
      </c>
      <c r="F428" t="s">
        <v>29</v>
      </c>
      <c r="G428" t="s">
        <v>1033</v>
      </c>
      <c r="H428" t="s">
        <v>30</v>
      </c>
      <c r="I428" s="1">
        <v>1</v>
      </c>
      <c r="J428" s="2">
        <v>155.16999999999999</v>
      </c>
    </row>
    <row r="429" spans="2:10" hidden="1" x14ac:dyDescent="0.2">
      <c r="B429" t="s">
        <v>376</v>
      </c>
      <c r="C429" t="s">
        <v>51</v>
      </c>
      <c r="D429" t="s">
        <v>386</v>
      </c>
      <c r="E429" t="s">
        <v>19</v>
      </c>
      <c r="F429" t="s">
        <v>20</v>
      </c>
      <c r="G429" t="s">
        <v>14</v>
      </c>
      <c r="H429" t="s">
        <v>21</v>
      </c>
      <c r="I429" s="1">
        <v>1</v>
      </c>
      <c r="J429" s="2">
        <v>431.04</v>
      </c>
    </row>
    <row r="430" spans="2:10" hidden="1" x14ac:dyDescent="0.2">
      <c r="B430" t="s">
        <v>376</v>
      </c>
      <c r="C430" t="s">
        <v>51</v>
      </c>
      <c r="D430" t="s">
        <v>386</v>
      </c>
      <c r="E430" t="s">
        <v>389</v>
      </c>
      <c r="F430" t="s">
        <v>390</v>
      </c>
      <c r="G430" t="s">
        <v>54</v>
      </c>
      <c r="H430" t="s">
        <v>138</v>
      </c>
      <c r="I430" s="1">
        <v>1</v>
      </c>
      <c r="J430" s="2">
        <v>655.16999999999996</v>
      </c>
    </row>
    <row r="431" spans="2:10" hidden="1" x14ac:dyDescent="0.2">
      <c r="B431" t="s">
        <v>376</v>
      </c>
      <c r="C431" t="s">
        <v>51</v>
      </c>
      <c r="D431" t="s">
        <v>386</v>
      </c>
      <c r="E431" t="s">
        <v>153</v>
      </c>
      <c r="F431" t="s">
        <v>154</v>
      </c>
      <c r="G431" t="s">
        <v>1034</v>
      </c>
      <c r="H431" t="s">
        <v>15</v>
      </c>
      <c r="I431" s="1">
        <v>1</v>
      </c>
      <c r="J431" s="2">
        <v>387.93</v>
      </c>
    </row>
    <row r="432" spans="2:10" hidden="1" x14ac:dyDescent="0.2">
      <c r="B432" t="s">
        <v>376</v>
      </c>
      <c r="C432" t="s">
        <v>51</v>
      </c>
      <c r="D432" t="s">
        <v>386</v>
      </c>
      <c r="E432" t="s">
        <v>56</v>
      </c>
      <c r="F432" t="s">
        <v>57</v>
      </c>
      <c r="G432" t="s">
        <v>1034</v>
      </c>
      <c r="H432" t="s">
        <v>15</v>
      </c>
      <c r="I432" s="1">
        <v>1</v>
      </c>
      <c r="J432" s="2">
        <v>431.03</v>
      </c>
    </row>
    <row r="433" spans="2:10" hidden="1" x14ac:dyDescent="0.2">
      <c r="B433" t="s">
        <v>376</v>
      </c>
      <c r="C433" t="s">
        <v>65</v>
      </c>
      <c r="D433" t="s">
        <v>386</v>
      </c>
      <c r="E433" t="s">
        <v>391</v>
      </c>
      <c r="F433" t="s">
        <v>392</v>
      </c>
      <c r="G433" t="s">
        <v>14</v>
      </c>
      <c r="H433" t="s">
        <v>87</v>
      </c>
      <c r="I433" s="1">
        <v>1</v>
      </c>
      <c r="J433" s="2">
        <v>482.76</v>
      </c>
    </row>
    <row r="434" spans="2:10" hidden="1" x14ac:dyDescent="0.2">
      <c r="B434" t="s">
        <v>376</v>
      </c>
      <c r="C434" t="s">
        <v>65</v>
      </c>
      <c r="D434" t="s">
        <v>386</v>
      </c>
      <c r="E434" t="s">
        <v>122</v>
      </c>
      <c r="F434" t="s">
        <v>123</v>
      </c>
      <c r="G434" t="s">
        <v>1034</v>
      </c>
      <c r="H434" t="s">
        <v>15</v>
      </c>
      <c r="I434" s="1">
        <v>1</v>
      </c>
      <c r="J434" s="2">
        <v>387.93</v>
      </c>
    </row>
    <row r="435" spans="2:10" hidden="1" x14ac:dyDescent="0.2">
      <c r="B435" t="s">
        <v>376</v>
      </c>
      <c r="C435" t="s">
        <v>65</v>
      </c>
      <c r="D435" t="s">
        <v>386</v>
      </c>
      <c r="E435" t="s">
        <v>74</v>
      </c>
      <c r="F435" t="s">
        <v>75</v>
      </c>
      <c r="G435" t="s">
        <v>76</v>
      </c>
      <c r="H435" t="s">
        <v>60</v>
      </c>
      <c r="I435" s="1">
        <v>1</v>
      </c>
      <c r="J435" s="2">
        <v>344.83</v>
      </c>
    </row>
    <row r="436" spans="2:10" hidden="1" x14ac:dyDescent="0.2">
      <c r="B436" t="s">
        <v>376</v>
      </c>
      <c r="C436" t="s">
        <v>65</v>
      </c>
      <c r="D436" t="s">
        <v>386</v>
      </c>
      <c r="E436" t="s">
        <v>56</v>
      </c>
      <c r="F436" t="s">
        <v>57</v>
      </c>
      <c r="G436" t="s">
        <v>1034</v>
      </c>
      <c r="H436" t="s">
        <v>15</v>
      </c>
      <c r="I436" s="1">
        <v>1</v>
      </c>
      <c r="J436" s="2">
        <v>431.03</v>
      </c>
    </row>
    <row r="437" spans="2:10" hidden="1" x14ac:dyDescent="0.2">
      <c r="B437" t="s">
        <v>376</v>
      </c>
      <c r="C437" t="s">
        <v>88</v>
      </c>
      <c r="D437" t="s">
        <v>32</v>
      </c>
      <c r="E437" t="s">
        <v>44</v>
      </c>
      <c r="F437" t="s">
        <v>45</v>
      </c>
      <c r="G437" t="s">
        <v>1033</v>
      </c>
      <c r="H437" t="s">
        <v>30</v>
      </c>
      <c r="I437" s="1">
        <v>2</v>
      </c>
      <c r="J437" s="2">
        <v>163.80000000000001</v>
      </c>
    </row>
    <row r="438" spans="2:10" hidden="1" x14ac:dyDescent="0.2">
      <c r="B438" t="s">
        <v>376</v>
      </c>
      <c r="C438" t="s">
        <v>88</v>
      </c>
      <c r="D438" t="s">
        <v>32</v>
      </c>
      <c r="E438" t="s">
        <v>267</v>
      </c>
      <c r="F438" t="s">
        <v>268</v>
      </c>
      <c r="G438" t="s">
        <v>1034</v>
      </c>
      <c r="H438" t="s">
        <v>15</v>
      </c>
      <c r="I438" s="1">
        <v>1</v>
      </c>
      <c r="J438" s="2">
        <v>258.62</v>
      </c>
    </row>
    <row r="439" spans="2:10" hidden="1" x14ac:dyDescent="0.2">
      <c r="B439" t="s">
        <v>376</v>
      </c>
      <c r="C439" t="s">
        <v>88</v>
      </c>
      <c r="D439" t="s">
        <v>32</v>
      </c>
      <c r="E439" t="s">
        <v>304</v>
      </c>
      <c r="F439" t="s">
        <v>305</v>
      </c>
      <c r="G439" t="s">
        <v>76</v>
      </c>
      <c r="H439" t="s">
        <v>60</v>
      </c>
      <c r="I439" s="1">
        <v>1</v>
      </c>
      <c r="J439" s="2">
        <v>344.83</v>
      </c>
    </row>
    <row r="440" spans="2:10" hidden="1" x14ac:dyDescent="0.2">
      <c r="B440" t="s">
        <v>376</v>
      </c>
      <c r="C440" t="s">
        <v>117</v>
      </c>
      <c r="D440" t="s">
        <v>386</v>
      </c>
      <c r="E440" t="s">
        <v>312</v>
      </c>
      <c r="F440" t="s">
        <v>313</v>
      </c>
      <c r="G440" t="s">
        <v>1033</v>
      </c>
      <c r="H440" t="s">
        <v>30</v>
      </c>
      <c r="I440" s="1">
        <v>1</v>
      </c>
      <c r="J440" s="2">
        <v>603.45000000000005</v>
      </c>
    </row>
    <row r="441" spans="2:10" hidden="1" x14ac:dyDescent="0.2">
      <c r="B441" t="s">
        <v>376</v>
      </c>
      <c r="C441" t="s">
        <v>134</v>
      </c>
      <c r="D441" t="s">
        <v>32</v>
      </c>
      <c r="E441" t="s">
        <v>393</v>
      </c>
      <c r="F441" t="s">
        <v>394</v>
      </c>
      <c r="G441" t="s">
        <v>1033</v>
      </c>
      <c r="H441" t="s">
        <v>30</v>
      </c>
      <c r="I441" s="1">
        <v>1</v>
      </c>
      <c r="J441" s="2">
        <v>568.97</v>
      </c>
    </row>
    <row r="442" spans="2:10" hidden="1" x14ac:dyDescent="0.2">
      <c r="B442" t="s">
        <v>376</v>
      </c>
      <c r="C442" t="s">
        <v>134</v>
      </c>
      <c r="D442" t="s">
        <v>32</v>
      </c>
      <c r="E442" t="s">
        <v>368</v>
      </c>
      <c r="F442" t="s">
        <v>369</v>
      </c>
      <c r="G442" t="s">
        <v>1033</v>
      </c>
      <c r="H442" t="s">
        <v>30</v>
      </c>
      <c r="I442" s="1">
        <v>1</v>
      </c>
      <c r="J442" s="2">
        <v>612.07000000000005</v>
      </c>
    </row>
    <row r="443" spans="2:10" hidden="1" x14ac:dyDescent="0.2">
      <c r="B443" t="s">
        <v>376</v>
      </c>
      <c r="C443" t="s">
        <v>134</v>
      </c>
      <c r="D443" t="s">
        <v>32</v>
      </c>
      <c r="E443" t="s">
        <v>36</v>
      </c>
      <c r="F443" t="s">
        <v>37</v>
      </c>
      <c r="G443" t="s">
        <v>1034</v>
      </c>
      <c r="H443" t="s">
        <v>15</v>
      </c>
      <c r="I443" s="1">
        <v>1</v>
      </c>
      <c r="J443" s="2">
        <v>301.72000000000003</v>
      </c>
    </row>
    <row r="444" spans="2:10" hidden="1" x14ac:dyDescent="0.2">
      <c r="B444" t="s">
        <v>376</v>
      </c>
      <c r="C444" t="s">
        <v>134</v>
      </c>
      <c r="D444" t="s">
        <v>32</v>
      </c>
      <c r="E444" t="s">
        <v>56</v>
      </c>
      <c r="F444" t="s">
        <v>57</v>
      </c>
      <c r="G444" t="s">
        <v>1034</v>
      </c>
      <c r="H444" t="s">
        <v>15</v>
      </c>
      <c r="I444" s="1">
        <v>1</v>
      </c>
      <c r="J444" s="2">
        <v>431.03</v>
      </c>
    </row>
    <row r="445" spans="2:10" hidden="1" x14ac:dyDescent="0.2">
      <c r="B445" t="s">
        <v>376</v>
      </c>
      <c r="C445" t="s">
        <v>135</v>
      </c>
      <c r="D445" t="s">
        <v>386</v>
      </c>
      <c r="E445" t="s">
        <v>19</v>
      </c>
      <c r="F445" t="s">
        <v>20</v>
      </c>
      <c r="G445" t="s">
        <v>14</v>
      </c>
      <c r="H445" t="s">
        <v>21</v>
      </c>
      <c r="I445" s="1">
        <v>1</v>
      </c>
      <c r="J445" s="2">
        <v>431.04</v>
      </c>
    </row>
    <row r="446" spans="2:10" hidden="1" x14ac:dyDescent="0.2">
      <c r="B446" t="s">
        <v>376</v>
      </c>
      <c r="C446" t="s">
        <v>135</v>
      </c>
      <c r="D446" t="s">
        <v>386</v>
      </c>
      <c r="E446" t="s">
        <v>395</v>
      </c>
      <c r="F446" t="s">
        <v>396</v>
      </c>
      <c r="G446" t="s">
        <v>14</v>
      </c>
      <c r="H446" t="s">
        <v>35</v>
      </c>
      <c r="I446" s="1">
        <v>1</v>
      </c>
      <c r="J446" s="2">
        <v>60.34</v>
      </c>
    </row>
    <row r="447" spans="2:10" hidden="1" x14ac:dyDescent="0.2">
      <c r="B447" t="s">
        <v>376</v>
      </c>
      <c r="C447" t="s">
        <v>135</v>
      </c>
      <c r="D447" t="s">
        <v>386</v>
      </c>
      <c r="E447" t="s">
        <v>397</v>
      </c>
      <c r="F447" t="s">
        <v>398</v>
      </c>
      <c r="G447" t="s">
        <v>14</v>
      </c>
      <c r="H447" t="s">
        <v>35</v>
      </c>
      <c r="I447" s="1">
        <v>1</v>
      </c>
      <c r="J447" s="2">
        <v>77.59</v>
      </c>
    </row>
    <row r="448" spans="2:10" hidden="1" x14ac:dyDescent="0.2">
      <c r="B448" t="s">
        <v>376</v>
      </c>
      <c r="C448" t="s">
        <v>135</v>
      </c>
      <c r="D448" t="s">
        <v>386</v>
      </c>
      <c r="E448" t="s">
        <v>399</v>
      </c>
      <c r="F448" t="s">
        <v>400</v>
      </c>
      <c r="G448" t="s">
        <v>1033</v>
      </c>
      <c r="H448" t="s">
        <v>30</v>
      </c>
      <c r="I448" s="1">
        <v>1</v>
      </c>
      <c r="J448" s="2">
        <v>818.97</v>
      </c>
    </row>
    <row r="449" spans="2:10" hidden="1" x14ac:dyDescent="0.2">
      <c r="B449" t="s">
        <v>376</v>
      </c>
      <c r="C449" t="s">
        <v>135</v>
      </c>
      <c r="D449" t="s">
        <v>386</v>
      </c>
      <c r="E449" t="s">
        <v>401</v>
      </c>
      <c r="F449" t="s">
        <v>402</v>
      </c>
      <c r="G449" t="s">
        <v>43</v>
      </c>
      <c r="H449" t="s">
        <v>403</v>
      </c>
      <c r="I449" s="1">
        <v>1</v>
      </c>
      <c r="J449" s="2">
        <v>159.47999999999999</v>
      </c>
    </row>
    <row r="450" spans="2:10" hidden="1" x14ac:dyDescent="0.2">
      <c r="B450" t="s">
        <v>376</v>
      </c>
      <c r="C450" t="s">
        <v>135</v>
      </c>
      <c r="D450" t="s">
        <v>386</v>
      </c>
      <c r="E450" t="s">
        <v>404</v>
      </c>
      <c r="F450" t="s">
        <v>405</v>
      </c>
      <c r="G450" t="s">
        <v>1033</v>
      </c>
      <c r="H450" t="s">
        <v>30</v>
      </c>
      <c r="I450" s="1">
        <v>1</v>
      </c>
      <c r="J450" s="2">
        <v>1025.8599999999999</v>
      </c>
    </row>
    <row r="451" spans="2:10" hidden="1" x14ac:dyDescent="0.2">
      <c r="B451" t="s">
        <v>376</v>
      </c>
      <c r="C451" t="s">
        <v>135</v>
      </c>
      <c r="D451" t="s">
        <v>386</v>
      </c>
      <c r="E451" t="s">
        <v>12</v>
      </c>
      <c r="F451" t="s">
        <v>13</v>
      </c>
      <c r="G451" t="s">
        <v>1034</v>
      </c>
      <c r="H451" t="s">
        <v>15</v>
      </c>
      <c r="I451" s="1">
        <v>1</v>
      </c>
      <c r="J451" s="2">
        <v>1077.5899999999999</v>
      </c>
    </row>
    <row r="452" spans="2:10" hidden="1" x14ac:dyDescent="0.2">
      <c r="B452" t="s">
        <v>376</v>
      </c>
      <c r="C452" t="s">
        <v>135</v>
      </c>
      <c r="D452" t="s">
        <v>386</v>
      </c>
      <c r="E452" t="s">
        <v>214</v>
      </c>
      <c r="F452" t="s">
        <v>215</v>
      </c>
      <c r="G452" t="s">
        <v>1034</v>
      </c>
      <c r="H452" t="s">
        <v>15</v>
      </c>
      <c r="I452" s="1">
        <v>1</v>
      </c>
      <c r="J452" s="2">
        <v>301.72000000000003</v>
      </c>
    </row>
    <row r="453" spans="2:10" hidden="1" x14ac:dyDescent="0.2">
      <c r="B453" t="s">
        <v>376</v>
      </c>
      <c r="C453" t="s">
        <v>135</v>
      </c>
      <c r="D453" t="s">
        <v>386</v>
      </c>
      <c r="E453" t="s">
        <v>36</v>
      </c>
      <c r="F453" t="s">
        <v>37</v>
      </c>
      <c r="G453" t="s">
        <v>1034</v>
      </c>
      <c r="H453" t="s">
        <v>15</v>
      </c>
      <c r="I453" s="1">
        <v>1</v>
      </c>
      <c r="J453" s="2">
        <v>301.72000000000003</v>
      </c>
    </row>
    <row r="454" spans="2:10" hidden="1" x14ac:dyDescent="0.2">
      <c r="B454" t="s">
        <v>376</v>
      </c>
      <c r="C454" t="s">
        <v>135</v>
      </c>
      <c r="D454" t="s">
        <v>386</v>
      </c>
      <c r="E454" t="s">
        <v>101</v>
      </c>
      <c r="F454" t="s">
        <v>102</v>
      </c>
      <c r="G454" t="s">
        <v>103</v>
      </c>
      <c r="H454" t="s">
        <v>104</v>
      </c>
      <c r="I454" s="1">
        <v>1</v>
      </c>
      <c r="J454" s="2">
        <v>0.01</v>
      </c>
    </row>
    <row r="455" spans="2:10" hidden="1" x14ac:dyDescent="0.2">
      <c r="B455" t="s">
        <v>376</v>
      </c>
      <c r="C455" t="s">
        <v>135</v>
      </c>
      <c r="D455" t="s">
        <v>386</v>
      </c>
      <c r="E455" t="s">
        <v>122</v>
      </c>
      <c r="F455" t="s">
        <v>123</v>
      </c>
      <c r="G455" t="s">
        <v>1034</v>
      </c>
      <c r="H455" t="s">
        <v>15</v>
      </c>
      <c r="I455" s="1">
        <v>1</v>
      </c>
      <c r="J455" s="2">
        <v>387.93</v>
      </c>
    </row>
    <row r="456" spans="2:10" hidden="1" x14ac:dyDescent="0.2">
      <c r="B456" t="s">
        <v>376</v>
      </c>
      <c r="C456" t="s">
        <v>135</v>
      </c>
      <c r="D456" t="s">
        <v>386</v>
      </c>
      <c r="E456" t="s">
        <v>83</v>
      </c>
      <c r="F456" t="s">
        <v>84</v>
      </c>
      <c r="G456" t="s">
        <v>1034</v>
      </c>
      <c r="H456" t="s">
        <v>15</v>
      </c>
      <c r="I456" s="1">
        <v>1</v>
      </c>
      <c r="J456" s="2">
        <v>387.93</v>
      </c>
    </row>
    <row r="457" spans="2:10" hidden="1" x14ac:dyDescent="0.2">
      <c r="B457" t="s">
        <v>376</v>
      </c>
      <c r="C457" t="s">
        <v>135</v>
      </c>
      <c r="D457" t="s">
        <v>386</v>
      </c>
      <c r="E457" t="s">
        <v>223</v>
      </c>
      <c r="F457" t="s">
        <v>224</v>
      </c>
      <c r="G457" t="s">
        <v>43</v>
      </c>
      <c r="H457" t="s">
        <v>50</v>
      </c>
      <c r="I457" s="1">
        <v>1</v>
      </c>
      <c r="J457" s="2">
        <v>1637.93</v>
      </c>
    </row>
    <row r="458" spans="2:10" hidden="1" x14ac:dyDescent="0.2">
      <c r="B458" t="s">
        <v>376</v>
      </c>
      <c r="C458" t="s">
        <v>135</v>
      </c>
      <c r="D458" t="s">
        <v>386</v>
      </c>
      <c r="E458" t="s">
        <v>191</v>
      </c>
      <c r="F458" t="s">
        <v>192</v>
      </c>
      <c r="G458" t="s">
        <v>43</v>
      </c>
      <c r="H458" t="s">
        <v>50</v>
      </c>
      <c r="I458" s="1">
        <v>1</v>
      </c>
      <c r="J458" s="2">
        <v>3534.48</v>
      </c>
    </row>
    <row r="459" spans="2:10" hidden="1" x14ac:dyDescent="0.2">
      <c r="B459" t="s">
        <v>376</v>
      </c>
      <c r="C459" t="s">
        <v>135</v>
      </c>
      <c r="D459" t="s">
        <v>386</v>
      </c>
      <c r="E459" t="s">
        <v>273</v>
      </c>
      <c r="F459" t="s">
        <v>274</v>
      </c>
      <c r="G459" t="s">
        <v>1033</v>
      </c>
      <c r="H459" t="s">
        <v>30</v>
      </c>
      <c r="I459" s="1">
        <v>1</v>
      </c>
      <c r="J459" s="2">
        <v>1293.0999999999999</v>
      </c>
    </row>
    <row r="460" spans="2:10" hidden="1" x14ac:dyDescent="0.2">
      <c r="B460" t="s">
        <v>376</v>
      </c>
      <c r="C460" t="s">
        <v>135</v>
      </c>
      <c r="D460" t="s">
        <v>386</v>
      </c>
      <c r="E460" t="s">
        <v>56</v>
      </c>
      <c r="F460" t="s">
        <v>57</v>
      </c>
      <c r="G460" t="s">
        <v>1034</v>
      </c>
      <c r="H460" t="s">
        <v>15</v>
      </c>
      <c r="I460" s="1">
        <v>1</v>
      </c>
      <c r="J460" s="2">
        <v>431.03</v>
      </c>
    </row>
    <row r="461" spans="2:10" hidden="1" x14ac:dyDescent="0.2">
      <c r="B461" t="s">
        <v>376</v>
      </c>
      <c r="C461" t="s">
        <v>141</v>
      </c>
      <c r="D461" t="s">
        <v>386</v>
      </c>
      <c r="E461" t="s">
        <v>358</v>
      </c>
      <c r="F461" t="s">
        <v>359</v>
      </c>
      <c r="G461" t="s">
        <v>1033</v>
      </c>
      <c r="H461" t="s">
        <v>30</v>
      </c>
      <c r="I461" s="1">
        <v>1</v>
      </c>
      <c r="J461" s="2">
        <v>1500</v>
      </c>
    </row>
    <row r="462" spans="2:10" hidden="1" x14ac:dyDescent="0.2">
      <c r="B462" t="s">
        <v>376</v>
      </c>
      <c r="C462" t="s">
        <v>141</v>
      </c>
      <c r="D462" t="s">
        <v>386</v>
      </c>
      <c r="E462" t="s">
        <v>12</v>
      </c>
      <c r="F462" t="s">
        <v>13</v>
      </c>
      <c r="G462" t="s">
        <v>1034</v>
      </c>
      <c r="H462" t="s">
        <v>15</v>
      </c>
      <c r="I462" s="1">
        <v>1</v>
      </c>
      <c r="J462" s="2">
        <v>1077.5899999999999</v>
      </c>
    </row>
    <row r="463" spans="2:10" hidden="1" x14ac:dyDescent="0.2">
      <c r="B463" t="s">
        <v>376</v>
      </c>
      <c r="C463" t="s">
        <v>141</v>
      </c>
      <c r="D463" t="s">
        <v>386</v>
      </c>
      <c r="E463" t="s">
        <v>83</v>
      </c>
      <c r="F463" t="s">
        <v>84</v>
      </c>
      <c r="G463" t="s">
        <v>1034</v>
      </c>
      <c r="H463" t="s">
        <v>15</v>
      </c>
      <c r="I463" s="1">
        <v>1</v>
      </c>
      <c r="J463" s="2">
        <v>387.93</v>
      </c>
    </row>
    <row r="464" spans="2:10" hidden="1" x14ac:dyDescent="0.2">
      <c r="B464" t="s">
        <v>376</v>
      </c>
      <c r="C464" t="s">
        <v>141</v>
      </c>
      <c r="D464" t="s">
        <v>386</v>
      </c>
      <c r="E464" t="s">
        <v>56</v>
      </c>
      <c r="F464" t="s">
        <v>57</v>
      </c>
      <c r="G464" t="s">
        <v>1034</v>
      </c>
      <c r="H464" t="s">
        <v>15</v>
      </c>
      <c r="I464" s="1">
        <v>1</v>
      </c>
      <c r="J464" s="2">
        <v>431.03</v>
      </c>
    </row>
    <row r="465" spans="2:10" hidden="1" x14ac:dyDescent="0.2">
      <c r="B465" t="s">
        <v>376</v>
      </c>
      <c r="C465" t="s">
        <v>141</v>
      </c>
      <c r="D465" t="s">
        <v>386</v>
      </c>
      <c r="E465" t="s">
        <v>79</v>
      </c>
      <c r="F465" t="s">
        <v>80</v>
      </c>
      <c r="G465" t="s">
        <v>43</v>
      </c>
      <c r="H465" t="s">
        <v>81</v>
      </c>
      <c r="I465" s="1">
        <v>1</v>
      </c>
      <c r="J465" s="2">
        <v>1810.34</v>
      </c>
    </row>
    <row r="466" spans="2:10" hidden="1" x14ac:dyDescent="0.2">
      <c r="B466" t="s">
        <v>376</v>
      </c>
      <c r="C466" t="s">
        <v>165</v>
      </c>
      <c r="D466" t="s">
        <v>386</v>
      </c>
      <c r="E466" t="s">
        <v>46</v>
      </c>
      <c r="F466" t="s">
        <v>47</v>
      </c>
      <c r="G466" t="s">
        <v>1034</v>
      </c>
      <c r="H466" t="s">
        <v>15</v>
      </c>
      <c r="I466" s="1">
        <v>2</v>
      </c>
      <c r="J466" s="2">
        <v>603.44000000000005</v>
      </c>
    </row>
    <row r="467" spans="2:10" hidden="1" x14ac:dyDescent="0.2">
      <c r="B467" t="s">
        <v>376</v>
      </c>
      <c r="C467" t="s">
        <v>165</v>
      </c>
      <c r="D467" t="s">
        <v>386</v>
      </c>
      <c r="E467" t="s">
        <v>189</v>
      </c>
      <c r="F467" t="s">
        <v>190</v>
      </c>
      <c r="G467" t="s">
        <v>1033</v>
      </c>
      <c r="H467" t="s">
        <v>30</v>
      </c>
      <c r="I467" s="1">
        <v>1</v>
      </c>
      <c r="J467" s="2">
        <v>818.97</v>
      </c>
    </row>
    <row r="468" spans="2:10" hidden="1" x14ac:dyDescent="0.2">
      <c r="B468" t="s">
        <v>376</v>
      </c>
      <c r="C468" t="s">
        <v>165</v>
      </c>
      <c r="D468" t="s">
        <v>386</v>
      </c>
      <c r="E468" t="s">
        <v>253</v>
      </c>
      <c r="F468" t="s">
        <v>254</v>
      </c>
      <c r="G468" t="s">
        <v>1034</v>
      </c>
      <c r="H468" t="s">
        <v>15</v>
      </c>
      <c r="I468" s="1">
        <v>1</v>
      </c>
      <c r="J468" s="2">
        <v>775.86</v>
      </c>
    </row>
    <row r="469" spans="2:10" hidden="1" x14ac:dyDescent="0.2">
      <c r="B469" t="s">
        <v>376</v>
      </c>
      <c r="C469" t="s">
        <v>165</v>
      </c>
      <c r="D469" t="s">
        <v>386</v>
      </c>
      <c r="E469" t="s">
        <v>72</v>
      </c>
      <c r="F469" t="s">
        <v>73</v>
      </c>
      <c r="G469" t="s">
        <v>1034</v>
      </c>
      <c r="H469" t="s">
        <v>15</v>
      </c>
      <c r="I469" s="1">
        <v>1</v>
      </c>
      <c r="J469" s="2">
        <v>775.86</v>
      </c>
    </row>
    <row r="470" spans="2:10" hidden="1" x14ac:dyDescent="0.2">
      <c r="B470" t="s">
        <v>376</v>
      </c>
      <c r="C470" t="s">
        <v>165</v>
      </c>
      <c r="D470" t="s">
        <v>386</v>
      </c>
      <c r="E470" t="s">
        <v>83</v>
      </c>
      <c r="F470" t="s">
        <v>84</v>
      </c>
      <c r="G470" t="s">
        <v>1034</v>
      </c>
      <c r="H470" t="s">
        <v>15</v>
      </c>
      <c r="I470" s="1">
        <v>1</v>
      </c>
      <c r="J470" s="2">
        <v>387.93</v>
      </c>
    </row>
    <row r="471" spans="2:10" hidden="1" x14ac:dyDescent="0.2">
      <c r="B471" t="s">
        <v>376</v>
      </c>
      <c r="C471" t="s">
        <v>165</v>
      </c>
      <c r="D471" t="s">
        <v>386</v>
      </c>
      <c r="E471" t="s">
        <v>406</v>
      </c>
      <c r="F471" t="s">
        <v>407</v>
      </c>
      <c r="G471" t="s">
        <v>14</v>
      </c>
      <c r="H471" t="s">
        <v>104</v>
      </c>
      <c r="I471" s="1">
        <v>4</v>
      </c>
      <c r="J471" s="2">
        <v>68.959999999999994</v>
      </c>
    </row>
    <row r="472" spans="2:10" hidden="1" x14ac:dyDescent="0.2">
      <c r="B472" t="s">
        <v>376</v>
      </c>
      <c r="C472" t="s">
        <v>165</v>
      </c>
      <c r="D472" t="s">
        <v>386</v>
      </c>
      <c r="E472" t="s">
        <v>408</v>
      </c>
      <c r="F472" t="s">
        <v>409</v>
      </c>
      <c r="G472" t="s">
        <v>43</v>
      </c>
      <c r="H472" t="s">
        <v>81</v>
      </c>
      <c r="I472" s="1">
        <v>2</v>
      </c>
      <c r="J472" s="2">
        <v>2931.04</v>
      </c>
    </row>
    <row r="473" spans="2:10" hidden="1" x14ac:dyDescent="0.2">
      <c r="B473" t="s">
        <v>376</v>
      </c>
      <c r="C473" t="s">
        <v>166</v>
      </c>
      <c r="D473" t="s">
        <v>386</v>
      </c>
      <c r="E473" t="s">
        <v>46</v>
      </c>
      <c r="F473" t="s">
        <v>47</v>
      </c>
      <c r="G473" t="s">
        <v>1034</v>
      </c>
      <c r="H473" t="s">
        <v>15</v>
      </c>
      <c r="I473" s="1">
        <v>1</v>
      </c>
      <c r="J473" s="2">
        <v>301.72000000000003</v>
      </c>
    </row>
    <row r="474" spans="2:10" hidden="1" x14ac:dyDescent="0.2">
      <c r="B474" t="s">
        <v>376</v>
      </c>
      <c r="C474" t="s">
        <v>166</v>
      </c>
      <c r="D474" t="s">
        <v>386</v>
      </c>
      <c r="E474" t="s">
        <v>410</v>
      </c>
      <c r="F474" t="s">
        <v>411</v>
      </c>
      <c r="G474" t="s">
        <v>54</v>
      </c>
      <c r="H474" t="s">
        <v>138</v>
      </c>
      <c r="I474" s="1">
        <v>1</v>
      </c>
      <c r="J474" s="2">
        <v>468.1</v>
      </c>
    </row>
    <row r="475" spans="2:10" hidden="1" x14ac:dyDescent="0.2">
      <c r="B475" t="s">
        <v>376</v>
      </c>
      <c r="C475" t="s">
        <v>166</v>
      </c>
      <c r="D475" t="s">
        <v>386</v>
      </c>
      <c r="E475" t="s">
        <v>412</v>
      </c>
      <c r="F475" t="s">
        <v>413</v>
      </c>
      <c r="G475" t="s">
        <v>54</v>
      </c>
      <c r="H475" t="s">
        <v>138</v>
      </c>
      <c r="I475" s="1">
        <v>1</v>
      </c>
      <c r="J475" s="2">
        <v>517.24</v>
      </c>
    </row>
    <row r="476" spans="2:10" hidden="1" x14ac:dyDescent="0.2">
      <c r="B476" t="s">
        <v>376</v>
      </c>
      <c r="C476" t="s">
        <v>166</v>
      </c>
      <c r="D476" t="s">
        <v>386</v>
      </c>
      <c r="E476" t="s">
        <v>414</v>
      </c>
      <c r="F476" t="s">
        <v>415</v>
      </c>
      <c r="G476" t="s">
        <v>1033</v>
      </c>
      <c r="H476" t="s">
        <v>30</v>
      </c>
      <c r="I476" s="1">
        <v>1</v>
      </c>
      <c r="J476" s="2">
        <v>646.54999999999995</v>
      </c>
    </row>
    <row r="477" spans="2:10" hidden="1" x14ac:dyDescent="0.2">
      <c r="B477" t="s">
        <v>376</v>
      </c>
      <c r="C477" t="s">
        <v>166</v>
      </c>
      <c r="D477" t="s">
        <v>386</v>
      </c>
      <c r="E477" t="s">
        <v>267</v>
      </c>
      <c r="F477" t="s">
        <v>268</v>
      </c>
      <c r="G477" t="s">
        <v>1034</v>
      </c>
      <c r="H477" t="s">
        <v>15</v>
      </c>
      <c r="I477" s="1">
        <v>1</v>
      </c>
      <c r="J477" s="2">
        <v>258.62</v>
      </c>
    </row>
    <row r="478" spans="2:10" hidden="1" x14ac:dyDescent="0.2">
      <c r="B478" t="s">
        <v>376</v>
      </c>
      <c r="C478" t="s">
        <v>166</v>
      </c>
      <c r="D478" t="s">
        <v>386</v>
      </c>
      <c r="E478" t="s">
        <v>72</v>
      </c>
      <c r="F478" t="s">
        <v>73</v>
      </c>
      <c r="G478" t="s">
        <v>1034</v>
      </c>
      <c r="H478" t="s">
        <v>15</v>
      </c>
      <c r="I478" s="1">
        <v>1</v>
      </c>
      <c r="J478" s="2">
        <v>775.86</v>
      </c>
    </row>
    <row r="479" spans="2:10" hidden="1" x14ac:dyDescent="0.2">
      <c r="B479" t="s">
        <v>376</v>
      </c>
      <c r="C479" t="s">
        <v>166</v>
      </c>
      <c r="D479" t="s">
        <v>386</v>
      </c>
      <c r="E479" t="s">
        <v>101</v>
      </c>
      <c r="F479" t="s">
        <v>102</v>
      </c>
      <c r="G479" t="s">
        <v>103</v>
      </c>
      <c r="H479" t="s">
        <v>104</v>
      </c>
      <c r="I479" s="1">
        <v>1</v>
      </c>
      <c r="J479" s="2">
        <v>0.01</v>
      </c>
    </row>
    <row r="480" spans="2:10" hidden="1" x14ac:dyDescent="0.2">
      <c r="B480" t="s">
        <v>376</v>
      </c>
      <c r="C480" t="s">
        <v>166</v>
      </c>
      <c r="D480" t="s">
        <v>386</v>
      </c>
      <c r="E480" t="s">
        <v>153</v>
      </c>
      <c r="F480" t="s">
        <v>154</v>
      </c>
      <c r="G480" t="s">
        <v>1034</v>
      </c>
      <c r="H480" t="s">
        <v>15</v>
      </c>
      <c r="I480" s="1">
        <v>1</v>
      </c>
      <c r="J480" s="2">
        <v>387.93</v>
      </c>
    </row>
    <row r="481" spans="2:10" hidden="1" x14ac:dyDescent="0.2">
      <c r="B481" t="s">
        <v>376</v>
      </c>
      <c r="C481" t="s">
        <v>166</v>
      </c>
      <c r="D481" t="s">
        <v>386</v>
      </c>
      <c r="E481" t="s">
        <v>74</v>
      </c>
      <c r="F481" t="s">
        <v>75</v>
      </c>
      <c r="G481" t="s">
        <v>76</v>
      </c>
      <c r="H481" t="s">
        <v>60</v>
      </c>
      <c r="I481" s="1">
        <v>1</v>
      </c>
      <c r="J481" s="2">
        <v>344.83</v>
      </c>
    </row>
    <row r="482" spans="2:10" hidden="1" x14ac:dyDescent="0.2">
      <c r="B482" t="s">
        <v>376</v>
      </c>
      <c r="C482" t="s">
        <v>166</v>
      </c>
      <c r="D482" t="s">
        <v>386</v>
      </c>
      <c r="E482" t="s">
        <v>304</v>
      </c>
      <c r="F482" t="s">
        <v>305</v>
      </c>
      <c r="G482" t="s">
        <v>76</v>
      </c>
      <c r="H482" t="s">
        <v>60</v>
      </c>
      <c r="I482" s="1">
        <v>1</v>
      </c>
      <c r="J482" s="2">
        <v>344.83</v>
      </c>
    </row>
    <row r="483" spans="2:10" hidden="1" x14ac:dyDescent="0.2">
      <c r="B483" t="s">
        <v>376</v>
      </c>
      <c r="C483" t="s">
        <v>166</v>
      </c>
      <c r="D483" t="s">
        <v>386</v>
      </c>
      <c r="E483" t="s">
        <v>269</v>
      </c>
      <c r="F483" t="s">
        <v>270</v>
      </c>
      <c r="G483" t="s">
        <v>1033</v>
      </c>
      <c r="H483" t="s">
        <v>30</v>
      </c>
      <c r="I483" s="1">
        <v>1</v>
      </c>
      <c r="J483" s="2">
        <v>948.28</v>
      </c>
    </row>
    <row r="484" spans="2:10" hidden="1" x14ac:dyDescent="0.2">
      <c r="B484" t="s">
        <v>376</v>
      </c>
      <c r="C484" t="s">
        <v>166</v>
      </c>
      <c r="D484" t="s">
        <v>386</v>
      </c>
      <c r="E484" t="s">
        <v>333</v>
      </c>
      <c r="F484" t="s">
        <v>334</v>
      </c>
      <c r="G484" t="s">
        <v>1033</v>
      </c>
      <c r="H484" t="s">
        <v>30</v>
      </c>
      <c r="I484" s="1">
        <v>1</v>
      </c>
      <c r="J484" s="2">
        <v>2413.79</v>
      </c>
    </row>
    <row r="485" spans="2:10" hidden="1" x14ac:dyDescent="0.2">
      <c r="B485" t="s">
        <v>376</v>
      </c>
      <c r="C485" t="s">
        <v>166</v>
      </c>
      <c r="D485" t="s">
        <v>386</v>
      </c>
      <c r="E485" t="s">
        <v>416</v>
      </c>
      <c r="F485" t="s">
        <v>417</v>
      </c>
      <c r="G485" t="s">
        <v>1033</v>
      </c>
      <c r="H485" t="s">
        <v>30</v>
      </c>
      <c r="I485" s="1">
        <v>1</v>
      </c>
      <c r="J485" s="2">
        <v>2258.62</v>
      </c>
    </row>
    <row r="486" spans="2:10" hidden="1" x14ac:dyDescent="0.2">
      <c r="B486" t="s">
        <v>376</v>
      </c>
      <c r="C486" t="s">
        <v>185</v>
      </c>
      <c r="D486" t="s">
        <v>386</v>
      </c>
      <c r="E486" t="s">
        <v>214</v>
      </c>
      <c r="F486" t="s">
        <v>215</v>
      </c>
      <c r="G486" t="s">
        <v>1034</v>
      </c>
      <c r="H486" t="s">
        <v>15</v>
      </c>
      <c r="I486" s="1">
        <v>1</v>
      </c>
      <c r="J486" s="2">
        <v>301.72000000000003</v>
      </c>
    </row>
    <row r="487" spans="2:10" hidden="1" x14ac:dyDescent="0.2">
      <c r="B487" t="s">
        <v>376</v>
      </c>
      <c r="C487" t="s">
        <v>185</v>
      </c>
      <c r="D487" t="s">
        <v>386</v>
      </c>
      <c r="E487" t="s">
        <v>72</v>
      </c>
      <c r="F487" t="s">
        <v>73</v>
      </c>
      <c r="G487" t="s">
        <v>1034</v>
      </c>
      <c r="H487" t="s">
        <v>15</v>
      </c>
      <c r="I487" s="1">
        <v>2</v>
      </c>
      <c r="J487" s="2">
        <v>1551.72</v>
      </c>
    </row>
    <row r="488" spans="2:10" hidden="1" x14ac:dyDescent="0.2">
      <c r="B488" t="s">
        <v>376</v>
      </c>
      <c r="C488" t="s">
        <v>185</v>
      </c>
      <c r="D488" t="s">
        <v>386</v>
      </c>
      <c r="E488" t="s">
        <v>304</v>
      </c>
      <c r="F488" t="s">
        <v>305</v>
      </c>
      <c r="G488" t="s">
        <v>76</v>
      </c>
      <c r="H488" t="s">
        <v>60</v>
      </c>
      <c r="I488" s="1">
        <v>1</v>
      </c>
      <c r="J488" s="2">
        <v>344.83</v>
      </c>
    </row>
    <row r="489" spans="2:10" hidden="1" x14ac:dyDescent="0.2">
      <c r="B489" t="s">
        <v>376</v>
      </c>
      <c r="C489" t="s">
        <v>185</v>
      </c>
      <c r="D489" t="s">
        <v>386</v>
      </c>
      <c r="E489" t="s">
        <v>381</v>
      </c>
      <c r="F489" t="s">
        <v>382</v>
      </c>
      <c r="G489" t="s">
        <v>43</v>
      </c>
      <c r="H489" t="s">
        <v>383</v>
      </c>
      <c r="I489" s="1">
        <v>1</v>
      </c>
      <c r="J489" s="2">
        <v>301.72000000000003</v>
      </c>
    </row>
    <row r="490" spans="2:10" hidden="1" x14ac:dyDescent="0.2">
      <c r="B490" t="s">
        <v>376</v>
      </c>
      <c r="C490" t="s">
        <v>185</v>
      </c>
      <c r="D490" t="s">
        <v>386</v>
      </c>
      <c r="E490" t="s">
        <v>312</v>
      </c>
      <c r="F490" t="s">
        <v>313</v>
      </c>
      <c r="G490" t="s">
        <v>1033</v>
      </c>
      <c r="H490" t="s">
        <v>30</v>
      </c>
      <c r="I490" s="1">
        <v>1</v>
      </c>
      <c r="J490" s="2">
        <v>603.45000000000005</v>
      </c>
    </row>
    <row r="491" spans="2:10" hidden="1" x14ac:dyDescent="0.2">
      <c r="B491" t="s">
        <v>376</v>
      </c>
      <c r="C491" t="s">
        <v>335</v>
      </c>
      <c r="D491" t="s">
        <v>386</v>
      </c>
      <c r="E491" t="s">
        <v>167</v>
      </c>
      <c r="F491" t="s">
        <v>168</v>
      </c>
      <c r="G491" t="s">
        <v>1033</v>
      </c>
      <c r="H491" t="s">
        <v>30</v>
      </c>
      <c r="I491" s="1">
        <v>1</v>
      </c>
      <c r="J491" s="2">
        <v>1267.24</v>
      </c>
    </row>
    <row r="492" spans="2:10" hidden="1" x14ac:dyDescent="0.2">
      <c r="B492" t="s">
        <v>376</v>
      </c>
      <c r="C492" t="s">
        <v>335</v>
      </c>
      <c r="D492" t="s">
        <v>386</v>
      </c>
      <c r="E492" t="s">
        <v>46</v>
      </c>
      <c r="F492" t="s">
        <v>47</v>
      </c>
      <c r="G492" t="s">
        <v>1034</v>
      </c>
      <c r="H492" t="s">
        <v>15</v>
      </c>
      <c r="I492" s="1">
        <v>1</v>
      </c>
      <c r="J492" s="2">
        <v>301.72000000000003</v>
      </c>
    </row>
    <row r="493" spans="2:10" hidden="1" x14ac:dyDescent="0.2">
      <c r="B493" t="s">
        <v>376</v>
      </c>
      <c r="C493" t="s">
        <v>335</v>
      </c>
      <c r="D493" t="s">
        <v>386</v>
      </c>
      <c r="E493" t="s">
        <v>120</v>
      </c>
      <c r="F493" t="s">
        <v>121</v>
      </c>
      <c r="G493" t="s">
        <v>1034</v>
      </c>
      <c r="H493" t="s">
        <v>15</v>
      </c>
      <c r="I493" s="1">
        <v>1</v>
      </c>
      <c r="J493" s="2">
        <v>301.72000000000003</v>
      </c>
    </row>
    <row r="494" spans="2:10" hidden="1" x14ac:dyDescent="0.2">
      <c r="B494" t="s">
        <v>376</v>
      </c>
      <c r="C494" t="s">
        <v>335</v>
      </c>
      <c r="D494" t="s">
        <v>386</v>
      </c>
      <c r="E494" t="s">
        <v>253</v>
      </c>
      <c r="F494" t="s">
        <v>254</v>
      </c>
      <c r="G494" t="s">
        <v>1034</v>
      </c>
      <c r="H494" t="s">
        <v>15</v>
      </c>
      <c r="I494" s="1">
        <v>1</v>
      </c>
      <c r="J494" s="2">
        <v>775.86</v>
      </c>
    </row>
    <row r="495" spans="2:10" hidden="1" x14ac:dyDescent="0.2">
      <c r="B495" t="s">
        <v>376</v>
      </c>
      <c r="C495" t="s">
        <v>335</v>
      </c>
      <c r="D495" t="s">
        <v>386</v>
      </c>
      <c r="E495" t="s">
        <v>72</v>
      </c>
      <c r="F495" t="s">
        <v>73</v>
      </c>
      <c r="G495" t="s">
        <v>1034</v>
      </c>
      <c r="H495" t="s">
        <v>15</v>
      </c>
      <c r="I495" s="1">
        <v>1</v>
      </c>
      <c r="J495" s="2">
        <v>775.86</v>
      </c>
    </row>
    <row r="496" spans="2:10" hidden="1" x14ac:dyDescent="0.2">
      <c r="B496" t="s">
        <v>376</v>
      </c>
      <c r="C496" t="s">
        <v>335</v>
      </c>
      <c r="D496" t="s">
        <v>386</v>
      </c>
      <c r="E496" t="s">
        <v>161</v>
      </c>
      <c r="F496" t="s">
        <v>162</v>
      </c>
      <c r="G496" t="s">
        <v>1033</v>
      </c>
      <c r="H496" t="s">
        <v>30</v>
      </c>
      <c r="I496" s="1">
        <v>1</v>
      </c>
      <c r="J496" s="2">
        <v>2474.14</v>
      </c>
    </row>
    <row r="497" spans="2:10" hidden="1" x14ac:dyDescent="0.2">
      <c r="B497" t="s">
        <v>376</v>
      </c>
      <c r="C497" t="s">
        <v>335</v>
      </c>
      <c r="D497" t="s">
        <v>386</v>
      </c>
      <c r="E497" t="s">
        <v>16</v>
      </c>
      <c r="F497" t="s">
        <v>17</v>
      </c>
      <c r="G497" t="s">
        <v>1034</v>
      </c>
      <c r="H497" t="s">
        <v>15</v>
      </c>
      <c r="I497" s="1">
        <v>1</v>
      </c>
      <c r="J497" s="2">
        <v>577.59</v>
      </c>
    </row>
    <row r="498" spans="2:10" hidden="1" x14ac:dyDescent="0.2">
      <c r="B498" t="s">
        <v>376</v>
      </c>
      <c r="C498" t="s">
        <v>418</v>
      </c>
      <c r="D498" t="s">
        <v>386</v>
      </c>
      <c r="E498" t="s">
        <v>368</v>
      </c>
      <c r="F498" t="s">
        <v>369</v>
      </c>
      <c r="G498" t="s">
        <v>1033</v>
      </c>
      <c r="H498" t="s">
        <v>30</v>
      </c>
      <c r="I498" s="1">
        <v>1</v>
      </c>
      <c r="J498" s="2">
        <v>612.07000000000005</v>
      </c>
    </row>
    <row r="499" spans="2:10" hidden="1" x14ac:dyDescent="0.2">
      <c r="B499" t="s">
        <v>376</v>
      </c>
      <c r="C499" t="s">
        <v>418</v>
      </c>
      <c r="D499" t="s">
        <v>386</v>
      </c>
      <c r="E499" t="s">
        <v>120</v>
      </c>
      <c r="F499" t="s">
        <v>121</v>
      </c>
      <c r="G499" t="s">
        <v>1034</v>
      </c>
      <c r="H499" t="s">
        <v>15</v>
      </c>
      <c r="I499" s="1">
        <v>1</v>
      </c>
      <c r="J499" s="2">
        <v>301.72000000000003</v>
      </c>
    </row>
    <row r="500" spans="2:10" hidden="1" x14ac:dyDescent="0.2">
      <c r="B500" t="s">
        <v>376</v>
      </c>
      <c r="C500" t="s">
        <v>418</v>
      </c>
      <c r="D500" t="s">
        <v>386</v>
      </c>
      <c r="E500" t="s">
        <v>74</v>
      </c>
      <c r="F500" t="s">
        <v>75</v>
      </c>
      <c r="G500" t="s">
        <v>76</v>
      </c>
      <c r="H500" t="s">
        <v>60</v>
      </c>
      <c r="I500" s="1">
        <v>2</v>
      </c>
      <c r="J500" s="2">
        <v>689.66</v>
      </c>
    </row>
    <row r="501" spans="2:10" hidden="1" x14ac:dyDescent="0.2">
      <c r="B501" t="s">
        <v>376</v>
      </c>
      <c r="C501" t="s">
        <v>418</v>
      </c>
      <c r="D501" t="s">
        <v>386</v>
      </c>
      <c r="E501" t="s">
        <v>16</v>
      </c>
      <c r="F501" t="s">
        <v>17</v>
      </c>
      <c r="G501" t="s">
        <v>1034</v>
      </c>
      <c r="H501" t="s">
        <v>15</v>
      </c>
      <c r="I501" s="1">
        <v>1</v>
      </c>
      <c r="J501" s="2">
        <v>577.59</v>
      </c>
    </row>
    <row r="502" spans="2:10" hidden="1" x14ac:dyDescent="0.2">
      <c r="B502" t="s">
        <v>376</v>
      </c>
      <c r="C502" t="s">
        <v>418</v>
      </c>
      <c r="D502" t="s">
        <v>386</v>
      </c>
      <c r="E502" t="s">
        <v>181</v>
      </c>
      <c r="F502" t="s">
        <v>182</v>
      </c>
      <c r="G502" t="s">
        <v>43</v>
      </c>
      <c r="H502" t="s">
        <v>81</v>
      </c>
      <c r="I502" s="1">
        <v>1</v>
      </c>
      <c r="J502" s="2">
        <v>1379.31</v>
      </c>
    </row>
    <row r="503" spans="2:10" hidden="1" x14ac:dyDescent="0.2">
      <c r="B503" t="s">
        <v>376</v>
      </c>
      <c r="C503" t="s">
        <v>186</v>
      </c>
      <c r="D503" t="s">
        <v>386</v>
      </c>
      <c r="E503" t="s">
        <v>201</v>
      </c>
      <c r="F503" t="s">
        <v>202</v>
      </c>
      <c r="G503" t="s">
        <v>1033</v>
      </c>
      <c r="H503" t="s">
        <v>30</v>
      </c>
      <c r="I503" s="1">
        <v>1</v>
      </c>
      <c r="J503" s="2">
        <v>948.28</v>
      </c>
    </row>
    <row r="504" spans="2:10" hidden="1" x14ac:dyDescent="0.2">
      <c r="B504" t="s">
        <v>376</v>
      </c>
      <c r="C504" t="s">
        <v>197</v>
      </c>
      <c r="D504" t="s">
        <v>386</v>
      </c>
      <c r="E504" t="s">
        <v>419</v>
      </c>
      <c r="F504" t="s">
        <v>420</v>
      </c>
      <c r="G504" t="s">
        <v>14</v>
      </c>
      <c r="H504" t="s">
        <v>35</v>
      </c>
      <c r="I504" s="1">
        <v>1</v>
      </c>
      <c r="J504" s="2">
        <v>77.59</v>
      </c>
    </row>
    <row r="505" spans="2:10" hidden="1" x14ac:dyDescent="0.2">
      <c r="B505" t="s">
        <v>376</v>
      </c>
      <c r="C505" t="s">
        <v>197</v>
      </c>
      <c r="D505" t="s">
        <v>386</v>
      </c>
      <c r="E505" t="s">
        <v>421</v>
      </c>
      <c r="F505" t="s">
        <v>422</v>
      </c>
      <c r="G505" t="s">
        <v>54</v>
      </c>
      <c r="H505" t="s">
        <v>138</v>
      </c>
      <c r="I505" s="1">
        <v>1</v>
      </c>
      <c r="J505" s="2">
        <v>599.14</v>
      </c>
    </row>
    <row r="506" spans="2:10" hidden="1" x14ac:dyDescent="0.2">
      <c r="B506" t="s">
        <v>376</v>
      </c>
      <c r="C506" t="s">
        <v>197</v>
      </c>
      <c r="D506" t="s">
        <v>386</v>
      </c>
      <c r="E506" t="s">
        <v>201</v>
      </c>
      <c r="F506" t="s">
        <v>202</v>
      </c>
      <c r="G506" t="s">
        <v>1033</v>
      </c>
      <c r="H506" t="s">
        <v>30</v>
      </c>
      <c r="I506" s="1">
        <v>1</v>
      </c>
      <c r="J506" s="2">
        <v>948.28</v>
      </c>
    </row>
    <row r="507" spans="2:10" hidden="1" x14ac:dyDescent="0.2">
      <c r="B507" t="s">
        <v>376</v>
      </c>
      <c r="C507" t="s">
        <v>197</v>
      </c>
      <c r="D507" t="s">
        <v>386</v>
      </c>
      <c r="E507" t="s">
        <v>56</v>
      </c>
      <c r="F507" t="s">
        <v>57</v>
      </c>
      <c r="G507" t="s">
        <v>1034</v>
      </c>
      <c r="H507" t="s">
        <v>15</v>
      </c>
      <c r="I507" s="1">
        <v>1</v>
      </c>
      <c r="J507" s="2">
        <v>431.03</v>
      </c>
    </row>
    <row r="508" spans="2:10" hidden="1" x14ac:dyDescent="0.2">
      <c r="B508" t="s">
        <v>376</v>
      </c>
      <c r="C508" t="s">
        <v>197</v>
      </c>
      <c r="D508" t="s">
        <v>386</v>
      </c>
      <c r="E508" t="s">
        <v>16</v>
      </c>
      <c r="F508" t="s">
        <v>17</v>
      </c>
      <c r="G508" t="s">
        <v>1034</v>
      </c>
      <c r="H508" t="s">
        <v>15</v>
      </c>
      <c r="I508" s="1">
        <v>2</v>
      </c>
      <c r="J508" s="2">
        <v>1155.18</v>
      </c>
    </row>
    <row r="509" spans="2:10" hidden="1" x14ac:dyDescent="0.2">
      <c r="B509" t="s">
        <v>376</v>
      </c>
      <c r="C509" t="s">
        <v>197</v>
      </c>
      <c r="D509" t="s">
        <v>386</v>
      </c>
      <c r="E509" t="s">
        <v>423</v>
      </c>
      <c r="F509" t="s">
        <v>424</v>
      </c>
      <c r="G509" t="s">
        <v>43</v>
      </c>
      <c r="H509" t="s">
        <v>81</v>
      </c>
      <c r="I509" s="1">
        <v>1</v>
      </c>
      <c r="J509" s="2">
        <v>1896.55</v>
      </c>
    </row>
    <row r="510" spans="2:10" hidden="1" x14ac:dyDescent="0.2">
      <c r="B510" t="s">
        <v>376</v>
      </c>
      <c r="C510" t="s">
        <v>206</v>
      </c>
      <c r="D510" t="s">
        <v>386</v>
      </c>
      <c r="E510" t="s">
        <v>419</v>
      </c>
      <c r="F510" t="s">
        <v>420</v>
      </c>
      <c r="G510" t="s">
        <v>14</v>
      </c>
      <c r="H510" t="s">
        <v>35</v>
      </c>
      <c r="I510" s="1">
        <v>1</v>
      </c>
      <c r="J510" s="2">
        <v>77.59</v>
      </c>
    </row>
    <row r="511" spans="2:10" hidden="1" x14ac:dyDescent="0.2">
      <c r="B511" t="s">
        <v>376</v>
      </c>
      <c r="C511" t="s">
        <v>206</v>
      </c>
      <c r="D511" t="s">
        <v>386</v>
      </c>
      <c r="E511" t="s">
        <v>425</v>
      </c>
      <c r="F511" t="s">
        <v>426</v>
      </c>
      <c r="G511" t="s">
        <v>1033</v>
      </c>
      <c r="H511" t="s">
        <v>30</v>
      </c>
      <c r="I511" s="1">
        <v>1</v>
      </c>
      <c r="J511" s="2">
        <v>1137.93</v>
      </c>
    </row>
    <row r="512" spans="2:10" hidden="1" x14ac:dyDescent="0.2">
      <c r="B512" t="s">
        <v>376</v>
      </c>
      <c r="C512" t="s">
        <v>206</v>
      </c>
      <c r="D512" t="s">
        <v>386</v>
      </c>
      <c r="E512" t="s">
        <v>122</v>
      </c>
      <c r="F512" t="s">
        <v>123</v>
      </c>
      <c r="G512" t="s">
        <v>1034</v>
      </c>
      <c r="H512" t="s">
        <v>15</v>
      </c>
      <c r="I512" s="1">
        <v>1</v>
      </c>
      <c r="J512" s="2">
        <v>387.93</v>
      </c>
    </row>
    <row r="513" spans="2:10" hidden="1" x14ac:dyDescent="0.2">
      <c r="B513" t="s">
        <v>376</v>
      </c>
      <c r="C513" t="s">
        <v>206</v>
      </c>
      <c r="D513" t="s">
        <v>386</v>
      </c>
      <c r="E513" t="s">
        <v>427</v>
      </c>
      <c r="F513" t="s">
        <v>428</v>
      </c>
      <c r="G513" t="s">
        <v>14</v>
      </c>
      <c r="H513" t="s">
        <v>87</v>
      </c>
      <c r="I513" s="1">
        <v>1</v>
      </c>
      <c r="J513" s="2">
        <v>120.69</v>
      </c>
    </row>
    <row r="514" spans="2:10" hidden="1" x14ac:dyDescent="0.2">
      <c r="B514" t="s">
        <v>376</v>
      </c>
      <c r="C514" t="s">
        <v>206</v>
      </c>
      <c r="D514" t="s">
        <v>386</v>
      </c>
      <c r="E514" t="s">
        <v>273</v>
      </c>
      <c r="F514" t="s">
        <v>274</v>
      </c>
      <c r="G514" t="s">
        <v>1033</v>
      </c>
      <c r="H514" t="s">
        <v>30</v>
      </c>
      <c r="I514" s="1">
        <v>1</v>
      </c>
      <c r="J514" s="2">
        <v>1293.0999999999999</v>
      </c>
    </row>
    <row r="515" spans="2:10" hidden="1" x14ac:dyDescent="0.2">
      <c r="B515" t="s">
        <v>376</v>
      </c>
      <c r="C515" t="s">
        <v>206</v>
      </c>
      <c r="D515" t="s">
        <v>386</v>
      </c>
      <c r="E515" t="s">
        <v>406</v>
      </c>
      <c r="F515" t="s">
        <v>407</v>
      </c>
      <c r="G515" t="s">
        <v>14</v>
      </c>
      <c r="H515" t="s">
        <v>104</v>
      </c>
      <c r="I515" s="1">
        <v>1</v>
      </c>
      <c r="J515" s="2">
        <v>17.239999999999998</v>
      </c>
    </row>
    <row r="516" spans="2:10" hidden="1" x14ac:dyDescent="0.2">
      <c r="B516" t="s">
        <v>376</v>
      </c>
      <c r="C516" t="s">
        <v>206</v>
      </c>
      <c r="D516" t="s">
        <v>386</v>
      </c>
      <c r="E516" t="s">
        <v>61</v>
      </c>
      <c r="F516" t="s">
        <v>62</v>
      </c>
      <c r="G516" t="s">
        <v>1034</v>
      </c>
      <c r="H516" t="s">
        <v>15</v>
      </c>
      <c r="I516" s="1">
        <v>1</v>
      </c>
      <c r="J516" s="2">
        <v>172.41</v>
      </c>
    </row>
    <row r="517" spans="2:10" hidden="1" x14ac:dyDescent="0.2">
      <c r="B517" t="s">
        <v>376</v>
      </c>
      <c r="C517" t="s">
        <v>206</v>
      </c>
      <c r="D517" t="s">
        <v>386</v>
      </c>
      <c r="E517" t="s">
        <v>63</v>
      </c>
      <c r="F517" t="s">
        <v>64</v>
      </c>
      <c r="G517" t="s">
        <v>1034</v>
      </c>
      <c r="H517" t="s">
        <v>15</v>
      </c>
      <c r="I517" s="1">
        <v>2</v>
      </c>
      <c r="J517" s="2">
        <v>344.82</v>
      </c>
    </row>
    <row r="518" spans="2:10" hidden="1" x14ac:dyDescent="0.2">
      <c r="B518" t="s">
        <v>376</v>
      </c>
      <c r="C518" t="s">
        <v>206</v>
      </c>
      <c r="D518" t="s">
        <v>386</v>
      </c>
      <c r="E518" t="s">
        <v>16</v>
      </c>
      <c r="F518" t="s">
        <v>17</v>
      </c>
      <c r="G518" t="s">
        <v>1034</v>
      </c>
      <c r="H518" t="s">
        <v>15</v>
      </c>
      <c r="I518" s="1">
        <v>2</v>
      </c>
      <c r="J518" s="2">
        <v>1155.18</v>
      </c>
    </row>
    <row r="519" spans="2:10" hidden="1" x14ac:dyDescent="0.2">
      <c r="B519" t="s">
        <v>376</v>
      </c>
      <c r="C519" t="s">
        <v>220</v>
      </c>
      <c r="D519" t="s">
        <v>226</v>
      </c>
      <c r="E519" t="s">
        <v>214</v>
      </c>
      <c r="F519" t="s">
        <v>215</v>
      </c>
      <c r="G519" t="s">
        <v>1034</v>
      </c>
      <c r="H519" t="s">
        <v>15</v>
      </c>
      <c r="I519" s="1">
        <v>1</v>
      </c>
      <c r="J519" s="2">
        <v>301.72000000000003</v>
      </c>
    </row>
    <row r="520" spans="2:10" hidden="1" x14ac:dyDescent="0.2">
      <c r="B520" t="s">
        <v>376</v>
      </c>
      <c r="C520" t="s">
        <v>220</v>
      </c>
      <c r="D520" t="s">
        <v>226</v>
      </c>
      <c r="E520" t="s">
        <v>304</v>
      </c>
      <c r="F520" t="s">
        <v>305</v>
      </c>
      <c r="G520" t="s">
        <v>76</v>
      </c>
      <c r="H520" t="s">
        <v>60</v>
      </c>
      <c r="I520" s="1">
        <v>1</v>
      </c>
      <c r="J520" s="2">
        <v>344.83</v>
      </c>
    </row>
    <row r="521" spans="2:10" hidden="1" x14ac:dyDescent="0.2">
      <c r="B521" t="s">
        <v>376</v>
      </c>
      <c r="C521" t="s">
        <v>220</v>
      </c>
      <c r="D521" t="s">
        <v>226</v>
      </c>
      <c r="E521" t="s">
        <v>429</v>
      </c>
      <c r="F521" t="s">
        <v>430</v>
      </c>
      <c r="G521" t="s">
        <v>43</v>
      </c>
      <c r="H521" t="s">
        <v>50</v>
      </c>
      <c r="I521" s="1">
        <v>1</v>
      </c>
      <c r="J521" s="2">
        <v>181.03</v>
      </c>
    </row>
    <row r="522" spans="2:10" hidden="1" x14ac:dyDescent="0.2">
      <c r="B522" t="s">
        <v>376</v>
      </c>
      <c r="C522" t="s">
        <v>220</v>
      </c>
      <c r="D522" t="s">
        <v>226</v>
      </c>
      <c r="E522" t="s">
        <v>431</v>
      </c>
      <c r="F522" t="s">
        <v>432</v>
      </c>
      <c r="G522" t="s">
        <v>43</v>
      </c>
      <c r="H522" t="s">
        <v>50</v>
      </c>
      <c r="I522" s="1">
        <v>1</v>
      </c>
      <c r="J522" s="2">
        <v>181.03</v>
      </c>
    </row>
    <row r="523" spans="2:10" hidden="1" x14ac:dyDescent="0.2">
      <c r="B523" t="s">
        <v>376</v>
      </c>
      <c r="C523" t="s">
        <v>220</v>
      </c>
      <c r="D523" t="s">
        <v>226</v>
      </c>
      <c r="E523" t="s">
        <v>427</v>
      </c>
      <c r="F523" t="s">
        <v>428</v>
      </c>
      <c r="G523" t="s">
        <v>14</v>
      </c>
      <c r="H523" t="s">
        <v>87</v>
      </c>
      <c r="I523" s="1">
        <v>1</v>
      </c>
      <c r="J523" s="2">
        <v>120.69</v>
      </c>
    </row>
    <row r="524" spans="2:10" hidden="1" x14ac:dyDescent="0.2">
      <c r="B524" t="s">
        <v>376</v>
      </c>
      <c r="C524" t="s">
        <v>220</v>
      </c>
      <c r="D524" t="s">
        <v>226</v>
      </c>
      <c r="E524" t="s">
        <v>56</v>
      </c>
      <c r="F524" t="s">
        <v>57</v>
      </c>
      <c r="G524" t="s">
        <v>1034</v>
      </c>
      <c r="H524" t="s">
        <v>15</v>
      </c>
      <c r="I524" s="1">
        <v>2</v>
      </c>
      <c r="J524" s="2">
        <v>862.07</v>
      </c>
    </row>
    <row r="525" spans="2:10" hidden="1" x14ac:dyDescent="0.2">
      <c r="B525" t="s">
        <v>376</v>
      </c>
      <c r="C525" t="s">
        <v>220</v>
      </c>
      <c r="D525" t="s">
        <v>226</v>
      </c>
      <c r="E525" t="s">
        <v>61</v>
      </c>
      <c r="F525" t="s">
        <v>62</v>
      </c>
      <c r="G525" t="s">
        <v>1034</v>
      </c>
      <c r="H525" t="s">
        <v>15</v>
      </c>
      <c r="I525" s="1">
        <v>1</v>
      </c>
      <c r="J525" s="2">
        <v>172.41</v>
      </c>
    </row>
    <row r="526" spans="2:10" hidden="1" x14ac:dyDescent="0.2">
      <c r="B526" t="s">
        <v>376</v>
      </c>
      <c r="C526" t="s">
        <v>220</v>
      </c>
      <c r="D526" t="s">
        <v>226</v>
      </c>
      <c r="E526" t="s">
        <v>63</v>
      </c>
      <c r="F526" t="s">
        <v>64</v>
      </c>
      <c r="G526" t="s">
        <v>1034</v>
      </c>
      <c r="H526" t="s">
        <v>15</v>
      </c>
      <c r="I526" s="1">
        <v>1</v>
      </c>
      <c r="J526" s="2">
        <v>172.41</v>
      </c>
    </row>
    <row r="527" spans="2:10" hidden="1" x14ac:dyDescent="0.2">
      <c r="B527" t="s">
        <v>376</v>
      </c>
      <c r="C527" t="s">
        <v>220</v>
      </c>
      <c r="D527" t="s">
        <v>226</v>
      </c>
      <c r="E527" t="s">
        <v>16</v>
      </c>
      <c r="F527" t="s">
        <v>17</v>
      </c>
      <c r="G527" t="s">
        <v>1034</v>
      </c>
      <c r="H527" t="s">
        <v>15</v>
      </c>
      <c r="I527" s="1">
        <v>2</v>
      </c>
      <c r="J527" s="2">
        <v>1155.18</v>
      </c>
    </row>
    <row r="528" spans="2:10" hidden="1" x14ac:dyDescent="0.2">
      <c r="B528" t="s">
        <v>376</v>
      </c>
      <c r="C528" t="s">
        <v>225</v>
      </c>
      <c r="D528" t="s">
        <v>386</v>
      </c>
      <c r="E528" t="s">
        <v>153</v>
      </c>
      <c r="F528" t="s">
        <v>154</v>
      </c>
      <c r="G528" t="s">
        <v>1034</v>
      </c>
      <c r="H528" t="s">
        <v>15</v>
      </c>
      <c r="I528" s="1">
        <v>1</v>
      </c>
      <c r="J528" s="2">
        <v>387.93</v>
      </c>
    </row>
    <row r="529" spans="2:10" x14ac:dyDescent="0.2">
      <c r="B529" t="s">
        <v>376</v>
      </c>
      <c r="C529" t="s">
        <v>227</v>
      </c>
      <c r="D529" t="s">
        <v>130</v>
      </c>
      <c r="E529" t="s">
        <v>433</v>
      </c>
      <c r="F529" t="s">
        <v>434</v>
      </c>
      <c r="G529" t="s">
        <v>1033</v>
      </c>
      <c r="H529" t="s">
        <v>30</v>
      </c>
      <c r="I529" s="1">
        <v>1</v>
      </c>
      <c r="J529" s="2">
        <v>344.83</v>
      </c>
    </row>
    <row r="530" spans="2:10" x14ac:dyDescent="0.2">
      <c r="B530" t="s">
        <v>376</v>
      </c>
      <c r="C530" t="s">
        <v>227</v>
      </c>
      <c r="D530" t="s">
        <v>130</v>
      </c>
      <c r="E530" t="s">
        <v>397</v>
      </c>
      <c r="F530" t="s">
        <v>398</v>
      </c>
      <c r="G530" t="s">
        <v>14</v>
      </c>
      <c r="H530" t="s">
        <v>35</v>
      </c>
      <c r="I530" s="1">
        <v>1</v>
      </c>
      <c r="J530" s="2">
        <v>77.59</v>
      </c>
    </row>
    <row r="531" spans="2:10" x14ac:dyDescent="0.2">
      <c r="B531" t="s">
        <v>376</v>
      </c>
      <c r="C531" t="s">
        <v>227</v>
      </c>
      <c r="D531" t="s">
        <v>130</v>
      </c>
      <c r="E531" t="s">
        <v>177</v>
      </c>
      <c r="F531" t="s">
        <v>178</v>
      </c>
      <c r="G531" t="s">
        <v>1033</v>
      </c>
      <c r="H531" t="s">
        <v>30</v>
      </c>
      <c r="I531" s="1">
        <v>1</v>
      </c>
      <c r="J531" s="2">
        <v>637.92999999999995</v>
      </c>
    </row>
    <row r="532" spans="2:10" x14ac:dyDescent="0.2">
      <c r="B532" t="s">
        <v>376</v>
      </c>
      <c r="C532" t="s">
        <v>227</v>
      </c>
      <c r="D532" t="s">
        <v>130</v>
      </c>
      <c r="E532" t="s">
        <v>257</v>
      </c>
      <c r="F532" t="s">
        <v>258</v>
      </c>
      <c r="G532" t="s">
        <v>1033</v>
      </c>
      <c r="H532" t="s">
        <v>30</v>
      </c>
      <c r="I532" s="1">
        <v>1</v>
      </c>
      <c r="J532" s="2">
        <v>1577.59</v>
      </c>
    </row>
    <row r="533" spans="2:10" x14ac:dyDescent="0.2">
      <c r="B533" t="s">
        <v>376</v>
      </c>
      <c r="C533" t="s">
        <v>227</v>
      </c>
      <c r="D533" t="s">
        <v>130</v>
      </c>
      <c r="E533" t="s">
        <v>273</v>
      </c>
      <c r="F533" t="s">
        <v>274</v>
      </c>
      <c r="G533" t="s">
        <v>1033</v>
      </c>
      <c r="H533" t="s">
        <v>30</v>
      </c>
      <c r="I533" s="1">
        <v>1</v>
      </c>
      <c r="J533" s="2">
        <v>1293.0999999999999</v>
      </c>
    </row>
    <row r="534" spans="2:10" x14ac:dyDescent="0.2">
      <c r="B534" t="s">
        <v>376</v>
      </c>
      <c r="C534" t="s">
        <v>227</v>
      </c>
      <c r="D534" t="s">
        <v>130</v>
      </c>
      <c r="E534" t="s">
        <v>16</v>
      </c>
      <c r="F534" t="s">
        <v>17</v>
      </c>
      <c r="G534" t="s">
        <v>1034</v>
      </c>
      <c r="H534" t="s">
        <v>15</v>
      </c>
      <c r="I534" s="1">
        <v>1</v>
      </c>
      <c r="J534" s="2">
        <v>577.59</v>
      </c>
    </row>
    <row r="535" spans="2:10" x14ac:dyDescent="0.2">
      <c r="B535" t="s">
        <v>376</v>
      </c>
      <c r="C535" t="s">
        <v>227</v>
      </c>
      <c r="D535" t="s">
        <v>130</v>
      </c>
      <c r="E535" t="s">
        <v>126</v>
      </c>
      <c r="F535" t="s">
        <v>127</v>
      </c>
      <c r="G535" t="s">
        <v>43</v>
      </c>
      <c r="H535" t="s">
        <v>128</v>
      </c>
      <c r="I535" s="1">
        <v>1</v>
      </c>
      <c r="J535" s="2">
        <v>2068.9699999999998</v>
      </c>
    </row>
    <row r="536" spans="2:10" x14ac:dyDescent="0.2">
      <c r="B536" t="s">
        <v>376</v>
      </c>
      <c r="C536" t="s">
        <v>228</v>
      </c>
      <c r="D536" t="s">
        <v>386</v>
      </c>
      <c r="E536" t="s">
        <v>251</v>
      </c>
      <c r="F536" t="s">
        <v>252</v>
      </c>
      <c r="G536" t="s">
        <v>1033</v>
      </c>
      <c r="H536" t="s">
        <v>30</v>
      </c>
      <c r="I536" s="1">
        <v>1</v>
      </c>
      <c r="J536" s="2">
        <v>1500</v>
      </c>
    </row>
    <row r="537" spans="2:10" x14ac:dyDescent="0.2">
      <c r="B537" t="s">
        <v>376</v>
      </c>
      <c r="C537" t="s">
        <v>228</v>
      </c>
      <c r="D537" t="s">
        <v>386</v>
      </c>
      <c r="E537" t="s">
        <v>120</v>
      </c>
      <c r="F537" t="s">
        <v>121</v>
      </c>
      <c r="G537" t="s">
        <v>1034</v>
      </c>
      <c r="H537" t="s">
        <v>15</v>
      </c>
      <c r="I537" s="1">
        <v>1</v>
      </c>
      <c r="J537" s="2">
        <v>301.72000000000003</v>
      </c>
    </row>
    <row r="538" spans="2:10" x14ac:dyDescent="0.2">
      <c r="B538" t="s">
        <v>376</v>
      </c>
      <c r="C538" t="s">
        <v>228</v>
      </c>
      <c r="D538" t="s">
        <v>386</v>
      </c>
      <c r="E538" t="s">
        <v>435</v>
      </c>
      <c r="F538" t="s">
        <v>436</v>
      </c>
      <c r="G538" t="s">
        <v>1033</v>
      </c>
      <c r="H538" t="s">
        <v>30</v>
      </c>
      <c r="I538" s="1">
        <v>1</v>
      </c>
      <c r="J538" s="2">
        <v>2060.9299999999998</v>
      </c>
    </row>
    <row r="539" spans="2:10" x14ac:dyDescent="0.2">
      <c r="B539" t="s">
        <v>376</v>
      </c>
      <c r="C539" t="s">
        <v>233</v>
      </c>
      <c r="D539" t="s">
        <v>386</v>
      </c>
      <c r="E539" t="s">
        <v>437</v>
      </c>
      <c r="F539" t="s">
        <v>438</v>
      </c>
      <c r="G539" t="s">
        <v>54</v>
      </c>
      <c r="H539" t="s">
        <v>439</v>
      </c>
      <c r="I539" s="1">
        <v>1</v>
      </c>
      <c r="J539" s="2">
        <v>301.72000000000003</v>
      </c>
    </row>
    <row r="540" spans="2:10" x14ac:dyDescent="0.2">
      <c r="B540" t="s">
        <v>376</v>
      </c>
      <c r="C540" t="s">
        <v>233</v>
      </c>
      <c r="D540" t="s">
        <v>386</v>
      </c>
      <c r="E540" t="s">
        <v>324</v>
      </c>
      <c r="F540" t="s">
        <v>325</v>
      </c>
      <c r="G540" t="s">
        <v>1033</v>
      </c>
      <c r="H540" t="s">
        <v>30</v>
      </c>
      <c r="I540" s="1">
        <v>1</v>
      </c>
      <c r="J540" s="2">
        <v>2000</v>
      </c>
    </row>
    <row r="541" spans="2:10" x14ac:dyDescent="0.2">
      <c r="B541" t="s">
        <v>376</v>
      </c>
      <c r="C541" t="s">
        <v>233</v>
      </c>
      <c r="D541" t="s">
        <v>386</v>
      </c>
      <c r="E541" t="s">
        <v>356</v>
      </c>
      <c r="F541" t="s">
        <v>357</v>
      </c>
      <c r="G541" t="s">
        <v>1033</v>
      </c>
      <c r="H541" t="s">
        <v>30</v>
      </c>
      <c r="I541" s="1">
        <v>1</v>
      </c>
      <c r="J541" s="2">
        <v>2198.2800000000002</v>
      </c>
    </row>
    <row r="542" spans="2:10" x14ac:dyDescent="0.2">
      <c r="B542" t="s">
        <v>376</v>
      </c>
      <c r="C542" t="s">
        <v>233</v>
      </c>
      <c r="D542" t="s">
        <v>386</v>
      </c>
      <c r="E542" t="s">
        <v>16</v>
      </c>
      <c r="F542" t="s">
        <v>17</v>
      </c>
      <c r="G542" t="s">
        <v>1034</v>
      </c>
      <c r="H542" t="s">
        <v>15</v>
      </c>
      <c r="I542" s="1">
        <v>1</v>
      </c>
      <c r="J542" s="2">
        <v>577.59</v>
      </c>
    </row>
    <row r="543" spans="2:10" x14ac:dyDescent="0.2">
      <c r="B543" t="s">
        <v>376</v>
      </c>
      <c r="C543" t="s">
        <v>233</v>
      </c>
      <c r="D543" t="s">
        <v>386</v>
      </c>
      <c r="E543" t="s">
        <v>110</v>
      </c>
      <c r="F543" t="s">
        <v>111</v>
      </c>
      <c r="G543" t="s">
        <v>14</v>
      </c>
      <c r="H543" t="s">
        <v>112</v>
      </c>
      <c r="I543" s="1">
        <v>1</v>
      </c>
      <c r="J543" s="2">
        <v>301.72000000000003</v>
      </c>
    </row>
    <row r="544" spans="2:10" x14ac:dyDescent="0.2">
      <c r="B544" t="s">
        <v>376</v>
      </c>
      <c r="C544" t="s">
        <v>233</v>
      </c>
      <c r="D544" t="s">
        <v>386</v>
      </c>
      <c r="E544" t="s">
        <v>440</v>
      </c>
      <c r="F544" t="s">
        <v>441</v>
      </c>
      <c r="G544" t="s">
        <v>43</v>
      </c>
      <c r="H544" t="s">
        <v>81</v>
      </c>
      <c r="I544" s="1">
        <v>1</v>
      </c>
      <c r="J544" s="2">
        <v>1120.69</v>
      </c>
    </row>
    <row r="545" spans="2:10" x14ac:dyDescent="0.2">
      <c r="B545" t="s">
        <v>376</v>
      </c>
      <c r="C545" t="s">
        <v>236</v>
      </c>
      <c r="D545" t="s">
        <v>386</v>
      </c>
      <c r="E545" t="s">
        <v>249</v>
      </c>
      <c r="F545" t="s">
        <v>250</v>
      </c>
      <c r="G545" t="s">
        <v>1033</v>
      </c>
      <c r="H545" t="s">
        <v>30</v>
      </c>
      <c r="I545" s="1">
        <v>1</v>
      </c>
      <c r="J545" s="2">
        <v>517.24</v>
      </c>
    </row>
    <row r="546" spans="2:10" x14ac:dyDescent="0.2">
      <c r="B546" t="s">
        <v>376</v>
      </c>
      <c r="C546" t="s">
        <v>236</v>
      </c>
      <c r="D546" t="s">
        <v>386</v>
      </c>
      <c r="E546" t="s">
        <v>120</v>
      </c>
      <c r="F546" t="s">
        <v>121</v>
      </c>
      <c r="G546" t="s">
        <v>1034</v>
      </c>
      <c r="H546" t="s">
        <v>15</v>
      </c>
      <c r="I546" s="1">
        <v>1</v>
      </c>
      <c r="J546" s="2">
        <v>301.72000000000003</v>
      </c>
    </row>
    <row r="547" spans="2:10" x14ac:dyDescent="0.2">
      <c r="B547" t="s">
        <v>376</v>
      </c>
      <c r="C547" t="s">
        <v>236</v>
      </c>
      <c r="D547" t="s">
        <v>386</v>
      </c>
      <c r="E547" t="s">
        <v>72</v>
      </c>
      <c r="F547" t="s">
        <v>73</v>
      </c>
      <c r="G547" t="s">
        <v>1034</v>
      </c>
      <c r="H547" t="s">
        <v>15</v>
      </c>
      <c r="I547" s="1">
        <v>1</v>
      </c>
      <c r="J547" s="2">
        <v>775.86</v>
      </c>
    </row>
    <row r="548" spans="2:10" x14ac:dyDescent="0.2">
      <c r="B548" t="s">
        <v>376</v>
      </c>
      <c r="C548" t="s">
        <v>236</v>
      </c>
      <c r="D548" t="s">
        <v>386</v>
      </c>
      <c r="E548" t="s">
        <v>83</v>
      </c>
      <c r="F548" t="s">
        <v>84</v>
      </c>
      <c r="G548" t="s">
        <v>1034</v>
      </c>
      <c r="H548" t="s">
        <v>15</v>
      </c>
      <c r="I548" s="1">
        <v>1</v>
      </c>
      <c r="J548" s="2">
        <v>387.93</v>
      </c>
    </row>
    <row r="549" spans="2:10" x14ac:dyDescent="0.2">
      <c r="B549" t="s">
        <v>376</v>
      </c>
      <c r="C549" t="s">
        <v>236</v>
      </c>
      <c r="D549" t="s">
        <v>386</v>
      </c>
      <c r="E549" t="s">
        <v>153</v>
      </c>
      <c r="F549" t="s">
        <v>154</v>
      </c>
      <c r="G549" t="s">
        <v>1034</v>
      </c>
      <c r="H549" t="s">
        <v>15</v>
      </c>
      <c r="I549" s="1">
        <v>1</v>
      </c>
      <c r="J549" s="2">
        <v>387.93</v>
      </c>
    </row>
    <row r="550" spans="2:10" x14ac:dyDescent="0.2">
      <c r="B550" t="s">
        <v>376</v>
      </c>
      <c r="C550" t="s">
        <v>236</v>
      </c>
      <c r="D550" t="s">
        <v>386</v>
      </c>
      <c r="E550" t="s">
        <v>442</v>
      </c>
      <c r="F550" t="s">
        <v>443</v>
      </c>
      <c r="G550" t="s">
        <v>1033</v>
      </c>
      <c r="H550" t="s">
        <v>30</v>
      </c>
      <c r="I550" s="1">
        <v>1</v>
      </c>
      <c r="J550" s="2">
        <v>2500</v>
      </c>
    </row>
    <row r="551" spans="2:10" x14ac:dyDescent="0.2">
      <c r="B551" t="s">
        <v>376</v>
      </c>
      <c r="C551" t="s">
        <v>236</v>
      </c>
      <c r="D551" t="s">
        <v>386</v>
      </c>
      <c r="E551" t="s">
        <v>25</v>
      </c>
      <c r="F551" t="s">
        <v>26</v>
      </c>
      <c r="G551" t="s">
        <v>14</v>
      </c>
      <c r="H551" t="s">
        <v>27</v>
      </c>
      <c r="I551" s="1">
        <v>1</v>
      </c>
      <c r="J551" s="2">
        <v>310.33999999999997</v>
      </c>
    </row>
    <row r="552" spans="2:10" x14ac:dyDescent="0.2">
      <c r="B552" t="s">
        <v>376</v>
      </c>
      <c r="C552" t="s">
        <v>236</v>
      </c>
      <c r="D552" t="s">
        <v>386</v>
      </c>
      <c r="E552" t="s">
        <v>273</v>
      </c>
      <c r="F552" t="s">
        <v>274</v>
      </c>
      <c r="G552" t="s">
        <v>1033</v>
      </c>
      <c r="H552" t="s">
        <v>30</v>
      </c>
      <c r="I552" s="1">
        <v>1</v>
      </c>
      <c r="J552" s="2">
        <v>1293.0999999999999</v>
      </c>
    </row>
    <row r="553" spans="2:10" x14ac:dyDescent="0.2">
      <c r="B553" t="s">
        <v>376</v>
      </c>
      <c r="C553" t="s">
        <v>236</v>
      </c>
      <c r="D553" t="s">
        <v>386</v>
      </c>
      <c r="E553" t="s">
        <v>406</v>
      </c>
      <c r="F553" t="s">
        <v>407</v>
      </c>
      <c r="G553" t="s">
        <v>14</v>
      </c>
      <c r="H553" t="s">
        <v>104</v>
      </c>
      <c r="I553" s="1">
        <v>2</v>
      </c>
      <c r="J553" s="2">
        <v>34.479999999999997</v>
      </c>
    </row>
    <row r="554" spans="2:10" x14ac:dyDescent="0.2">
      <c r="B554" t="s">
        <v>376</v>
      </c>
      <c r="C554" t="s">
        <v>236</v>
      </c>
      <c r="D554" t="s">
        <v>386</v>
      </c>
      <c r="E554" t="s">
        <v>16</v>
      </c>
      <c r="F554" t="s">
        <v>17</v>
      </c>
      <c r="G554" t="s">
        <v>1034</v>
      </c>
      <c r="H554" t="s">
        <v>15</v>
      </c>
      <c r="I554" s="1">
        <v>1</v>
      </c>
      <c r="J554" s="2">
        <v>577.59</v>
      </c>
    </row>
    <row r="555" spans="2:10" x14ac:dyDescent="0.2">
      <c r="B555" t="s">
        <v>376</v>
      </c>
      <c r="C555" t="s">
        <v>237</v>
      </c>
      <c r="D555" t="s">
        <v>386</v>
      </c>
      <c r="E555" t="s">
        <v>356</v>
      </c>
      <c r="F555" t="s">
        <v>357</v>
      </c>
      <c r="G555" t="s">
        <v>1033</v>
      </c>
      <c r="H555" t="s">
        <v>30</v>
      </c>
      <c r="I555" s="1">
        <v>1</v>
      </c>
      <c r="J555" s="2">
        <v>2198.2800000000002</v>
      </c>
    </row>
    <row r="556" spans="2:10" x14ac:dyDescent="0.2">
      <c r="B556" t="s">
        <v>376</v>
      </c>
      <c r="C556" t="s">
        <v>237</v>
      </c>
      <c r="D556" t="s">
        <v>386</v>
      </c>
      <c r="E556" t="s">
        <v>83</v>
      </c>
      <c r="F556" t="s">
        <v>84</v>
      </c>
      <c r="G556" t="s">
        <v>1034</v>
      </c>
      <c r="H556" t="s">
        <v>15</v>
      </c>
      <c r="I556" s="1">
        <v>1</v>
      </c>
      <c r="J556" s="2">
        <v>387.93</v>
      </c>
    </row>
    <row r="557" spans="2:10" x14ac:dyDescent="0.2">
      <c r="B557" t="s">
        <v>376</v>
      </c>
      <c r="C557" t="s">
        <v>237</v>
      </c>
      <c r="D557" t="s">
        <v>386</v>
      </c>
      <c r="E557" t="s">
        <v>444</v>
      </c>
      <c r="F557" t="s">
        <v>445</v>
      </c>
      <c r="G557" t="s">
        <v>14</v>
      </c>
      <c r="H557" t="s">
        <v>27</v>
      </c>
      <c r="I557" s="1">
        <v>1</v>
      </c>
      <c r="J557" s="2">
        <v>508.62</v>
      </c>
    </row>
    <row r="558" spans="2:10" x14ac:dyDescent="0.2">
      <c r="B558" t="s">
        <v>376</v>
      </c>
      <c r="C558" t="s">
        <v>237</v>
      </c>
      <c r="D558" t="s">
        <v>386</v>
      </c>
      <c r="E558" t="s">
        <v>446</v>
      </c>
      <c r="F558" t="s">
        <v>447</v>
      </c>
      <c r="G558" t="s">
        <v>448</v>
      </c>
      <c r="H558" t="s">
        <v>449</v>
      </c>
      <c r="I558" s="1">
        <v>1</v>
      </c>
      <c r="J558" s="2">
        <v>64.66</v>
      </c>
    </row>
    <row r="559" spans="2:10" x14ac:dyDescent="0.2">
      <c r="B559" t="s">
        <v>376</v>
      </c>
      <c r="C559" t="s">
        <v>237</v>
      </c>
      <c r="D559" t="s">
        <v>386</v>
      </c>
      <c r="E559" t="s">
        <v>435</v>
      </c>
      <c r="F559" t="s">
        <v>436</v>
      </c>
      <c r="G559" t="s">
        <v>1033</v>
      </c>
      <c r="H559" t="s">
        <v>30</v>
      </c>
      <c r="I559" s="1">
        <v>1</v>
      </c>
      <c r="J559" s="2">
        <v>2060.9299999999998</v>
      </c>
    </row>
    <row r="560" spans="2:10" x14ac:dyDescent="0.2">
      <c r="B560" t="s">
        <v>376</v>
      </c>
      <c r="C560" t="s">
        <v>248</v>
      </c>
      <c r="D560" t="s">
        <v>386</v>
      </c>
      <c r="E560" t="s">
        <v>356</v>
      </c>
      <c r="F560" t="s">
        <v>357</v>
      </c>
      <c r="G560" t="s">
        <v>1033</v>
      </c>
      <c r="H560" t="s">
        <v>30</v>
      </c>
      <c r="I560" s="1">
        <v>1</v>
      </c>
      <c r="J560" s="2">
        <v>2198.2800000000002</v>
      </c>
    </row>
    <row r="561" spans="2:10" x14ac:dyDescent="0.2">
      <c r="B561" t="s">
        <v>376</v>
      </c>
      <c r="C561" t="s">
        <v>248</v>
      </c>
      <c r="D561" t="s">
        <v>386</v>
      </c>
      <c r="E561" t="s">
        <v>221</v>
      </c>
      <c r="F561" t="s">
        <v>222</v>
      </c>
      <c r="G561" t="s">
        <v>1034</v>
      </c>
      <c r="H561" t="s">
        <v>15</v>
      </c>
      <c r="I561" s="1">
        <v>1</v>
      </c>
      <c r="J561" s="2">
        <v>431.03</v>
      </c>
    </row>
    <row r="562" spans="2:10" x14ac:dyDescent="0.2">
      <c r="B562" t="s">
        <v>376</v>
      </c>
      <c r="C562" t="s">
        <v>248</v>
      </c>
      <c r="D562" t="s">
        <v>386</v>
      </c>
      <c r="E562" t="s">
        <v>120</v>
      </c>
      <c r="F562" t="s">
        <v>121</v>
      </c>
      <c r="G562" t="s">
        <v>1034</v>
      </c>
      <c r="H562" t="s">
        <v>15</v>
      </c>
      <c r="I562" s="1">
        <v>1</v>
      </c>
      <c r="J562" s="2">
        <v>301.72000000000003</v>
      </c>
    </row>
    <row r="563" spans="2:10" x14ac:dyDescent="0.2">
      <c r="B563" t="s">
        <v>376</v>
      </c>
      <c r="C563" t="s">
        <v>248</v>
      </c>
      <c r="D563" t="s">
        <v>386</v>
      </c>
      <c r="E563" t="s">
        <v>267</v>
      </c>
      <c r="F563" t="s">
        <v>268</v>
      </c>
      <c r="G563" t="s">
        <v>1034</v>
      </c>
      <c r="H563" t="s">
        <v>15</v>
      </c>
      <c r="I563" s="1">
        <v>1</v>
      </c>
      <c r="J563" s="2">
        <v>258.62</v>
      </c>
    </row>
    <row r="564" spans="2:10" x14ac:dyDescent="0.2">
      <c r="B564" t="s">
        <v>376</v>
      </c>
      <c r="C564" t="s">
        <v>248</v>
      </c>
      <c r="D564" t="s">
        <v>386</v>
      </c>
      <c r="E564" t="s">
        <v>72</v>
      </c>
      <c r="F564" t="s">
        <v>73</v>
      </c>
      <c r="G564" t="s">
        <v>1034</v>
      </c>
      <c r="H564" t="s">
        <v>15</v>
      </c>
      <c r="I564" s="1">
        <v>1</v>
      </c>
      <c r="J564" s="2">
        <v>775.86</v>
      </c>
    </row>
    <row r="565" spans="2:10" x14ac:dyDescent="0.2">
      <c r="B565" t="s">
        <v>376</v>
      </c>
      <c r="C565" t="s">
        <v>248</v>
      </c>
      <c r="D565" t="s">
        <v>386</v>
      </c>
      <c r="E565" t="s">
        <v>406</v>
      </c>
      <c r="F565" t="s">
        <v>407</v>
      </c>
      <c r="G565" t="s">
        <v>14</v>
      </c>
      <c r="H565" t="s">
        <v>104</v>
      </c>
      <c r="I565" s="1">
        <v>1</v>
      </c>
      <c r="J565" s="2">
        <v>17.239999999999998</v>
      </c>
    </row>
    <row r="566" spans="2:10" x14ac:dyDescent="0.2">
      <c r="B566" t="s">
        <v>376</v>
      </c>
      <c r="C566" t="s">
        <v>248</v>
      </c>
      <c r="D566" t="s">
        <v>386</v>
      </c>
      <c r="E566" t="s">
        <v>16</v>
      </c>
      <c r="F566" t="s">
        <v>17</v>
      </c>
      <c r="G566" t="s">
        <v>1034</v>
      </c>
      <c r="H566" t="s">
        <v>15</v>
      </c>
      <c r="I566" s="1">
        <v>3</v>
      </c>
      <c r="J566" s="2">
        <v>1732.77</v>
      </c>
    </row>
    <row r="567" spans="2:10" x14ac:dyDescent="0.2">
      <c r="B567" t="s">
        <v>376</v>
      </c>
      <c r="C567" t="s">
        <v>248</v>
      </c>
      <c r="D567" t="s">
        <v>386</v>
      </c>
      <c r="E567" t="s">
        <v>450</v>
      </c>
      <c r="F567" t="s">
        <v>451</v>
      </c>
      <c r="G567" t="s">
        <v>43</v>
      </c>
      <c r="H567" t="s">
        <v>452</v>
      </c>
      <c r="I567" s="1">
        <v>1</v>
      </c>
      <c r="J567" s="2">
        <v>1594.83</v>
      </c>
    </row>
    <row r="568" spans="2:10" hidden="1" x14ac:dyDescent="0.2">
      <c r="B568" t="s">
        <v>453</v>
      </c>
      <c r="C568" t="s">
        <v>10</v>
      </c>
      <c r="D568" t="s">
        <v>277</v>
      </c>
      <c r="E568" t="s">
        <v>44</v>
      </c>
      <c r="F568" t="s">
        <v>45</v>
      </c>
      <c r="G568" t="s">
        <v>1033</v>
      </c>
      <c r="H568" t="s">
        <v>30</v>
      </c>
      <c r="I568" s="1">
        <v>1</v>
      </c>
      <c r="J568" s="2">
        <v>81.900000000000006</v>
      </c>
    </row>
    <row r="569" spans="2:10" hidden="1" x14ac:dyDescent="0.2">
      <c r="B569" t="s">
        <v>453</v>
      </c>
      <c r="C569" t="s">
        <v>10</v>
      </c>
      <c r="D569" t="s">
        <v>277</v>
      </c>
      <c r="E569" t="s">
        <v>19</v>
      </c>
      <c r="F569" t="s">
        <v>20</v>
      </c>
      <c r="G569" t="s">
        <v>14</v>
      </c>
      <c r="H569" t="s">
        <v>21</v>
      </c>
      <c r="I569" s="1">
        <v>1</v>
      </c>
      <c r="J569" s="2">
        <v>431.04</v>
      </c>
    </row>
    <row r="570" spans="2:10" hidden="1" x14ac:dyDescent="0.2">
      <c r="B570" t="s">
        <v>453</v>
      </c>
      <c r="C570" t="s">
        <v>10</v>
      </c>
      <c r="D570" t="s">
        <v>277</v>
      </c>
      <c r="E570" t="s">
        <v>33</v>
      </c>
      <c r="F570" t="s">
        <v>34</v>
      </c>
      <c r="G570" t="s">
        <v>14</v>
      </c>
      <c r="H570" t="s">
        <v>35</v>
      </c>
      <c r="I570" s="1">
        <v>1</v>
      </c>
      <c r="J570" s="2">
        <v>60.34</v>
      </c>
    </row>
    <row r="571" spans="2:10" hidden="1" x14ac:dyDescent="0.2">
      <c r="B571" t="s">
        <v>453</v>
      </c>
      <c r="C571" t="s">
        <v>10</v>
      </c>
      <c r="D571" t="s">
        <v>277</v>
      </c>
      <c r="E571" t="s">
        <v>212</v>
      </c>
      <c r="F571" t="s">
        <v>213</v>
      </c>
      <c r="G571" t="s">
        <v>14</v>
      </c>
      <c r="H571" t="s">
        <v>35</v>
      </c>
      <c r="I571" s="1">
        <v>1</v>
      </c>
      <c r="J571" s="2">
        <v>77.59</v>
      </c>
    </row>
    <row r="572" spans="2:10" hidden="1" x14ac:dyDescent="0.2">
      <c r="B572" t="s">
        <v>453</v>
      </c>
      <c r="C572" t="s">
        <v>10</v>
      </c>
      <c r="D572" t="s">
        <v>277</v>
      </c>
      <c r="E572" t="s">
        <v>216</v>
      </c>
      <c r="F572" t="s">
        <v>217</v>
      </c>
      <c r="G572" t="s">
        <v>14</v>
      </c>
      <c r="H572" t="s">
        <v>104</v>
      </c>
      <c r="I572" s="1">
        <v>10</v>
      </c>
      <c r="J572" s="2">
        <v>172.4</v>
      </c>
    </row>
    <row r="573" spans="2:10" hidden="1" x14ac:dyDescent="0.2">
      <c r="B573" t="s">
        <v>453</v>
      </c>
      <c r="C573" t="s">
        <v>10</v>
      </c>
      <c r="D573" t="s">
        <v>277</v>
      </c>
      <c r="E573" t="s">
        <v>38</v>
      </c>
      <c r="F573" t="s">
        <v>39</v>
      </c>
      <c r="G573" t="s">
        <v>1034</v>
      </c>
      <c r="H573" t="s">
        <v>15</v>
      </c>
      <c r="I573" s="1">
        <v>1</v>
      </c>
      <c r="J573" s="2">
        <v>431.03</v>
      </c>
    </row>
    <row r="574" spans="2:10" hidden="1" x14ac:dyDescent="0.2">
      <c r="B574" t="s">
        <v>453</v>
      </c>
      <c r="C574" t="s">
        <v>10</v>
      </c>
      <c r="D574" t="s">
        <v>277</v>
      </c>
      <c r="E574" t="s">
        <v>56</v>
      </c>
      <c r="F574" t="s">
        <v>57</v>
      </c>
      <c r="G574" t="s">
        <v>1034</v>
      </c>
      <c r="H574" t="s">
        <v>15</v>
      </c>
      <c r="I574" s="1">
        <v>1</v>
      </c>
      <c r="J574" s="2">
        <v>431.03</v>
      </c>
    </row>
    <row r="575" spans="2:10" hidden="1" x14ac:dyDescent="0.2">
      <c r="B575" t="s">
        <v>453</v>
      </c>
      <c r="C575" t="s">
        <v>10</v>
      </c>
      <c r="D575" t="s">
        <v>277</v>
      </c>
      <c r="E575" t="s">
        <v>16</v>
      </c>
      <c r="F575" t="s">
        <v>17</v>
      </c>
      <c r="G575" t="s">
        <v>1034</v>
      </c>
      <c r="H575" t="s">
        <v>15</v>
      </c>
      <c r="I575" s="1">
        <v>4</v>
      </c>
      <c r="J575" s="2">
        <v>2310.36</v>
      </c>
    </row>
    <row r="576" spans="2:10" hidden="1" x14ac:dyDescent="0.2">
      <c r="B576" t="s">
        <v>453</v>
      </c>
      <c r="C576" t="s">
        <v>10</v>
      </c>
      <c r="D576" t="s">
        <v>277</v>
      </c>
      <c r="E576" t="s">
        <v>454</v>
      </c>
      <c r="F576" t="s">
        <v>455</v>
      </c>
      <c r="G576" t="s">
        <v>43</v>
      </c>
      <c r="H576" t="s">
        <v>91</v>
      </c>
      <c r="I576" s="1">
        <v>1</v>
      </c>
      <c r="J576" s="2">
        <v>1293.0999999999999</v>
      </c>
    </row>
    <row r="577" spans="2:10" hidden="1" x14ac:dyDescent="0.2">
      <c r="B577" t="s">
        <v>453</v>
      </c>
      <c r="C577" t="s">
        <v>10</v>
      </c>
      <c r="D577" t="s">
        <v>277</v>
      </c>
      <c r="E577" t="s">
        <v>28</v>
      </c>
      <c r="F577" t="s">
        <v>29</v>
      </c>
      <c r="G577" t="s">
        <v>1033</v>
      </c>
      <c r="H577" t="s">
        <v>30</v>
      </c>
      <c r="I577" s="1">
        <v>1</v>
      </c>
      <c r="J577" s="2">
        <v>155.16999999999999</v>
      </c>
    </row>
    <row r="578" spans="2:10" hidden="1" x14ac:dyDescent="0.2">
      <c r="B578" t="s">
        <v>453</v>
      </c>
      <c r="C578" t="s">
        <v>18</v>
      </c>
      <c r="D578" t="s">
        <v>456</v>
      </c>
      <c r="E578" t="s">
        <v>44</v>
      </c>
      <c r="F578" t="s">
        <v>45</v>
      </c>
      <c r="G578" t="s">
        <v>1033</v>
      </c>
      <c r="H578" t="s">
        <v>30</v>
      </c>
      <c r="I578" s="1">
        <v>1</v>
      </c>
      <c r="J578" s="2">
        <v>81.900000000000006</v>
      </c>
    </row>
    <row r="579" spans="2:10" hidden="1" x14ac:dyDescent="0.2">
      <c r="B579" t="s">
        <v>453</v>
      </c>
      <c r="C579" t="s">
        <v>18</v>
      </c>
      <c r="D579" t="s">
        <v>456</v>
      </c>
      <c r="E579" t="s">
        <v>46</v>
      </c>
      <c r="F579" t="s">
        <v>47</v>
      </c>
      <c r="G579" t="s">
        <v>1034</v>
      </c>
      <c r="H579" t="s">
        <v>15</v>
      </c>
      <c r="I579" s="1">
        <v>3</v>
      </c>
      <c r="J579" s="2">
        <v>905.16000000000008</v>
      </c>
    </row>
    <row r="580" spans="2:10" hidden="1" x14ac:dyDescent="0.2">
      <c r="B580" t="s">
        <v>453</v>
      </c>
      <c r="C580" t="s">
        <v>18</v>
      </c>
      <c r="D580" t="s">
        <v>456</v>
      </c>
      <c r="E580" t="s">
        <v>457</v>
      </c>
      <c r="F580" t="s">
        <v>458</v>
      </c>
      <c r="G580" t="s">
        <v>14</v>
      </c>
      <c r="H580" t="s">
        <v>27</v>
      </c>
      <c r="I580" s="1">
        <v>1</v>
      </c>
      <c r="J580" s="2">
        <v>413.79</v>
      </c>
    </row>
    <row r="581" spans="2:10" hidden="1" x14ac:dyDescent="0.2">
      <c r="B581" t="s">
        <v>453</v>
      </c>
      <c r="C581" t="s">
        <v>18</v>
      </c>
      <c r="D581" t="s">
        <v>456</v>
      </c>
      <c r="E581" t="s">
        <v>308</v>
      </c>
      <c r="F581" t="s">
        <v>309</v>
      </c>
      <c r="G581" t="s">
        <v>1033</v>
      </c>
      <c r="H581" t="s">
        <v>30</v>
      </c>
      <c r="I581" s="1">
        <v>1</v>
      </c>
      <c r="J581" s="2">
        <v>818.97</v>
      </c>
    </row>
    <row r="582" spans="2:10" hidden="1" x14ac:dyDescent="0.2">
      <c r="B582" t="s">
        <v>453</v>
      </c>
      <c r="C582" t="s">
        <v>18</v>
      </c>
      <c r="D582" t="s">
        <v>456</v>
      </c>
      <c r="E582" t="s">
        <v>221</v>
      </c>
      <c r="F582" t="s">
        <v>222</v>
      </c>
      <c r="G582" t="s">
        <v>1034</v>
      </c>
      <c r="H582" t="s">
        <v>15</v>
      </c>
      <c r="I582" s="1">
        <v>1</v>
      </c>
      <c r="J582" s="2">
        <v>431.03</v>
      </c>
    </row>
    <row r="583" spans="2:10" hidden="1" x14ac:dyDescent="0.2">
      <c r="B583" t="s">
        <v>453</v>
      </c>
      <c r="C583" t="s">
        <v>18</v>
      </c>
      <c r="D583" t="s">
        <v>456</v>
      </c>
      <c r="E583" t="s">
        <v>36</v>
      </c>
      <c r="F583" t="s">
        <v>37</v>
      </c>
      <c r="G583" t="s">
        <v>1034</v>
      </c>
      <c r="H583" t="s">
        <v>15</v>
      </c>
      <c r="I583" s="1">
        <v>2</v>
      </c>
      <c r="J583" s="2">
        <v>603.44000000000005</v>
      </c>
    </row>
    <row r="584" spans="2:10" hidden="1" x14ac:dyDescent="0.2">
      <c r="B584" t="s">
        <v>453</v>
      </c>
      <c r="C584" t="s">
        <v>18</v>
      </c>
      <c r="D584" t="s">
        <v>456</v>
      </c>
      <c r="E584" t="s">
        <v>72</v>
      </c>
      <c r="F584" t="s">
        <v>73</v>
      </c>
      <c r="G584" t="s">
        <v>1034</v>
      </c>
      <c r="H584" t="s">
        <v>15</v>
      </c>
      <c r="I584" s="1">
        <v>1</v>
      </c>
      <c r="J584" s="2">
        <v>775.86</v>
      </c>
    </row>
    <row r="585" spans="2:10" hidden="1" x14ac:dyDescent="0.2">
      <c r="B585" t="s">
        <v>453</v>
      </c>
      <c r="C585" t="s">
        <v>18</v>
      </c>
      <c r="D585" t="s">
        <v>456</v>
      </c>
      <c r="E585" t="s">
        <v>153</v>
      </c>
      <c r="F585" t="s">
        <v>154</v>
      </c>
      <c r="G585" t="s">
        <v>1034</v>
      </c>
      <c r="H585" t="s">
        <v>15</v>
      </c>
      <c r="I585" s="1">
        <v>2</v>
      </c>
      <c r="J585" s="2">
        <v>775.86</v>
      </c>
    </row>
    <row r="586" spans="2:10" hidden="1" x14ac:dyDescent="0.2">
      <c r="B586" t="s">
        <v>453</v>
      </c>
      <c r="C586" t="s">
        <v>18</v>
      </c>
      <c r="D586" t="s">
        <v>456</v>
      </c>
      <c r="E586" t="s">
        <v>61</v>
      </c>
      <c r="F586" t="s">
        <v>62</v>
      </c>
      <c r="G586" t="s">
        <v>1034</v>
      </c>
      <c r="H586" t="s">
        <v>15</v>
      </c>
      <c r="I586" s="1">
        <v>1</v>
      </c>
      <c r="J586" s="2">
        <v>172.41</v>
      </c>
    </row>
    <row r="587" spans="2:10" hidden="1" x14ac:dyDescent="0.2">
      <c r="B587" t="s">
        <v>453</v>
      </c>
      <c r="C587" t="s">
        <v>18</v>
      </c>
      <c r="D587" t="s">
        <v>456</v>
      </c>
      <c r="E587" t="s">
        <v>63</v>
      </c>
      <c r="F587" t="s">
        <v>64</v>
      </c>
      <c r="G587" t="s">
        <v>1034</v>
      </c>
      <c r="H587" t="s">
        <v>15</v>
      </c>
      <c r="I587" s="1">
        <v>1</v>
      </c>
      <c r="J587" s="2">
        <v>172.41</v>
      </c>
    </row>
    <row r="588" spans="2:10" hidden="1" x14ac:dyDescent="0.2">
      <c r="B588" t="s">
        <v>453</v>
      </c>
      <c r="C588" t="s">
        <v>18</v>
      </c>
      <c r="D588" t="s">
        <v>456</v>
      </c>
      <c r="E588" t="s">
        <v>79</v>
      </c>
      <c r="F588" t="s">
        <v>80</v>
      </c>
      <c r="G588" t="s">
        <v>43</v>
      </c>
      <c r="H588" t="s">
        <v>81</v>
      </c>
      <c r="I588" s="1">
        <v>1</v>
      </c>
      <c r="J588" s="2">
        <v>1810.34</v>
      </c>
    </row>
    <row r="589" spans="2:10" hidden="1" x14ac:dyDescent="0.2">
      <c r="B589" t="s">
        <v>453</v>
      </c>
      <c r="C589" t="s">
        <v>18</v>
      </c>
      <c r="D589" t="s">
        <v>456</v>
      </c>
      <c r="E589" t="s">
        <v>459</v>
      </c>
      <c r="F589" t="s">
        <v>460</v>
      </c>
      <c r="G589" t="s">
        <v>43</v>
      </c>
      <c r="H589" t="s">
        <v>50</v>
      </c>
      <c r="I589" s="1">
        <v>1</v>
      </c>
      <c r="J589" s="2">
        <v>1810.34</v>
      </c>
    </row>
    <row r="590" spans="2:10" hidden="1" x14ac:dyDescent="0.2">
      <c r="B590" t="s">
        <v>453</v>
      </c>
      <c r="C590" t="s">
        <v>18</v>
      </c>
      <c r="D590" t="s">
        <v>456</v>
      </c>
      <c r="E590" t="s">
        <v>461</v>
      </c>
      <c r="F590" t="s">
        <v>462</v>
      </c>
      <c r="G590" t="s">
        <v>43</v>
      </c>
      <c r="H590" t="s">
        <v>50</v>
      </c>
      <c r="I590" s="1">
        <v>1</v>
      </c>
      <c r="J590" s="2">
        <v>3879.31</v>
      </c>
    </row>
    <row r="591" spans="2:10" hidden="1" x14ac:dyDescent="0.2">
      <c r="B591" t="s">
        <v>453</v>
      </c>
      <c r="C591" t="s">
        <v>18</v>
      </c>
      <c r="D591" t="s">
        <v>456</v>
      </c>
      <c r="E591" t="s">
        <v>195</v>
      </c>
      <c r="F591" t="s">
        <v>196</v>
      </c>
      <c r="G591" t="s">
        <v>1033</v>
      </c>
      <c r="H591" t="s">
        <v>30</v>
      </c>
      <c r="I591" s="1">
        <v>1</v>
      </c>
      <c r="J591" s="2">
        <v>2120.69</v>
      </c>
    </row>
    <row r="592" spans="2:10" hidden="1" x14ac:dyDescent="0.2">
      <c r="B592" t="s">
        <v>453</v>
      </c>
      <c r="C592" t="s">
        <v>31</v>
      </c>
      <c r="D592" t="s">
        <v>456</v>
      </c>
      <c r="E592" t="s">
        <v>44</v>
      </c>
      <c r="F592" t="s">
        <v>45</v>
      </c>
      <c r="G592" t="s">
        <v>1033</v>
      </c>
      <c r="H592" t="s">
        <v>30</v>
      </c>
      <c r="I592" s="1">
        <v>1</v>
      </c>
      <c r="J592" s="2">
        <v>81.900000000000006</v>
      </c>
    </row>
    <row r="593" spans="2:10" hidden="1" x14ac:dyDescent="0.2">
      <c r="B593" t="s">
        <v>453</v>
      </c>
      <c r="C593" t="s">
        <v>31</v>
      </c>
      <c r="D593" t="s">
        <v>456</v>
      </c>
      <c r="E593" t="s">
        <v>463</v>
      </c>
      <c r="F593" t="s">
        <v>464</v>
      </c>
      <c r="G593" t="s">
        <v>14</v>
      </c>
      <c r="H593" t="s">
        <v>35</v>
      </c>
      <c r="I593" s="1">
        <v>2</v>
      </c>
      <c r="J593" s="2">
        <v>155.18</v>
      </c>
    </row>
    <row r="594" spans="2:10" hidden="1" x14ac:dyDescent="0.2">
      <c r="B594" t="s">
        <v>453</v>
      </c>
      <c r="C594" t="s">
        <v>31</v>
      </c>
      <c r="D594" t="s">
        <v>456</v>
      </c>
      <c r="E594" t="s">
        <v>212</v>
      </c>
      <c r="F594" t="s">
        <v>213</v>
      </c>
      <c r="G594" t="s">
        <v>14</v>
      </c>
      <c r="H594" t="s">
        <v>35</v>
      </c>
      <c r="I594" s="1">
        <v>1</v>
      </c>
      <c r="J594" s="2">
        <v>77.59</v>
      </c>
    </row>
    <row r="595" spans="2:10" hidden="1" x14ac:dyDescent="0.2">
      <c r="B595" t="s">
        <v>453</v>
      </c>
      <c r="C595" t="s">
        <v>31</v>
      </c>
      <c r="D595" t="s">
        <v>456</v>
      </c>
      <c r="E595" t="s">
        <v>399</v>
      </c>
      <c r="F595" t="s">
        <v>400</v>
      </c>
      <c r="G595" t="s">
        <v>1033</v>
      </c>
      <c r="H595" t="s">
        <v>30</v>
      </c>
      <c r="I595" s="1">
        <v>1</v>
      </c>
      <c r="J595" s="2">
        <v>818.97</v>
      </c>
    </row>
    <row r="596" spans="2:10" hidden="1" x14ac:dyDescent="0.2">
      <c r="B596" t="s">
        <v>453</v>
      </c>
      <c r="C596" t="s">
        <v>31</v>
      </c>
      <c r="D596" t="s">
        <v>456</v>
      </c>
      <c r="E596" t="s">
        <v>72</v>
      </c>
      <c r="F596" t="s">
        <v>73</v>
      </c>
      <c r="G596" t="s">
        <v>1034</v>
      </c>
      <c r="H596" t="s">
        <v>15</v>
      </c>
      <c r="I596" s="1">
        <v>1</v>
      </c>
      <c r="J596" s="2">
        <v>775.86</v>
      </c>
    </row>
    <row r="597" spans="2:10" hidden="1" x14ac:dyDescent="0.2">
      <c r="B597" t="s">
        <v>453</v>
      </c>
      <c r="C597" t="s">
        <v>31</v>
      </c>
      <c r="D597" t="s">
        <v>456</v>
      </c>
      <c r="E597" t="s">
        <v>444</v>
      </c>
      <c r="F597" t="s">
        <v>445</v>
      </c>
      <c r="G597" t="s">
        <v>14</v>
      </c>
      <c r="H597" t="s">
        <v>27</v>
      </c>
      <c r="I597" s="1">
        <v>1</v>
      </c>
      <c r="J597" s="2">
        <v>508.62</v>
      </c>
    </row>
    <row r="598" spans="2:10" hidden="1" x14ac:dyDescent="0.2">
      <c r="B598" t="s">
        <v>453</v>
      </c>
      <c r="C598" t="s">
        <v>31</v>
      </c>
      <c r="D598" t="s">
        <v>456</v>
      </c>
      <c r="E598" t="s">
        <v>465</v>
      </c>
      <c r="F598" t="s">
        <v>466</v>
      </c>
      <c r="G598" t="s">
        <v>54</v>
      </c>
      <c r="H598" t="s">
        <v>439</v>
      </c>
      <c r="I598" s="1">
        <v>1</v>
      </c>
      <c r="J598" s="2">
        <v>120.69</v>
      </c>
    </row>
    <row r="599" spans="2:10" hidden="1" x14ac:dyDescent="0.2">
      <c r="B599" t="s">
        <v>453</v>
      </c>
      <c r="C599" t="s">
        <v>31</v>
      </c>
      <c r="D599" t="s">
        <v>456</v>
      </c>
      <c r="E599" t="s">
        <v>61</v>
      </c>
      <c r="F599" t="s">
        <v>62</v>
      </c>
      <c r="G599" t="s">
        <v>1034</v>
      </c>
      <c r="H599" t="s">
        <v>15</v>
      </c>
      <c r="I599" s="1">
        <v>2</v>
      </c>
      <c r="J599" s="2">
        <v>344.82</v>
      </c>
    </row>
    <row r="600" spans="2:10" hidden="1" x14ac:dyDescent="0.2">
      <c r="B600" t="s">
        <v>453</v>
      </c>
      <c r="C600" t="s">
        <v>31</v>
      </c>
      <c r="D600" t="s">
        <v>456</v>
      </c>
      <c r="E600" t="s">
        <v>63</v>
      </c>
      <c r="F600" t="s">
        <v>64</v>
      </c>
      <c r="G600" t="s">
        <v>1034</v>
      </c>
      <c r="H600" t="s">
        <v>15</v>
      </c>
      <c r="I600" s="1">
        <v>1</v>
      </c>
      <c r="J600" s="2">
        <v>172.41</v>
      </c>
    </row>
    <row r="601" spans="2:10" hidden="1" x14ac:dyDescent="0.2">
      <c r="B601" t="s">
        <v>453</v>
      </c>
      <c r="C601" t="s">
        <v>31</v>
      </c>
      <c r="D601" t="s">
        <v>456</v>
      </c>
      <c r="E601" t="s">
        <v>16</v>
      </c>
      <c r="F601" t="s">
        <v>17</v>
      </c>
      <c r="G601" t="s">
        <v>1034</v>
      </c>
      <c r="H601" t="s">
        <v>15</v>
      </c>
      <c r="I601" s="1">
        <v>4</v>
      </c>
      <c r="J601" s="2">
        <v>2310.36</v>
      </c>
    </row>
    <row r="602" spans="2:10" hidden="1" x14ac:dyDescent="0.2">
      <c r="B602" t="s">
        <v>453</v>
      </c>
      <c r="C602" t="s">
        <v>40</v>
      </c>
      <c r="D602" t="s">
        <v>456</v>
      </c>
      <c r="E602" t="s">
        <v>122</v>
      </c>
      <c r="F602" t="s">
        <v>123</v>
      </c>
      <c r="G602" t="s">
        <v>1034</v>
      </c>
      <c r="H602" t="s">
        <v>15</v>
      </c>
      <c r="I602" s="1">
        <v>1</v>
      </c>
      <c r="J602" s="2">
        <v>387.93</v>
      </c>
    </row>
    <row r="603" spans="2:10" hidden="1" x14ac:dyDescent="0.2">
      <c r="B603" t="s">
        <v>453</v>
      </c>
      <c r="C603" t="s">
        <v>40</v>
      </c>
      <c r="D603" t="s">
        <v>456</v>
      </c>
      <c r="E603" t="s">
        <v>61</v>
      </c>
      <c r="F603" t="s">
        <v>62</v>
      </c>
      <c r="G603" t="s">
        <v>1034</v>
      </c>
      <c r="H603" t="s">
        <v>15</v>
      </c>
      <c r="I603" s="1">
        <v>1</v>
      </c>
      <c r="J603" s="2">
        <v>172.41</v>
      </c>
    </row>
    <row r="604" spans="2:10" hidden="1" x14ac:dyDescent="0.2">
      <c r="B604" t="s">
        <v>453</v>
      </c>
      <c r="C604" t="s">
        <v>40</v>
      </c>
      <c r="D604" t="s">
        <v>456</v>
      </c>
      <c r="E604" t="s">
        <v>16</v>
      </c>
      <c r="F604" t="s">
        <v>17</v>
      </c>
      <c r="G604" t="s">
        <v>1034</v>
      </c>
      <c r="H604" t="s">
        <v>15</v>
      </c>
      <c r="I604" s="1">
        <v>2</v>
      </c>
      <c r="J604" s="2">
        <v>1155.18</v>
      </c>
    </row>
    <row r="605" spans="2:10" hidden="1" x14ac:dyDescent="0.2">
      <c r="B605" t="s">
        <v>453</v>
      </c>
      <c r="C605" t="s">
        <v>51</v>
      </c>
      <c r="D605" t="s">
        <v>456</v>
      </c>
      <c r="E605" t="s">
        <v>97</v>
      </c>
      <c r="F605" t="s">
        <v>98</v>
      </c>
      <c r="G605" t="s">
        <v>1033</v>
      </c>
      <c r="H605" t="s">
        <v>30</v>
      </c>
      <c r="I605" s="1">
        <v>1</v>
      </c>
      <c r="J605" s="2">
        <v>2500</v>
      </c>
    </row>
    <row r="606" spans="2:10" hidden="1" x14ac:dyDescent="0.2">
      <c r="B606" t="s">
        <v>453</v>
      </c>
      <c r="C606" t="s">
        <v>51</v>
      </c>
      <c r="D606" t="s">
        <v>456</v>
      </c>
      <c r="E606" t="s">
        <v>467</v>
      </c>
      <c r="F606" t="s">
        <v>468</v>
      </c>
      <c r="G606" t="s">
        <v>1033</v>
      </c>
      <c r="H606" t="s">
        <v>30</v>
      </c>
      <c r="I606" s="1">
        <v>1</v>
      </c>
      <c r="J606" s="2">
        <v>775.86</v>
      </c>
    </row>
    <row r="607" spans="2:10" hidden="1" x14ac:dyDescent="0.2">
      <c r="B607" t="s">
        <v>453</v>
      </c>
      <c r="C607" t="s">
        <v>51</v>
      </c>
      <c r="D607" t="s">
        <v>456</v>
      </c>
      <c r="E607" t="s">
        <v>153</v>
      </c>
      <c r="F607" t="s">
        <v>154</v>
      </c>
      <c r="G607" t="s">
        <v>1034</v>
      </c>
      <c r="H607" t="s">
        <v>15</v>
      </c>
      <c r="I607" s="1">
        <v>1</v>
      </c>
      <c r="J607" s="2">
        <v>387.93</v>
      </c>
    </row>
    <row r="608" spans="2:10" hidden="1" x14ac:dyDescent="0.2">
      <c r="B608" t="s">
        <v>453</v>
      </c>
      <c r="C608" t="s">
        <v>51</v>
      </c>
      <c r="D608" t="s">
        <v>456</v>
      </c>
      <c r="E608" t="s">
        <v>131</v>
      </c>
      <c r="F608" t="s">
        <v>132</v>
      </c>
      <c r="G608" t="s">
        <v>43</v>
      </c>
      <c r="H608" t="s">
        <v>133</v>
      </c>
      <c r="I608" s="1">
        <v>1</v>
      </c>
      <c r="J608" s="2">
        <v>2155.17</v>
      </c>
    </row>
    <row r="609" spans="2:10" hidden="1" x14ac:dyDescent="0.2">
      <c r="B609" t="s">
        <v>453</v>
      </c>
      <c r="C609" t="s">
        <v>51</v>
      </c>
      <c r="D609" t="s">
        <v>456</v>
      </c>
      <c r="E609" t="s">
        <v>16</v>
      </c>
      <c r="F609" t="s">
        <v>17</v>
      </c>
      <c r="G609" t="s">
        <v>1034</v>
      </c>
      <c r="H609" t="s">
        <v>15</v>
      </c>
      <c r="I609" s="1">
        <v>1</v>
      </c>
      <c r="J609" s="2">
        <v>577.59</v>
      </c>
    </row>
    <row r="610" spans="2:10" hidden="1" x14ac:dyDescent="0.2">
      <c r="B610" t="s">
        <v>453</v>
      </c>
      <c r="C610" t="s">
        <v>51</v>
      </c>
      <c r="D610" t="s">
        <v>456</v>
      </c>
      <c r="E610" t="s">
        <v>469</v>
      </c>
      <c r="F610" t="s">
        <v>470</v>
      </c>
      <c r="G610" t="s">
        <v>54</v>
      </c>
      <c r="H610" t="s">
        <v>471</v>
      </c>
      <c r="I610" s="1">
        <v>1</v>
      </c>
      <c r="J610" s="2">
        <v>413.79</v>
      </c>
    </row>
    <row r="611" spans="2:10" hidden="1" x14ac:dyDescent="0.2">
      <c r="B611" t="s">
        <v>453</v>
      </c>
      <c r="C611" t="s">
        <v>65</v>
      </c>
      <c r="D611" t="s">
        <v>456</v>
      </c>
      <c r="E611" t="s">
        <v>46</v>
      </c>
      <c r="F611" t="s">
        <v>47</v>
      </c>
      <c r="G611" t="s">
        <v>1034</v>
      </c>
      <c r="H611" t="s">
        <v>15</v>
      </c>
      <c r="I611" s="1">
        <v>1</v>
      </c>
      <c r="J611" s="2">
        <v>301.72000000000003</v>
      </c>
    </row>
    <row r="612" spans="2:10" hidden="1" x14ac:dyDescent="0.2">
      <c r="B612" t="s">
        <v>453</v>
      </c>
      <c r="C612" t="s">
        <v>65</v>
      </c>
      <c r="D612" t="s">
        <v>456</v>
      </c>
      <c r="E612" t="s">
        <v>97</v>
      </c>
      <c r="F612" t="s">
        <v>98</v>
      </c>
      <c r="G612" t="s">
        <v>1033</v>
      </c>
      <c r="H612" t="s">
        <v>30</v>
      </c>
      <c r="I612" s="1">
        <v>1</v>
      </c>
      <c r="J612" s="2">
        <v>2500</v>
      </c>
    </row>
    <row r="613" spans="2:10" hidden="1" x14ac:dyDescent="0.2">
      <c r="B613" t="s">
        <v>453</v>
      </c>
      <c r="C613" t="s">
        <v>65</v>
      </c>
      <c r="D613" t="s">
        <v>456</v>
      </c>
      <c r="E613" t="s">
        <v>120</v>
      </c>
      <c r="F613" t="s">
        <v>121</v>
      </c>
      <c r="G613" t="s">
        <v>1034</v>
      </c>
      <c r="H613" t="s">
        <v>15</v>
      </c>
      <c r="I613" s="1">
        <v>1</v>
      </c>
      <c r="J613" s="2">
        <v>301.72000000000003</v>
      </c>
    </row>
    <row r="614" spans="2:10" hidden="1" x14ac:dyDescent="0.2">
      <c r="B614" t="s">
        <v>453</v>
      </c>
      <c r="C614" t="s">
        <v>65</v>
      </c>
      <c r="D614" t="s">
        <v>456</v>
      </c>
      <c r="E614" t="s">
        <v>214</v>
      </c>
      <c r="F614" t="s">
        <v>215</v>
      </c>
      <c r="G614" t="s">
        <v>1034</v>
      </c>
      <c r="H614" t="s">
        <v>15</v>
      </c>
      <c r="I614" s="1">
        <v>1</v>
      </c>
      <c r="J614" s="2">
        <v>301.72000000000003</v>
      </c>
    </row>
    <row r="615" spans="2:10" hidden="1" x14ac:dyDescent="0.2">
      <c r="B615" t="s">
        <v>453</v>
      </c>
      <c r="C615" t="s">
        <v>65</v>
      </c>
      <c r="D615" t="s">
        <v>456</v>
      </c>
      <c r="E615" t="s">
        <v>36</v>
      </c>
      <c r="F615" t="s">
        <v>37</v>
      </c>
      <c r="G615" t="s">
        <v>1034</v>
      </c>
      <c r="H615" t="s">
        <v>15</v>
      </c>
      <c r="I615" s="1">
        <v>1</v>
      </c>
      <c r="J615" s="2">
        <v>301.72000000000003</v>
      </c>
    </row>
    <row r="616" spans="2:10" hidden="1" x14ac:dyDescent="0.2">
      <c r="B616" t="s">
        <v>453</v>
      </c>
      <c r="C616" t="s">
        <v>65</v>
      </c>
      <c r="D616" t="s">
        <v>456</v>
      </c>
      <c r="E616" t="s">
        <v>124</v>
      </c>
      <c r="F616" t="s">
        <v>125</v>
      </c>
      <c r="G616" t="s">
        <v>1034</v>
      </c>
      <c r="H616" t="s">
        <v>15</v>
      </c>
      <c r="I616" s="1">
        <v>1</v>
      </c>
      <c r="J616" s="2">
        <v>431.03</v>
      </c>
    </row>
    <row r="617" spans="2:10" hidden="1" x14ac:dyDescent="0.2">
      <c r="B617" t="s">
        <v>453</v>
      </c>
      <c r="C617" t="s">
        <v>65</v>
      </c>
      <c r="D617" t="s">
        <v>456</v>
      </c>
      <c r="E617" t="s">
        <v>61</v>
      </c>
      <c r="F617" t="s">
        <v>62</v>
      </c>
      <c r="G617" t="s">
        <v>1034</v>
      </c>
      <c r="H617" t="s">
        <v>15</v>
      </c>
      <c r="I617" s="1">
        <v>1</v>
      </c>
      <c r="J617" s="2">
        <v>172.41</v>
      </c>
    </row>
    <row r="618" spans="2:10" hidden="1" x14ac:dyDescent="0.2">
      <c r="B618" t="s">
        <v>453</v>
      </c>
      <c r="C618" t="s">
        <v>65</v>
      </c>
      <c r="D618" t="s">
        <v>456</v>
      </c>
      <c r="E618" t="s">
        <v>63</v>
      </c>
      <c r="F618" t="s">
        <v>64</v>
      </c>
      <c r="G618" t="s">
        <v>1034</v>
      </c>
      <c r="H618" t="s">
        <v>15</v>
      </c>
      <c r="I618" s="1">
        <v>1</v>
      </c>
      <c r="J618" s="2">
        <v>172.41</v>
      </c>
    </row>
    <row r="619" spans="2:10" hidden="1" x14ac:dyDescent="0.2">
      <c r="B619" t="s">
        <v>453</v>
      </c>
      <c r="C619" t="s">
        <v>65</v>
      </c>
      <c r="D619" t="s">
        <v>456</v>
      </c>
      <c r="E619" t="s">
        <v>472</v>
      </c>
      <c r="F619" t="s">
        <v>473</v>
      </c>
      <c r="G619" t="s">
        <v>14</v>
      </c>
      <c r="H619" t="s">
        <v>200</v>
      </c>
      <c r="I619" s="1">
        <v>1</v>
      </c>
      <c r="J619" s="2">
        <v>517.24</v>
      </c>
    </row>
    <row r="620" spans="2:10" hidden="1" x14ac:dyDescent="0.2">
      <c r="B620" t="s">
        <v>453</v>
      </c>
      <c r="C620" t="s">
        <v>82</v>
      </c>
      <c r="D620" t="s">
        <v>456</v>
      </c>
      <c r="E620" t="s">
        <v>46</v>
      </c>
      <c r="F620" t="s">
        <v>47</v>
      </c>
      <c r="G620" t="s">
        <v>1034</v>
      </c>
      <c r="H620" t="s">
        <v>15</v>
      </c>
      <c r="I620" s="1">
        <v>1</v>
      </c>
      <c r="J620" s="2">
        <v>301.72000000000003</v>
      </c>
    </row>
    <row r="621" spans="2:10" hidden="1" x14ac:dyDescent="0.2">
      <c r="B621" t="s">
        <v>453</v>
      </c>
      <c r="C621" t="s">
        <v>82</v>
      </c>
      <c r="D621" t="s">
        <v>456</v>
      </c>
      <c r="E621" t="s">
        <v>474</v>
      </c>
      <c r="F621" t="s">
        <v>475</v>
      </c>
      <c r="G621" t="s">
        <v>43</v>
      </c>
      <c r="H621" t="s">
        <v>128</v>
      </c>
      <c r="I621" s="1">
        <v>1</v>
      </c>
      <c r="J621" s="2">
        <v>5172.41</v>
      </c>
    </row>
    <row r="622" spans="2:10" hidden="1" x14ac:dyDescent="0.2">
      <c r="B622" t="s">
        <v>453</v>
      </c>
      <c r="C622" t="s">
        <v>82</v>
      </c>
      <c r="D622" t="s">
        <v>456</v>
      </c>
      <c r="E622" t="s">
        <v>214</v>
      </c>
      <c r="F622" t="s">
        <v>215</v>
      </c>
      <c r="G622" t="s">
        <v>1034</v>
      </c>
      <c r="H622" t="s">
        <v>15</v>
      </c>
      <c r="I622" s="1">
        <v>2</v>
      </c>
      <c r="J622" s="2">
        <v>603.44000000000005</v>
      </c>
    </row>
    <row r="623" spans="2:10" hidden="1" x14ac:dyDescent="0.2">
      <c r="B623" t="s">
        <v>453</v>
      </c>
      <c r="C623" t="s">
        <v>82</v>
      </c>
      <c r="D623" t="s">
        <v>456</v>
      </c>
      <c r="E623" t="s">
        <v>255</v>
      </c>
      <c r="F623" t="s">
        <v>256</v>
      </c>
      <c r="G623" t="s">
        <v>1033</v>
      </c>
      <c r="H623" t="s">
        <v>30</v>
      </c>
      <c r="I623" s="1">
        <v>1</v>
      </c>
      <c r="J623" s="2">
        <v>517.24</v>
      </c>
    </row>
    <row r="624" spans="2:10" hidden="1" x14ac:dyDescent="0.2">
      <c r="B624" t="s">
        <v>453</v>
      </c>
      <c r="C624" t="s">
        <v>82</v>
      </c>
      <c r="D624" t="s">
        <v>456</v>
      </c>
      <c r="E624" t="s">
        <v>61</v>
      </c>
      <c r="F624" t="s">
        <v>62</v>
      </c>
      <c r="G624" t="s">
        <v>1034</v>
      </c>
      <c r="H624" t="s">
        <v>15</v>
      </c>
      <c r="I624" s="1">
        <v>1</v>
      </c>
      <c r="J624" s="2">
        <v>172.41</v>
      </c>
    </row>
    <row r="625" spans="2:10" hidden="1" x14ac:dyDescent="0.2">
      <c r="B625" t="s">
        <v>453</v>
      </c>
      <c r="C625" t="s">
        <v>82</v>
      </c>
      <c r="D625" t="s">
        <v>456</v>
      </c>
      <c r="E625" t="s">
        <v>63</v>
      </c>
      <c r="F625" t="s">
        <v>64</v>
      </c>
      <c r="G625" t="s">
        <v>1034</v>
      </c>
      <c r="H625" t="s">
        <v>15</v>
      </c>
      <c r="I625" s="1">
        <v>1</v>
      </c>
      <c r="J625" s="2">
        <v>172.41</v>
      </c>
    </row>
    <row r="626" spans="2:10" hidden="1" x14ac:dyDescent="0.2">
      <c r="B626" t="s">
        <v>453</v>
      </c>
      <c r="C626" t="s">
        <v>88</v>
      </c>
      <c r="D626" t="s">
        <v>456</v>
      </c>
      <c r="E626" t="s">
        <v>46</v>
      </c>
      <c r="F626" t="s">
        <v>47</v>
      </c>
      <c r="G626" t="s">
        <v>1034</v>
      </c>
      <c r="H626" t="s">
        <v>15</v>
      </c>
      <c r="I626" s="1">
        <v>1</v>
      </c>
      <c r="J626" s="2">
        <v>301.72000000000003</v>
      </c>
    </row>
    <row r="627" spans="2:10" hidden="1" x14ac:dyDescent="0.2">
      <c r="B627" t="s">
        <v>453</v>
      </c>
      <c r="C627" t="s">
        <v>88</v>
      </c>
      <c r="D627" t="s">
        <v>456</v>
      </c>
      <c r="E627" t="s">
        <v>212</v>
      </c>
      <c r="F627" t="s">
        <v>213</v>
      </c>
      <c r="G627" t="s">
        <v>14</v>
      </c>
      <c r="H627" t="s">
        <v>35</v>
      </c>
      <c r="I627" s="1">
        <v>1</v>
      </c>
      <c r="J627" s="2">
        <v>77.59</v>
      </c>
    </row>
    <row r="628" spans="2:10" hidden="1" x14ac:dyDescent="0.2">
      <c r="B628" t="s">
        <v>453</v>
      </c>
      <c r="C628" t="s">
        <v>88</v>
      </c>
      <c r="D628" t="s">
        <v>456</v>
      </c>
      <c r="E628" t="s">
        <v>149</v>
      </c>
      <c r="F628" t="s">
        <v>150</v>
      </c>
      <c r="G628" t="s">
        <v>43</v>
      </c>
      <c r="H628" t="s">
        <v>50</v>
      </c>
      <c r="I628" s="1">
        <v>1</v>
      </c>
      <c r="J628" s="2">
        <v>3017.24</v>
      </c>
    </row>
    <row r="629" spans="2:10" hidden="1" x14ac:dyDescent="0.2">
      <c r="B629" t="s">
        <v>453</v>
      </c>
      <c r="C629" t="s">
        <v>88</v>
      </c>
      <c r="D629" t="s">
        <v>456</v>
      </c>
      <c r="E629" t="s">
        <v>328</v>
      </c>
      <c r="F629" t="s">
        <v>329</v>
      </c>
      <c r="G629" t="s">
        <v>1033</v>
      </c>
      <c r="H629" t="s">
        <v>30</v>
      </c>
      <c r="I629" s="1">
        <v>1</v>
      </c>
      <c r="J629" s="2">
        <v>172.41</v>
      </c>
    </row>
    <row r="630" spans="2:10" hidden="1" x14ac:dyDescent="0.2">
      <c r="B630" t="s">
        <v>453</v>
      </c>
      <c r="C630" t="s">
        <v>88</v>
      </c>
      <c r="D630" t="s">
        <v>456</v>
      </c>
      <c r="E630" t="s">
        <v>12</v>
      </c>
      <c r="F630" t="s">
        <v>13</v>
      </c>
      <c r="G630" t="s">
        <v>1034</v>
      </c>
      <c r="H630" t="s">
        <v>15</v>
      </c>
      <c r="I630" s="1">
        <v>1</v>
      </c>
      <c r="J630" s="2">
        <v>1077.5899999999999</v>
      </c>
    </row>
    <row r="631" spans="2:10" hidden="1" x14ac:dyDescent="0.2">
      <c r="B631" t="s">
        <v>453</v>
      </c>
      <c r="C631" t="s">
        <v>88</v>
      </c>
      <c r="D631" t="s">
        <v>456</v>
      </c>
      <c r="E631" t="s">
        <v>36</v>
      </c>
      <c r="F631" t="s">
        <v>37</v>
      </c>
      <c r="G631" t="s">
        <v>1034</v>
      </c>
      <c r="H631" t="s">
        <v>15</v>
      </c>
      <c r="I631" s="1">
        <v>1</v>
      </c>
      <c r="J631" s="2">
        <v>301.72000000000003</v>
      </c>
    </row>
    <row r="632" spans="2:10" hidden="1" x14ac:dyDescent="0.2">
      <c r="B632" t="s">
        <v>453</v>
      </c>
      <c r="C632" t="s">
        <v>88</v>
      </c>
      <c r="D632" t="s">
        <v>456</v>
      </c>
      <c r="E632" t="s">
        <v>72</v>
      </c>
      <c r="F632" t="s">
        <v>73</v>
      </c>
      <c r="G632" t="s">
        <v>1034</v>
      </c>
      <c r="H632" t="s">
        <v>15</v>
      </c>
      <c r="I632" s="1">
        <v>1</v>
      </c>
      <c r="J632" s="2">
        <v>775.86</v>
      </c>
    </row>
    <row r="633" spans="2:10" hidden="1" x14ac:dyDescent="0.2">
      <c r="B633" t="s">
        <v>453</v>
      </c>
      <c r="C633" t="s">
        <v>88</v>
      </c>
      <c r="D633" t="s">
        <v>456</v>
      </c>
      <c r="E633" t="s">
        <v>406</v>
      </c>
      <c r="F633" t="s">
        <v>407</v>
      </c>
      <c r="G633" t="s">
        <v>14</v>
      </c>
      <c r="H633" t="s">
        <v>104</v>
      </c>
      <c r="I633" s="1">
        <v>4</v>
      </c>
      <c r="J633" s="2">
        <v>68.959999999999994</v>
      </c>
    </row>
    <row r="634" spans="2:10" hidden="1" x14ac:dyDescent="0.2">
      <c r="B634" t="s">
        <v>453</v>
      </c>
      <c r="C634" t="s">
        <v>88</v>
      </c>
      <c r="D634" t="s">
        <v>456</v>
      </c>
      <c r="E634" t="s">
        <v>63</v>
      </c>
      <c r="F634" t="s">
        <v>64</v>
      </c>
      <c r="G634" t="s">
        <v>1034</v>
      </c>
      <c r="H634" t="s">
        <v>15</v>
      </c>
      <c r="I634" s="1">
        <v>2</v>
      </c>
      <c r="J634" s="2">
        <v>344.82</v>
      </c>
    </row>
    <row r="635" spans="2:10" hidden="1" x14ac:dyDescent="0.2">
      <c r="B635" t="s">
        <v>453</v>
      </c>
      <c r="C635" t="s">
        <v>88</v>
      </c>
      <c r="D635" t="s">
        <v>456</v>
      </c>
      <c r="E635" t="s">
        <v>16</v>
      </c>
      <c r="F635" t="s">
        <v>17</v>
      </c>
      <c r="G635" t="s">
        <v>1034</v>
      </c>
      <c r="H635" t="s">
        <v>15</v>
      </c>
      <c r="I635" s="1">
        <v>1</v>
      </c>
      <c r="J635" s="2">
        <v>577.59</v>
      </c>
    </row>
    <row r="636" spans="2:10" hidden="1" x14ac:dyDescent="0.2">
      <c r="B636" t="s">
        <v>453</v>
      </c>
      <c r="C636" t="s">
        <v>88</v>
      </c>
      <c r="D636" t="s">
        <v>456</v>
      </c>
      <c r="E636" t="s">
        <v>476</v>
      </c>
      <c r="F636" t="s">
        <v>477</v>
      </c>
      <c r="G636" t="s">
        <v>1033</v>
      </c>
      <c r="H636" t="s">
        <v>30</v>
      </c>
      <c r="I636" s="1">
        <v>1</v>
      </c>
      <c r="J636" s="2">
        <v>2353.4499999999998</v>
      </c>
    </row>
    <row r="637" spans="2:10" hidden="1" x14ac:dyDescent="0.2">
      <c r="B637" t="s">
        <v>453</v>
      </c>
      <c r="C637" t="s">
        <v>117</v>
      </c>
      <c r="D637" t="s">
        <v>277</v>
      </c>
      <c r="E637" t="s">
        <v>478</v>
      </c>
      <c r="F637" t="s">
        <v>479</v>
      </c>
      <c r="G637" t="s">
        <v>1033</v>
      </c>
      <c r="H637" t="s">
        <v>30</v>
      </c>
      <c r="I637" s="1">
        <v>1</v>
      </c>
      <c r="J637" s="2">
        <v>750</v>
      </c>
    </row>
    <row r="638" spans="2:10" hidden="1" x14ac:dyDescent="0.2">
      <c r="B638" t="s">
        <v>453</v>
      </c>
      <c r="C638" t="s">
        <v>117</v>
      </c>
      <c r="D638" t="s">
        <v>277</v>
      </c>
      <c r="E638" t="s">
        <v>19</v>
      </c>
      <c r="F638" t="s">
        <v>20</v>
      </c>
      <c r="G638" t="s">
        <v>14</v>
      </c>
      <c r="H638" t="s">
        <v>21</v>
      </c>
      <c r="I638" s="1">
        <v>1</v>
      </c>
      <c r="J638" s="2">
        <v>431.04</v>
      </c>
    </row>
    <row r="639" spans="2:10" hidden="1" x14ac:dyDescent="0.2">
      <c r="B639" t="s">
        <v>453</v>
      </c>
      <c r="C639" t="s">
        <v>117</v>
      </c>
      <c r="D639" t="s">
        <v>277</v>
      </c>
      <c r="E639" t="s">
        <v>419</v>
      </c>
      <c r="F639" t="s">
        <v>420</v>
      </c>
      <c r="G639" t="s">
        <v>14</v>
      </c>
      <c r="H639" t="s">
        <v>35</v>
      </c>
      <c r="I639" s="1">
        <v>1</v>
      </c>
      <c r="J639" s="2">
        <v>77.59</v>
      </c>
    </row>
    <row r="640" spans="2:10" hidden="1" x14ac:dyDescent="0.2">
      <c r="B640" t="s">
        <v>453</v>
      </c>
      <c r="C640" t="s">
        <v>117</v>
      </c>
      <c r="D640" t="s">
        <v>277</v>
      </c>
      <c r="E640" t="s">
        <v>480</v>
      </c>
      <c r="F640" t="s">
        <v>481</v>
      </c>
      <c r="G640" t="s">
        <v>54</v>
      </c>
      <c r="H640" t="s">
        <v>471</v>
      </c>
      <c r="I640" s="1">
        <v>1</v>
      </c>
      <c r="J640" s="2">
        <v>465.51</v>
      </c>
    </row>
    <row r="641" spans="2:10" hidden="1" x14ac:dyDescent="0.2">
      <c r="B641" t="s">
        <v>453</v>
      </c>
      <c r="C641" t="s">
        <v>117</v>
      </c>
      <c r="D641" t="s">
        <v>277</v>
      </c>
      <c r="E641" t="s">
        <v>70</v>
      </c>
      <c r="F641" t="s">
        <v>71</v>
      </c>
      <c r="G641" t="s">
        <v>1033</v>
      </c>
      <c r="H641" t="s">
        <v>30</v>
      </c>
      <c r="I641" s="1">
        <v>1</v>
      </c>
      <c r="J641" s="2">
        <v>2112.0700000000002</v>
      </c>
    </row>
    <row r="642" spans="2:10" hidden="1" x14ac:dyDescent="0.2">
      <c r="B642" t="s">
        <v>453</v>
      </c>
      <c r="C642" t="s">
        <v>117</v>
      </c>
      <c r="D642" t="s">
        <v>277</v>
      </c>
      <c r="E642" t="s">
        <v>482</v>
      </c>
      <c r="F642" t="s">
        <v>483</v>
      </c>
      <c r="G642" t="s">
        <v>14</v>
      </c>
      <c r="H642" t="s">
        <v>27</v>
      </c>
      <c r="I642" s="1">
        <v>1</v>
      </c>
      <c r="J642" s="2">
        <v>379.31</v>
      </c>
    </row>
    <row r="643" spans="2:10" hidden="1" x14ac:dyDescent="0.2">
      <c r="B643" t="s">
        <v>453</v>
      </c>
      <c r="C643" t="s">
        <v>117</v>
      </c>
      <c r="D643" t="s">
        <v>277</v>
      </c>
      <c r="E643" t="s">
        <v>308</v>
      </c>
      <c r="F643" t="s">
        <v>309</v>
      </c>
      <c r="G643" t="s">
        <v>1033</v>
      </c>
      <c r="H643" t="s">
        <v>30</v>
      </c>
      <c r="I643" s="1">
        <v>1</v>
      </c>
      <c r="J643" s="2">
        <v>818.97</v>
      </c>
    </row>
    <row r="644" spans="2:10" hidden="1" x14ac:dyDescent="0.2">
      <c r="B644" t="s">
        <v>453</v>
      </c>
      <c r="C644" t="s">
        <v>117</v>
      </c>
      <c r="D644" t="s">
        <v>277</v>
      </c>
      <c r="E644" t="s">
        <v>120</v>
      </c>
      <c r="F644" t="s">
        <v>121</v>
      </c>
      <c r="G644" t="s">
        <v>1034</v>
      </c>
      <c r="H644" t="s">
        <v>15</v>
      </c>
      <c r="I644" s="1">
        <v>1</v>
      </c>
      <c r="J644" s="2">
        <v>301.72000000000003</v>
      </c>
    </row>
    <row r="645" spans="2:10" hidden="1" x14ac:dyDescent="0.2">
      <c r="B645" t="s">
        <v>453</v>
      </c>
      <c r="C645" t="s">
        <v>117</v>
      </c>
      <c r="D645" t="s">
        <v>277</v>
      </c>
      <c r="E645" t="s">
        <v>36</v>
      </c>
      <c r="F645" t="s">
        <v>37</v>
      </c>
      <c r="G645" t="s">
        <v>1034</v>
      </c>
      <c r="H645" t="s">
        <v>15</v>
      </c>
      <c r="I645" s="1">
        <v>3</v>
      </c>
      <c r="J645" s="2">
        <v>905.16000000000008</v>
      </c>
    </row>
    <row r="646" spans="2:10" hidden="1" x14ac:dyDescent="0.2">
      <c r="B646" t="s">
        <v>453</v>
      </c>
      <c r="C646" t="s">
        <v>117</v>
      </c>
      <c r="D646" t="s">
        <v>277</v>
      </c>
      <c r="E646" t="s">
        <v>72</v>
      </c>
      <c r="F646" t="s">
        <v>73</v>
      </c>
      <c r="G646" t="s">
        <v>1034</v>
      </c>
      <c r="H646" t="s">
        <v>15</v>
      </c>
      <c r="I646" s="1">
        <v>1</v>
      </c>
      <c r="J646" s="2">
        <v>775.86</v>
      </c>
    </row>
    <row r="647" spans="2:10" hidden="1" x14ac:dyDescent="0.2">
      <c r="B647" t="s">
        <v>453</v>
      </c>
      <c r="C647" t="s">
        <v>117</v>
      </c>
      <c r="D647" t="s">
        <v>277</v>
      </c>
      <c r="E647" t="s">
        <v>255</v>
      </c>
      <c r="F647" t="s">
        <v>256</v>
      </c>
      <c r="G647" t="s">
        <v>1033</v>
      </c>
      <c r="H647" t="s">
        <v>30</v>
      </c>
      <c r="I647" s="1">
        <v>1</v>
      </c>
      <c r="J647" s="2">
        <v>517.24</v>
      </c>
    </row>
    <row r="648" spans="2:10" hidden="1" x14ac:dyDescent="0.2">
      <c r="B648" t="s">
        <v>453</v>
      </c>
      <c r="C648" t="s">
        <v>117</v>
      </c>
      <c r="D648" t="s">
        <v>277</v>
      </c>
      <c r="E648" t="s">
        <v>56</v>
      </c>
      <c r="F648" t="s">
        <v>57</v>
      </c>
      <c r="G648" t="s">
        <v>1034</v>
      </c>
      <c r="H648" t="s">
        <v>15</v>
      </c>
      <c r="I648" s="1">
        <v>4</v>
      </c>
      <c r="J648" s="2">
        <v>1724.12</v>
      </c>
    </row>
    <row r="649" spans="2:10" hidden="1" x14ac:dyDescent="0.2">
      <c r="B649" t="s">
        <v>453</v>
      </c>
      <c r="C649" t="s">
        <v>117</v>
      </c>
      <c r="D649" t="s">
        <v>277</v>
      </c>
      <c r="E649" t="s">
        <v>195</v>
      </c>
      <c r="F649" t="s">
        <v>196</v>
      </c>
      <c r="G649" t="s">
        <v>1033</v>
      </c>
      <c r="H649" t="s">
        <v>30</v>
      </c>
      <c r="I649" s="1">
        <v>1</v>
      </c>
      <c r="J649" s="2">
        <v>2120.69</v>
      </c>
    </row>
    <row r="650" spans="2:10" hidden="1" x14ac:dyDescent="0.2">
      <c r="B650" t="s">
        <v>453</v>
      </c>
      <c r="C650" t="s">
        <v>117</v>
      </c>
      <c r="D650" t="s">
        <v>277</v>
      </c>
      <c r="E650" t="s">
        <v>484</v>
      </c>
      <c r="F650" t="s">
        <v>485</v>
      </c>
      <c r="G650" t="s">
        <v>1033</v>
      </c>
      <c r="H650" t="s">
        <v>30</v>
      </c>
      <c r="I650" s="1">
        <v>1</v>
      </c>
      <c r="J650" s="2">
        <v>2163.79</v>
      </c>
    </row>
    <row r="651" spans="2:10" hidden="1" x14ac:dyDescent="0.2">
      <c r="B651" t="s">
        <v>453</v>
      </c>
      <c r="C651" t="s">
        <v>129</v>
      </c>
      <c r="D651" t="s">
        <v>456</v>
      </c>
      <c r="E651" t="s">
        <v>486</v>
      </c>
      <c r="F651" t="s">
        <v>487</v>
      </c>
      <c r="G651" t="s">
        <v>1033</v>
      </c>
      <c r="H651" t="s">
        <v>30</v>
      </c>
      <c r="I651" s="1">
        <v>1</v>
      </c>
      <c r="J651" s="2">
        <v>258.62</v>
      </c>
    </row>
    <row r="652" spans="2:10" hidden="1" x14ac:dyDescent="0.2">
      <c r="B652" t="s">
        <v>453</v>
      </c>
      <c r="C652" t="s">
        <v>129</v>
      </c>
      <c r="D652" t="s">
        <v>456</v>
      </c>
      <c r="E652" t="s">
        <v>488</v>
      </c>
      <c r="F652" t="s">
        <v>489</v>
      </c>
      <c r="G652" t="s">
        <v>43</v>
      </c>
      <c r="H652" t="s">
        <v>128</v>
      </c>
      <c r="I652" s="1">
        <v>1</v>
      </c>
      <c r="J652" s="2">
        <v>5862.07</v>
      </c>
    </row>
    <row r="653" spans="2:10" hidden="1" x14ac:dyDescent="0.2">
      <c r="B653" t="s">
        <v>453</v>
      </c>
      <c r="C653" t="s">
        <v>129</v>
      </c>
      <c r="D653" t="s">
        <v>456</v>
      </c>
      <c r="E653" t="s">
        <v>36</v>
      </c>
      <c r="F653" t="s">
        <v>37</v>
      </c>
      <c r="G653" t="s">
        <v>1034</v>
      </c>
      <c r="H653" t="s">
        <v>15</v>
      </c>
      <c r="I653" s="1">
        <v>1</v>
      </c>
      <c r="J653" s="2">
        <v>301.72000000000003</v>
      </c>
    </row>
    <row r="654" spans="2:10" hidden="1" x14ac:dyDescent="0.2">
      <c r="B654" t="s">
        <v>453</v>
      </c>
      <c r="C654" t="s">
        <v>129</v>
      </c>
      <c r="D654" t="s">
        <v>456</v>
      </c>
      <c r="E654" t="s">
        <v>72</v>
      </c>
      <c r="F654" t="s">
        <v>73</v>
      </c>
      <c r="G654" t="s">
        <v>1034</v>
      </c>
      <c r="H654" t="s">
        <v>15</v>
      </c>
      <c r="I654" s="1">
        <v>1</v>
      </c>
      <c r="J654" s="2">
        <v>775.86</v>
      </c>
    </row>
    <row r="655" spans="2:10" hidden="1" x14ac:dyDescent="0.2">
      <c r="B655" t="s">
        <v>453</v>
      </c>
      <c r="C655" t="s">
        <v>129</v>
      </c>
      <c r="D655" t="s">
        <v>456</v>
      </c>
      <c r="E655" t="s">
        <v>255</v>
      </c>
      <c r="F655" t="s">
        <v>256</v>
      </c>
      <c r="G655" t="s">
        <v>1033</v>
      </c>
      <c r="H655" t="s">
        <v>30</v>
      </c>
      <c r="I655" s="1">
        <v>1</v>
      </c>
      <c r="J655" s="2">
        <v>517.24</v>
      </c>
    </row>
    <row r="656" spans="2:10" hidden="1" x14ac:dyDescent="0.2">
      <c r="B656" t="s">
        <v>453</v>
      </c>
      <c r="C656" t="s">
        <v>129</v>
      </c>
      <c r="D656" t="s">
        <v>456</v>
      </c>
      <c r="E656" t="s">
        <v>56</v>
      </c>
      <c r="F656" t="s">
        <v>57</v>
      </c>
      <c r="G656" t="s">
        <v>1034</v>
      </c>
      <c r="H656" t="s">
        <v>15</v>
      </c>
      <c r="I656" s="1">
        <v>1</v>
      </c>
      <c r="J656" s="2">
        <v>431.03</v>
      </c>
    </row>
    <row r="657" spans="2:10" hidden="1" x14ac:dyDescent="0.2">
      <c r="B657" t="s">
        <v>453</v>
      </c>
      <c r="C657" t="s">
        <v>129</v>
      </c>
      <c r="D657" t="s">
        <v>456</v>
      </c>
      <c r="E657" t="s">
        <v>61</v>
      </c>
      <c r="F657" t="s">
        <v>62</v>
      </c>
      <c r="G657" t="s">
        <v>1034</v>
      </c>
      <c r="H657" t="s">
        <v>15</v>
      </c>
      <c r="I657" s="1">
        <v>1</v>
      </c>
      <c r="J657" s="2">
        <v>172.41</v>
      </c>
    </row>
    <row r="658" spans="2:10" hidden="1" x14ac:dyDescent="0.2">
      <c r="B658" t="s">
        <v>453</v>
      </c>
      <c r="C658" t="s">
        <v>129</v>
      </c>
      <c r="D658" t="s">
        <v>456</v>
      </c>
      <c r="E658" t="s">
        <v>63</v>
      </c>
      <c r="F658" t="s">
        <v>64</v>
      </c>
      <c r="G658" t="s">
        <v>1034</v>
      </c>
      <c r="H658" t="s">
        <v>15</v>
      </c>
      <c r="I658" s="1">
        <v>1</v>
      </c>
      <c r="J658" s="2">
        <v>172.41</v>
      </c>
    </row>
    <row r="659" spans="2:10" hidden="1" x14ac:dyDescent="0.2">
      <c r="B659" t="s">
        <v>453</v>
      </c>
      <c r="C659" t="s">
        <v>129</v>
      </c>
      <c r="D659" t="s">
        <v>456</v>
      </c>
      <c r="E659" t="s">
        <v>79</v>
      </c>
      <c r="F659" t="s">
        <v>80</v>
      </c>
      <c r="G659" t="s">
        <v>43</v>
      </c>
      <c r="H659" t="s">
        <v>81</v>
      </c>
      <c r="I659" s="1">
        <v>1</v>
      </c>
      <c r="J659" s="2">
        <v>1810.34</v>
      </c>
    </row>
    <row r="660" spans="2:10" hidden="1" x14ac:dyDescent="0.2">
      <c r="B660" t="s">
        <v>453</v>
      </c>
      <c r="C660" t="s">
        <v>134</v>
      </c>
      <c r="D660" t="s">
        <v>456</v>
      </c>
      <c r="E660" t="s">
        <v>41</v>
      </c>
      <c r="F660" t="s">
        <v>42</v>
      </c>
      <c r="G660" t="s">
        <v>1033</v>
      </c>
      <c r="H660" t="s">
        <v>30</v>
      </c>
      <c r="I660" s="1">
        <v>2</v>
      </c>
      <c r="J660" s="2">
        <v>68.97</v>
      </c>
    </row>
    <row r="661" spans="2:10" hidden="1" x14ac:dyDescent="0.2">
      <c r="B661" t="s">
        <v>453</v>
      </c>
      <c r="C661" t="s">
        <v>134</v>
      </c>
      <c r="D661" t="s">
        <v>456</v>
      </c>
      <c r="E661" t="s">
        <v>120</v>
      </c>
      <c r="F661" t="s">
        <v>121</v>
      </c>
      <c r="G661" t="s">
        <v>1034</v>
      </c>
      <c r="H661" t="s">
        <v>15</v>
      </c>
      <c r="I661" s="1">
        <v>1</v>
      </c>
      <c r="J661" s="2">
        <v>301.72000000000003</v>
      </c>
    </row>
    <row r="662" spans="2:10" hidden="1" x14ac:dyDescent="0.2">
      <c r="B662" t="s">
        <v>453</v>
      </c>
      <c r="C662" t="s">
        <v>134</v>
      </c>
      <c r="D662" t="s">
        <v>456</v>
      </c>
      <c r="E662" t="s">
        <v>12</v>
      </c>
      <c r="F662" t="s">
        <v>13</v>
      </c>
      <c r="G662" t="s">
        <v>1034</v>
      </c>
      <c r="H662" t="s">
        <v>15</v>
      </c>
      <c r="I662" s="1">
        <v>1</v>
      </c>
      <c r="J662" s="2">
        <v>1077.5899999999999</v>
      </c>
    </row>
    <row r="663" spans="2:10" hidden="1" x14ac:dyDescent="0.2">
      <c r="B663" t="s">
        <v>453</v>
      </c>
      <c r="C663" t="s">
        <v>134</v>
      </c>
      <c r="D663" t="s">
        <v>456</v>
      </c>
      <c r="E663" t="s">
        <v>214</v>
      </c>
      <c r="F663" t="s">
        <v>215</v>
      </c>
      <c r="G663" t="s">
        <v>1034</v>
      </c>
      <c r="H663" t="s">
        <v>15</v>
      </c>
      <c r="I663" s="1">
        <v>1</v>
      </c>
      <c r="J663" s="2">
        <v>301.72000000000003</v>
      </c>
    </row>
    <row r="664" spans="2:10" hidden="1" x14ac:dyDescent="0.2">
      <c r="B664" t="s">
        <v>453</v>
      </c>
      <c r="C664" t="s">
        <v>134</v>
      </c>
      <c r="D664" t="s">
        <v>456</v>
      </c>
      <c r="E664" t="s">
        <v>72</v>
      </c>
      <c r="F664" t="s">
        <v>73</v>
      </c>
      <c r="G664" t="s">
        <v>1034</v>
      </c>
      <c r="H664" t="s">
        <v>15</v>
      </c>
      <c r="I664" s="1">
        <v>1</v>
      </c>
      <c r="J664" s="2">
        <v>775.86</v>
      </c>
    </row>
    <row r="665" spans="2:10" hidden="1" x14ac:dyDescent="0.2">
      <c r="B665" t="s">
        <v>453</v>
      </c>
      <c r="C665" t="s">
        <v>134</v>
      </c>
      <c r="D665" t="s">
        <v>456</v>
      </c>
      <c r="E665" t="s">
        <v>255</v>
      </c>
      <c r="F665" t="s">
        <v>256</v>
      </c>
      <c r="G665" t="s">
        <v>1033</v>
      </c>
      <c r="H665" t="s">
        <v>30</v>
      </c>
      <c r="I665" s="1">
        <v>1</v>
      </c>
      <c r="J665" s="2">
        <v>517.24</v>
      </c>
    </row>
    <row r="666" spans="2:10" hidden="1" x14ac:dyDescent="0.2">
      <c r="B666" t="s">
        <v>453</v>
      </c>
      <c r="C666" t="s">
        <v>134</v>
      </c>
      <c r="D666" t="s">
        <v>456</v>
      </c>
      <c r="E666" t="s">
        <v>273</v>
      </c>
      <c r="F666" t="s">
        <v>274</v>
      </c>
      <c r="G666" t="s">
        <v>1033</v>
      </c>
      <c r="H666" t="s">
        <v>30</v>
      </c>
      <c r="I666" s="1">
        <v>1</v>
      </c>
      <c r="J666" s="2">
        <v>1293.0999999999999</v>
      </c>
    </row>
    <row r="667" spans="2:10" hidden="1" x14ac:dyDescent="0.2">
      <c r="B667" t="s">
        <v>453</v>
      </c>
      <c r="C667" t="s">
        <v>134</v>
      </c>
      <c r="D667" t="s">
        <v>456</v>
      </c>
      <c r="E667" t="s">
        <v>56</v>
      </c>
      <c r="F667" t="s">
        <v>57</v>
      </c>
      <c r="G667" t="s">
        <v>1034</v>
      </c>
      <c r="H667" t="s">
        <v>15</v>
      </c>
      <c r="I667" s="1">
        <v>1</v>
      </c>
      <c r="J667" s="2">
        <v>431.03</v>
      </c>
    </row>
    <row r="668" spans="2:10" hidden="1" x14ac:dyDescent="0.2">
      <c r="B668" t="s">
        <v>453</v>
      </c>
      <c r="C668" t="s">
        <v>135</v>
      </c>
      <c r="D668" t="s">
        <v>277</v>
      </c>
      <c r="E668" t="s">
        <v>280</v>
      </c>
      <c r="F668" t="s">
        <v>281</v>
      </c>
      <c r="G668" t="s">
        <v>1033</v>
      </c>
      <c r="H668" t="s">
        <v>30</v>
      </c>
      <c r="I668" s="1">
        <v>1</v>
      </c>
      <c r="J668" s="2">
        <v>474.14</v>
      </c>
    </row>
    <row r="669" spans="2:10" hidden="1" x14ac:dyDescent="0.2">
      <c r="B669" t="s">
        <v>453</v>
      </c>
      <c r="C669" t="s">
        <v>135</v>
      </c>
      <c r="D669" t="s">
        <v>277</v>
      </c>
      <c r="E669" t="s">
        <v>308</v>
      </c>
      <c r="F669" t="s">
        <v>309</v>
      </c>
      <c r="G669" t="s">
        <v>1033</v>
      </c>
      <c r="H669" t="s">
        <v>30</v>
      </c>
      <c r="I669" s="1">
        <v>1</v>
      </c>
      <c r="J669" s="2">
        <v>818.97</v>
      </c>
    </row>
    <row r="670" spans="2:10" hidden="1" x14ac:dyDescent="0.2">
      <c r="B670" t="s">
        <v>453</v>
      </c>
      <c r="C670" t="s">
        <v>135</v>
      </c>
      <c r="D670" t="s">
        <v>277</v>
      </c>
      <c r="E670" t="s">
        <v>122</v>
      </c>
      <c r="F670" t="s">
        <v>123</v>
      </c>
      <c r="G670" t="s">
        <v>1034</v>
      </c>
      <c r="H670" t="s">
        <v>15</v>
      </c>
      <c r="I670" s="1">
        <v>1</v>
      </c>
      <c r="J670" s="2">
        <v>387.93</v>
      </c>
    </row>
    <row r="671" spans="2:10" hidden="1" x14ac:dyDescent="0.2">
      <c r="B671" t="s">
        <v>453</v>
      </c>
      <c r="C671" t="s">
        <v>141</v>
      </c>
      <c r="D671" t="s">
        <v>456</v>
      </c>
      <c r="E671" t="s">
        <v>169</v>
      </c>
      <c r="F671" t="s">
        <v>170</v>
      </c>
      <c r="G671" t="s">
        <v>1033</v>
      </c>
      <c r="H671" t="s">
        <v>30</v>
      </c>
      <c r="I671" s="1">
        <v>1</v>
      </c>
      <c r="J671" s="2">
        <v>258.62</v>
      </c>
    </row>
    <row r="672" spans="2:10" hidden="1" x14ac:dyDescent="0.2">
      <c r="B672" t="s">
        <v>453</v>
      </c>
      <c r="C672" t="s">
        <v>141</v>
      </c>
      <c r="D672" t="s">
        <v>456</v>
      </c>
      <c r="E672" t="s">
        <v>214</v>
      </c>
      <c r="F672" t="s">
        <v>215</v>
      </c>
      <c r="G672" t="s">
        <v>1034</v>
      </c>
      <c r="H672" t="s">
        <v>15</v>
      </c>
      <c r="I672" s="1">
        <v>1</v>
      </c>
      <c r="J672" s="2">
        <v>301.72000000000003</v>
      </c>
    </row>
    <row r="673" spans="2:10" hidden="1" x14ac:dyDescent="0.2">
      <c r="B673" t="s">
        <v>453</v>
      </c>
      <c r="C673" t="s">
        <v>141</v>
      </c>
      <c r="D673" t="s">
        <v>456</v>
      </c>
      <c r="E673" t="s">
        <v>285</v>
      </c>
      <c r="F673" t="s">
        <v>286</v>
      </c>
      <c r="G673" t="s">
        <v>1033</v>
      </c>
      <c r="H673" t="s">
        <v>30</v>
      </c>
      <c r="I673" s="1">
        <v>1</v>
      </c>
      <c r="J673" s="2">
        <v>1034.48</v>
      </c>
    </row>
    <row r="674" spans="2:10" hidden="1" x14ac:dyDescent="0.2">
      <c r="B674" t="s">
        <v>453</v>
      </c>
      <c r="C674" t="s">
        <v>141</v>
      </c>
      <c r="D674" t="s">
        <v>456</v>
      </c>
      <c r="E674" t="s">
        <v>490</v>
      </c>
      <c r="F674" t="s">
        <v>491</v>
      </c>
      <c r="G674" t="s">
        <v>1033</v>
      </c>
      <c r="H674" t="s">
        <v>30</v>
      </c>
      <c r="I674" s="1">
        <v>1</v>
      </c>
      <c r="J674" s="2">
        <v>1982.76</v>
      </c>
    </row>
    <row r="675" spans="2:10" hidden="1" x14ac:dyDescent="0.2">
      <c r="B675" t="s">
        <v>453</v>
      </c>
      <c r="C675" t="s">
        <v>141</v>
      </c>
      <c r="D675" t="s">
        <v>456</v>
      </c>
      <c r="E675" t="s">
        <v>310</v>
      </c>
      <c r="F675" t="s">
        <v>311</v>
      </c>
      <c r="G675" t="s">
        <v>1033</v>
      </c>
      <c r="H675" t="s">
        <v>30</v>
      </c>
      <c r="I675" s="1">
        <v>1</v>
      </c>
      <c r="J675" s="2">
        <v>474.14</v>
      </c>
    </row>
    <row r="676" spans="2:10" hidden="1" x14ac:dyDescent="0.2">
      <c r="B676" t="s">
        <v>453</v>
      </c>
      <c r="C676" t="s">
        <v>141</v>
      </c>
      <c r="D676" t="s">
        <v>456</v>
      </c>
      <c r="E676" t="s">
        <v>61</v>
      </c>
      <c r="F676" t="s">
        <v>62</v>
      </c>
      <c r="G676" t="s">
        <v>1034</v>
      </c>
      <c r="H676" t="s">
        <v>15</v>
      </c>
      <c r="I676" s="1">
        <v>1</v>
      </c>
      <c r="J676" s="2">
        <v>172.41</v>
      </c>
    </row>
    <row r="677" spans="2:10" hidden="1" x14ac:dyDescent="0.2">
      <c r="B677" t="s">
        <v>453</v>
      </c>
      <c r="C677" t="s">
        <v>141</v>
      </c>
      <c r="D677" t="s">
        <v>456</v>
      </c>
      <c r="E677" t="s">
        <v>63</v>
      </c>
      <c r="F677" t="s">
        <v>64</v>
      </c>
      <c r="G677" t="s">
        <v>1034</v>
      </c>
      <c r="H677" t="s">
        <v>15</v>
      </c>
      <c r="I677" s="1">
        <v>1</v>
      </c>
      <c r="J677" s="2">
        <v>172.41</v>
      </c>
    </row>
    <row r="678" spans="2:10" hidden="1" x14ac:dyDescent="0.2">
      <c r="B678" t="s">
        <v>453</v>
      </c>
      <c r="C678" t="s">
        <v>144</v>
      </c>
      <c r="D678" t="s">
        <v>456</v>
      </c>
      <c r="E678" t="s">
        <v>72</v>
      </c>
      <c r="F678" t="s">
        <v>73</v>
      </c>
      <c r="G678" t="s">
        <v>1034</v>
      </c>
      <c r="H678" t="s">
        <v>15</v>
      </c>
      <c r="I678" s="1">
        <v>1</v>
      </c>
      <c r="J678" s="2">
        <v>775.86</v>
      </c>
    </row>
    <row r="679" spans="2:10" hidden="1" x14ac:dyDescent="0.2">
      <c r="B679" t="s">
        <v>453</v>
      </c>
      <c r="C679" t="s">
        <v>165</v>
      </c>
      <c r="D679" t="s">
        <v>456</v>
      </c>
      <c r="E679" t="s">
        <v>486</v>
      </c>
      <c r="F679" t="s">
        <v>487</v>
      </c>
      <c r="G679" t="s">
        <v>1033</v>
      </c>
      <c r="H679" t="s">
        <v>30</v>
      </c>
      <c r="I679" s="1">
        <v>1</v>
      </c>
      <c r="J679" s="2">
        <v>258.62</v>
      </c>
    </row>
    <row r="680" spans="2:10" hidden="1" x14ac:dyDescent="0.2">
      <c r="B680" t="s">
        <v>453</v>
      </c>
      <c r="C680" t="s">
        <v>165</v>
      </c>
      <c r="D680" t="s">
        <v>456</v>
      </c>
      <c r="E680" t="s">
        <v>306</v>
      </c>
      <c r="F680" t="s">
        <v>307</v>
      </c>
      <c r="G680" t="s">
        <v>1033</v>
      </c>
      <c r="H680" t="s">
        <v>30</v>
      </c>
      <c r="I680" s="1">
        <v>1</v>
      </c>
      <c r="J680" s="2">
        <v>258.62</v>
      </c>
    </row>
    <row r="681" spans="2:10" hidden="1" x14ac:dyDescent="0.2">
      <c r="B681" t="s">
        <v>453</v>
      </c>
      <c r="C681" t="s">
        <v>165</v>
      </c>
      <c r="D681" t="s">
        <v>456</v>
      </c>
      <c r="E681" t="s">
        <v>356</v>
      </c>
      <c r="F681" t="s">
        <v>357</v>
      </c>
      <c r="G681" t="s">
        <v>1033</v>
      </c>
      <c r="H681" t="s">
        <v>30</v>
      </c>
      <c r="I681" s="1">
        <v>1</v>
      </c>
      <c r="J681" s="2">
        <v>2198.2800000000002</v>
      </c>
    </row>
    <row r="682" spans="2:10" hidden="1" x14ac:dyDescent="0.2">
      <c r="B682" t="s">
        <v>453</v>
      </c>
      <c r="C682" t="s">
        <v>165</v>
      </c>
      <c r="D682" t="s">
        <v>456</v>
      </c>
      <c r="E682" t="s">
        <v>120</v>
      </c>
      <c r="F682" t="s">
        <v>121</v>
      </c>
      <c r="G682" t="s">
        <v>1034</v>
      </c>
      <c r="H682" t="s">
        <v>15</v>
      </c>
      <c r="I682" s="1">
        <v>1</v>
      </c>
      <c r="J682" s="2">
        <v>301.72000000000003</v>
      </c>
    </row>
    <row r="683" spans="2:10" hidden="1" x14ac:dyDescent="0.2">
      <c r="B683" t="s">
        <v>453</v>
      </c>
      <c r="C683" t="s">
        <v>165</v>
      </c>
      <c r="D683" t="s">
        <v>456</v>
      </c>
      <c r="E683" t="s">
        <v>36</v>
      </c>
      <c r="F683" t="s">
        <v>37</v>
      </c>
      <c r="G683" t="s">
        <v>1034</v>
      </c>
      <c r="H683" t="s">
        <v>15</v>
      </c>
      <c r="I683" s="1">
        <v>1</v>
      </c>
      <c r="J683" s="2">
        <v>301.72000000000003</v>
      </c>
    </row>
    <row r="684" spans="2:10" hidden="1" x14ac:dyDescent="0.2">
      <c r="B684" t="s">
        <v>453</v>
      </c>
      <c r="C684" t="s">
        <v>165</v>
      </c>
      <c r="D684" t="s">
        <v>456</v>
      </c>
      <c r="E684" t="s">
        <v>72</v>
      </c>
      <c r="F684" t="s">
        <v>73</v>
      </c>
      <c r="G684" t="s">
        <v>1034</v>
      </c>
      <c r="H684" t="s">
        <v>15</v>
      </c>
      <c r="I684" s="1">
        <v>2</v>
      </c>
      <c r="J684" s="2">
        <v>1551.72</v>
      </c>
    </row>
    <row r="685" spans="2:10" hidden="1" x14ac:dyDescent="0.2">
      <c r="B685" t="s">
        <v>453</v>
      </c>
      <c r="C685" t="s">
        <v>165</v>
      </c>
      <c r="D685" t="s">
        <v>456</v>
      </c>
      <c r="E685" t="s">
        <v>122</v>
      </c>
      <c r="F685" t="s">
        <v>123</v>
      </c>
      <c r="G685" t="s">
        <v>1034</v>
      </c>
      <c r="H685" t="s">
        <v>15</v>
      </c>
      <c r="I685" s="1">
        <v>1</v>
      </c>
      <c r="J685" s="2">
        <v>387.93</v>
      </c>
    </row>
    <row r="686" spans="2:10" hidden="1" x14ac:dyDescent="0.2">
      <c r="B686" t="s">
        <v>453</v>
      </c>
      <c r="C686" t="s">
        <v>165</v>
      </c>
      <c r="D686" t="s">
        <v>456</v>
      </c>
      <c r="E686" t="s">
        <v>153</v>
      </c>
      <c r="F686" t="s">
        <v>154</v>
      </c>
      <c r="G686" t="s">
        <v>1034</v>
      </c>
      <c r="H686" t="s">
        <v>15</v>
      </c>
      <c r="I686" s="1">
        <v>1</v>
      </c>
      <c r="J686" s="2">
        <v>387.93</v>
      </c>
    </row>
    <row r="687" spans="2:10" hidden="1" x14ac:dyDescent="0.2">
      <c r="B687" t="s">
        <v>453</v>
      </c>
      <c r="C687" t="s">
        <v>165</v>
      </c>
      <c r="D687" t="s">
        <v>456</v>
      </c>
      <c r="E687" t="s">
        <v>427</v>
      </c>
      <c r="F687" t="s">
        <v>428</v>
      </c>
      <c r="G687" t="s">
        <v>14</v>
      </c>
      <c r="H687" t="s">
        <v>87</v>
      </c>
      <c r="I687" s="1">
        <v>1</v>
      </c>
      <c r="J687" s="2">
        <v>120.69</v>
      </c>
    </row>
    <row r="688" spans="2:10" hidden="1" x14ac:dyDescent="0.2">
      <c r="B688" t="s">
        <v>453</v>
      </c>
      <c r="C688" t="s">
        <v>165</v>
      </c>
      <c r="D688" t="s">
        <v>456</v>
      </c>
      <c r="E688" t="s">
        <v>406</v>
      </c>
      <c r="F688" t="s">
        <v>407</v>
      </c>
      <c r="G688" t="s">
        <v>14</v>
      </c>
      <c r="H688" t="s">
        <v>104</v>
      </c>
      <c r="I688" s="1">
        <v>10</v>
      </c>
      <c r="J688" s="2">
        <v>172.4</v>
      </c>
    </row>
    <row r="689" spans="2:10" hidden="1" x14ac:dyDescent="0.2">
      <c r="B689" t="s">
        <v>453</v>
      </c>
      <c r="C689" t="s">
        <v>165</v>
      </c>
      <c r="D689" t="s">
        <v>456</v>
      </c>
      <c r="E689" t="s">
        <v>61</v>
      </c>
      <c r="F689" t="s">
        <v>62</v>
      </c>
      <c r="G689" t="s">
        <v>1034</v>
      </c>
      <c r="H689" t="s">
        <v>15</v>
      </c>
      <c r="I689" s="1">
        <v>2</v>
      </c>
      <c r="J689" s="2">
        <v>344.82</v>
      </c>
    </row>
    <row r="690" spans="2:10" hidden="1" x14ac:dyDescent="0.2">
      <c r="B690" t="s">
        <v>453</v>
      </c>
      <c r="C690" t="s">
        <v>165</v>
      </c>
      <c r="D690" t="s">
        <v>456</v>
      </c>
      <c r="E690" t="s">
        <v>63</v>
      </c>
      <c r="F690" t="s">
        <v>64</v>
      </c>
      <c r="G690" t="s">
        <v>1034</v>
      </c>
      <c r="H690" t="s">
        <v>15</v>
      </c>
      <c r="I690" s="1">
        <v>2</v>
      </c>
      <c r="J690" s="2">
        <v>344.82</v>
      </c>
    </row>
    <row r="691" spans="2:10" hidden="1" x14ac:dyDescent="0.2">
      <c r="B691" t="s">
        <v>453</v>
      </c>
      <c r="C691" t="s">
        <v>165</v>
      </c>
      <c r="D691" t="s">
        <v>456</v>
      </c>
      <c r="E691" t="s">
        <v>16</v>
      </c>
      <c r="F691" t="s">
        <v>17</v>
      </c>
      <c r="G691" t="s">
        <v>1034</v>
      </c>
      <c r="H691" t="s">
        <v>15</v>
      </c>
      <c r="I691" s="1">
        <v>3</v>
      </c>
      <c r="J691" s="2">
        <v>1732.77</v>
      </c>
    </row>
    <row r="692" spans="2:10" hidden="1" x14ac:dyDescent="0.2">
      <c r="B692" t="s">
        <v>453</v>
      </c>
      <c r="C692" t="s">
        <v>165</v>
      </c>
      <c r="D692" t="s">
        <v>456</v>
      </c>
      <c r="E692" t="s">
        <v>423</v>
      </c>
      <c r="F692" t="s">
        <v>424</v>
      </c>
      <c r="G692" t="s">
        <v>43</v>
      </c>
      <c r="H692" t="s">
        <v>81</v>
      </c>
      <c r="I692" s="1">
        <v>1</v>
      </c>
      <c r="J692" s="2">
        <v>1896.55</v>
      </c>
    </row>
    <row r="693" spans="2:10" hidden="1" x14ac:dyDescent="0.2">
      <c r="B693" t="s">
        <v>453</v>
      </c>
      <c r="C693" t="s">
        <v>165</v>
      </c>
      <c r="D693" t="s">
        <v>456</v>
      </c>
      <c r="E693" t="s">
        <v>492</v>
      </c>
      <c r="F693" t="s">
        <v>493</v>
      </c>
      <c r="G693" t="s">
        <v>43</v>
      </c>
      <c r="H693" t="s">
        <v>94</v>
      </c>
      <c r="I693" s="1">
        <v>1</v>
      </c>
      <c r="J693" s="2">
        <v>2758.62</v>
      </c>
    </row>
    <row r="694" spans="2:10" hidden="1" x14ac:dyDescent="0.2">
      <c r="B694" t="s">
        <v>453</v>
      </c>
      <c r="C694" t="s">
        <v>166</v>
      </c>
      <c r="D694" t="s">
        <v>456</v>
      </c>
      <c r="E694" t="s">
        <v>167</v>
      </c>
      <c r="F694" t="s">
        <v>168</v>
      </c>
      <c r="G694" t="s">
        <v>1033</v>
      </c>
      <c r="H694" t="s">
        <v>30</v>
      </c>
      <c r="I694" s="1">
        <v>1</v>
      </c>
      <c r="J694" s="2">
        <v>1267.24</v>
      </c>
    </row>
    <row r="695" spans="2:10" hidden="1" x14ac:dyDescent="0.2">
      <c r="B695" t="s">
        <v>453</v>
      </c>
      <c r="C695" t="s">
        <v>166</v>
      </c>
      <c r="D695" t="s">
        <v>456</v>
      </c>
      <c r="E695" t="s">
        <v>44</v>
      </c>
      <c r="F695" t="s">
        <v>45</v>
      </c>
      <c r="G695" t="s">
        <v>1033</v>
      </c>
      <c r="H695" t="s">
        <v>30</v>
      </c>
      <c r="I695" s="1">
        <v>1</v>
      </c>
      <c r="J695" s="2">
        <v>81.900000000000006</v>
      </c>
    </row>
    <row r="696" spans="2:10" hidden="1" x14ac:dyDescent="0.2">
      <c r="B696" t="s">
        <v>453</v>
      </c>
      <c r="C696" t="s">
        <v>166</v>
      </c>
      <c r="D696" t="s">
        <v>456</v>
      </c>
      <c r="E696" t="s">
        <v>494</v>
      </c>
      <c r="F696" t="s">
        <v>495</v>
      </c>
      <c r="G696" t="s">
        <v>1033</v>
      </c>
      <c r="H696" t="s">
        <v>30</v>
      </c>
      <c r="I696" s="1">
        <v>1</v>
      </c>
      <c r="J696" s="2">
        <v>301.72000000000003</v>
      </c>
    </row>
    <row r="697" spans="2:10" hidden="1" x14ac:dyDescent="0.2">
      <c r="B697" t="s">
        <v>453</v>
      </c>
      <c r="C697" t="s">
        <v>166</v>
      </c>
      <c r="D697" t="s">
        <v>456</v>
      </c>
      <c r="E697" t="s">
        <v>139</v>
      </c>
      <c r="F697" t="s">
        <v>140</v>
      </c>
      <c r="G697" t="s">
        <v>14</v>
      </c>
      <c r="H697" t="s">
        <v>87</v>
      </c>
      <c r="I697" s="1">
        <v>1</v>
      </c>
      <c r="J697" s="2">
        <v>120.69</v>
      </c>
    </row>
    <row r="698" spans="2:10" hidden="1" x14ac:dyDescent="0.2">
      <c r="B698" t="s">
        <v>453</v>
      </c>
      <c r="C698" t="s">
        <v>166</v>
      </c>
      <c r="D698" t="s">
        <v>456</v>
      </c>
      <c r="E698" t="s">
        <v>72</v>
      </c>
      <c r="F698" t="s">
        <v>73</v>
      </c>
      <c r="G698" t="s">
        <v>1034</v>
      </c>
      <c r="H698" t="s">
        <v>15</v>
      </c>
      <c r="I698" s="1">
        <v>1</v>
      </c>
      <c r="J698" s="2">
        <v>775.86</v>
      </c>
    </row>
    <row r="699" spans="2:10" hidden="1" x14ac:dyDescent="0.2">
      <c r="B699" t="s">
        <v>453</v>
      </c>
      <c r="C699" t="s">
        <v>166</v>
      </c>
      <c r="D699" t="s">
        <v>456</v>
      </c>
      <c r="E699" t="s">
        <v>304</v>
      </c>
      <c r="F699" t="s">
        <v>305</v>
      </c>
      <c r="G699" t="s">
        <v>76</v>
      </c>
      <c r="H699" t="s">
        <v>60</v>
      </c>
      <c r="I699" s="1">
        <v>1</v>
      </c>
      <c r="J699" s="2">
        <v>344.83</v>
      </c>
    </row>
    <row r="700" spans="2:10" hidden="1" x14ac:dyDescent="0.2">
      <c r="B700" t="s">
        <v>453</v>
      </c>
      <c r="C700" t="s">
        <v>166</v>
      </c>
      <c r="D700" t="s">
        <v>456</v>
      </c>
      <c r="E700" t="s">
        <v>406</v>
      </c>
      <c r="F700" t="s">
        <v>407</v>
      </c>
      <c r="G700" t="s">
        <v>14</v>
      </c>
      <c r="H700" t="s">
        <v>104</v>
      </c>
      <c r="I700" s="1">
        <v>10</v>
      </c>
      <c r="J700" s="2">
        <v>172.4</v>
      </c>
    </row>
    <row r="701" spans="2:10" hidden="1" x14ac:dyDescent="0.2">
      <c r="B701" t="s">
        <v>453</v>
      </c>
      <c r="C701" t="s">
        <v>166</v>
      </c>
      <c r="D701" t="s">
        <v>456</v>
      </c>
      <c r="E701" t="s">
        <v>61</v>
      </c>
      <c r="F701" t="s">
        <v>62</v>
      </c>
      <c r="G701" t="s">
        <v>1034</v>
      </c>
      <c r="H701" t="s">
        <v>15</v>
      </c>
      <c r="I701" s="1">
        <v>2</v>
      </c>
      <c r="J701" s="2">
        <v>344.82</v>
      </c>
    </row>
    <row r="702" spans="2:10" hidden="1" x14ac:dyDescent="0.2">
      <c r="B702" t="s">
        <v>453</v>
      </c>
      <c r="C702" t="s">
        <v>166</v>
      </c>
      <c r="D702" t="s">
        <v>456</v>
      </c>
      <c r="E702" t="s">
        <v>63</v>
      </c>
      <c r="F702" t="s">
        <v>64</v>
      </c>
      <c r="G702" t="s">
        <v>1034</v>
      </c>
      <c r="H702" t="s">
        <v>15</v>
      </c>
      <c r="I702" s="1">
        <v>1</v>
      </c>
      <c r="J702" s="2">
        <v>172.41</v>
      </c>
    </row>
    <row r="703" spans="2:10" hidden="1" x14ac:dyDescent="0.2">
      <c r="B703" t="s">
        <v>453</v>
      </c>
      <c r="C703" t="s">
        <v>166</v>
      </c>
      <c r="D703" t="s">
        <v>456</v>
      </c>
      <c r="E703" t="s">
        <v>16</v>
      </c>
      <c r="F703" t="s">
        <v>17</v>
      </c>
      <c r="G703" t="s">
        <v>1034</v>
      </c>
      <c r="H703" t="s">
        <v>15</v>
      </c>
      <c r="I703" s="1">
        <v>1</v>
      </c>
      <c r="J703" s="2">
        <v>577.59</v>
      </c>
    </row>
    <row r="704" spans="2:10" hidden="1" x14ac:dyDescent="0.2">
      <c r="B704" t="s">
        <v>453</v>
      </c>
      <c r="C704" t="s">
        <v>166</v>
      </c>
      <c r="D704" t="s">
        <v>456</v>
      </c>
      <c r="E704" t="s">
        <v>79</v>
      </c>
      <c r="F704" t="s">
        <v>80</v>
      </c>
      <c r="G704" t="s">
        <v>43</v>
      </c>
      <c r="H704" t="s">
        <v>81</v>
      </c>
      <c r="I704" s="1">
        <v>1</v>
      </c>
      <c r="J704" s="2">
        <v>1810.34</v>
      </c>
    </row>
    <row r="705" spans="2:10" hidden="1" x14ac:dyDescent="0.2">
      <c r="B705" t="s">
        <v>453</v>
      </c>
      <c r="C705" t="s">
        <v>166</v>
      </c>
      <c r="D705" t="s">
        <v>456</v>
      </c>
      <c r="E705" t="s">
        <v>28</v>
      </c>
      <c r="F705" t="s">
        <v>29</v>
      </c>
      <c r="G705" t="s">
        <v>1033</v>
      </c>
      <c r="H705" t="s">
        <v>30</v>
      </c>
      <c r="I705" s="1">
        <v>1</v>
      </c>
      <c r="J705" s="2">
        <v>155.16999999999999</v>
      </c>
    </row>
    <row r="706" spans="2:10" hidden="1" x14ac:dyDescent="0.2">
      <c r="B706" t="s">
        <v>453</v>
      </c>
      <c r="C706" t="s">
        <v>185</v>
      </c>
      <c r="D706" t="s">
        <v>456</v>
      </c>
      <c r="E706" t="s">
        <v>122</v>
      </c>
      <c r="F706" t="s">
        <v>123</v>
      </c>
      <c r="G706" t="s">
        <v>1034</v>
      </c>
      <c r="H706" t="s">
        <v>15</v>
      </c>
      <c r="I706" s="1">
        <v>1</v>
      </c>
      <c r="J706" s="2">
        <v>387.93</v>
      </c>
    </row>
    <row r="707" spans="2:10" hidden="1" x14ac:dyDescent="0.2">
      <c r="B707" t="s">
        <v>453</v>
      </c>
      <c r="C707" t="s">
        <v>185</v>
      </c>
      <c r="D707" t="s">
        <v>456</v>
      </c>
      <c r="E707" t="s">
        <v>56</v>
      </c>
      <c r="F707" t="s">
        <v>57</v>
      </c>
      <c r="G707" t="s">
        <v>1034</v>
      </c>
      <c r="H707" t="s">
        <v>15</v>
      </c>
      <c r="I707" s="1">
        <v>1</v>
      </c>
      <c r="J707" s="2">
        <v>431.03</v>
      </c>
    </row>
    <row r="708" spans="2:10" hidden="1" x14ac:dyDescent="0.2">
      <c r="B708" t="s">
        <v>453</v>
      </c>
      <c r="C708" t="s">
        <v>335</v>
      </c>
      <c r="D708" t="s">
        <v>456</v>
      </c>
      <c r="E708" t="s">
        <v>46</v>
      </c>
      <c r="F708" t="s">
        <v>47</v>
      </c>
      <c r="G708" t="s">
        <v>1034</v>
      </c>
      <c r="H708" t="s">
        <v>15</v>
      </c>
      <c r="I708" s="1">
        <v>1</v>
      </c>
      <c r="J708" s="2">
        <v>301.72000000000003</v>
      </c>
    </row>
    <row r="709" spans="2:10" hidden="1" x14ac:dyDescent="0.2">
      <c r="B709" t="s">
        <v>453</v>
      </c>
      <c r="C709" t="s">
        <v>335</v>
      </c>
      <c r="D709" t="s">
        <v>456</v>
      </c>
      <c r="E709" t="s">
        <v>338</v>
      </c>
      <c r="F709" t="s">
        <v>339</v>
      </c>
      <c r="G709" t="s">
        <v>1033</v>
      </c>
      <c r="H709" t="s">
        <v>30</v>
      </c>
      <c r="I709" s="1">
        <v>1</v>
      </c>
      <c r="J709" s="2">
        <v>1525.86</v>
      </c>
    </row>
    <row r="710" spans="2:10" hidden="1" x14ac:dyDescent="0.2">
      <c r="B710" t="s">
        <v>453</v>
      </c>
      <c r="C710" t="s">
        <v>335</v>
      </c>
      <c r="D710" t="s">
        <v>456</v>
      </c>
      <c r="E710" t="s">
        <v>120</v>
      </c>
      <c r="F710" t="s">
        <v>121</v>
      </c>
      <c r="G710" t="s">
        <v>1034</v>
      </c>
      <c r="H710" t="s">
        <v>15</v>
      </c>
      <c r="I710" s="1">
        <v>1</v>
      </c>
      <c r="J710" s="2">
        <v>301.72000000000003</v>
      </c>
    </row>
    <row r="711" spans="2:10" hidden="1" x14ac:dyDescent="0.2">
      <c r="B711" t="s">
        <v>453</v>
      </c>
      <c r="C711" t="s">
        <v>335</v>
      </c>
      <c r="D711" t="s">
        <v>456</v>
      </c>
      <c r="E711" t="s">
        <v>214</v>
      </c>
      <c r="F711" t="s">
        <v>215</v>
      </c>
      <c r="G711" t="s">
        <v>1034</v>
      </c>
      <c r="H711" t="s">
        <v>15</v>
      </c>
      <c r="I711" s="1">
        <v>1</v>
      </c>
      <c r="J711" s="2">
        <v>301.72000000000003</v>
      </c>
    </row>
    <row r="712" spans="2:10" hidden="1" x14ac:dyDescent="0.2">
      <c r="B712" t="s">
        <v>453</v>
      </c>
      <c r="C712" t="s">
        <v>335</v>
      </c>
      <c r="D712" t="s">
        <v>456</v>
      </c>
      <c r="E712" t="s">
        <v>36</v>
      </c>
      <c r="F712" t="s">
        <v>37</v>
      </c>
      <c r="G712" t="s">
        <v>1034</v>
      </c>
      <c r="H712" t="s">
        <v>15</v>
      </c>
      <c r="I712" s="1">
        <v>1</v>
      </c>
      <c r="J712" s="2">
        <v>301.72000000000003</v>
      </c>
    </row>
    <row r="713" spans="2:10" hidden="1" x14ac:dyDescent="0.2">
      <c r="B713" t="s">
        <v>453</v>
      </c>
      <c r="C713" t="s">
        <v>335</v>
      </c>
      <c r="D713" t="s">
        <v>456</v>
      </c>
      <c r="E713" t="s">
        <v>122</v>
      </c>
      <c r="F713" t="s">
        <v>123</v>
      </c>
      <c r="G713" t="s">
        <v>1034</v>
      </c>
      <c r="H713" t="s">
        <v>15</v>
      </c>
      <c r="I713" s="1">
        <v>1</v>
      </c>
      <c r="J713" s="2">
        <v>387.93</v>
      </c>
    </row>
    <row r="714" spans="2:10" hidden="1" x14ac:dyDescent="0.2">
      <c r="B714" t="s">
        <v>453</v>
      </c>
      <c r="C714" t="s">
        <v>335</v>
      </c>
      <c r="D714" t="s">
        <v>456</v>
      </c>
      <c r="E714" t="s">
        <v>275</v>
      </c>
      <c r="F714" t="s">
        <v>276</v>
      </c>
      <c r="G714" t="s">
        <v>1033</v>
      </c>
      <c r="H714" t="s">
        <v>30</v>
      </c>
      <c r="I714" s="1">
        <v>1</v>
      </c>
      <c r="J714" s="2">
        <v>1551.72</v>
      </c>
    </row>
    <row r="715" spans="2:10" hidden="1" x14ac:dyDescent="0.2">
      <c r="B715" t="s">
        <v>453</v>
      </c>
      <c r="C715" t="s">
        <v>335</v>
      </c>
      <c r="D715" t="s">
        <v>456</v>
      </c>
      <c r="E715" t="s">
        <v>61</v>
      </c>
      <c r="F715" t="s">
        <v>62</v>
      </c>
      <c r="G715" t="s">
        <v>1034</v>
      </c>
      <c r="H715" t="s">
        <v>15</v>
      </c>
      <c r="I715" s="1">
        <v>1</v>
      </c>
      <c r="J715" s="2">
        <v>172.41</v>
      </c>
    </row>
    <row r="716" spans="2:10" hidden="1" x14ac:dyDescent="0.2">
      <c r="B716" t="s">
        <v>453</v>
      </c>
      <c r="C716" t="s">
        <v>335</v>
      </c>
      <c r="D716" t="s">
        <v>456</v>
      </c>
      <c r="E716" t="s">
        <v>63</v>
      </c>
      <c r="F716" t="s">
        <v>64</v>
      </c>
      <c r="G716" t="s">
        <v>1034</v>
      </c>
      <c r="H716" t="s">
        <v>15</v>
      </c>
      <c r="I716" s="1">
        <v>2</v>
      </c>
      <c r="J716" s="2">
        <v>344.82</v>
      </c>
    </row>
    <row r="717" spans="2:10" hidden="1" x14ac:dyDescent="0.2">
      <c r="B717" t="s">
        <v>453</v>
      </c>
      <c r="C717" t="s">
        <v>335</v>
      </c>
      <c r="D717" t="s">
        <v>456</v>
      </c>
      <c r="E717" t="s">
        <v>16</v>
      </c>
      <c r="F717" t="s">
        <v>17</v>
      </c>
      <c r="G717" t="s">
        <v>1034</v>
      </c>
      <c r="H717" t="s">
        <v>15</v>
      </c>
      <c r="I717" s="1">
        <v>1</v>
      </c>
      <c r="J717" s="2">
        <v>577.59</v>
      </c>
    </row>
    <row r="718" spans="2:10" hidden="1" x14ac:dyDescent="0.2">
      <c r="B718" t="s">
        <v>453</v>
      </c>
      <c r="C718" t="s">
        <v>335</v>
      </c>
      <c r="D718" t="s">
        <v>456</v>
      </c>
      <c r="E718" t="s">
        <v>193</v>
      </c>
      <c r="F718" t="s">
        <v>194</v>
      </c>
      <c r="G718" t="s">
        <v>1034</v>
      </c>
      <c r="H718" t="s">
        <v>15</v>
      </c>
      <c r="I718" s="1">
        <v>1</v>
      </c>
      <c r="J718" s="2">
        <v>1293.0999999999999</v>
      </c>
    </row>
    <row r="719" spans="2:10" hidden="1" x14ac:dyDescent="0.2">
      <c r="B719" t="s">
        <v>453</v>
      </c>
      <c r="C719" t="s">
        <v>335</v>
      </c>
      <c r="D719" t="s">
        <v>456</v>
      </c>
      <c r="E719" t="s">
        <v>333</v>
      </c>
      <c r="F719" t="s">
        <v>334</v>
      </c>
      <c r="G719" t="s">
        <v>1033</v>
      </c>
      <c r="H719" t="s">
        <v>30</v>
      </c>
      <c r="I719" s="1">
        <v>1</v>
      </c>
      <c r="J719" s="2">
        <v>2413.79</v>
      </c>
    </row>
    <row r="720" spans="2:10" hidden="1" x14ac:dyDescent="0.2">
      <c r="B720" t="s">
        <v>453</v>
      </c>
      <c r="C720" t="s">
        <v>418</v>
      </c>
      <c r="D720" t="s">
        <v>456</v>
      </c>
      <c r="E720" t="s">
        <v>425</v>
      </c>
      <c r="F720" t="s">
        <v>426</v>
      </c>
      <c r="G720" t="s">
        <v>1033</v>
      </c>
      <c r="H720" t="s">
        <v>30</v>
      </c>
      <c r="I720" s="1">
        <v>1</v>
      </c>
      <c r="J720" s="2">
        <v>1137.93</v>
      </c>
    </row>
    <row r="721" spans="2:10" hidden="1" x14ac:dyDescent="0.2">
      <c r="B721" t="s">
        <v>453</v>
      </c>
      <c r="C721" t="s">
        <v>418</v>
      </c>
      <c r="D721" t="s">
        <v>456</v>
      </c>
      <c r="E721" t="s">
        <v>36</v>
      </c>
      <c r="F721" t="s">
        <v>37</v>
      </c>
      <c r="G721" t="s">
        <v>1034</v>
      </c>
      <c r="H721" t="s">
        <v>15</v>
      </c>
      <c r="I721" s="1">
        <v>2</v>
      </c>
      <c r="J721" s="2">
        <v>603.44000000000005</v>
      </c>
    </row>
    <row r="722" spans="2:10" hidden="1" x14ac:dyDescent="0.2">
      <c r="B722" t="s">
        <v>453</v>
      </c>
      <c r="C722" t="s">
        <v>418</v>
      </c>
      <c r="D722" t="s">
        <v>456</v>
      </c>
      <c r="E722" t="s">
        <v>153</v>
      </c>
      <c r="F722" t="s">
        <v>154</v>
      </c>
      <c r="G722" t="s">
        <v>1034</v>
      </c>
      <c r="H722" t="s">
        <v>15</v>
      </c>
      <c r="I722" s="1">
        <v>1</v>
      </c>
      <c r="J722" s="2">
        <v>387.93</v>
      </c>
    </row>
    <row r="723" spans="2:10" hidden="1" x14ac:dyDescent="0.2">
      <c r="B723" t="s">
        <v>453</v>
      </c>
      <c r="C723" t="s">
        <v>418</v>
      </c>
      <c r="D723" t="s">
        <v>456</v>
      </c>
      <c r="E723" t="s">
        <v>406</v>
      </c>
      <c r="F723" t="s">
        <v>407</v>
      </c>
      <c r="G723" t="s">
        <v>14</v>
      </c>
      <c r="H723" t="s">
        <v>104</v>
      </c>
      <c r="I723" s="1">
        <v>5</v>
      </c>
      <c r="J723" s="2">
        <v>86.2</v>
      </c>
    </row>
    <row r="724" spans="2:10" hidden="1" x14ac:dyDescent="0.2">
      <c r="B724" t="s">
        <v>453</v>
      </c>
      <c r="C724" t="s">
        <v>418</v>
      </c>
      <c r="D724" t="s">
        <v>456</v>
      </c>
      <c r="E724" t="s">
        <v>333</v>
      </c>
      <c r="F724" t="s">
        <v>334</v>
      </c>
      <c r="G724" t="s">
        <v>1033</v>
      </c>
      <c r="H724" t="s">
        <v>30</v>
      </c>
      <c r="I724" s="1">
        <v>1</v>
      </c>
      <c r="J724" s="2">
        <v>2413.79</v>
      </c>
    </row>
    <row r="725" spans="2:10" hidden="1" x14ac:dyDescent="0.2">
      <c r="B725" t="s">
        <v>453</v>
      </c>
      <c r="C725" t="s">
        <v>186</v>
      </c>
      <c r="D725" t="s">
        <v>456</v>
      </c>
      <c r="E725" t="s">
        <v>496</v>
      </c>
      <c r="F725" t="s">
        <v>497</v>
      </c>
      <c r="G725" t="s">
        <v>54</v>
      </c>
      <c r="H725" t="s">
        <v>138</v>
      </c>
      <c r="I725" s="1">
        <v>1</v>
      </c>
      <c r="J725" s="2">
        <v>655.16999999999996</v>
      </c>
    </row>
    <row r="726" spans="2:10" hidden="1" x14ac:dyDescent="0.2">
      <c r="B726" t="s">
        <v>453</v>
      </c>
      <c r="C726" t="s">
        <v>186</v>
      </c>
      <c r="D726" t="s">
        <v>456</v>
      </c>
      <c r="E726" t="s">
        <v>221</v>
      </c>
      <c r="F726" t="s">
        <v>222</v>
      </c>
      <c r="G726" t="s">
        <v>1034</v>
      </c>
      <c r="H726" t="s">
        <v>15</v>
      </c>
      <c r="I726" s="1">
        <v>1</v>
      </c>
      <c r="J726" s="2">
        <v>431.03</v>
      </c>
    </row>
    <row r="727" spans="2:10" hidden="1" x14ac:dyDescent="0.2">
      <c r="B727" t="s">
        <v>453</v>
      </c>
      <c r="C727" t="s">
        <v>186</v>
      </c>
      <c r="D727" t="s">
        <v>456</v>
      </c>
      <c r="E727" t="s">
        <v>498</v>
      </c>
      <c r="F727" t="s">
        <v>499</v>
      </c>
      <c r="G727" t="s">
        <v>1033</v>
      </c>
      <c r="H727" t="s">
        <v>30</v>
      </c>
      <c r="I727" s="1">
        <v>1</v>
      </c>
      <c r="J727" s="2">
        <v>2672.41</v>
      </c>
    </row>
    <row r="728" spans="2:10" hidden="1" x14ac:dyDescent="0.2">
      <c r="B728" t="s">
        <v>453</v>
      </c>
      <c r="C728" t="s">
        <v>186</v>
      </c>
      <c r="D728" t="s">
        <v>456</v>
      </c>
      <c r="E728" t="s">
        <v>72</v>
      </c>
      <c r="F728" t="s">
        <v>73</v>
      </c>
      <c r="G728" t="s">
        <v>1034</v>
      </c>
      <c r="H728" t="s">
        <v>15</v>
      </c>
      <c r="I728" s="1">
        <v>1</v>
      </c>
      <c r="J728" s="2">
        <v>775.86</v>
      </c>
    </row>
    <row r="729" spans="2:10" hidden="1" x14ac:dyDescent="0.2">
      <c r="B729" t="s">
        <v>453</v>
      </c>
      <c r="C729" t="s">
        <v>186</v>
      </c>
      <c r="D729" t="s">
        <v>456</v>
      </c>
      <c r="E729" t="s">
        <v>500</v>
      </c>
      <c r="F729" t="s">
        <v>501</v>
      </c>
      <c r="G729" t="s">
        <v>1033</v>
      </c>
      <c r="H729" t="s">
        <v>30</v>
      </c>
      <c r="I729" s="1">
        <v>1</v>
      </c>
      <c r="J729" s="2">
        <v>3017.24</v>
      </c>
    </row>
    <row r="730" spans="2:10" hidden="1" x14ac:dyDescent="0.2">
      <c r="B730" t="s">
        <v>453</v>
      </c>
      <c r="C730" t="s">
        <v>197</v>
      </c>
      <c r="D730" t="s">
        <v>456</v>
      </c>
      <c r="E730" t="s">
        <v>46</v>
      </c>
      <c r="F730" t="s">
        <v>47</v>
      </c>
      <c r="G730" t="s">
        <v>1034</v>
      </c>
      <c r="H730" t="s">
        <v>15</v>
      </c>
      <c r="I730" s="1">
        <v>1</v>
      </c>
      <c r="J730" s="2">
        <v>301.72000000000003</v>
      </c>
    </row>
    <row r="731" spans="2:10" hidden="1" x14ac:dyDescent="0.2">
      <c r="B731" t="s">
        <v>453</v>
      </c>
      <c r="C731" t="s">
        <v>197</v>
      </c>
      <c r="D731" t="s">
        <v>456</v>
      </c>
      <c r="E731" t="s">
        <v>324</v>
      </c>
      <c r="F731" t="s">
        <v>325</v>
      </c>
      <c r="G731" t="s">
        <v>1033</v>
      </c>
      <c r="H731" t="s">
        <v>30</v>
      </c>
      <c r="I731" s="1">
        <v>1</v>
      </c>
      <c r="J731" s="2">
        <v>2000</v>
      </c>
    </row>
    <row r="732" spans="2:10" hidden="1" x14ac:dyDescent="0.2">
      <c r="B732" t="s">
        <v>453</v>
      </c>
      <c r="C732" t="s">
        <v>197</v>
      </c>
      <c r="D732" t="s">
        <v>456</v>
      </c>
      <c r="E732" t="s">
        <v>502</v>
      </c>
      <c r="F732" t="s">
        <v>503</v>
      </c>
      <c r="G732" t="s">
        <v>43</v>
      </c>
      <c r="H732" t="s">
        <v>504</v>
      </c>
      <c r="I732" s="1">
        <v>1</v>
      </c>
      <c r="J732" s="2">
        <v>1547.41</v>
      </c>
    </row>
    <row r="733" spans="2:10" hidden="1" x14ac:dyDescent="0.2">
      <c r="B733" t="s">
        <v>453</v>
      </c>
      <c r="C733" t="s">
        <v>197</v>
      </c>
      <c r="D733" t="s">
        <v>456</v>
      </c>
      <c r="E733" t="s">
        <v>505</v>
      </c>
      <c r="F733" t="s">
        <v>506</v>
      </c>
      <c r="G733" t="s">
        <v>1033</v>
      </c>
      <c r="H733" t="s">
        <v>30</v>
      </c>
      <c r="I733" s="1">
        <v>1</v>
      </c>
      <c r="J733" s="2">
        <v>775.86</v>
      </c>
    </row>
    <row r="734" spans="2:10" hidden="1" x14ac:dyDescent="0.2">
      <c r="B734" t="s">
        <v>453</v>
      </c>
      <c r="C734" t="s">
        <v>197</v>
      </c>
      <c r="D734" t="s">
        <v>456</v>
      </c>
      <c r="E734" t="s">
        <v>36</v>
      </c>
      <c r="F734" t="s">
        <v>37</v>
      </c>
      <c r="G734" t="s">
        <v>1034</v>
      </c>
      <c r="H734" t="s">
        <v>15</v>
      </c>
      <c r="I734" s="1">
        <v>1</v>
      </c>
      <c r="J734" s="2">
        <v>301.72000000000003</v>
      </c>
    </row>
    <row r="735" spans="2:10" hidden="1" x14ac:dyDescent="0.2">
      <c r="B735" t="s">
        <v>453</v>
      </c>
      <c r="C735" t="s">
        <v>197</v>
      </c>
      <c r="D735" t="s">
        <v>456</v>
      </c>
      <c r="E735" t="s">
        <v>122</v>
      </c>
      <c r="F735" t="s">
        <v>123</v>
      </c>
      <c r="G735" t="s">
        <v>1034</v>
      </c>
      <c r="H735" t="s">
        <v>15</v>
      </c>
      <c r="I735" s="1">
        <v>1</v>
      </c>
      <c r="J735" s="2">
        <v>387.93</v>
      </c>
    </row>
    <row r="736" spans="2:10" hidden="1" x14ac:dyDescent="0.2">
      <c r="B736" t="s">
        <v>453</v>
      </c>
      <c r="C736" t="s">
        <v>197</v>
      </c>
      <c r="D736" t="s">
        <v>456</v>
      </c>
      <c r="E736" t="s">
        <v>507</v>
      </c>
      <c r="F736" t="s">
        <v>508</v>
      </c>
      <c r="G736" t="s">
        <v>14</v>
      </c>
      <c r="H736" t="s">
        <v>509</v>
      </c>
      <c r="I736" s="1">
        <v>1</v>
      </c>
      <c r="J736" s="2">
        <v>775.86</v>
      </c>
    </row>
    <row r="737" spans="2:10" hidden="1" x14ac:dyDescent="0.2">
      <c r="B737" t="s">
        <v>453</v>
      </c>
      <c r="C737" t="s">
        <v>197</v>
      </c>
      <c r="D737" t="s">
        <v>456</v>
      </c>
      <c r="E737" t="s">
        <v>16</v>
      </c>
      <c r="F737" t="s">
        <v>17</v>
      </c>
      <c r="G737" t="s">
        <v>1034</v>
      </c>
      <c r="H737" t="s">
        <v>15</v>
      </c>
      <c r="I737" s="1">
        <v>2</v>
      </c>
      <c r="J737" s="2">
        <v>1155.18</v>
      </c>
    </row>
    <row r="738" spans="2:10" hidden="1" x14ac:dyDescent="0.2">
      <c r="B738" t="s">
        <v>453</v>
      </c>
      <c r="C738" t="s">
        <v>206</v>
      </c>
      <c r="D738" t="s">
        <v>456</v>
      </c>
      <c r="E738" t="s">
        <v>510</v>
      </c>
      <c r="F738" t="s">
        <v>511</v>
      </c>
      <c r="G738" t="s">
        <v>1033</v>
      </c>
      <c r="H738" t="s">
        <v>30</v>
      </c>
      <c r="I738" s="1">
        <v>1</v>
      </c>
      <c r="J738" s="2">
        <v>2224.14</v>
      </c>
    </row>
    <row r="739" spans="2:10" hidden="1" x14ac:dyDescent="0.2">
      <c r="B739" t="s">
        <v>453</v>
      </c>
      <c r="C739" t="s">
        <v>206</v>
      </c>
      <c r="D739" t="s">
        <v>456</v>
      </c>
      <c r="E739" t="s">
        <v>61</v>
      </c>
      <c r="F739" t="s">
        <v>62</v>
      </c>
      <c r="G739" t="s">
        <v>1034</v>
      </c>
      <c r="H739" t="s">
        <v>15</v>
      </c>
      <c r="I739" s="1">
        <v>1</v>
      </c>
      <c r="J739" s="2">
        <v>172.41</v>
      </c>
    </row>
    <row r="740" spans="2:10" hidden="1" x14ac:dyDescent="0.2">
      <c r="B740" t="s">
        <v>453</v>
      </c>
      <c r="C740" t="s">
        <v>206</v>
      </c>
      <c r="D740" t="s">
        <v>456</v>
      </c>
      <c r="E740" t="s">
        <v>16</v>
      </c>
      <c r="F740" t="s">
        <v>17</v>
      </c>
      <c r="G740" t="s">
        <v>1034</v>
      </c>
      <c r="H740" t="s">
        <v>15</v>
      </c>
      <c r="I740" s="1">
        <v>1</v>
      </c>
      <c r="J740" s="2">
        <v>577.59</v>
      </c>
    </row>
    <row r="741" spans="2:10" hidden="1" x14ac:dyDescent="0.2">
      <c r="B741" t="s">
        <v>453</v>
      </c>
      <c r="C741" t="s">
        <v>220</v>
      </c>
      <c r="D741" t="s">
        <v>456</v>
      </c>
      <c r="E741" t="s">
        <v>46</v>
      </c>
      <c r="F741" t="s">
        <v>47</v>
      </c>
      <c r="G741" t="s">
        <v>1034</v>
      </c>
      <c r="H741" t="s">
        <v>15</v>
      </c>
      <c r="I741" s="1">
        <v>1</v>
      </c>
      <c r="J741" s="2">
        <v>301.72000000000003</v>
      </c>
    </row>
    <row r="742" spans="2:10" hidden="1" x14ac:dyDescent="0.2">
      <c r="B742" t="s">
        <v>453</v>
      </c>
      <c r="C742" t="s">
        <v>220</v>
      </c>
      <c r="D742" t="s">
        <v>456</v>
      </c>
      <c r="E742" t="s">
        <v>512</v>
      </c>
      <c r="F742" t="s">
        <v>513</v>
      </c>
      <c r="G742" t="s">
        <v>1033</v>
      </c>
      <c r="H742" t="s">
        <v>30</v>
      </c>
      <c r="I742" s="1">
        <v>1</v>
      </c>
      <c r="J742" s="2">
        <v>1293.0999999999999</v>
      </c>
    </row>
    <row r="743" spans="2:10" hidden="1" x14ac:dyDescent="0.2">
      <c r="B743" t="s">
        <v>453</v>
      </c>
      <c r="C743" t="s">
        <v>220</v>
      </c>
      <c r="D743" t="s">
        <v>456</v>
      </c>
      <c r="E743" t="s">
        <v>514</v>
      </c>
      <c r="F743" t="s">
        <v>515</v>
      </c>
      <c r="G743" t="s">
        <v>1033</v>
      </c>
      <c r="H743" t="s">
        <v>30</v>
      </c>
      <c r="I743" s="1">
        <v>1</v>
      </c>
      <c r="J743" s="2">
        <v>1293.0999999999999</v>
      </c>
    </row>
    <row r="744" spans="2:10" hidden="1" x14ac:dyDescent="0.2">
      <c r="B744" t="s">
        <v>453</v>
      </c>
      <c r="C744" t="s">
        <v>220</v>
      </c>
      <c r="D744" t="s">
        <v>456</v>
      </c>
      <c r="E744" t="s">
        <v>171</v>
      </c>
      <c r="F744" t="s">
        <v>172</v>
      </c>
      <c r="G744" t="s">
        <v>14</v>
      </c>
      <c r="H744" t="s">
        <v>35</v>
      </c>
      <c r="I744" s="1">
        <v>1</v>
      </c>
      <c r="J744" s="2">
        <v>77.59</v>
      </c>
    </row>
    <row r="745" spans="2:10" hidden="1" x14ac:dyDescent="0.2">
      <c r="B745" t="s">
        <v>453</v>
      </c>
      <c r="C745" t="s">
        <v>220</v>
      </c>
      <c r="D745" t="s">
        <v>456</v>
      </c>
      <c r="E745" t="s">
        <v>249</v>
      </c>
      <c r="F745" t="s">
        <v>250</v>
      </c>
      <c r="G745" t="s">
        <v>1033</v>
      </c>
      <c r="H745" t="s">
        <v>30</v>
      </c>
      <c r="I745" s="1">
        <v>1</v>
      </c>
      <c r="J745" s="2">
        <v>517.24</v>
      </c>
    </row>
    <row r="746" spans="2:10" hidden="1" x14ac:dyDescent="0.2">
      <c r="B746" t="s">
        <v>453</v>
      </c>
      <c r="C746" t="s">
        <v>220</v>
      </c>
      <c r="D746" t="s">
        <v>456</v>
      </c>
      <c r="E746" t="s">
        <v>324</v>
      </c>
      <c r="F746" t="s">
        <v>325</v>
      </c>
      <c r="G746" t="s">
        <v>1033</v>
      </c>
      <c r="H746" t="s">
        <v>30</v>
      </c>
      <c r="I746" s="1">
        <v>1</v>
      </c>
      <c r="J746" s="2">
        <v>2000</v>
      </c>
    </row>
    <row r="747" spans="2:10" hidden="1" x14ac:dyDescent="0.2">
      <c r="B747" t="s">
        <v>453</v>
      </c>
      <c r="C747" t="s">
        <v>220</v>
      </c>
      <c r="D747" t="s">
        <v>456</v>
      </c>
      <c r="E747" t="s">
        <v>70</v>
      </c>
      <c r="F747" t="s">
        <v>71</v>
      </c>
      <c r="G747" t="s">
        <v>1033</v>
      </c>
      <c r="H747" t="s">
        <v>30</v>
      </c>
      <c r="I747" s="1">
        <v>1</v>
      </c>
      <c r="J747" s="2">
        <v>2112.0700000000002</v>
      </c>
    </row>
    <row r="748" spans="2:10" hidden="1" x14ac:dyDescent="0.2">
      <c r="B748" t="s">
        <v>453</v>
      </c>
      <c r="C748" t="s">
        <v>220</v>
      </c>
      <c r="D748" t="s">
        <v>456</v>
      </c>
      <c r="E748" t="s">
        <v>177</v>
      </c>
      <c r="F748" t="s">
        <v>178</v>
      </c>
      <c r="G748" t="s">
        <v>1033</v>
      </c>
      <c r="H748" t="s">
        <v>30</v>
      </c>
      <c r="I748" s="1">
        <v>1</v>
      </c>
      <c r="J748" s="2">
        <v>637.92999999999995</v>
      </c>
    </row>
    <row r="749" spans="2:10" hidden="1" x14ac:dyDescent="0.2">
      <c r="B749" t="s">
        <v>453</v>
      </c>
      <c r="C749" t="s">
        <v>220</v>
      </c>
      <c r="D749" t="s">
        <v>456</v>
      </c>
      <c r="E749" t="s">
        <v>516</v>
      </c>
      <c r="F749" t="s">
        <v>517</v>
      </c>
      <c r="G749" t="s">
        <v>43</v>
      </c>
      <c r="H749" t="s">
        <v>133</v>
      </c>
      <c r="I749" s="1">
        <v>1</v>
      </c>
      <c r="J749" s="2">
        <v>1508.62</v>
      </c>
    </row>
    <row r="750" spans="2:10" hidden="1" x14ac:dyDescent="0.2">
      <c r="B750" t="s">
        <v>453</v>
      </c>
      <c r="C750" t="s">
        <v>220</v>
      </c>
      <c r="D750" t="s">
        <v>456</v>
      </c>
      <c r="E750" t="s">
        <v>505</v>
      </c>
      <c r="F750" t="s">
        <v>506</v>
      </c>
      <c r="G750" t="s">
        <v>1033</v>
      </c>
      <c r="H750" t="s">
        <v>30</v>
      </c>
      <c r="I750" s="1">
        <v>1</v>
      </c>
      <c r="J750" s="2">
        <v>775.86</v>
      </c>
    </row>
    <row r="751" spans="2:10" hidden="1" x14ac:dyDescent="0.2">
      <c r="B751" t="s">
        <v>453</v>
      </c>
      <c r="C751" t="s">
        <v>220</v>
      </c>
      <c r="D751" t="s">
        <v>456</v>
      </c>
      <c r="E751" t="s">
        <v>518</v>
      </c>
      <c r="F751" t="s">
        <v>519</v>
      </c>
      <c r="G751" t="s">
        <v>54</v>
      </c>
      <c r="H751" t="s">
        <v>520</v>
      </c>
      <c r="I751" s="1">
        <v>1</v>
      </c>
      <c r="J751" s="2">
        <v>271.55</v>
      </c>
    </row>
    <row r="752" spans="2:10" hidden="1" x14ac:dyDescent="0.2">
      <c r="B752" t="s">
        <v>453</v>
      </c>
      <c r="C752" t="s">
        <v>220</v>
      </c>
      <c r="D752" t="s">
        <v>456</v>
      </c>
      <c r="E752" t="s">
        <v>214</v>
      </c>
      <c r="F752" t="s">
        <v>215</v>
      </c>
      <c r="G752" t="s">
        <v>1034</v>
      </c>
      <c r="H752" t="s">
        <v>15</v>
      </c>
      <c r="I752" s="1">
        <v>1</v>
      </c>
      <c r="J752" s="2">
        <v>301.72000000000003</v>
      </c>
    </row>
    <row r="753" spans="2:10" hidden="1" x14ac:dyDescent="0.2">
      <c r="B753" t="s">
        <v>453</v>
      </c>
      <c r="C753" t="s">
        <v>220</v>
      </c>
      <c r="D753" t="s">
        <v>456</v>
      </c>
      <c r="E753" t="s">
        <v>72</v>
      </c>
      <c r="F753" t="s">
        <v>73</v>
      </c>
      <c r="G753" t="s">
        <v>1034</v>
      </c>
      <c r="H753" t="s">
        <v>15</v>
      </c>
      <c r="I753" s="1">
        <v>1</v>
      </c>
      <c r="J753" s="2">
        <v>775.86</v>
      </c>
    </row>
    <row r="754" spans="2:10" hidden="1" x14ac:dyDescent="0.2">
      <c r="B754" t="s">
        <v>453</v>
      </c>
      <c r="C754" t="s">
        <v>220</v>
      </c>
      <c r="D754" t="s">
        <v>456</v>
      </c>
      <c r="E754" t="s">
        <v>427</v>
      </c>
      <c r="F754" t="s">
        <v>428</v>
      </c>
      <c r="G754" t="s">
        <v>14</v>
      </c>
      <c r="H754" t="s">
        <v>87</v>
      </c>
      <c r="I754" s="1">
        <v>1</v>
      </c>
      <c r="J754" s="2">
        <v>120.69</v>
      </c>
    </row>
    <row r="755" spans="2:10" hidden="1" x14ac:dyDescent="0.2">
      <c r="B755" t="s">
        <v>453</v>
      </c>
      <c r="C755" t="s">
        <v>220</v>
      </c>
      <c r="D755" t="s">
        <v>456</v>
      </c>
      <c r="E755" t="s">
        <v>465</v>
      </c>
      <c r="F755" t="s">
        <v>466</v>
      </c>
      <c r="G755" t="s">
        <v>54</v>
      </c>
      <c r="H755" t="s">
        <v>439</v>
      </c>
      <c r="I755" s="1">
        <v>1</v>
      </c>
      <c r="J755" s="2">
        <v>120.69</v>
      </c>
    </row>
    <row r="756" spans="2:10" hidden="1" x14ac:dyDescent="0.2">
      <c r="B756" t="s">
        <v>453</v>
      </c>
      <c r="C756" t="s">
        <v>220</v>
      </c>
      <c r="D756" t="s">
        <v>456</v>
      </c>
      <c r="E756" t="s">
        <v>342</v>
      </c>
      <c r="F756" t="s">
        <v>343</v>
      </c>
      <c r="G756" t="s">
        <v>1033</v>
      </c>
      <c r="H756" t="s">
        <v>30</v>
      </c>
      <c r="I756" s="1">
        <v>1</v>
      </c>
      <c r="J756" s="2">
        <v>1681.03</v>
      </c>
    </row>
    <row r="757" spans="2:10" hidden="1" x14ac:dyDescent="0.2">
      <c r="B757" t="s">
        <v>453</v>
      </c>
      <c r="C757" t="s">
        <v>220</v>
      </c>
      <c r="D757" t="s">
        <v>456</v>
      </c>
      <c r="E757" t="s">
        <v>56</v>
      </c>
      <c r="F757" t="s">
        <v>57</v>
      </c>
      <c r="G757" t="s">
        <v>1034</v>
      </c>
      <c r="H757" t="s">
        <v>15</v>
      </c>
      <c r="I757" s="1">
        <v>1</v>
      </c>
      <c r="J757" s="2">
        <v>431.03</v>
      </c>
    </row>
    <row r="758" spans="2:10" hidden="1" x14ac:dyDescent="0.2">
      <c r="B758" t="s">
        <v>453</v>
      </c>
      <c r="C758" t="s">
        <v>220</v>
      </c>
      <c r="D758" t="s">
        <v>456</v>
      </c>
      <c r="E758" t="s">
        <v>521</v>
      </c>
      <c r="F758" t="s">
        <v>522</v>
      </c>
      <c r="G758" t="s">
        <v>14</v>
      </c>
      <c r="H758" t="s">
        <v>104</v>
      </c>
      <c r="I758" s="1">
        <v>1</v>
      </c>
      <c r="J758" s="2">
        <v>21.55</v>
      </c>
    </row>
    <row r="759" spans="2:10" hidden="1" x14ac:dyDescent="0.2">
      <c r="B759" t="s">
        <v>453</v>
      </c>
      <c r="C759" t="s">
        <v>220</v>
      </c>
      <c r="D759" t="s">
        <v>456</v>
      </c>
      <c r="E759" t="s">
        <v>61</v>
      </c>
      <c r="F759" t="s">
        <v>62</v>
      </c>
      <c r="G759" t="s">
        <v>1034</v>
      </c>
      <c r="H759" t="s">
        <v>15</v>
      </c>
      <c r="I759" s="1">
        <v>3</v>
      </c>
      <c r="J759" s="2">
        <v>517.23</v>
      </c>
    </row>
    <row r="760" spans="2:10" hidden="1" x14ac:dyDescent="0.2">
      <c r="B760" t="s">
        <v>453</v>
      </c>
      <c r="C760" t="s">
        <v>220</v>
      </c>
      <c r="D760" t="s">
        <v>456</v>
      </c>
      <c r="E760" t="s">
        <v>63</v>
      </c>
      <c r="F760" t="s">
        <v>64</v>
      </c>
      <c r="G760" t="s">
        <v>1034</v>
      </c>
      <c r="H760" t="s">
        <v>15</v>
      </c>
      <c r="I760" s="1">
        <v>1</v>
      </c>
      <c r="J760" s="2">
        <v>172.41</v>
      </c>
    </row>
    <row r="761" spans="2:10" hidden="1" x14ac:dyDescent="0.2">
      <c r="B761" t="s">
        <v>453</v>
      </c>
      <c r="C761" t="s">
        <v>220</v>
      </c>
      <c r="D761" t="s">
        <v>456</v>
      </c>
      <c r="E761" t="s">
        <v>16</v>
      </c>
      <c r="F761" t="s">
        <v>17</v>
      </c>
      <c r="G761" t="s">
        <v>1034</v>
      </c>
      <c r="H761" t="s">
        <v>15</v>
      </c>
      <c r="I761" s="1">
        <v>2</v>
      </c>
      <c r="J761" s="2">
        <v>1155.18</v>
      </c>
    </row>
    <row r="762" spans="2:10" hidden="1" x14ac:dyDescent="0.2">
      <c r="B762" t="s">
        <v>453</v>
      </c>
      <c r="C762" t="s">
        <v>225</v>
      </c>
      <c r="D762" t="s">
        <v>130</v>
      </c>
      <c r="E762" t="s">
        <v>44</v>
      </c>
      <c r="F762" t="s">
        <v>45</v>
      </c>
      <c r="G762" t="s">
        <v>1033</v>
      </c>
      <c r="H762" t="s">
        <v>30</v>
      </c>
      <c r="I762" s="1">
        <v>2</v>
      </c>
      <c r="J762" s="2">
        <v>163.80000000000001</v>
      </c>
    </row>
    <row r="763" spans="2:10" hidden="1" x14ac:dyDescent="0.2">
      <c r="B763" t="s">
        <v>453</v>
      </c>
      <c r="C763" t="s">
        <v>225</v>
      </c>
      <c r="D763" t="s">
        <v>130</v>
      </c>
      <c r="E763" t="s">
        <v>350</v>
      </c>
      <c r="F763" t="s">
        <v>351</v>
      </c>
      <c r="G763" t="s">
        <v>1033</v>
      </c>
      <c r="H763" t="s">
        <v>30</v>
      </c>
      <c r="I763" s="1">
        <v>1</v>
      </c>
      <c r="J763" s="2">
        <v>818.97</v>
      </c>
    </row>
    <row r="764" spans="2:10" hidden="1" x14ac:dyDescent="0.2">
      <c r="B764" t="s">
        <v>453</v>
      </c>
      <c r="C764" t="s">
        <v>225</v>
      </c>
      <c r="D764" t="s">
        <v>130</v>
      </c>
      <c r="E764" t="s">
        <v>523</v>
      </c>
      <c r="F764" t="s">
        <v>524</v>
      </c>
      <c r="G764" t="s">
        <v>14</v>
      </c>
      <c r="H764" t="s">
        <v>35</v>
      </c>
      <c r="I764" s="1">
        <v>1</v>
      </c>
      <c r="J764" s="2">
        <v>60.34</v>
      </c>
    </row>
    <row r="765" spans="2:10" hidden="1" x14ac:dyDescent="0.2">
      <c r="B765" t="s">
        <v>453</v>
      </c>
      <c r="C765" t="s">
        <v>225</v>
      </c>
      <c r="D765" t="s">
        <v>130</v>
      </c>
      <c r="E765" t="s">
        <v>397</v>
      </c>
      <c r="F765" t="s">
        <v>398</v>
      </c>
      <c r="G765" t="s">
        <v>14</v>
      </c>
      <c r="H765" t="s">
        <v>35</v>
      </c>
      <c r="I765" s="1">
        <v>1</v>
      </c>
      <c r="J765" s="2">
        <v>77.59</v>
      </c>
    </row>
    <row r="766" spans="2:10" hidden="1" x14ac:dyDescent="0.2">
      <c r="B766" t="s">
        <v>453</v>
      </c>
      <c r="C766" t="s">
        <v>225</v>
      </c>
      <c r="D766" t="s">
        <v>130</v>
      </c>
      <c r="E766" t="s">
        <v>203</v>
      </c>
      <c r="F766" t="s">
        <v>204</v>
      </c>
      <c r="G766" t="s">
        <v>43</v>
      </c>
      <c r="H766" t="s">
        <v>205</v>
      </c>
      <c r="I766" s="1">
        <v>1</v>
      </c>
      <c r="J766" s="2">
        <v>344.83</v>
      </c>
    </row>
    <row r="767" spans="2:10" hidden="1" x14ac:dyDescent="0.2">
      <c r="B767" t="s">
        <v>453</v>
      </c>
      <c r="C767" t="s">
        <v>225</v>
      </c>
      <c r="D767" t="s">
        <v>130</v>
      </c>
      <c r="E767" t="s">
        <v>525</v>
      </c>
      <c r="F767" t="s">
        <v>526</v>
      </c>
      <c r="G767" t="s">
        <v>43</v>
      </c>
      <c r="H767" t="s">
        <v>403</v>
      </c>
      <c r="I767" s="1">
        <v>1</v>
      </c>
      <c r="J767" s="2">
        <v>159.47999999999999</v>
      </c>
    </row>
    <row r="768" spans="2:10" hidden="1" x14ac:dyDescent="0.2">
      <c r="B768" t="s">
        <v>453</v>
      </c>
      <c r="C768" t="s">
        <v>225</v>
      </c>
      <c r="D768" t="s">
        <v>130</v>
      </c>
      <c r="E768" t="s">
        <v>177</v>
      </c>
      <c r="F768" t="s">
        <v>178</v>
      </c>
      <c r="G768" t="s">
        <v>1033</v>
      </c>
      <c r="H768" t="s">
        <v>30</v>
      </c>
      <c r="I768" s="1">
        <v>1</v>
      </c>
      <c r="J768" s="2">
        <v>637.92999999999995</v>
      </c>
    </row>
    <row r="769" spans="2:10" hidden="1" x14ac:dyDescent="0.2">
      <c r="B769" t="s">
        <v>453</v>
      </c>
      <c r="C769" t="s">
        <v>225</v>
      </c>
      <c r="D769" t="s">
        <v>130</v>
      </c>
      <c r="E769" t="s">
        <v>120</v>
      </c>
      <c r="F769" t="s">
        <v>121</v>
      </c>
      <c r="G769" t="s">
        <v>1034</v>
      </c>
      <c r="H769" t="s">
        <v>15</v>
      </c>
      <c r="I769" s="1">
        <v>1</v>
      </c>
      <c r="J769" s="2">
        <v>301.72000000000003</v>
      </c>
    </row>
    <row r="770" spans="2:10" hidden="1" x14ac:dyDescent="0.2">
      <c r="B770" t="s">
        <v>453</v>
      </c>
      <c r="C770" t="s">
        <v>225</v>
      </c>
      <c r="D770" t="s">
        <v>130</v>
      </c>
      <c r="E770" t="s">
        <v>36</v>
      </c>
      <c r="F770" t="s">
        <v>37</v>
      </c>
      <c r="G770" t="s">
        <v>1034</v>
      </c>
      <c r="H770" t="s">
        <v>15</v>
      </c>
      <c r="I770" s="1">
        <v>2</v>
      </c>
      <c r="J770" s="2">
        <v>603.44000000000005</v>
      </c>
    </row>
    <row r="771" spans="2:10" hidden="1" x14ac:dyDescent="0.2">
      <c r="B771" t="s">
        <v>453</v>
      </c>
      <c r="C771" t="s">
        <v>225</v>
      </c>
      <c r="D771" t="s">
        <v>130</v>
      </c>
      <c r="E771" t="s">
        <v>56</v>
      </c>
      <c r="F771" t="s">
        <v>57</v>
      </c>
      <c r="G771" t="s">
        <v>1034</v>
      </c>
      <c r="H771" t="s">
        <v>15</v>
      </c>
      <c r="I771" s="1">
        <v>3</v>
      </c>
      <c r="J771" s="2">
        <v>1293.0999999999999</v>
      </c>
    </row>
    <row r="772" spans="2:10" hidden="1" x14ac:dyDescent="0.2">
      <c r="B772" t="s">
        <v>453</v>
      </c>
      <c r="C772" t="s">
        <v>225</v>
      </c>
      <c r="D772" t="s">
        <v>130</v>
      </c>
      <c r="E772" t="s">
        <v>406</v>
      </c>
      <c r="F772" t="s">
        <v>407</v>
      </c>
      <c r="G772" t="s">
        <v>14</v>
      </c>
      <c r="H772" t="s">
        <v>104</v>
      </c>
      <c r="I772" s="1">
        <v>30</v>
      </c>
      <c r="J772" s="2">
        <v>517.20000000000005</v>
      </c>
    </row>
    <row r="773" spans="2:10" hidden="1" x14ac:dyDescent="0.2">
      <c r="B773" t="s">
        <v>453</v>
      </c>
      <c r="C773" t="s">
        <v>225</v>
      </c>
      <c r="D773" t="s">
        <v>130</v>
      </c>
      <c r="E773" t="s">
        <v>124</v>
      </c>
      <c r="F773" t="s">
        <v>125</v>
      </c>
      <c r="G773" t="s">
        <v>1034</v>
      </c>
      <c r="H773" t="s">
        <v>15</v>
      </c>
      <c r="I773" s="1">
        <v>1</v>
      </c>
      <c r="J773" s="2">
        <v>431.03</v>
      </c>
    </row>
    <row r="774" spans="2:10" hidden="1" x14ac:dyDescent="0.2">
      <c r="B774" t="s">
        <v>453</v>
      </c>
      <c r="C774" t="s">
        <v>225</v>
      </c>
      <c r="D774" t="s">
        <v>130</v>
      </c>
      <c r="E774" t="s">
        <v>61</v>
      </c>
      <c r="F774" t="s">
        <v>62</v>
      </c>
      <c r="G774" t="s">
        <v>1034</v>
      </c>
      <c r="H774" t="s">
        <v>15</v>
      </c>
      <c r="I774" s="1">
        <v>2</v>
      </c>
      <c r="J774" s="2">
        <v>344.82</v>
      </c>
    </row>
    <row r="775" spans="2:10" hidden="1" x14ac:dyDescent="0.2">
      <c r="B775" t="s">
        <v>453</v>
      </c>
      <c r="C775" t="s">
        <v>225</v>
      </c>
      <c r="D775" t="s">
        <v>130</v>
      </c>
      <c r="E775" t="s">
        <v>63</v>
      </c>
      <c r="F775" t="s">
        <v>64</v>
      </c>
      <c r="G775" t="s">
        <v>1034</v>
      </c>
      <c r="H775" t="s">
        <v>15</v>
      </c>
      <c r="I775" s="1">
        <v>2</v>
      </c>
      <c r="J775" s="2">
        <v>344.82</v>
      </c>
    </row>
    <row r="776" spans="2:10" hidden="1" x14ac:dyDescent="0.2">
      <c r="B776" t="s">
        <v>453</v>
      </c>
      <c r="C776" t="s">
        <v>225</v>
      </c>
      <c r="D776" t="s">
        <v>130</v>
      </c>
      <c r="E776" t="s">
        <v>16</v>
      </c>
      <c r="F776" t="s">
        <v>17</v>
      </c>
      <c r="G776" t="s">
        <v>1034</v>
      </c>
      <c r="H776" t="s">
        <v>15</v>
      </c>
      <c r="I776" s="1">
        <v>2</v>
      </c>
      <c r="J776" s="2">
        <v>1155.18</v>
      </c>
    </row>
    <row r="777" spans="2:10" hidden="1" x14ac:dyDescent="0.2">
      <c r="B777" t="s">
        <v>453</v>
      </c>
      <c r="C777" t="s">
        <v>225</v>
      </c>
      <c r="D777" t="s">
        <v>130</v>
      </c>
      <c r="E777" t="s">
        <v>384</v>
      </c>
      <c r="F777" t="s">
        <v>385</v>
      </c>
      <c r="G777" t="s">
        <v>43</v>
      </c>
      <c r="H777" t="s">
        <v>50</v>
      </c>
      <c r="I777" s="1">
        <v>1</v>
      </c>
      <c r="J777" s="2">
        <v>2155.17</v>
      </c>
    </row>
    <row r="778" spans="2:10" hidden="1" x14ac:dyDescent="0.2">
      <c r="B778" t="s">
        <v>453</v>
      </c>
      <c r="C778" t="s">
        <v>225</v>
      </c>
      <c r="D778" t="s">
        <v>130</v>
      </c>
      <c r="E778" t="s">
        <v>28</v>
      </c>
      <c r="F778" t="s">
        <v>29</v>
      </c>
      <c r="G778" t="s">
        <v>1033</v>
      </c>
      <c r="H778" t="s">
        <v>30</v>
      </c>
      <c r="I778" s="1">
        <v>3</v>
      </c>
      <c r="J778" s="2">
        <v>465.51</v>
      </c>
    </row>
    <row r="779" spans="2:10" x14ac:dyDescent="0.2">
      <c r="B779" t="s">
        <v>453</v>
      </c>
      <c r="C779" t="s">
        <v>227</v>
      </c>
      <c r="D779" t="s">
        <v>456</v>
      </c>
      <c r="E779" t="s">
        <v>44</v>
      </c>
      <c r="F779" t="s">
        <v>45</v>
      </c>
      <c r="G779" t="s">
        <v>1033</v>
      </c>
      <c r="H779" t="s">
        <v>30</v>
      </c>
      <c r="I779" s="1">
        <v>5</v>
      </c>
      <c r="J779" s="2">
        <v>409.5</v>
      </c>
    </row>
    <row r="780" spans="2:10" x14ac:dyDescent="0.2">
      <c r="B780" t="s">
        <v>453</v>
      </c>
      <c r="C780" t="s">
        <v>227</v>
      </c>
      <c r="D780" t="s">
        <v>456</v>
      </c>
      <c r="E780" t="s">
        <v>221</v>
      </c>
      <c r="F780" t="s">
        <v>222</v>
      </c>
      <c r="G780" t="s">
        <v>1034</v>
      </c>
      <c r="H780" t="s">
        <v>15</v>
      </c>
      <c r="I780" s="1">
        <v>1</v>
      </c>
      <c r="J780" s="2">
        <v>431.03</v>
      </c>
    </row>
    <row r="781" spans="2:10" x14ac:dyDescent="0.2">
      <c r="B781" t="s">
        <v>453</v>
      </c>
      <c r="C781" t="s">
        <v>227</v>
      </c>
      <c r="D781" t="s">
        <v>456</v>
      </c>
      <c r="E781" t="s">
        <v>406</v>
      </c>
      <c r="F781" t="s">
        <v>407</v>
      </c>
      <c r="G781" t="s">
        <v>14</v>
      </c>
      <c r="H781" t="s">
        <v>104</v>
      </c>
      <c r="I781" s="1">
        <v>10</v>
      </c>
      <c r="J781" s="2">
        <v>172.4</v>
      </c>
    </row>
    <row r="782" spans="2:10" x14ac:dyDescent="0.2">
      <c r="B782" t="s">
        <v>453</v>
      </c>
      <c r="C782" t="s">
        <v>227</v>
      </c>
      <c r="D782" t="s">
        <v>456</v>
      </c>
      <c r="E782" t="s">
        <v>61</v>
      </c>
      <c r="F782" t="s">
        <v>62</v>
      </c>
      <c r="G782" t="s">
        <v>1034</v>
      </c>
      <c r="H782" t="s">
        <v>15</v>
      </c>
      <c r="I782" s="1">
        <v>1</v>
      </c>
      <c r="J782" s="2">
        <v>172.41</v>
      </c>
    </row>
    <row r="783" spans="2:10" x14ac:dyDescent="0.2">
      <c r="B783" t="s">
        <v>453</v>
      </c>
      <c r="C783" t="s">
        <v>227</v>
      </c>
      <c r="D783" t="s">
        <v>456</v>
      </c>
      <c r="E783" t="s">
        <v>16</v>
      </c>
      <c r="F783" t="s">
        <v>17</v>
      </c>
      <c r="G783" t="s">
        <v>1034</v>
      </c>
      <c r="H783" t="s">
        <v>15</v>
      </c>
      <c r="I783" s="1">
        <v>1</v>
      </c>
      <c r="J783" s="2">
        <v>577.59</v>
      </c>
    </row>
    <row r="784" spans="2:10" x14ac:dyDescent="0.2">
      <c r="B784" t="s">
        <v>453</v>
      </c>
      <c r="C784" t="s">
        <v>228</v>
      </c>
      <c r="D784" t="s">
        <v>456</v>
      </c>
      <c r="E784" t="s">
        <v>356</v>
      </c>
      <c r="F784" t="s">
        <v>357</v>
      </c>
      <c r="G784" t="s">
        <v>1033</v>
      </c>
      <c r="H784" t="s">
        <v>30</v>
      </c>
      <c r="I784" s="1">
        <v>1</v>
      </c>
      <c r="J784" s="2">
        <v>2198.2800000000002</v>
      </c>
    </row>
    <row r="785" spans="2:10" x14ac:dyDescent="0.2">
      <c r="B785" t="s">
        <v>453</v>
      </c>
      <c r="C785" t="s">
        <v>228</v>
      </c>
      <c r="D785" t="s">
        <v>456</v>
      </c>
      <c r="E785" t="s">
        <v>83</v>
      </c>
      <c r="F785" t="s">
        <v>84</v>
      </c>
      <c r="G785" t="s">
        <v>1034</v>
      </c>
      <c r="H785" t="s">
        <v>15</v>
      </c>
      <c r="I785" s="1">
        <v>1</v>
      </c>
      <c r="J785" s="2">
        <v>387.93</v>
      </c>
    </row>
    <row r="786" spans="2:10" x14ac:dyDescent="0.2">
      <c r="B786" t="s">
        <v>453</v>
      </c>
      <c r="C786" t="s">
        <v>228</v>
      </c>
      <c r="D786" t="s">
        <v>456</v>
      </c>
      <c r="E786" t="s">
        <v>61</v>
      </c>
      <c r="F786" t="s">
        <v>62</v>
      </c>
      <c r="G786" t="s">
        <v>1034</v>
      </c>
      <c r="H786" t="s">
        <v>15</v>
      </c>
      <c r="I786" s="1">
        <v>1</v>
      </c>
      <c r="J786" s="2">
        <v>172.41</v>
      </c>
    </row>
    <row r="787" spans="2:10" x14ac:dyDescent="0.2">
      <c r="B787" t="s">
        <v>453</v>
      </c>
      <c r="C787" t="s">
        <v>228</v>
      </c>
      <c r="D787" t="s">
        <v>456</v>
      </c>
      <c r="E787" t="s">
        <v>63</v>
      </c>
      <c r="F787" t="s">
        <v>64</v>
      </c>
      <c r="G787" t="s">
        <v>1034</v>
      </c>
      <c r="H787" t="s">
        <v>15</v>
      </c>
      <c r="I787" s="1">
        <v>4</v>
      </c>
      <c r="J787" s="2">
        <v>689.64</v>
      </c>
    </row>
    <row r="788" spans="2:10" x14ac:dyDescent="0.2">
      <c r="B788" t="s">
        <v>453</v>
      </c>
      <c r="C788" t="s">
        <v>228</v>
      </c>
      <c r="D788" t="s">
        <v>456</v>
      </c>
      <c r="E788" t="s">
        <v>16</v>
      </c>
      <c r="F788" t="s">
        <v>17</v>
      </c>
      <c r="G788" t="s">
        <v>1034</v>
      </c>
      <c r="H788" t="s">
        <v>15</v>
      </c>
      <c r="I788" s="1">
        <v>3</v>
      </c>
      <c r="J788" s="2">
        <v>1732.77</v>
      </c>
    </row>
    <row r="789" spans="2:10" x14ac:dyDescent="0.2">
      <c r="B789" t="s">
        <v>453</v>
      </c>
      <c r="C789" t="s">
        <v>233</v>
      </c>
      <c r="D789" t="s">
        <v>130</v>
      </c>
      <c r="E789" t="s">
        <v>70</v>
      </c>
      <c r="F789" t="s">
        <v>71</v>
      </c>
      <c r="G789" t="s">
        <v>1033</v>
      </c>
      <c r="H789" t="s">
        <v>30</v>
      </c>
      <c r="I789" s="1">
        <v>1</v>
      </c>
      <c r="J789" s="2">
        <v>2112.0700000000002</v>
      </c>
    </row>
    <row r="790" spans="2:10" x14ac:dyDescent="0.2">
      <c r="B790" t="s">
        <v>453</v>
      </c>
      <c r="C790" t="s">
        <v>233</v>
      </c>
      <c r="D790" t="s">
        <v>130</v>
      </c>
      <c r="E790" t="s">
        <v>36</v>
      </c>
      <c r="F790" t="s">
        <v>37</v>
      </c>
      <c r="G790" t="s">
        <v>1034</v>
      </c>
      <c r="H790" t="s">
        <v>15</v>
      </c>
      <c r="I790" s="1">
        <v>1</v>
      </c>
      <c r="J790" s="2">
        <v>301.72000000000003</v>
      </c>
    </row>
    <row r="791" spans="2:10" x14ac:dyDescent="0.2">
      <c r="B791" t="s">
        <v>453</v>
      </c>
      <c r="C791" t="s">
        <v>233</v>
      </c>
      <c r="D791" t="s">
        <v>130</v>
      </c>
      <c r="E791" t="s">
        <v>72</v>
      </c>
      <c r="F791" t="s">
        <v>73</v>
      </c>
      <c r="G791" t="s">
        <v>1034</v>
      </c>
      <c r="H791" t="s">
        <v>15</v>
      </c>
      <c r="I791" s="1">
        <v>1</v>
      </c>
      <c r="J791" s="2">
        <v>775.86</v>
      </c>
    </row>
    <row r="792" spans="2:10" x14ac:dyDescent="0.2">
      <c r="B792" t="s">
        <v>453</v>
      </c>
      <c r="C792" t="s">
        <v>233</v>
      </c>
      <c r="D792" t="s">
        <v>130</v>
      </c>
      <c r="E792" t="s">
        <v>122</v>
      </c>
      <c r="F792" t="s">
        <v>123</v>
      </c>
      <c r="G792" t="s">
        <v>1034</v>
      </c>
      <c r="H792" t="s">
        <v>15</v>
      </c>
      <c r="I792" s="1">
        <v>1</v>
      </c>
      <c r="J792" s="2">
        <v>387.93</v>
      </c>
    </row>
    <row r="793" spans="2:10" x14ac:dyDescent="0.2">
      <c r="B793" t="s">
        <v>453</v>
      </c>
      <c r="C793" t="s">
        <v>233</v>
      </c>
      <c r="D793" t="s">
        <v>130</v>
      </c>
      <c r="E793" t="s">
        <v>16</v>
      </c>
      <c r="F793" t="s">
        <v>17</v>
      </c>
      <c r="G793" t="s">
        <v>1034</v>
      </c>
      <c r="H793" t="s">
        <v>15</v>
      </c>
      <c r="I793" s="1">
        <v>2</v>
      </c>
      <c r="J793" s="2">
        <v>1155.18</v>
      </c>
    </row>
    <row r="794" spans="2:10" x14ac:dyDescent="0.2">
      <c r="B794" t="s">
        <v>453</v>
      </c>
      <c r="C794" t="s">
        <v>236</v>
      </c>
      <c r="D794" t="s">
        <v>456</v>
      </c>
      <c r="E794" t="s">
        <v>221</v>
      </c>
      <c r="F794" t="s">
        <v>222</v>
      </c>
      <c r="G794" t="s">
        <v>1034</v>
      </c>
      <c r="H794" t="s">
        <v>15</v>
      </c>
      <c r="I794" s="1">
        <v>1</v>
      </c>
      <c r="J794" s="2">
        <v>431.03</v>
      </c>
    </row>
    <row r="795" spans="2:10" x14ac:dyDescent="0.2">
      <c r="B795" t="s">
        <v>453</v>
      </c>
      <c r="C795" t="s">
        <v>236</v>
      </c>
      <c r="D795" t="s">
        <v>456</v>
      </c>
      <c r="E795" t="s">
        <v>120</v>
      </c>
      <c r="F795" t="s">
        <v>121</v>
      </c>
      <c r="G795" t="s">
        <v>1034</v>
      </c>
      <c r="H795" t="s">
        <v>15</v>
      </c>
      <c r="I795" s="1">
        <v>1</v>
      </c>
      <c r="J795" s="2">
        <v>301.72000000000003</v>
      </c>
    </row>
    <row r="796" spans="2:10" x14ac:dyDescent="0.2">
      <c r="B796" t="s">
        <v>453</v>
      </c>
      <c r="C796" t="s">
        <v>236</v>
      </c>
      <c r="D796" t="s">
        <v>456</v>
      </c>
      <c r="E796" t="s">
        <v>310</v>
      </c>
      <c r="F796" t="s">
        <v>311</v>
      </c>
      <c r="G796" t="s">
        <v>1033</v>
      </c>
      <c r="H796" t="s">
        <v>30</v>
      </c>
      <c r="I796" s="1">
        <v>1</v>
      </c>
      <c r="J796" s="2">
        <v>474.14</v>
      </c>
    </row>
    <row r="797" spans="2:10" x14ac:dyDescent="0.2">
      <c r="B797" t="s">
        <v>453</v>
      </c>
      <c r="C797" t="s">
        <v>236</v>
      </c>
      <c r="D797" t="s">
        <v>456</v>
      </c>
      <c r="E797" t="s">
        <v>56</v>
      </c>
      <c r="F797" t="s">
        <v>57</v>
      </c>
      <c r="G797" t="s">
        <v>1034</v>
      </c>
      <c r="H797" t="s">
        <v>15</v>
      </c>
      <c r="I797" s="1">
        <v>1</v>
      </c>
      <c r="J797" s="2">
        <v>431.03</v>
      </c>
    </row>
    <row r="798" spans="2:10" x14ac:dyDescent="0.2">
      <c r="B798" t="s">
        <v>453</v>
      </c>
      <c r="C798" t="s">
        <v>236</v>
      </c>
      <c r="D798" t="s">
        <v>456</v>
      </c>
      <c r="E798" t="s">
        <v>63</v>
      </c>
      <c r="F798" t="s">
        <v>64</v>
      </c>
      <c r="G798" t="s">
        <v>1034</v>
      </c>
      <c r="H798" t="s">
        <v>15</v>
      </c>
      <c r="I798" s="1">
        <v>1</v>
      </c>
      <c r="J798" s="2">
        <v>172.41</v>
      </c>
    </row>
    <row r="799" spans="2:10" x14ac:dyDescent="0.2">
      <c r="B799" t="s">
        <v>453</v>
      </c>
      <c r="C799" t="s">
        <v>237</v>
      </c>
      <c r="D799" t="s">
        <v>456</v>
      </c>
      <c r="E799" t="s">
        <v>514</v>
      </c>
      <c r="F799" t="s">
        <v>515</v>
      </c>
      <c r="G799" t="s">
        <v>1033</v>
      </c>
      <c r="H799" t="s">
        <v>30</v>
      </c>
      <c r="I799" s="1">
        <v>1</v>
      </c>
      <c r="J799" s="2">
        <v>1293.0999999999999</v>
      </c>
    </row>
    <row r="800" spans="2:10" x14ac:dyDescent="0.2">
      <c r="B800" t="s">
        <v>453</v>
      </c>
      <c r="C800" t="s">
        <v>237</v>
      </c>
      <c r="D800" t="s">
        <v>456</v>
      </c>
      <c r="E800" t="s">
        <v>189</v>
      </c>
      <c r="F800" t="s">
        <v>190</v>
      </c>
      <c r="G800" t="s">
        <v>1033</v>
      </c>
      <c r="H800" t="s">
        <v>30</v>
      </c>
      <c r="I800" s="1">
        <v>1</v>
      </c>
      <c r="J800" s="2">
        <v>818.97</v>
      </c>
    </row>
    <row r="801" spans="2:10" x14ac:dyDescent="0.2">
      <c r="B801" t="s">
        <v>453</v>
      </c>
      <c r="C801" t="s">
        <v>237</v>
      </c>
      <c r="D801" t="s">
        <v>456</v>
      </c>
      <c r="E801" t="s">
        <v>56</v>
      </c>
      <c r="F801" t="s">
        <v>57</v>
      </c>
      <c r="G801" t="s">
        <v>1034</v>
      </c>
      <c r="H801" t="s">
        <v>15</v>
      </c>
      <c r="I801" s="1">
        <v>1</v>
      </c>
      <c r="J801" s="2">
        <v>431.03</v>
      </c>
    </row>
    <row r="802" spans="2:10" x14ac:dyDescent="0.2">
      <c r="B802" t="s">
        <v>453</v>
      </c>
      <c r="C802" t="s">
        <v>237</v>
      </c>
      <c r="D802" t="s">
        <v>456</v>
      </c>
      <c r="E802" t="s">
        <v>527</v>
      </c>
      <c r="F802" t="s">
        <v>528</v>
      </c>
      <c r="G802" t="s">
        <v>1034</v>
      </c>
      <c r="H802" t="s">
        <v>15</v>
      </c>
      <c r="I802" s="1">
        <v>1</v>
      </c>
      <c r="J802" s="2">
        <v>241.38</v>
      </c>
    </row>
    <row r="803" spans="2:10" x14ac:dyDescent="0.2">
      <c r="B803" t="s">
        <v>453</v>
      </c>
      <c r="C803" t="s">
        <v>237</v>
      </c>
      <c r="D803" t="s">
        <v>456</v>
      </c>
      <c r="E803" t="s">
        <v>435</v>
      </c>
      <c r="F803" t="s">
        <v>436</v>
      </c>
      <c r="G803" t="s">
        <v>1033</v>
      </c>
      <c r="H803" t="s">
        <v>30</v>
      </c>
      <c r="I803" s="1">
        <v>1</v>
      </c>
      <c r="J803" s="2">
        <v>2060.9299999999998</v>
      </c>
    </row>
    <row r="804" spans="2:10" x14ac:dyDescent="0.2">
      <c r="B804" t="s">
        <v>453</v>
      </c>
      <c r="C804" t="s">
        <v>248</v>
      </c>
      <c r="D804" t="s">
        <v>456</v>
      </c>
      <c r="E804" t="s">
        <v>529</v>
      </c>
      <c r="F804" t="s">
        <v>530</v>
      </c>
      <c r="G804" t="s">
        <v>14</v>
      </c>
      <c r="H804" t="s">
        <v>35</v>
      </c>
      <c r="I804" s="1">
        <v>1</v>
      </c>
      <c r="J804" s="2">
        <v>77.59</v>
      </c>
    </row>
    <row r="805" spans="2:10" x14ac:dyDescent="0.2">
      <c r="B805" t="s">
        <v>453</v>
      </c>
      <c r="C805" t="s">
        <v>248</v>
      </c>
      <c r="D805" t="s">
        <v>456</v>
      </c>
      <c r="E805" t="s">
        <v>201</v>
      </c>
      <c r="F805" t="s">
        <v>202</v>
      </c>
      <c r="G805" t="s">
        <v>1033</v>
      </c>
      <c r="H805" t="s">
        <v>30</v>
      </c>
      <c r="I805" s="1">
        <v>1</v>
      </c>
      <c r="J805" s="2">
        <v>948.28</v>
      </c>
    </row>
    <row r="806" spans="2:10" x14ac:dyDescent="0.2">
      <c r="B806" t="s">
        <v>453</v>
      </c>
      <c r="C806" t="s">
        <v>248</v>
      </c>
      <c r="D806" t="s">
        <v>456</v>
      </c>
      <c r="E806" t="s">
        <v>221</v>
      </c>
      <c r="F806" t="s">
        <v>222</v>
      </c>
      <c r="G806" t="s">
        <v>1034</v>
      </c>
      <c r="H806" t="s">
        <v>15</v>
      </c>
      <c r="I806" s="1">
        <v>1</v>
      </c>
      <c r="J806" s="2">
        <v>431.03</v>
      </c>
    </row>
    <row r="807" spans="2:10" x14ac:dyDescent="0.2">
      <c r="B807" t="s">
        <v>453</v>
      </c>
      <c r="C807" t="s">
        <v>248</v>
      </c>
      <c r="D807" t="s">
        <v>456</v>
      </c>
      <c r="E807" t="s">
        <v>12</v>
      </c>
      <c r="F807" t="s">
        <v>13</v>
      </c>
      <c r="G807" t="s">
        <v>1034</v>
      </c>
      <c r="H807" t="s">
        <v>15</v>
      </c>
      <c r="I807" s="1">
        <v>1</v>
      </c>
      <c r="J807" s="2">
        <v>1077.5899999999999</v>
      </c>
    </row>
    <row r="808" spans="2:10" x14ac:dyDescent="0.2">
      <c r="B808" t="s">
        <v>453</v>
      </c>
      <c r="C808" t="s">
        <v>248</v>
      </c>
      <c r="D808" t="s">
        <v>456</v>
      </c>
      <c r="E808" t="s">
        <v>36</v>
      </c>
      <c r="F808" t="s">
        <v>37</v>
      </c>
      <c r="G808" t="s">
        <v>1034</v>
      </c>
      <c r="H808" t="s">
        <v>15</v>
      </c>
      <c r="I808" s="1">
        <v>1</v>
      </c>
      <c r="J808" s="2">
        <v>301.72000000000003</v>
      </c>
    </row>
    <row r="809" spans="2:10" x14ac:dyDescent="0.2">
      <c r="B809" t="s">
        <v>453</v>
      </c>
      <c r="C809" t="s">
        <v>248</v>
      </c>
      <c r="D809" t="s">
        <v>456</v>
      </c>
      <c r="E809" t="s">
        <v>72</v>
      </c>
      <c r="F809" t="s">
        <v>73</v>
      </c>
      <c r="G809" t="s">
        <v>1034</v>
      </c>
      <c r="H809" t="s">
        <v>15</v>
      </c>
      <c r="I809" s="1">
        <v>2</v>
      </c>
      <c r="J809" s="2">
        <v>1551.72</v>
      </c>
    </row>
    <row r="810" spans="2:10" x14ac:dyDescent="0.2">
      <c r="B810" t="s">
        <v>453</v>
      </c>
      <c r="C810" t="s">
        <v>248</v>
      </c>
      <c r="D810" t="s">
        <v>456</v>
      </c>
      <c r="E810" t="s">
        <v>122</v>
      </c>
      <c r="F810" t="s">
        <v>123</v>
      </c>
      <c r="G810" t="s">
        <v>1034</v>
      </c>
      <c r="H810" t="s">
        <v>15</v>
      </c>
      <c r="I810" s="1">
        <v>1</v>
      </c>
      <c r="J810" s="2">
        <v>387.93</v>
      </c>
    </row>
    <row r="811" spans="2:10" x14ac:dyDescent="0.2">
      <c r="B811" t="s">
        <v>453</v>
      </c>
      <c r="C811" t="s">
        <v>248</v>
      </c>
      <c r="D811" t="s">
        <v>456</v>
      </c>
      <c r="E811" t="s">
        <v>285</v>
      </c>
      <c r="F811" t="s">
        <v>286</v>
      </c>
      <c r="G811" t="s">
        <v>1033</v>
      </c>
      <c r="H811" t="s">
        <v>30</v>
      </c>
      <c r="I811" s="1">
        <v>1</v>
      </c>
      <c r="J811" s="2">
        <v>1034.48</v>
      </c>
    </row>
    <row r="812" spans="2:10" x14ac:dyDescent="0.2">
      <c r="B812" t="s">
        <v>453</v>
      </c>
      <c r="C812" t="s">
        <v>248</v>
      </c>
      <c r="D812" t="s">
        <v>456</v>
      </c>
      <c r="E812" t="s">
        <v>56</v>
      </c>
      <c r="F812" t="s">
        <v>57</v>
      </c>
      <c r="G812" t="s">
        <v>1034</v>
      </c>
      <c r="H812" t="s">
        <v>15</v>
      </c>
      <c r="I812" s="1">
        <v>2</v>
      </c>
      <c r="J812" s="2">
        <v>862.06</v>
      </c>
    </row>
    <row r="813" spans="2:10" x14ac:dyDescent="0.2">
      <c r="B813" t="s">
        <v>453</v>
      </c>
      <c r="C813" t="s">
        <v>248</v>
      </c>
      <c r="D813" t="s">
        <v>456</v>
      </c>
      <c r="E813" t="s">
        <v>406</v>
      </c>
      <c r="F813" t="s">
        <v>407</v>
      </c>
      <c r="G813" t="s">
        <v>14</v>
      </c>
      <c r="H813" t="s">
        <v>104</v>
      </c>
      <c r="I813" s="1">
        <v>3</v>
      </c>
      <c r="J813" s="2">
        <v>51.72</v>
      </c>
    </row>
    <row r="814" spans="2:10" x14ac:dyDescent="0.2">
      <c r="B814" t="s">
        <v>453</v>
      </c>
      <c r="C814" t="s">
        <v>248</v>
      </c>
      <c r="D814" t="s">
        <v>456</v>
      </c>
      <c r="E814" t="s">
        <v>79</v>
      </c>
      <c r="F814" t="s">
        <v>80</v>
      </c>
      <c r="G814" t="s">
        <v>43</v>
      </c>
      <c r="H814" t="s">
        <v>81</v>
      </c>
      <c r="I814" s="1">
        <v>1</v>
      </c>
      <c r="J814" s="2">
        <v>1810.34</v>
      </c>
    </row>
    <row r="815" spans="2:10" x14ac:dyDescent="0.2">
      <c r="B815" t="s">
        <v>453</v>
      </c>
      <c r="C815" t="s">
        <v>248</v>
      </c>
      <c r="D815" t="s">
        <v>456</v>
      </c>
      <c r="E815" t="s">
        <v>28</v>
      </c>
      <c r="F815" t="s">
        <v>29</v>
      </c>
      <c r="G815" t="s">
        <v>1033</v>
      </c>
      <c r="H815" t="s">
        <v>30</v>
      </c>
      <c r="I815" s="1">
        <v>1</v>
      </c>
      <c r="J815" s="2">
        <v>155.16999999999999</v>
      </c>
    </row>
    <row r="816" spans="2:10" hidden="1" x14ac:dyDescent="0.2">
      <c r="B816" t="s">
        <v>531</v>
      </c>
      <c r="C816" t="s">
        <v>10</v>
      </c>
      <c r="D816" t="s">
        <v>532</v>
      </c>
      <c r="E816" t="s">
        <v>318</v>
      </c>
      <c r="F816" t="s">
        <v>319</v>
      </c>
      <c r="G816" t="s">
        <v>1033</v>
      </c>
      <c r="H816" t="s">
        <v>30</v>
      </c>
      <c r="I816" s="1">
        <v>1</v>
      </c>
      <c r="J816" s="2">
        <v>456.9</v>
      </c>
    </row>
    <row r="817" spans="2:10" hidden="1" x14ac:dyDescent="0.2">
      <c r="B817" t="s">
        <v>531</v>
      </c>
      <c r="C817" t="s">
        <v>10</v>
      </c>
      <c r="D817" t="s">
        <v>532</v>
      </c>
      <c r="E817" t="s">
        <v>238</v>
      </c>
      <c r="F817" t="s">
        <v>239</v>
      </c>
      <c r="G817" t="s">
        <v>1033</v>
      </c>
      <c r="H817" t="s">
        <v>30</v>
      </c>
      <c r="I817" s="1">
        <v>1</v>
      </c>
      <c r="J817" s="2">
        <v>396.55</v>
      </c>
    </row>
    <row r="818" spans="2:10" hidden="1" x14ac:dyDescent="0.2">
      <c r="B818" t="s">
        <v>531</v>
      </c>
      <c r="C818" t="s">
        <v>10</v>
      </c>
      <c r="D818" t="s">
        <v>532</v>
      </c>
      <c r="E818" t="s">
        <v>44</v>
      </c>
      <c r="F818" t="s">
        <v>45</v>
      </c>
      <c r="G818" t="s">
        <v>1033</v>
      </c>
      <c r="H818" t="s">
        <v>30</v>
      </c>
      <c r="I818" s="1">
        <v>1</v>
      </c>
      <c r="J818" s="2">
        <v>81.900000000000006</v>
      </c>
    </row>
    <row r="819" spans="2:10" hidden="1" x14ac:dyDescent="0.2">
      <c r="B819" t="s">
        <v>531</v>
      </c>
      <c r="C819" t="s">
        <v>10</v>
      </c>
      <c r="D819" t="s">
        <v>532</v>
      </c>
      <c r="E819" t="s">
        <v>533</v>
      </c>
      <c r="F819" t="s">
        <v>534</v>
      </c>
      <c r="G819" t="s">
        <v>14</v>
      </c>
      <c r="H819" t="s">
        <v>35</v>
      </c>
      <c r="I819" s="1">
        <v>1</v>
      </c>
      <c r="J819" s="2">
        <v>77.59</v>
      </c>
    </row>
    <row r="820" spans="2:10" hidden="1" x14ac:dyDescent="0.2">
      <c r="B820" t="s">
        <v>531</v>
      </c>
      <c r="C820" t="s">
        <v>10</v>
      </c>
      <c r="D820" t="s">
        <v>532</v>
      </c>
      <c r="E820" t="s">
        <v>120</v>
      </c>
      <c r="F820" t="s">
        <v>121</v>
      </c>
      <c r="G820" t="s">
        <v>1034</v>
      </c>
      <c r="H820" t="s">
        <v>15</v>
      </c>
      <c r="I820" s="1">
        <v>1</v>
      </c>
      <c r="J820" s="2">
        <v>301.72000000000003</v>
      </c>
    </row>
    <row r="821" spans="2:10" hidden="1" x14ac:dyDescent="0.2">
      <c r="B821" t="s">
        <v>531</v>
      </c>
      <c r="C821" t="s">
        <v>10</v>
      </c>
      <c r="D821" t="s">
        <v>532</v>
      </c>
      <c r="E821" t="s">
        <v>36</v>
      </c>
      <c r="F821" t="s">
        <v>37</v>
      </c>
      <c r="G821" t="s">
        <v>1034</v>
      </c>
      <c r="H821" t="s">
        <v>15</v>
      </c>
      <c r="I821" s="1">
        <v>2</v>
      </c>
      <c r="J821" s="2">
        <v>603.44000000000005</v>
      </c>
    </row>
    <row r="822" spans="2:10" hidden="1" x14ac:dyDescent="0.2">
      <c r="B822" t="s">
        <v>531</v>
      </c>
      <c r="C822" t="s">
        <v>10</v>
      </c>
      <c r="D822" t="s">
        <v>532</v>
      </c>
      <c r="E822" t="s">
        <v>22</v>
      </c>
      <c r="F822" t="s">
        <v>23</v>
      </c>
      <c r="G822" t="s">
        <v>14</v>
      </c>
      <c r="H822" t="s">
        <v>24</v>
      </c>
      <c r="I822" s="1">
        <v>1</v>
      </c>
      <c r="J822" s="2">
        <v>215.52</v>
      </c>
    </row>
    <row r="823" spans="2:10" hidden="1" x14ac:dyDescent="0.2">
      <c r="B823" t="s">
        <v>531</v>
      </c>
      <c r="C823" t="s">
        <v>10</v>
      </c>
      <c r="D823" t="s">
        <v>532</v>
      </c>
      <c r="E823" t="s">
        <v>521</v>
      </c>
      <c r="F823" t="s">
        <v>522</v>
      </c>
      <c r="G823" t="s">
        <v>14</v>
      </c>
      <c r="H823" t="s">
        <v>104</v>
      </c>
      <c r="I823" s="1">
        <v>1</v>
      </c>
      <c r="J823" s="2">
        <v>21.55</v>
      </c>
    </row>
    <row r="824" spans="2:10" hidden="1" x14ac:dyDescent="0.2">
      <c r="B824" t="s">
        <v>531</v>
      </c>
      <c r="C824" t="s">
        <v>10</v>
      </c>
      <c r="D824" t="s">
        <v>532</v>
      </c>
      <c r="E824" t="s">
        <v>406</v>
      </c>
      <c r="F824" t="s">
        <v>407</v>
      </c>
      <c r="G824" t="s">
        <v>14</v>
      </c>
      <c r="H824" t="s">
        <v>104</v>
      </c>
      <c r="I824" s="1">
        <v>2</v>
      </c>
      <c r="J824" s="2">
        <v>34.479999999999997</v>
      </c>
    </row>
    <row r="825" spans="2:10" hidden="1" x14ac:dyDescent="0.2">
      <c r="B825" t="s">
        <v>531</v>
      </c>
      <c r="C825" t="s">
        <v>10</v>
      </c>
      <c r="D825" t="s">
        <v>532</v>
      </c>
      <c r="E825" t="s">
        <v>28</v>
      </c>
      <c r="F825" t="s">
        <v>29</v>
      </c>
      <c r="G825" t="s">
        <v>1033</v>
      </c>
      <c r="H825" t="s">
        <v>30</v>
      </c>
      <c r="I825" s="1">
        <v>1</v>
      </c>
      <c r="J825" s="2">
        <v>155.16999999999999</v>
      </c>
    </row>
    <row r="826" spans="2:10" hidden="1" x14ac:dyDescent="0.2">
      <c r="B826" t="s">
        <v>531</v>
      </c>
      <c r="C826" t="s">
        <v>18</v>
      </c>
      <c r="D826" t="s">
        <v>532</v>
      </c>
      <c r="E826" t="s">
        <v>535</v>
      </c>
      <c r="F826" t="s">
        <v>536</v>
      </c>
      <c r="G826" t="s">
        <v>14</v>
      </c>
      <c r="H826" t="s">
        <v>60</v>
      </c>
      <c r="I826" s="1">
        <v>1</v>
      </c>
      <c r="J826" s="2">
        <v>327.58999999999997</v>
      </c>
    </row>
    <row r="827" spans="2:10" hidden="1" x14ac:dyDescent="0.2">
      <c r="B827" t="s">
        <v>531</v>
      </c>
      <c r="C827" t="s">
        <v>18</v>
      </c>
      <c r="D827" t="s">
        <v>532</v>
      </c>
      <c r="E827" t="s">
        <v>537</v>
      </c>
      <c r="F827" t="s">
        <v>538</v>
      </c>
      <c r="G827" t="s">
        <v>14</v>
      </c>
      <c r="H827" t="s">
        <v>60</v>
      </c>
      <c r="I827" s="1">
        <v>1</v>
      </c>
      <c r="J827" s="2">
        <v>327.58999999999997</v>
      </c>
    </row>
    <row r="828" spans="2:10" hidden="1" x14ac:dyDescent="0.2">
      <c r="B828" t="s">
        <v>531</v>
      </c>
      <c r="C828" t="s">
        <v>18</v>
      </c>
      <c r="D828" t="s">
        <v>532</v>
      </c>
      <c r="E828" t="s">
        <v>437</v>
      </c>
      <c r="F828" t="s">
        <v>438</v>
      </c>
      <c r="G828" t="s">
        <v>54</v>
      </c>
      <c r="H828" t="s">
        <v>439</v>
      </c>
      <c r="I828" s="1">
        <v>1</v>
      </c>
      <c r="J828" s="2">
        <v>301.72000000000003</v>
      </c>
    </row>
    <row r="829" spans="2:10" hidden="1" x14ac:dyDescent="0.2">
      <c r="B829" t="s">
        <v>531</v>
      </c>
      <c r="C829" t="s">
        <v>18</v>
      </c>
      <c r="D829" t="s">
        <v>532</v>
      </c>
      <c r="E829" t="s">
        <v>44</v>
      </c>
      <c r="F829" t="s">
        <v>45</v>
      </c>
      <c r="G829" t="s">
        <v>1033</v>
      </c>
      <c r="H829" t="s">
        <v>30</v>
      </c>
      <c r="I829" s="1">
        <v>2</v>
      </c>
      <c r="J829" s="2">
        <v>163.80000000000001</v>
      </c>
    </row>
    <row r="830" spans="2:10" hidden="1" x14ac:dyDescent="0.2">
      <c r="B830" t="s">
        <v>531</v>
      </c>
      <c r="C830" t="s">
        <v>18</v>
      </c>
      <c r="D830" t="s">
        <v>532</v>
      </c>
      <c r="E830" t="s">
        <v>19</v>
      </c>
      <c r="F830" t="s">
        <v>20</v>
      </c>
      <c r="G830" t="s">
        <v>14</v>
      </c>
      <c r="H830" t="s">
        <v>21</v>
      </c>
      <c r="I830" s="1">
        <v>1</v>
      </c>
      <c r="J830" s="2">
        <v>431.04</v>
      </c>
    </row>
    <row r="831" spans="2:10" hidden="1" x14ac:dyDescent="0.2">
      <c r="B831" t="s">
        <v>531</v>
      </c>
      <c r="C831" t="s">
        <v>18</v>
      </c>
      <c r="D831" t="s">
        <v>532</v>
      </c>
      <c r="E831" t="s">
        <v>539</v>
      </c>
      <c r="F831" t="s">
        <v>540</v>
      </c>
      <c r="G831" t="s">
        <v>54</v>
      </c>
      <c r="H831" t="s">
        <v>439</v>
      </c>
      <c r="I831" s="1">
        <v>1</v>
      </c>
      <c r="J831" s="2">
        <v>172.41</v>
      </c>
    </row>
    <row r="832" spans="2:10" hidden="1" x14ac:dyDescent="0.2">
      <c r="B832" t="s">
        <v>531</v>
      </c>
      <c r="C832" t="s">
        <v>18</v>
      </c>
      <c r="D832" t="s">
        <v>532</v>
      </c>
      <c r="E832" t="s">
        <v>374</v>
      </c>
      <c r="F832" t="s">
        <v>375</v>
      </c>
      <c r="G832" t="s">
        <v>54</v>
      </c>
      <c r="H832" t="s">
        <v>138</v>
      </c>
      <c r="I832" s="1">
        <v>1</v>
      </c>
      <c r="J832" s="2">
        <v>387.93</v>
      </c>
    </row>
    <row r="833" spans="2:10" hidden="1" x14ac:dyDescent="0.2">
      <c r="B833" t="s">
        <v>531</v>
      </c>
      <c r="C833" t="s">
        <v>18</v>
      </c>
      <c r="D833" t="s">
        <v>532</v>
      </c>
      <c r="E833" t="s">
        <v>541</v>
      </c>
      <c r="F833" t="s">
        <v>542</v>
      </c>
      <c r="G833" t="s">
        <v>43</v>
      </c>
      <c r="H833" t="s">
        <v>91</v>
      </c>
      <c r="I833" s="1">
        <v>1</v>
      </c>
      <c r="J833" s="2">
        <v>2155.17</v>
      </c>
    </row>
    <row r="834" spans="2:10" hidden="1" x14ac:dyDescent="0.2">
      <c r="B834" t="s">
        <v>531</v>
      </c>
      <c r="C834" t="s">
        <v>18</v>
      </c>
      <c r="D834" t="s">
        <v>532</v>
      </c>
      <c r="E834" t="s">
        <v>316</v>
      </c>
      <c r="F834" t="s">
        <v>317</v>
      </c>
      <c r="G834" t="s">
        <v>14</v>
      </c>
      <c r="H834" t="s">
        <v>27</v>
      </c>
      <c r="I834" s="1">
        <v>1</v>
      </c>
      <c r="J834" s="2">
        <v>413.79</v>
      </c>
    </row>
    <row r="835" spans="2:10" hidden="1" x14ac:dyDescent="0.2">
      <c r="B835" t="s">
        <v>531</v>
      </c>
      <c r="C835" t="s">
        <v>18</v>
      </c>
      <c r="D835" t="s">
        <v>532</v>
      </c>
      <c r="E835" t="s">
        <v>543</v>
      </c>
      <c r="F835" t="s">
        <v>544</v>
      </c>
      <c r="G835" t="s">
        <v>14</v>
      </c>
      <c r="H835" t="s">
        <v>27</v>
      </c>
      <c r="I835" s="1">
        <v>1</v>
      </c>
      <c r="J835" s="2">
        <v>413.79</v>
      </c>
    </row>
    <row r="836" spans="2:10" hidden="1" x14ac:dyDescent="0.2">
      <c r="B836" t="s">
        <v>531</v>
      </c>
      <c r="C836" t="s">
        <v>18</v>
      </c>
      <c r="D836" t="s">
        <v>532</v>
      </c>
      <c r="E836" t="s">
        <v>221</v>
      </c>
      <c r="F836" t="s">
        <v>222</v>
      </c>
      <c r="G836" t="s">
        <v>1034</v>
      </c>
      <c r="H836" t="s">
        <v>15</v>
      </c>
      <c r="I836" s="1">
        <v>1</v>
      </c>
      <c r="J836" s="2">
        <v>431.03</v>
      </c>
    </row>
    <row r="837" spans="2:10" hidden="1" x14ac:dyDescent="0.2">
      <c r="B837" t="s">
        <v>531</v>
      </c>
      <c r="C837" t="s">
        <v>18</v>
      </c>
      <c r="D837" t="s">
        <v>532</v>
      </c>
      <c r="E837" t="s">
        <v>545</v>
      </c>
      <c r="F837" t="s">
        <v>546</v>
      </c>
      <c r="G837" t="s">
        <v>284</v>
      </c>
      <c r="H837" t="s">
        <v>547</v>
      </c>
      <c r="I837" s="1">
        <v>1</v>
      </c>
      <c r="J837" s="2">
        <v>297.41000000000003</v>
      </c>
    </row>
    <row r="838" spans="2:10" hidden="1" x14ac:dyDescent="0.2">
      <c r="B838" t="s">
        <v>531</v>
      </c>
      <c r="C838" t="s">
        <v>18</v>
      </c>
      <c r="D838" t="s">
        <v>532</v>
      </c>
      <c r="E838" t="s">
        <v>548</v>
      </c>
      <c r="F838" t="s">
        <v>549</v>
      </c>
      <c r="G838" t="s">
        <v>54</v>
      </c>
      <c r="H838" t="s">
        <v>550</v>
      </c>
      <c r="I838" s="1">
        <v>1</v>
      </c>
      <c r="J838" s="2">
        <v>271.55</v>
      </c>
    </row>
    <row r="839" spans="2:10" hidden="1" x14ac:dyDescent="0.2">
      <c r="B839" t="s">
        <v>531</v>
      </c>
      <c r="C839" t="s">
        <v>18</v>
      </c>
      <c r="D839" t="s">
        <v>532</v>
      </c>
      <c r="E839" t="s">
        <v>120</v>
      </c>
      <c r="F839" t="s">
        <v>121</v>
      </c>
      <c r="G839" t="s">
        <v>1034</v>
      </c>
      <c r="H839" t="s">
        <v>15</v>
      </c>
      <c r="I839" s="1">
        <v>1</v>
      </c>
      <c r="J839" s="2">
        <v>301.72000000000003</v>
      </c>
    </row>
    <row r="840" spans="2:10" hidden="1" x14ac:dyDescent="0.2">
      <c r="B840" t="s">
        <v>531</v>
      </c>
      <c r="C840" t="s">
        <v>18</v>
      </c>
      <c r="D840" t="s">
        <v>532</v>
      </c>
      <c r="E840" t="s">
        <v>214</v>
      </c>
      <c r="F840" t="s">
        <v>215</v>
      </c>
      <c r="G840" t="s">
        <v>1034</v>
      </c>
      <c r="H840" t="s">
        <v>15</v>
      </c>
      <c r="I840" s="1">
        <v>2</v>
      </c>
      <c r="J840" s="2">
        <v>603.44000000000005</v>
      </c>
    </row>
    <row r="841" spans="2:10" hidden="1" x14ac:dyDescent="0.2">
      <c r="B841" t="s">
        <v>531</v>
      </c>
      <c r="C841" t="s">
        <v>18</v>
      </c>
      <c r="D841" t="s">
        <v>532</v>
      </c>
      <c r="E841" t="s">
        <v>336</v>
      </c>
      <c r="F841" t="s">
        <v>337</v>
      </c>
      <c r="G841" t="s">
        <v>1034</v>
      </c>
      <c r="H841" t="s">
        <v>15</v>
      </c>
      <c r="I841" s="1">
        <v>1</v>
      </c>
      <c r="J841" s="2">
        <v>387.93</v>
      </c>
    </row>
    <row r="842" spans="2:10" hidden="1" x14ac:dyDescent="0.2">
      <c r="B842" t="s">
        <v>531</v>
      </c>
      <c r="C842" t="s">
        <v>18</v>
      </c>
      <c r="D842" t="s">
        <v>532</v>
      </c>
      <c r="E842" t="s">
        <v>38</v>
      </c>
      <c r="F842" t="s">
        <v>39</v>
      </c>
      <c r="G842" t="s">
        <v>1034</v>
      </c>
      <c r="H842" t="s">
        <v>15</v>
      </c>
      <c r="I842" s="1">
        <v>1</v>
      </c>
      <c r="J842" s="2">
        <v>431.03</v>
      </c>
    </row>
    <row r="843" spans="2:10" hidden="1" x14ac:dyDescent="0.2">
      <c r="B843" t="s">
        <v>531</v>
      </c>
      <c r="C843" t="s">
        <v>18</v>
      </c>
      <c r="D843" t="s">
        <v>532</v>
      </c>
      <c r="E843" t="s">
        <v>551</v>
      </c>
      <c r="F843" t="s">
        <v>552</v>
      </c>
      <c r="G843" t="s">
        <v>54</v>
      </c>
      <c r="H843" t="s">
        <v>439</v>
      </c>
      <c r="I843" s="1">
        <v>1</v>
      </c>
      <c r="J843" s="2">
        <v>150.86000000000001</v>
      </c>
    </row>
    <row r="844" spans="2:10" hidden="1" x14ac:dyDescent="0.2">
      <c r="B844" t="s">
        <v>531</v>
      </c>
      <c r="C844" t="s">
        <v>18</v>
      </c>
      <c r="D844" t="s">
        <v>532</v>
      </c>
      <c r="E844" t="s">
        <v>521</v>
      </c>
      <c r="F844" t="s">
        <v>522</v>
      </c>
      <c r="G844" t="s">
        <v>14</v>
      </c>
      <c r="H844" t="s">
        <v>104</v>
      </c>
      <c r="I844" s="1">
        <v>2</v>
      </c>
      <c r="J844" s="2">
        <v>43.1</v>
      </c>
    </row>
    <row r="845" spans="2:10" hidden="1" x14ac:dyDescent="0.2">
      <c r="B845" t="s">
        <v>531</v>
      </c>
      <c r="C845" t="s">
        <v>18</v>
      </c>
      <c r="D845" t="s">
        <v>532</v>
      </c>
      <c r="E845" t="s">
        <v>193</v>
      </c>
      <c r="F845" t="s">
        <v>194</v>
      </c>
      <c r="G845" t="s">
        <v>1034</v>
      </c>
      <c r="H845" t="s">
        <v>15</v>
      </c>
      <c r="I845" s="1">
        <v>1</v>
      </c>
      <c r="J845" s="2">
        <v>1293.0999999999999</v>
      </c>
    </row>
    <row r="846" spans="2:10" hidden="1" x14ac:dyDescent="0.2">
      <c r="B846" t="s">
        <v>531</v>
      </c>
      <c r="C846" t="s">
        <v>18</v>
      </c>
      <c r="D846" t="s">
        <v>532</v>
      </c>
      <c r="E846" t="s">
        <v>416</v>
      </c>
      <c r="F846" t="s">
        <v>417</v>
      </c>
      <c r="G846" t="s">
        <v>1033</v>
      </c>
      <c r="H846" t="s">
        <v>30</v>
      </c>
      <c r="I846" s="1">
        <v>1</v>
      </c>
      <c r="J846" s="2">
        <v>2258.62</v>
      </c>
    </row>
    <row r="847" spans="2:10" hidden="1" x14ac:dyDescent="0.2">
      <c r="B847" t="s">
        <v>531</v>
      </c>
      <c r="C847" t="s">
        <v>18</v>
      </c>
      <c r="D847" t="s">
        <v>532</v>
      </c>
      <c r="E847" t="s">
        <v>28</v>
      </c>
      <c r="F847" t="s">
        <v>29</v>
      </c>
      <c r="G847" t="s">
        <v>1033</v>
      </c>
      <c r="H847" t="s">
        <v>30</v>
      </c>
      <c r="I847" s="1">
        <v>3</v>
      </c>
      <c r="J847" s="2">
        <v>465.51</v>
      </c>
    </row>
    <row r="848" spans="2:10" hidden="1" x14ac:dyDescent="0.2">
      <c r="B848" t="s">
        <v>531</v>
      </c>
      <c r="C848" t="s">
        <v>31</v>
      </c>
      <c r="D848" t="s">
        <v>532</v>
      </c>
      <c r="E848" t="s">
        <v>153</v>
      </c>
      <c r="F848" t="s">
        <v>154</v>
      </c>
      <c r="G848" t="s">
        <v>1034</v>
      </c>
      <c r="H848" t="s">
        <v>15</v>
      </c>
      <c r="I848" s="1">
        <v>1</v>
      </c>
      <c r="J848" s="2">
        <v>387.93</v>
      </c>
    </row>
    <row r="849" spans="2:10" hidden="1" x14ac:dyDescent="0.2">
      <c r="B849" t="s">
        <v>531</v>
      </c>
      <c r="C849" t="s">
        <v>40</v>
      </c>
      <c r="D849" t="s">
        <v>532</v>
      </c>
      <c r="E849" t="s">
        <v>253</v>
      </c>
      <c r="F849" t="s">
        <v>254</v>
      </c>
      <c r="G849" t="s">
        <v>1034</v>
      </c>
      <c r="H849" t="s">
        <v>15</v>
      </c>
      <c r="I849" s="1">
        <v>1</v>
      </c>
      <c r="J849" s="2">
        <v>775.86</v>
      </c>
    </row>
    <row r="850" spans="2:10" hidden="1" x14ac:dyDescent="0.2">
      <c r="B850" t="s">
        <v>531</v>
      </c>
      <c r="C850" t="s">
        <v>40</v>
      </c>
      <c r="D850" t="s">
        <v>532</v>
      </c>
      <c r="E850" t="s">
        <v>56</v>
      </c>
      <c r="F850" t="s">
        <v>57</v>
      </c>
      <c r="G850" t="s">
        <v>1034</v>
      </c>
      <c r="H850" t="s">
        <v>15</v>
      </c>
      <c r="I850" s="1">
        <v>2</v>
      </c>
      <c r="J850" s="2">
        <v>862.07</v>
      </c>
    </row>
    <row r="851" spans="2:10" hidden="1" x14ac:dyDescent="0.2">
      <c r="B851" t="s">
        <v>531</v>
      </c>
      <c r="C851" t="s">
        <v>51</v>
      </c>
      <c r="D851" t="s">
        <v>32</v>
      </c>
      <c r="E851" t="s">
        <v>553</v>
      </c>
      <c r="F851" t="s">
        <v>554</v>
      </c>
      <c r="G851" t="s">
        <v>1033</v>
      </c>
      <c r="H851" t="s">
        <v>30</v>
      </c>
      <c r="I851" s="1">
        <v>1</v>
      </c>
      <c r="J851" s="2">
        <v>1379.31</v>
      </c>
    </row>
    <row r="852" spans="2:10" hidden="1" x14ac:dyDescent="0.2">
      <c r="B852" t="s">
        <v>531</v>
      </c>
      <c r="C852" t="s">
        <v>51</v>
      </c>
      <c r="D852" t="s">
        <v>32</v>
      </c>
      <c r="E852" t="s">
        <v>16</v>
      </c>
      <c r="F852" t="s">
        <v>17</v>
      </c>
      <c r="G852" t="s">
        <v>1034</v>
      </c>
      <c r="H852" t="s">
        <v>15</v>
      </c>
      <c r="I852" s="1">
        <v>1</v>
      </c>
      <c r="J852" s="2">
        <v>577.59</v>
      </c>
    </row>
    <row r="853" spans="2:10" hidden="1" x14ac:dyDescent="0.2">
      <c r="B853" t="s">
        <v>531</v>
      </c>
      <c r="C853" t="s">
        <v>65</v>
      </c>
      <c r="D853" t="s">
        <v>32</v>
      </c>
      <c r="E853" t="s">
        <v>318</v>
      </c>
      <c r="F853" t="s">
        <v>319</v>
      </c>
      <c r="G853" t="s">
        <v>1033</v>
      </c>
      <c r="H853" t="s">
        <v>30</v>
      </c>
      <c r="I853" s="1">
        <v>1</v>
      </c>
      <c r="J853" s="2">
        <v>456.9</v>
      </c>
    </row>
    <row r="854" spans="2:10" hidden="1" x14ac:dyDescent="0.2">
      <c r="B854" t="s">
        <v>531</v>
      </c>
      <c r="C854" t="s">
        <v>82</v>
      </c>
      <c r="D854" t="s">
        <v>532</v>
      </c>
      <c r="E854" t="s">
        <v>44</v>
      </c>
      <c r="F854" t="s">
        <v>45</v>
      </c>
      <c r="G854" t="s">
        <v>1033</v>
      </c>
      <c r="H854" t="s">
        <v>30</v>
      </c>
      <c r="I854" s="1">
        <v>2</v>
      </c>
      <c r="J854" s="2">
        <v>163.80000000000001</v>
      </c>
    </row>
    <row r="855" spans="2:10" hidden="1" x14ac:dyDescent="0.2">
      <c r="B855" t="s">
        <v>531</v>
      </c>
      <c r="C855" t="s">
        <v>82</v>
      </c>
      <c r="D855" t="s">
        <v>532</v>
      </c>
      <c r="E855" t="s">
        <v>46</v>
      </c>
      <c r="F855" t="s">
        <v>47</v>
      </c>
      <c r="G855" t="s">
        <v>1034</v>
      </c>
      <c r="H855" t="s">
        <v>15</v>
      </c>
      <c r="I855" s="1">
        <v>1</v>
      </c>
      <c r="J855" s="2">
        <v>301.72000000000003</v>
      </c>
    </row>
    <row r="856" spans="2:10" hidden="1" x14ac:dyDescent="0.2">
      <c r="B856" t="s">
        <v>531</v>
      </c>
      <c r="C856" t="s">
        <v>82</v>
      </c>
      <c r="D856" t="s">
        <v>532</v>
      </c>
      <c r="E856" t="s">
        <v>33</v>
      </c>
      <c r="F856" t="s">
        <v>34</v>
      </c>
      <c r="G856" t="s">
        <v>14</v>
      </c>
      <c r="H856" t="s">
        <v>35</v>
      </c>
      <c r="I856" s="1">
        <v>1</v>
      </c>
      <c r="J856" s="2">
        <v>60.34</v>
      </c>
    </row>
    <row r="857" spans="2:10" hidden="1" x14ac:dyDescent="0.2">
      <c r="B857" t="s">
        <v>531</v>
      </c>
      <c r="C857" t="s">
        <v>82</v>
      </c>
      <c r="D857" t="s">
        <v>532</v>
      </c>
      <c r="E857" t="s">
        <v>555</v>
      </c>
      <c r="F857" t="s">
        <v>556</v>
      </c>
      <c r="G857" t="s">
        <v>1033</v>
      </c>
      <c r="H857" t="s">
        <v>30</v>
      </c>
      <c r="I857" s="1">
        <v>1</v>
      </c>
      <c r="J857" s="2">
        <v>1034.48</v>
      </c>
    </row>
    <row r="858" spans="2:10" hidden="1" x14ac:dyDescent="0.2">
      <c r="B858" t="s">
        <v>531</v>
      </c>
      <c r="C858" t="s">
        <v>82</v>
      </c>
      <c r="D858" t="s">
        <v>532</v>
      </c>
      <c r="E858" t="s">
        <v>221</v>
      </c>
      <c r="F858" t="s">
        <v>222</v>
      </c>
      <c r="G858" t="s">
        <v>1034</v>
      </c>
      <c r="H858" t="s">
        <v>15</v>
      </c>
      <c r="I858" s="1">
        <v>1</v>
      </c>
      <c r="J858" s="2">
        <v>431.03</v>
      </c>
    </row>
    <row r="859" spans="2:10" hidden="1" x14ac:dyDescent="0.2">
      <c r="B859" t="s">
        <v>531</v>
      </c>
      <c r="C859" t="s">
        <v>82</v>
      </c>
      <c r="D859" t="s">
        <v>532</v>
      </c>
      <c r="E859" t="s">
        <v>557</v>
      </c>
      <c r="F859" t="s">
        <v>558</v>
      </c>
      <c r="G859" t="s">
        <v>43</v>
      </c>
      <c r="H859" t="s">
        <v>403</v>
      </c>
      <c r="I859" s="1">
        <v>1</v>
      </c>
      <c r="J859" s="2">
        <v>159.47999999999999</v>
      </c>
    </row>
    <row r="860" spans="2:10" hidden="1" x14ac:dyDescent="0.2">
      <c r="B860" t="s">
        <v>531</v>
      </c>
      <c r="C860" t="s">
        <v>82</v>
      </c>
      <c r="D860" t="s">
        <v>532</v>
      </c>
      <c r="E860" t="s">
        <v>559</v>
      </c>
      <c r="F860" t="s">
        <v>560</v>
      </c>
      <c r="G860" t="s">
        <v>1033</v>
      </c>
      <c r="H860" t="s">
        <v>30</v>
      </c>
      <c r="I860" s="1">
        <v>1</v>
      </c>
      <c r="J860" s="2">
        <v>1706.9</v>
      </c>
    </row>
    <row r="861" spans="2:10" hidden="1" x14ac:dyDescent="0.2">
      <c r="B861" t="s">
        <v>531</v>
      </c>
      <c r="C861" t="s">
        <v>82</v>
      </c>
      <c r="D861" t="s">
        <v>532</v>
      </c>
      <c r="E861" t="s">
        <v>120</v>
      </c>
      <c r="F861" t="s">
        <v>121</v>
      </c>
      <c r="G861" t="s">
        <v>1034</v>
      </c>
      <c r="H861" t="s">
        <v>15</v>
      </c>
      <c r="I861" s="1">
        <v>1</v>
      </c>
      <c r="J861" s="2">
        <v>301.72000000000003</v>
      </c>
    </row>
    <row r="862" spans="2:10" hidden="1" x14ac:dyDescent="0.2">
      <c r="B862" t="s">
        <v>531</v>
      </c>
      <c r="C862" t="s">
        <v>82</v>
      </c>
      <c r="D862" t="s">
        <v>532</v>
      </c>
      <c r="E862" t="s">
        <v>122</v>
      </c>
      <c r="F862" t="s">
        <v>123</v>
      </c>
      <c r="G862" t="s">
        <v>1034</v>
      </c>
      <c r="H862" t="s">
        <v>15</v>
      </c>
      <c r="I862" s="1">
        <v>1</v>
      </c>
      <c r="J862" s="2">
        <v>387.93</v>
      </c>
    </row>
    <row r="863" spans="2:10" hidden="1" x14ac:dyDescent="0.2">
      <c r="B863" t="s">
        <v>531</v>
      </c>
      <c r="C863" t="s">
        <v>82</v>
      </c>
      <c r="D863" t="s">
        <v>532</v>
      </c>
      <c r="E863" t="s">
        <v>406</v>
      </c>
      <c r="F863" t="s">
        <v>407</v>
      </c>
      <c r="G863" t="s">
        <v>14</v>
      </c>
      <c r="H863" t="s">
        <v>104</v>
      </c>
      <c r="I863" s="1">
        <v>2</v>
      </c>
      <c r="J863" s="2">
        <v>34.479999999999997</v>
      </c>
    </row>
    <row r="864" spans="2:10" hidden="1" x14ac:dyDescent="0.2">
      <c r="B864" t="s">
        <v>531</v>
      </c>
      <c r="C864" t="s">
        <v>82</v>
      </c>
      <c r="D864" t="s">
        <v>532</v>
      </c>
      <c r="E864" t="s">
        <v>16</v>
      </c>
      <c r="F864" t="s">
        <v>17</v>
      </c>
      <c r="G864" t="s">
        <v>1034</v>
      </c>
      <c r="H864" t="s">
        <v>15</v>
      </c>
      <c r="I864" s="1">
        <v>1</v>
      </c>
      <c r="J864" s="2">
        <v>577.59</v>
      </c>
    </row>
    <row r="865" spans="2:10" hidden="1" x14ac:dyDescent="0.2">
      <c r="B865" t="s">
        <v>531</v>
      </c>
      <c r="C865" t="s">
        <v>82</v>
      </c>
      <c r="D865" t="s">
        <v>532</v>
      </c>
      <c r="E865" t="s">
        <v>561</v>
      </c>
      <c r="F865" t="s">
        <v>562</v>
      </c>
      <c r="G865" t="s">
        <v>43</v>
      </c>
      <c r="H865" t="s">
        <v>91</v>
      </c>
      <c r="I865" s="1">
        <v>1</v>
      </c>
      <c r="J865" s="2">
        <v>452.59</v>
      </c>
    </row>
    <row r="866" spans="2:10" hidden="1" x14ac:dyDescent="0.2">
      <c r="B866" t="s">
        <v>531</v>
      </c>
      <c r="C866" t="s">
        <v>88</v>
      </c>
      <c r="D866" t="s">
        <v>532</v>
      </c>
      <c r="E866" t="s">
        <v>563</v>
      </c>
      <c r="F866" t="s">
        <v>564</v>
      </c>
      <c r="G866" t="s">
        <v>54</v>
      </c>
      <c r="H866" t="s">
        <v>565</v>
      </c>
      <c r="I866" s="1">
        <v>1</v>
      </c>
      <c r="J866" s="2">
        <v>396.55</v>
      </c>
    </row>
    <row r="867" spans="2:10" hidden="1" x14ac:dyDescent="0.2">
      <c r="B867" t="s">
        <v>531</v>
      </c>
      <c r="C867" t="s">
        <v>88</v>
      </c>
      <c r="D867" t="s">
        <v>532</v>
      </c>
      <c r="E867" t="s">
        <v>566</v>
      </c>
      <c r="F867" t="s">
        <v>567</v>
      </c>
      <c r="G867" t="s">
        <v>14</v>
      </c>
      <c r="H867" t="s">
        <v>35</v>
      </c>
      <c r="I867" s="1">
        <v>1</v>
      </c>
      <c r="J867" s="2">
        <v>77.59</v>
      </c>
    </row>
    <row r="868" spans="2:10" hidden="1" x14ac:dyDescent="0.2">
      <c r="B868" t="s">
        <v>531</v>
      </c>
      <c r="C868" t="s">
        <v>88</v>
      </c>
      <c r="D868" t="s">
        <v>532</v>
      </c>
      <c r="E868" t="s">
        <v>399</v>
      </c>
      <c r="F868" t="s">
        <v>400</v>
      </c>
      <c r="G868" t="s">
        <v>1033</v>
      </c>
      <c r="H868" t="s">
        <v>30</v>
      </c>
      <c r="I868" s="1">
        <v>1</v>
      </c>
      <c r="J868" s="2">
        <v>818.97</v>
      </c>
    </row>
    <row r="869" spans="2:10" hidden="1" x14ac:dyDescent="0.2">
      <c r="B869" t="s">
        <v>531</v>
      </c>
      <c r="C869" t="s">
        <v>88</v>
      </c>
      <c r="D869" t="s">
        <v>532</v>
      </c>
      <c r="E869" t="s">
        <v>36</v>
      </c>
      <c r="F869" t="s">
        <v>37</v>
      </c>
      <c r="G869" t="s">
        <v>1034</v>
      </c>
      <c r="H869" t="s">
        <v>15</v>
      </c>
      <c r="I869" s="1">
        <v>1</v>
      </c>
      <c r="J869" s="2">
        <v>301.72000000000003</v>
      </c>
    </row>
    <row r="870" spans="2:10" hidden="1" x14ac:dyDescent="0.2">
      <c r="B870" t="s">
        <v>531</v>
      </c>
      <c r="C870" t="s">
        <v>88</v>
      </c>
      <c r="D870" t="s">
        <v>532</v>
      </c>
      <c r="E870" t="s">
        <v>72</v>
      </c>
      <c r="F870" t="s">
        <v>73</v>
      </c>
      <c r="G870" t="s">
        <v>1034</v>
      </c>
      <c r="H870" t="s">
        <v>15</v>
      </c>
      <c r="I870" s="1">
        <v>1</v>
      </c>
      <c r="J870" s="2">
        <v>775.86</v>
      </c>
    </row>
    <row r="871" spans="2:10" hidden="1" x14ac:dyDescent="0.2">
      <c r="B871" t="s">
        <v>531</v>
      </c>
      <c r="C871" t="s">
        <v>88</v>
      </c>
      <c r="D871" t="s">
        <v>532</v>
      </c>
      <c r="E871" t="s">
        <v>310</v>
      </c>
      <c r="F871" t="s">
        <v>311</v>
      </c>
      <c r="G871" t="s">
        <v>1033</v>
      </c>
      <c r="H871" t="s">
        <v>30</v>
      </c>
      <c r="I871" s="1">
        <v>1</v>
      </c>
      <c r="J871" s="2">
        <v>474.14</v>
      </c>
    </row>
    <row r="872" spans="2:10" hidden="1" x14ac:dyDescent="0.2">
      <c r="B872" t="s">
        <v>531</v>
      </c>
      <c r="C872" t="s">
        <v>88</v>
      </c>
      <c r="D872" t="s">
        <v>532</v>
      </c>
      <c r="E872" t="s">
        <v>568</v>
      </c>
      <c r="F872" t="s">
        <v>569</v>
      </c>
      <c r="G872" t="s">
        <v>1033</v>
      </c>
      <c r="H872" t="s">
        <v>30</v>
      </c>
      <c r="I872" s="1">
        <v>1</v>
      </c>
      <c r="J872" s="2">
        <v>517.24</v>
      </c>
    </row>
    <row r="873" spans="2:10" hidden="1" x14ac:dyDescent="0.2">
      <c r="B873" t="s">
        <v>531</v>
      </c>
      <c r="C873" t="s">
        <v>88</v>
      </c>
      <c r="D873" t="s">
        <v>532</v>
      </c>
      <c r="E873" t="s">
        <v>16</v>
      </c>
      <c r="F873" t="s">
        <v>17</v>
      </c>
      <c r="G873" t="s">
        <v>1034</v>
      </c>
      <c r="H873" t="s">
        <v>15</v>
      </c>
      <c r="I873" s="1">
        <v>1</v>
      </c>
      <c r="J873" s="2">
        <v>577.59</v>
      </c>
    </row>
    <row r="874" spans="2:10" hidden="1" x14ac:dyDescent="0.2">
      <c r="B874" t="s">
        <v>531</v>
      </c>
      <c r="C874" t="s">
        <v>117</v>
      </c>
      <c r="D874" t="s">
        <v>532</v>
      </c>
      <c r="E874" t="s">
        <v>44</v>
      </c>
      <c r="F874" t="s">
        <v>45</v>
      </c>
      <c r="G874" t="s">
        <v>1033</v>
      </c>
      <c r="H874" t="s">
        <v>30</v>
      </c>
      <c r="I874" s="1">
        <v>1</v>
      </c>
      <c r="J874" s="2">
        <v>81.900000000000006</v>
      </c>
    </row>
    <row r="875" spans="2:10" hidden="1" x14ac:dyDescent="0.2">
      <c r="B875" t="s">
        <v>531</v>
      </c>
      <c r="C875" t="s">
        <v>117</v>
      </c>
      <c r="D875" t="s">
        <v>532</v>
      </c>
      <c r="E875" t="s">
        <v>212</v>
      </c>
      <c r="F875" t="s">
        <v>213</v>
      </c>
      <c r="G875" t="s">
        <v>14</v>
      </c>
      <c r="H875" t="s">
        <v>35</v>
      </c>
      <c r="I875" s="1">
        <v>1</v>
      </c>
      <c r="J875" s="2">
        <v>77.59</v>
      </c>
    </row>
    <row r="876" spans="2:10" hidden="1" x14ac:dyDescent="0.2">
      <c r="B876" t="s">
        <v>531</v>
      </c>
      <c r="C876" t="s">
        <v>117</v>
      </c>
      <c r="D876" t="s">
        <v>532</v>
      </c>
      <c r="E876" t="s">
        <v>267</v>
      </c>
      <c r="F876" t="s">
        <v>268</v>
      </c>
      <c r="G876" t="s">
        <v>1034</v>
      </c>
      <c r="H876" t="s">
        <v>15</v>
      </c>
      <c r="I876" s="1">
        <v>1</v>
      </c>
      <c r="J876" s="2">
        <v>258.62</v>
      </c>
    </row>
    <row r="877" spans="2:10" hidden="1" x14ac:dyDescent="0.2">
      <c r="B877" t="s">
        <v>531</v>
      </c>
      <c r="C877" t="s">
        <v>117</v>
      </c>
      <c r="D877" t="s">
        <v>532</v>
      </c>
      <c r="E877" t="s">
        <v>56</v>
      </c>
      <c r="F877" t="s">
        <v>57</v>
      </c>
      <c r="G877" t="s">
        <v>1034</v>
      </c>
      <c r="H877" t="s">
        <v>15</v>
      </c>
      <c r="I877" s="1">
        <v>1</v>
      </c>
      <c r="J877" s="2">
        <v>431.03</v>
      </c>
    </row>
    <row r="878" spans="2:10" hidden="1" x14ac:dyDescent="0.2">
      <c r="B878" t="s">
        <v>531</v>
      </c>
      <c r="C878" t="s">
        <v>129</v>
      </c>
      <c r="D878" t="s">
        <v>532</v>
      </c>
      <c r="E878" t="s">
        <v>214</v>
      </c>
      <c r="F878" t="s">
        <v>215</v>
      </c>
      <c r="G878" t="s">
        <v>1034</v>
      </c>
      <c r="H878" t="s">
        <v>15</v>
      </c>
      <c r="I878" s="1">
        <v>1</v>
      </c>
      <c r="J878" s="2">
        <v>301.72000000000003</v>
      </c>
    </row>
    <row r="879" spans="2:10" hidden="1" x14ac:dyDescent="0.2">
      <c r="B879" t="s">
        <v>531</v>
      </c>
      <c r="C879" t="s">
        <v>129</v>
      </c>
      <c r="D879" t="s">
        <v>532</v>
      </c>
      <c r="E879" t="s">
        <v>22</v>
      </c>
      <c r="F879" t="s">
        <v>23</v>
      </c>
      <c r="G879" t="s">
        <v>14</v>
      </c>
      <c r="H879" t="s">
        <v>24</v>
      </c>
      <c r="I879" s="1">
        <v>2</v>
      </c>
      <c r="J879" s="2">
        <v>431.03</v>
      </c>
    </row>
    <row r="880" spans="2:10" hidden="1" x14ac:dyDescent="0.2">
      <c r="B880" t="s">
        <v>531</v>
      </c>
      <c r="C880" t="s">
        <v>129</v>
      </c>
      <c r="D880" t="s">
        <v>532</v>
      </c>
      <c r="E880" t="s">
        <v>273</v>
      </c>
      <c r="F880" t="s">
        <v>274</v>
      </c>
      <c r="G880" t="s">
        <v>1033</v>
      </c>
      <c r="H880" t="s">
        <v>30</v>
      </c>
      <c r="I880" s="1">
        <v>1</v>
      </c>
      <c r="J880" s="2">
        <v>1293.0999999999999</v>
      </c>
    </row>
    <row r="881" spans="2:10" hidden="1" x14ac:dyDescent="0.2">
      <c r="B881" t="s">
        <v>531</v>
      </c>
      <c r="C881" t="s">
        <v>129</v>
      </c>
      <c r="D881" t="s">
        <v>532</v>
      </c>
      <c r="E881" t="s">
        <v>406</v>
      </c>
      <c r="F881" t="s">
        <v>407</v>
      </c>
      <c r="G881" t="s">
        <v>14</v>
      </c>
      <c r="H881" t="s">
        <v>104</v>
      </c>
      <c r="I881" s="1">
        <v>5</v>
      </c>
      <c r="J881" s="2">
        <v>86.2</v>
      </c>
    </row>
    <row r="882" spans="2:10" hidden="1" x14ac:dyDescent="0.2">
      <c r="B882" t="s">
        <v>531</v>
      </c>
      <c r="C882" t="s">
        <v>129</v>
      </c>
      <c r="D882" t="s">
        <v>532</v>
      </c>
      <c r="E882" t="s">
        <v>570</v>
      </c>
      <c r="F882" t="s">
        <v>571</v>
      </c>
      <c r="G882" t="s">
        <v>43</v>
      </c>
      <c r="H882" t="s">
        <v>572</v>
      </c>
      <c r="I882" s="1">
        <v>1</v>
      </c>
      <c r="J882" s="2">
        <v>573.28</v>
      </c>
    </row>
    <row r="883" spans="2:10" hidden="1" x14ac:dyDescent="0.2">
      <c r="B883" t="s">
        <v>531</v>
      </c>
      <c r="C883" t="s">
        <v>134</v>
      </c>
      <c r="D883" t="s">
        <v>532</v>
      </c>
      <c r="E883" t="s">
        <v>46</v>
      </c>
      <c r="F883" t="s">
        <v>47</v>
      </c>
      <c r="G883" t="s">
        <v>1034</v>
      </c>
      <c r="H883" t="s">
        <v>15</v>
      </c>
      <c r="I883" s="1">
        <v>1</v>
      </c>
      <c r="J883" s="2">
        <v>301.72000000000003</v>
      </c>
    </row>
    <row r="884" spans="2:10" hidden="1" x14ac:dyDescent="0.2">
      <c r="B884" t="s">
        <v>531</v>
      </c>
      <c r="C884" t="s">
        <v>134</v>
      </c>
      <c r="D884" t="s">
        <v>532</v>
      </c>
      <c r="E884" t="s">
        <v>573</v>
      </c>
      <c r="F884" t="s">
        <v>574</v>
      </c>
      <c r="G884" t="s">
        <v>1033</v>
      </c>
      <c r="H884" t="s">
        <v>30</v>
      </c>
      <c r="I884" s="1">
        <v>1</v>
      </c>
      <c r="J884" s="2">
        <v>775.86</v>
      </c>
    </row>
    <row r="885" spans="2:10" hidden="1" x14ac:dyDescent="0.2">
      <c r="B885" t="s">
        <v>531</v>
      </c>
      <c r="C885" t="s">
        <v>134</v>
      </c>
      <c r="D885" t="s">
        <v>532</v>
      </c>
      <c r="E885" t="s">
        <v>521</v>
      </c>
      <c r="F885" t="s">
        <v>522</v>
      </c>
      <c r="G885" t="s">
        <v>14</v>
      </c>
      <c r="H885" t="s">
        <v>104</v>
      </c>
      <c r="I885" s="1">
        <v>4</v>
      </c>
      <c r="J885" s="2">
        <v>86.2</v>
      </c>
    </row>
    <row r="886" spans="2:10" hidden="1" x14ac:dyDescent="0.2">
      <c r="B886" t="s">
        <v>531</v>
      </c>
      <c r="C886" t="s">
        <v>134</v>
      </c>
      <c r="D886" t="s">
        <v>532</v>
      </c>
      <c r="E886" t="s">
        <v>16</v>
      </c>
      <c r="F886" t="s">
        <v>17</v>
      </c>
      <c r="G886" t="s">
        <v>1034</v>
      </c>
      <c r="H886" t="s">
        <v>15</v>
      </c>
      <c r="I886" s="1">
        <v>1</v>
      </c>
      <c r="J886" s="2">
        <v>577.59</v>
      </c>
    </row>
    <row r="887" spans="2:10" hidden="1" x14ac:dyDescent="0.2">
      <c r="B887" t="s">
        <v>531</v>
      </c>
      <c r="C887" t="s">
        <v>135</v>
      </c>
      <c r="D887" t="s">
        <v>532</v>
      </c>
      <c r="E887" t="s">
        <v>44</v>
      </c>
      <c r="F887" t="s">
        <v>45</v>
      </c>
      <c r="G887" t="s">
        <v>1033</v>
      </c>
      <c r="H887" t="s">
        <v>30</v>
      </c>
      <c r="I887" s="1">
        <v>1</v>
      </c>
      <c r="J887" s="2">
        <v>81.900000000000006</v>
      </c>
    </row>
    <row r="888" spans="2:10" hidden="1" x14ac:dyDescent="0.2">
      <c r="B888" t="s">
        <v>531</v>
      </c>
      <c r="C888" t="s">
        <v>135</v>
      </c>
      <c r="D888" t="s">
        <v>532</v>
      </c>
      <c r="E888" t="s">
        <v>214</v>
      </c>
      <c r="F888" t="s">
        <v>215</v>
      </c>
      <c r="G888" t="s">
        <v>1034</v>
      </c>
      <c r="H888" t="s">
        <v>15</v>
      </c>
      <c r="I888" s="1">
        <v>1</v>
      </c>
      <c r="J888" s="2">
        <v>301.72000000000003</v>
      </c>
    </row>
    <row r="889" spans="2:10" hidden="1" x14ac:dyDescent="0.2">
      <c r="B889" t="s">
        <v>531</v>
      </c>
      <c r="C889" t="s">
        <v>135</v>
      </c>
      <c r="D889" t="s">
        <v>532</v>
      </c>
      <c r="E889" t="s">
        <v>269</v>
      </c>
      <c r="F889" t="s">
        <v>270</v>
      </c>
      <c r="G889" t="s">
        <v>1033</v>
      </c>
      <c r="H889" t="s">
        <v>30</v>
      </c>
      <c r="I889" s="1">
        <v>1</v>
      </c>
      <c r="J889" s="2">
        <v>948.28</v>
      </c>
    </row>
    <row r="890" spans="2:10" hidden="1" x14ac:dyDescent="0.2">
      <c r="B890" t="s">
        <v>531</v>
      </c>
      <c r="C890" t="s">
        <v>135</v>
      </c>
      <c r="D890" t="s">
        <v>532</v>
      </c>
      <c r="E890" t="s">
        <v>16</v>
      </c>
      <c r="F890" t="s">
        <v>17</v>
      </c>
      <c r="G890" t="s">
        <v>1034</v>
      </c>
      <c r="H890" t="s">
        <v>15</v>
      </c>
      <c r="I890" s="1">
        <v>1</v>
      </c>
      <c r="J890" s="2">
        <v>577.59</v>
      </c>
    </row>
    <row r="891" spans="2:10" hidden="1" x14ac:dyDescent="0.2">
      <c r="B891" t="s">
        <v>531</v>
      </c>
      <c r="C891" t="s">
        <v>141</v>
      </c>
      <c r="D891" t="s">
        <v>532</v>
      </c>
      <c r="E891" t="s">
        <v>36</v>
      </c>
      <c r="F891" t="s">
        <v>37</v>
      </c>
      <c r="G891" t="s">
        <v>1034</v>
      </c>
      <c r="H891" t="s">
        <v>15</v>
      </c>
      <c r="I891" s="1">
        <v>1</v>
      </c>
      <c r="J891" s="2">
        <v>301.72000000000003</v>
      </c>
    </row>
    <row r="892" spans="2:10" hidden="1" x14ac:dyDescent="0.2">
      <c r="B892" t="s">
        <v>531</v>
      </c>
      <c r="C892" t="s">
        <v>144</v>
      </c>
      <c r="D892" t="s">
        <v>532</v>
      </c>
      <c r="E892" t="s">
        <v>167</v>
      </c>
      <c r="F892" t="s">
        <v>168</v>
      </c>
      <c r="G892" t="s">
        <v>1033</v>
      </c>
      <c r="H892" t="s">
        <v>30</v>
      </c>
      <c r="I892" s="1">
        <v>1</v>
      </c>
      <c r="J892" s="2">
        <v>1267.24</v>
      </c>
    </row>
    <row r="893" spans="2:10" hidden="1" x14ac:dyDescent="0.2">
      <c r="B893" t="s">
        <v>531</v>
      </c>
      <c r="C893" t="s">
        <v>144</v>
      </c>
      <c r="D893" t="s">
        <v>532</v>
      </c>
      <c r="E893" t="s">
        <v>316</v>
      </c>
      <c r="F893" t="s">
        <v>317</v>
      </c>
      <c r="G893" t="s">
        <v>14</v>
      </c>
      <c r="H893" t="s">
        <v>27</v>
      </c>
      <c r="I893" s="1">
        <v>3</v>
      </c>
      <c r="J893" s="2">
        <v>1241.3800000000001</v>
      </c>
    </row>
    <row r="894" spans="2:10" hidden="1" x14ac:dyDescent="0.2">
      <c r="B894" t="s">
        <v>531</v>
      </c>
      <c r="C894" t="s">
        <v>144</v>
      </c>
      <c r="D894" t="s">
        <v>532</v>
      </c>
      <c r="E894" t="s">
        <v>118</v>
      </c>
      <c r="F894" t="s">
        <v>119</v>
      </c>
      <c r="G894" t="s">
        <v>14</v>
      </c>
      <c r="H894" t="s">
        <v>27</v>
      </c>
      <c r="I894" s="1">
        <v>1</v>
      </c>
      <c r="J894" s="2">
        <v>379.31</v>
      </c>
    </row>
    <row r="895" spans="2:10" hidden="1" x14ac:dyDescent="0.2">
      <c r="B895" t="s">
        <v>531</v>
      </c>
      <c r="C895" t="s">
        <v>144</v>
      </c>
      <c r="D895" t="s">
        <v>532</v>
      </c>
      <c r="E895" t="s">
        <v>151</v>
      </c>
      <c r="F895" t="s">
        <v>152</v>
      </c>
      <c r="G895" t="s">
        <v>14</v>
      </c>
      <c r="H895" t="s">
        <v>27</v>
      </c>
      <c r="I895" s="1">
        <v>1</v>
      </c>
      <c r="J895" s="2">
        <v>379.31</v>
      </c>
    </row>
    <row r="896" spans="2:10" hidden="1" x14ac:dyDescent="0.2">
      <c r="B896" t="s">
        <v>531</v>
      </c>
      <c r="C896" t="s">
        <v>144</v>
      </c>
      <c r="D896" t="s">
        <v>532</v>
      </c>
      <c r="E896" t="s">
        <v>157</v>
      </c>
      <c r="F896" t="s">
        <v>158</v>
      </c>
      <c r="G896" t="s">
        <v>14</v>
      </c>
      <c r="H896" t="s">
        <v>87</v>
      </c>
      <c r="I896" s="1">
        <v>4</v>
      </c>
      <c r="J896" s="2">
        <v>1137.93</v>
      </c>
    </row>
    <row r="897" spans="2:10" hidden="1" x14ac:dyDescent="0.2">
      <c r="B897" t="s">
        <v>531</v>
      </c>
      <c r="C897" t="s">
        <v>144</v>
      </c>
      <c r="D897" t="s">
        <v>532</v>
      </c>
      <c r="E897" t="s">
        <v>16</v>
      </c>
      <c r="F897" t="s">
        <v>17</v>
      </c>
      <c r="G897" t="s">
        <v>1034</v>
      </c>
      <c r="H897" t="s">
        <v>15</v>
      </c>
      <c r="I897" s="1">
        <v>5</v>
      </c>
      <c r="J897" s="2">
        <v>2887.9500000000003</v>
      </c>
    </row>
    <row r="898" spans="2:10" hidden="1" x14ac:dyDescent="0.2">
      <c r="B898" t="s">
        <v>531</v>
      </c>
      <c r="C898" t="s">
        <v>144</v>
      </c>
      <c r="D898" t="s">
        <v>532</v>
      </c>
      <c r="E898" t="s">
        <v>461</v>
      </c>
      <c r="F898" t="s">
        <v>462</v>
      </c>
      <c r="G898" t="s">
        <v>43</v>
      </c>
      <c r="H898" t="s">
        <v>50</v>
      </c>
      <c r="I898" s="1">
        <v>1</v>
      </c>
      <c r="J898" s="2">
        <v>3879.31</v>
      </c>
    </row>
    <row r="899" spans="2:10" hidden="1" x14ac:dyDescent="0.2">
      <c r="B899" t="s">
        <v>531</v>
      </c>
      <c r="C899" t="s">
        <v>165</v>
      </c>
      <c r="D899" t="s">
        <v>532</v>
      </c>
      <c r="E899" t="s">
        <v>120</v>
      </c>
      <c r="F899" t="s">
        <v>121</v>
      </c>
      <c r="G899" t="s">
        <v>1034</v>
      </c>
      <c r="H899" t="s">
        <v>15</v>
      </c>
      <c r="I899" s="1">
        <v>1</v>
      </c>
      <c r="J899" s="2">
        <v>301.72000000000003</v>
      </c>
    </row>
    <row r="900" spans="2:10" hidden="1" x14ac:dyDescent="0.2">
      <c r="B900" t="s">
        <v>531</v>
      </c>
      <c r="C900" t="s">
        <v>165</v>
      </c>
      <c r="D900" t="s">
        <v>532</v>
      </c>
      <c r="E900" t="s">
        <v>77</v>
      </c>
      <c r="F900" t="s">
        <v>78</v>
      </c>
      <c r="G900" t="s">
        <v>14</v>
      </c>
      <c r="H900" t="s">
        <v>27</v>
      </c>
      <c r="I900" s="1">
        <v>1</v>
      </c>
      <c r="J900" s="2">
        <v>51.72</v>
      </c>
    </row>
    <row r="901" spans="2:10" hidden="1" x14ac:dyDescent="0.2">
      <c r="B901" t="s">
        <v>531</v>
      </c>
      <c r="C901" t="s">
        <v>166</v>
      </c>
      <c r="D901" t="s">
        <v>532</v>
      </c>
      <c r="E901" t="s">
        <v>201</v>
      </c>
      <c r="F901" t="s">
        <v>202</v>
      </c>
      <c r="G901" t="s">
        <v>1033</v>
      </c>
      <c r="H901" t="s">
        <v>30</v>
      </c>
      <c r="I901" s="1">
        <v>1</v>
      </c>
      <c r="J901" s="2">
        <v>948.28</v>
      </c>
    </row>
    <row r="902" spans="2:10" hidden="1" x14ac:dyDescent="0.2">
      <c r="B902" t="s">
        <v>531</v>
      </c>
      <c r="C902" t="s">
        <v>166</v>
      </c>
      <c r="D902" t="s">
        <v>532</v>
      </c>
      <c r="E902" t="s">
        <v>56</v>
      </c>
      <c r="F902" t="s">
        <v>57</v>
      </c>
      <c r="G902" t="s">
        <v>1034</v>
      </c>
      <c r="H902" t="s">
        <v>15</v>
      </c>
      <c r="I902" s="1">
        <v>4</v>
      </c>
      <c r="J902" s="2">
        <v>1724.14</v>
      </c>
    </row>
    <row r="903" spans="2:10" hidden="1" x14ac:dyDescent="0.2">
      <c r="B903" t="s">
        <v>531</v>
      </c>
      <c r="C903" t="s">
        <v>166</v>
      </c>
      <c r="D903" t="s">
        <v>532</v>
      </c>
      <c r="E903" t="s">
        <v>48</v>
      </c>
      <c r="F903" t="s">
        <v>49</v>
      </c>
      <c r="G903" t="s">
        <v>43</v>
      </c>
      <c r="H903" t="s">
        <v>50</v>
      </c>
      <c r="I903" s="1">
        <v>1</v>
      </c>
      <c r="J903" s="2">
        <v>1318.97</v>
      </c>
    </row>
    <row r="904" spans="2:10" hidden="1" x14ac:dyDescent="0.2">
      <c r="B904" t="s">
        <v>531</v>
      </c>
      <c r="C904" t="s">
        <v>185</v>
      </c>
      <c r="D904" t="s">
        <v>532</v>
      </c>
      <c r="E904" t="s">
        <v>414</v>
      </c>
      <c r="F904" t="s">
        <v>415</v>
      </c>
      <c r="G904" t="s">
        <v>1033</v>
      </c>
      <c r="H904" t="s">
        <v>30</v>
      </c>
      <c r="I904" s="1">
        <v>1</v>
      </c>
      <c r="J904" s="2">
        <v>646.54999999999995</v>
      </c>
    </row>
    <row r="905" spans="2:10" hidden="1" x14ac:dyDescent="0.2">
      <c r="B905" t="s">
        <v>531</v>
      </c>
      <c r="C905" t="s">
        <v>185</v>
      </c>
      <c r="D905" t="s">
        <v>532</v>
      </c>
      <c r="E905" t="s">
        <v>61</v>
      </c>
      <c r="F905" t="s">
        <v>62</v>
      </c>
      <c r="G905" t="s">
        <v>1034</v>
      </c>
      <c r="H905" t="s">
        <v>15</v>
      </c>
      <c r="I905" s="1">
        <v>1</v>
      </c>
      <c r="J905" s="2">
        <v>172.41</v>
      </c>
    </row>
    <row r="906" spans="2:10" hidden="1" x14ac:dyDescent="0.2">
      <c r="B906" t="s">
        <v>531</v>
      </c>
      <c r="C906" t="s">
        <v>185</v>
      </c>
      <c r="D906" t="s">
        <v>532</v>
      </c>
      <c r="E906" t="s">
        <v>16</v>
      </c>
      <c r="F906" t="s">
        <v>17</v>
      </c>
      <c r="G906" t="s">
        <v>1034</v>
      </c>
      <c r="H906" t="s">
        <v>15</v>
      </c>
      <c r="I906" s="1">
        <v>1</v>
      </c>
      <c r="J906" s="2">
        <v>577.59</v>
      </c>
    </row>
    <row r="907" spans="2:10" hidden="1" x14ac:dyDescent="0.2">
      <c r="B907" t="s">
        <v>531</v>
      </c>
      <c r="C907" t="s">
        <v>335</v>
      </c>
      <c r="D907" t="s">
        <v>532</v>
      </c>
      <c r="E907" t="s">
        <v>216</v>
      </c>
      <c r="F907" t="s">
        <v>217</v>
      </c>
      <c r="G907" t="s">
        <v>14</v>
      </c>
      <c r="H907" t="s">
        <v>104</v>
      </c>
      <c r="I907" s="1">
        <v>1</v>
      </c>
      <c r="J907" s="2">
        <v>17.239999999999998</v>
      </c>
    </row>
    <row r="908" spans="2:10" hidden="1" x14ac:dyDescent="0.2">
      <c r="B908" t="s">
        <v>531</v>
      </c>
      <c r="C908" t="s">
        <v>335</v>
      </c>
      <c r="D908" t="s">
        <v>532</v>
      </c>
      <c r="E908" t="s">
        <v>406</v>
      </c>
      <c r="F908" t="s">
        <v>407</v>
      </c>
      <c r="G908" t="s">
        <v>14</v>
      </c>
      <c r="H908" t="s">
        <v>104</v>
      </c>
      <c r="I908" s="1">
        <v>1</v>
      </c>
      <c r="J908" s="2">
        <v>17.239999999999998</v>
      </c>
    </row>
    <row r="909" spans="2:10" hidden="1" x14ac:dyDescent="0.2">
      <c r="B909" t="s">
        <v>531</v>
      </c>
      <c r="C909" t="s">
        <v>197</v>
      </c>
      <c r="D909" t="s">
        <v>532</v>
      </c>
      <c r="E909" t="s">
        <v>575</v>
      </c>
      <c r="F909" t="s">
        <v>576</v>
      </c>
      <c r="G909" t="s">
        <v>1033</v>
      </c>
      <c r="H909" t="s">
        <v>30</v>
      </c>
      <c r="I909" s="1">
        <v>1</v>
      </c>
      <c r="J909" s="2">
        <v>474.14</v>
      </c>
    </row>
    <row r="910" spans="2:10" hidden="1" x14ac:dyDescent="0.2">
      <c r="B910" t="s">
        <v>531</v>
      </c>
      <c r="C910" t="s">
        <v>197</v>
      </c>
      <c r="D910" t="s">
        <v>532</v>
      </c>
      <c r="E910" t="s">
        <v>577</v>
      </c>
      <c r="F910" t="s">
        <v>578</v>
      </c>
      <c r="G910" t="s">
        <v>43</v>
      </c>
      <c r="H910" t="s">
        <v>572</v>
      </c>
      <c r="I910" s="1">
        <v>1</v>
      </c>
      <c r="J910" s="2">
        <v>913.79</v>
      </c>
    </row>
    <row r="911" spans="2:10" hidden="1" x14ac:dyDescent="0.2">
      <c r="B911" t="s">
        <v>531</v>
      </c>
      <c r="C911" t="s">
        <v>206</v>
      </c>
      <c r="D911" t="s">
        <v>532</v>
      </c>
      <c r="E911" t="s">
        <v>33</v>
      </c>
      <c r="F911" t="s">
        <v>34</v>
      </c>
      <c r="G911" t="s">
        <v>14</v>
      </c>
      <c r="H911" t="s">
        <v>35</v>
      </c>
      <c r="I911" s="1">
        <v>1</v>
      </c>
      <c r="J911" s="2">
        <v>60.34</v>
      </c>
    </row>
    <row r="912" spans="2:10" hidden="1" x14ac:dyDescent="0.2">
      <c r="B912" t="s">
        <v>531</v>
      </c>
      <c r="C912" t="s">
        <v>206</v>
      </c>
      <c r="D912" t="s">
        <v>532</v>
      </c>
      <c r="E912" t="s">
        <v>221</v>
      </c>
      <c r="F912" t="s">
        <v>222</v>
      </c>
      <c r="G912" t="s">
        <v>1034</v>
      </c>
      <c r="H912" t="s">
        <v>15</v>
      </c>
      <c r="I912" s="1">
        <v>1</v>
      </c>
      <c r="J912" s="2">
        <v>431.03</v>
      </c>
    </row>
    <row r="913" spans="2:10" hidden="1" x14ac:dyDescent="0.2">
      <c r="B913" t="s">
        <v>531</v>
      </c>
      <c r="C913" t="s">
        <v>206</v>
      </c>
      <c r="D913" t="s">
        <v>532</v>
      </c>
      <c r="E913" t="s">
        <v>521</v>
      </c>
      <c r="F913" t="s">
        <v>522</v>
      </c>
      <c r="G913" t="s">
        <v>14</v>
      </c>
      <c r="H913" t="s">
        <v>104</v>
      </c>
      <c r="I913" s="1">
        <v>6</v>
      </c>
      <c r="J913" s="2">
        <v>129.30000000000001</v>
      </c>
    </row>
    <row r="914" spans="2:10" hidden="1" x14ac:dyDescent="0.2">
      <c r="B914" t="s">
        <v>531</v>
      </c>
      <c r="C914" t="s">
        <v>206</v>
      </c>
      <c r="D914" t="s">
        <v>532</v>
      </c>
      <c r="E914" t="s">
        <v>406</v>
      </c>
      <c r="F914" t="s">
        <v>407</v>
      </c>
      <c r="G914" t="s">
        <v>14</v>
      </c>
      <c r="H914" t="s">
        <v>104</v>
      </c>
      <c r="I914" s="1">
        <v>2</v>
      </c>
      <c r="J914" s="2">
        <v>34.479999999999997</v>
      </c>
    </row>
    <row r="915" spans="2:10" hidden="1" x14ac:dyDescent="0.2">
      <c r="B915" t="s">
        <v>531</v>
      </c>
      <c r="C915" t="s">
        <v>206</v>
      </c>
      <c r="D915" t="s">
        <v>532</v>
      </c>
      <c r="E915" t="s">
        <v>124</v>
      </c>
      <c r="F915" t="s">
        <v>125</v>
      </c>
      <c r="G915" t="s">
        <v>1034</v>
      </c>
      <c r="H915" t="s">
        <v>15</v>
      </c>
      <c r="I915" s="1">
        <v>1</v>
      </c>
      <c r="J915" s="2">
        <v>431.03</v>
      </c>
    </row>
    <row r="916" spans="2:10" hidden="1" x14ac:dyDescent="0.2">
      <c r="B916" t="s">
        <v>531</v>
      </c>
      <c r="C916" t="s">
        <v>220</v>
      </c>
      <c r="D916" t="s">
        <v>532</v>
      </c>
      <c r="E916" t="s">
        <v>44</v>
      </c>
      <c r="F916" t="s">
        <v>45</v>
      </c>
      <c r="G916" t="s">
        <v>1033</v>
      </c>
      <c r="H916" t="s">
        <v>30</v>
      </c>
      <c r="I916" s="1">
        <v>1</v>
      </c>
      <c r="J916" s="2">
        <v>81.900000000000006</v>
      </c>
    </row>
    <row r="917" spans="2:10" hidden="1" x14ac:dyDescent="0.2">
      <c r="B917" t="s">
        <v>531</v>
      </c>
      <c r="C917" t="s">
        <v>220</v>
      </c>
      <c r="D917" t="s">
        <v>532</v>
      </c>
      <c r="E917" t="s">
        <v>579</v>
      </c>
      <c r="F917" t="s">
        <v>580</v>
      </c>
      <c r="G917" t="s">
        <v>1033</v>
      </c>
      <c r="H917" t="s">
        <v>30</v>
      </c>
      <c r="I917" s="1">
        <v>1</v>
      </c>
      <c r="J917" s="2">
        <v>77.59</v>
      </c>
    </row>
    <row r="918" spans="2:10" hidden="1" x14ac:dyDescent="0.2">
      <c r="B918" t="s">
        <v>531</v>
      </c>
      <c r="C918" t="s">
        <v>220</v>
      </c>
      <c r="D918" t="s">
        <v>532</v>
      </c>
      <c r="E918" t="s">
        <v>457</v>
      </c>
      <c r="F918" t="s">
        <v>458</v>
      </c>
      <c r="G918" t="s">
        <v>14</v>
      </c>
      <c r="H918" t="s">
        <v>27</v>
      </c>
      <c r="I918" s="1">
        <v>1</v>
      </c>
      <c r="J918" s="2">
        <v>413.79</v>
      </c>
    </row>
    <row r="919" spans="2:10" hidden="1" x14ac:dyDescent="0.2">
      <c r="B919" t="s">
        <v>531</v>
      </c>
      <c r="C919" t="s">
        <v>220</v>
      </c>
      <c r="D919" t="s">
        <v>532</v>
      </c>
      <c r="E919" t="s">
        <v>545</v>
      </c>
      <c r="F919" t="s">
        <v>546</v>
      </c>
      <c r="G919" t="s">
        <v>284</v>
      </c>
      <c r="H919" t="s">
        <v>547</v>
      </c>
      <c r="I919" s="1">
        <v>1</v>
      </c>
      <c r="J919" s="2">
        <v>297.41000000000003</v>
      </c>
    </row>
    <row r="920" spans="2:10" hidden="1" x14ac:dyDescent="0.2">
      <c r="B920" t="s">
        <v>531</v>
      </c>
      <c r="C920" t="s">
        <v>220</v>
      </c>
      <c r="D920" t="s">
        <v>532</v>
      </c>
      <c r="E920" t="s">
        <v>56</v>
      </c>
      <c r="F920" t="s">
        <v>57</v>
      </c>
      <c r="G920" t="s">
        <v>1034</v>
      </c>
      <c r="H920" t="s">
        <v>15</v>
      </c>
      <c r="I920" s="1">
        <v>2</v>
      </c>
      <c r="J920" s="2">
        <v>862.06</v>
      </c>
    </row>
    <row r="921" spans="2:10" hidden="1" x14ac:dyDescent="0.2">
      <c r="B921" t="s">
        <v>531</v>
      </c>
      <c r="C921" t="s">
        <v>220</v>
      </c>
      <c r="D921" t="s">
        <v>532</v>
      </c>
      <c r="E921" t="s">
        <v>521</v>
      </c>
      <c r="F921" t="s">
        <v>522</v>
      </c>
      <c r="G921" t="s">
        <v>14</v>
      </c>
      <c r="H921" t="s">
        <v>104</v>
      </c>
      <c r="I921" s="1">
        <v>1</v>
      </c>
      <c r="J921" s="2">
        <v>21.55</v>
      </c>
    </row>
    <row r="922" spans="2:10" hidden="1" x14ac:dyDescent="0.2">
      <c r="B922" t="s">
        <v>531</v>
      </c>
      <c r="C922" t="s">
        <v>220</v>
      </c>
      <c r="D922" t="s">
        <v>532</v>
      </c>
      <c r="E922" t="s">
        <v>406</v>
      </c>
      <c r="F922" t="s">
        <v>407</v>
      </c>
      <c r="G922" t="s">
        <v>14</v>
      </c>
      <c r="H922" t="s">
        <v>104</v>
      </c>
      <c r="I922" s="1">
        <v>6</v>
      </c>
      <c r="J922" s="2">
        <v>103.44</v>
      </c>
    </row>
    <row r="923" spans="2:10" x14ac:dyDescent="0.2">
      <c r="B923" t="s">
        <v>531</v>
      </c>
      <c r="C923" t="s">
        <v>227</v>
      </c>
      <c r="D923" t="s">
        <v>532</v>
      </c>
      <c r="E923" t="s">
        <v>179</v>
      </c>
      <c r="F923" t="s">
        <v>180</v>
      </c>
      <c r="G923" t="s">
        <v>76</v>
      </c>
      <c r="H923" t="s">
        <v>60</v>
      </c>
      <c r="I923" s="1">
        <v>1</v>
      </c>
      <c r="J923" s="2">
        <v>344.83</v>
      </c>
    </row>
    <row r="924" spans="2:10" x14ac:dyDescent="0.2">
      <c r="B924" t="s">
        <v>531</v>
      </c>
      <c r="C924" t="s">
        <v>227</v>
      </c>
      <c r="D924" t="s">
        <v>532</v>
      </c>
      <c r="E924" t="s">
        <v>38</v>
      </c>
      <c r="F924" t="s">
        <v>39</v>
      </c>
      <c r="G924" t="s">
        <v>1034</v>
      </c>
      <c r="H924" t="s">
        <v>15</v>
      </c>
      <c r="I924" s="1">
        <v>1</v>
      </c>
      <c r="J924" s="2">
        <v>431.03</v>
      </c>
    </row>
    <row r="925" spans="2:10" x14ac:dyDescent="0.2">
      <c r="B925" t="s">
        <v>531</v>
      </c>
      <c r="C925" t="s">
        <v>228</v>
      </c>
      <c r="D925" t="s">
        <v>532</v>
      </c>
      <c r="E925" t="s">
        <v>287</v>
      </c>
      <c r="F925" t="s">
        <v>288</v>
      </c>
      <c r="G925" t="s">
        <v>14</v>
      </c>
      <c r="H925" t="s">
        <v>35</v>
      </c>
      <c r="I925" s="1">
        <v>1</v>
      </c>
      <c r="J925" s="2">
        <v>60.34</v>
      </c>
    </row>
    <row r="926" spans="2:10" x14ac:dyDescent="0.2">
      <c r="B926" t="s">
        <v>531</v>
      </c>
      <c r="C926" t="s">
        <v>228</v>
      </c>
      <c r="D926" t="s">
        <v>532</v>
      </c>
      <c r="E926" t="s">
        <v>216</v>
      </c>
      <c r="F926" t="s">
        <v>217</v>
      </c>
      <c r="G926" t="s">
        <v>14</v>
      </c>
      <c r="H926" t="s">
        <v>104</v>
      </c>
      <c r="I926" s="1">
        <v>2</v>
      </c>
      <c r="J926" s="2">
        <v>34.479999999999997</v>
      </c>
    </row>
    <row r="927" spans="2:10" x14ac:dyDescent="0.2">
      <c r="B927" t="s">
        <v>531</v>
      </c>
      <c r="C927" t="s">
        <v>228</v>
      </c>
      <c r="D927" t="s">
        <v>532</v>
      </c>
      <c r="E927" t="s">
        <v>38</v>
      </c>
      <c r="F927" t="s">
        <v>39</v>
      </c>
      <c r="G927" t="s">
        <v>1034</v>
      </c>
      <c r="H927" t="s">
        <v>15</v>
      </c>
      <c r="I927" s="1">
        <v>1</v>
      </c>
      <c r="J927" s="2">
        <v>431.03</v>
      </c>
    </row>
    <row r="928" spans="2:10" x14ac:dyDescent="0.2">
      <c r="B928" t="s">
        <v>531</v>
      </c>
      <c r="C928" t="s">
        <v>228</v>
      </c>
      <c r="D928" t="s">
        <v>532</v>
      </c>
      <c r="E928" t="s">
        <v>521</v>
      </c>
      <c r="F928" t="s">
        <v>522</v>
      </c>
      <c r="G928" t="s">
        <v>14</v>
      </c>
      <c r="H928" t="s">
        <v>104</v>
      </c>
      <c r="I928" s="1">
        <v>2</v>
      </c>
      <c r="J928" s="2">
        <v>43.1</v>
      </c>
    </row>
    <row r="929" spans="2:10" x14ac:dyDescent="0.2">
      <c r="B929" t="s">
        <v>531</v>
      </c>
      <c r="C929" t="s">
        <v>228</v>
      </c>
      <c r="D929" t="s">
        <v>532</v>
      </c>
      <c r="E929" t="s">
        <v>61</v>
      </c>
      <c r="F929" t="s">
        <v>62</v>
      </c>
      <c r="G929" t="s">
        <v>1034</v>
      </c>
      <c r="H929" t="s">
        <v>15</v>
      </c>
      <c r="I929" s="1">
        <v>1</v>
      </c>
      <c r="J929" s="2">
        <v>172.41</v>
      </c>
    </row>
    <row r="930" spans="2:10" x14ac:dyDescent="0.2">
      <c r="B930" t="s">
        <v>531</v>
      </c>
      <c r="C930" t="s">
        <v>233</v>
      </c>
      <c r="D930" t="s">
        <v>532</v>
      </c>
      <c r="E930" t="s">
        <v>36</v>
      </c>
      <c r="F930" t="s">
        <v>37</v>
      </c>
      <c r="G930" t="s">
        <v>1034</v>
      </c>
      <c r="H930" t="s">
        <v>15</v>
      </c>
      <c r="I930" s="1">
        <v>1</v>
      </c>
      <c r="J930" s="2">
        <v>301.72000000000003</v>
      </c>
    </row>
    <row r="931" spans="2:10" x14ac:dyDescent="0.2">
      <c r="B931" t="s">
        <v>531</v>
      </c>
      <c r="C931" t="s">
        <v>233</v>
      </c>
      <c r="D931" t="s">
        <v>532</v>
      </c>
      <c r="E931" t="s">
        <v>85</v>
      </c>
      <c r="F931" t="s">
        <v>86</v>
      </c>
      <c r="G931" t="s">
        <v>14</v>
      </c>
      <c r="H931" t="s">
        <v>87</v>
      </c>
      <c r="I931" s="1">
        <v>1</v>
      </c>
      <c r="J931" s="2">
        <v>301.72000000000003</v>
      </c>
    </row>
    <row r="932" spans="2:10" x14ac:dyDescent="0.2">
      <c r="B932" t="s">
        <v>531</v>
      </c>
      <c r="C932" t="s">
        <v>236</v>
      </c>
      <c r="D932" t="s">
        <v>532</v>
      </c>
      <c r="E932" t="s">
        <v>46</v>
      </c>
      <c r="F932" t="s">
        <v>47</v>
      </c>
      <c r="G932" t="s">
        <v>1034</v>
      </c>
      <c r="H932" t="s">
        <v>15</v>
      </c>
      <c r="I932" s="1">
        <v>1</v>
      </c>
      <c r="J932" s="2">
        <v>301.72000000000003</v>
      </c>
    </row>
    <row r="933" spans="2:10" x14ac:dyDescent="0.2">
      <c r="B933" t="s">
        <v>531</v>
      </c>
      <c r="C933" t="s">
        <v>236</v>
      </c>
      <c r="D933" t="s">
        <v>532</v>
      </c>
      <c r="E933" t="s">
        <v>559</v>
      </c>
      <c r="F933" t="s">
        <v>560</v>
      </c>
      <c r="G933" t="s">
        <v>1033</v>
      </c>
      <c r="H933" t="s">
        <v>30</v>
      </c>
      <c r="I933" s="1">
        <v>1</v>
      </c>
      <c r="J933" s="2">
        <v>1706.9</v>
      </c>
    </row>
    <row r="934" spans="2:10" x14ac:dyDescent="0.2">
      <c r="B934" t="s">
        <v>531</v>
      </c>
      <c r="C934" t="s">
        <v>236</v>
      </c>
      <c r="D934" t="s">
        <v>532</v>
      </c>
      <c r="E934" t="s">
        <v>36</v>
      </c>
      <c r="F934" t="s">
        <v>37</v>
      </c>
      <c r="G934" t="s">
        <v>1034</v>
      </c>
      <c r="H934" t="s">
        <v>15</v>
      </c>
      <c r="I934" s="1">
        <v>1</v>
      </c>
      <c r="J934" s="2">
        <v>301.72000000000003</v>
      </c>
    </row>
    <row r="935" spans="2:10" x14ac:dyDescent="0.2">
      <c r="B935" t="s">
        <v>531</v>
      </c>
      <c r="C935" t="s">
        <v>236</v>
      </c>
      <c r="D935" t="s">
        <v>532</v>
      </c>
      <c r="E935" t="s">
        <v>406</v>
      </c>
      <c r="F935" t="s">
        <v>407</v>
      </c>
      <c r="G935" t="s">
        <v>14</v>
      </c>
      <c r="H935" t="s">
        <v>104</v>
      </c>
      <c r="I935" s="1">
        <v>5</v>
      </c>
      <c r="J935" s="2">
        <v>86.2</v>
      </c>
    </row>
    <row r="936" spans="2:10" x14ac:dyDescent="0.2">
      <c r="B936" t="s">
        <v>531</v>
      </c>
      <c r="C936" t="s">
        <v>236</v>
      </c>
      <c r="D936" t="s">
        <v>532</v>
      </c>
      <c r="E936" t="s">
        <v>16</v>
      </c>
      <c r="F936" t="s">
        <v>17</v>
      </c>
      <c r="G936" t="s">
        <v>1034</v>
      </c>
      <c r="H936" t="s">
        <v>15</v>
      </c>
      <c r="I936" s="1">
        <v>2</v>
      </c>
      <c r="J936" s="2">
        <v>1155.18</v>
      </c>
    </row>
    <row r="937" spans="2:10" x14ac:dyDescent="0.2">
      <c r="B937" t="s">
        <v>531</v>
      </c>
      <c r="C937" t="s">
        <v>237</v>
      </c>
      <c r="D937" t="s">
        <v>130</v>
      </c>
      <c r="E937" t="s">
        <v>581</v>
      </c>
      <c r="F937" t="s">
        <v>582</v>
      </c>
      <c r="G937" t="s">
        <v>54</v>
      </c>
      <c r="H937" t="s">
        <v>439</v>
      </c>
      <c r="I937" s="1">
        <v>1</v>
      </c>
      <c r="J937" s="2">
        <v>150.86000000000001</v>
      </c>
    </row>
    <row r="938" spans="2:10" x14ac:dyDescent="0.2">
      <c r="B938" t="s">
        <v>531</v>
      </c>
      <c r="C938" t="s">
        <v>248</v>
      </c>
      <c r="D938" t="s">
        <v>532</v>
      </c>
      <c r="E938" t="s">
        <v>44</v>
      </c>
      <c r="F938" t="s">
        <v>45</v>
      </c>
      <c r="G938" t="s">
        <v>1033</v>
      </c>
      <c r="H938" t="s">
        <v>30</v>
      </c>
      <c r="I938" s="1">
        <v>1</v>
      </c>
      <c r="J938" s="2">
        <v>81.900000000000006</v>
      </c>
    </row>
    <row r="939" spans="2:10" x14ac:dyDescent="0.2">
      <c r="B939" t="s">
        <v>531</v>
      </c>
      <c r="C939" t="s">
        <v>248</v>
      </c>
      <c r="D939" t="s">
        <v>532</v>
      </c>
      <c r="E939" t="s">
        <v>201</v>
      </c>
      <c r="F939" t="s">
        <v>202</v>
      </c>
      <c r="G939" t="s">
        <v>1033</v>
      </c>
      <c r="H939" t="s">
        <v>30</v>
      </c>
      <c r="I939" s="1">
        <v>1</v>
      </c>
      <c r="J939" s="2">
        <v>948.28</v>
      </c>
    </row>
    <row r="940" spans="2:10" x14ac:dyDescent="0.2">
      <c r="B940" t="s">
        <v>531</v>
      </c>
      <c r="C940" t="s">
        <v>248</v>
      </c>
      <c r="D940" t="s">
        <v>532</v>
      </c>
      <c r="E940" t="s">
        <v>36</v>
      </c>
      <c r="F940" t="s">
        <v>37</v>
      </c>
      <c r="G940" t="s">
        <v>1034</v>
      </c>
      <c r="H940" t="s">
        <v>15</v>
      </c>
      <c r="I940" s="1">
        <v>1</v>
      </c>
      <c r="J940" s="2">
        <v>301.72000000000003</v>
      </c>
    </row>
    <row r="941" spans="2:10" x14ac:dyDescent="0.2">
      <c r="B941" t="s">
        <v>531</v>
      </c>
      <c r="C941" t="s">
        <v>248</v>
      </c>
      <c r="D941" t="s">
        <v>532</v>
      </c>
      <c r="E941" t="s">
        <v>231</v>
      </c>
      <c r="F941" t="s">
        <v>232</v>
      </c>
      <c r="G941" t="s">
        <v>43</v>
      </c>
      <c r="H941" t="s">
        <v>50</v>
      </c>
      <c r="I941" s="1">
        <v>1</v>
      </c>
      <c r="J941" s="2">
        <v>3017.24</v>
      </c>
    </row>
    <row r="942" spans="2:10" x14ac:dyDescent="0.2">
      <c r="B942" t="s">
        <v>531</v>
      </c>
      <c r="C942" t="s">
        <v>248</v>
      </c>
      <c r="D942" t="s">
        <v>532</v>
      </c>
      <c r="E942" t="s">
        <v>63</v>
      </c>
      <c r="F942" t="s">
        <v>64</v>
      </c>
      <c r="G942" t="s">
        <v>1034</v>
      </c>
      <c r="H942" t="s">
        <v>15</v>
      </c>
      <c r="I942" s="1">
        <v>1</v>
      </c>
      <c r="J942" s="2">
        <v>172.41</v>
      </c>
    </row>
    <row r="943" spans="2:10" x14ac:dyDescent="0.2">
      <c r="B943" t="s">
        <v>531</v>
      </c>
      <c r="C943" t="s">
        <v>248</v>
      </c>
      <c r="D943" t="s">
        <v>532</v>
      </c>
      <c r="E943" t="s">
        <v>16</v>
      </c>
      <c r="F943" t="s">
        <v>17</v>
      </c>
      <c r="G943" t="s">
        <v>1034</v>
      </c>
      <c r="H943" t="s">
        <v>15</v>
      </c>
      <c r="I943" s="1">
        <v>2</v>
      </c>
      <c r="J943" s="2">
        <v>1155.18</v>
      </c>
    </row>
    <row r="944" spans="2:10" hidden="1" x14ac:dyDescent="0.2">
      <c r="B944" t="s">
        <v>583</v>
      </c>
      <c r="C944" t="s">
        <v>10</v>
      </c>
      <c r="D944" t="s">
        <v>584</v>
      </c>
      <c r="E944" t="s">
        <v>419</v>
      </c>
      <c r="F944" t="s">
        <v>420</v>
      </c>
      <c r="G944" t="s">
        <v>14</v>
      </c>
      <c r="H944" t="s">
        <v>35</v>
      </c>
      <c r="I944" s="1">
        <v>1</v>
      </c>
      <c r="J944" s="2">
        <v>77.59</v>
      </c>
    </row>
    <row r="945" spans="2:10" hidden="1" x14ac:dyDescent="0.2">
      <c r="B945" t="s">
        <v>583</v>
      </c>
      <c r="C945" t="s">
        <v>10</v>
      </c>
      <c r="D945" t="s">
        <v>584</v>
      </c>
      <c r="E945" t="s">
        <v>70</v>
      </c>
      <c r="F945" t="s">
        <v>71</v>
      </c>
      <c r="G945" t="s">
        <v>1033</v>
      </c>
      <c r="H945" t="s">
        <v>30</v>
      </c>
      <c r="I945" s="1">
        <v>1</v>
      </c>
      <c r="J945" s="2">
        <v>2112.0700000000002</v>
      </c>
    </row>
    <row r="946" spans="2:10" hidden="1" x14ac:dyDescent="0.2">
      <c r="B946" t="s">
        <v>583</v>
      </c>
      <c r="C946" t="s">
        <v>10</v>
      </c>
      <c r="D946" t="s">
        <v>584</v>
      </c>
      <c r="E946" t="s">
        <v>22</v>
      </c>
      <c r="F946" t="s">
        <v>23</v>
      </c>
      <c r="G946" t="s">
        <v>14</v>
      </c>
      <c r="H946" t="s">
        <v>24</v>
      </c>
      <c r="I946" s="1">
        <v>1</v>
      </c>
      <c r="J946" s="2">
        <v>215.52</v>
      </c>
    </row>
    <row r="947" spans="2:10" hidden="1" x14ac:dyDescent="0.2">
      <c r="B947" t="s">
        <v>583</v>
      </c>
      <c r="C947" t="s">
        <v>10</v>
      </c>
      <c r="D947" t="s">
        <v>584</v>
      </c>
      <c r="E947" t="s">
        <v>63</v>
      </c>
      <c r="F947" t="s">
        <v>64</v>
      </c>
      <c r="G947" t="s">
        <v>1034</v>
      </c>
      <c r="H947" t="s">
        <v>15</v>
      </c>
      <c r="I947" s="1">
        <v>1</v>
      </c>
      <c r="J947" s="2">
        <v>172.41</v>
      </c>
    </row>
    <row r="948" spans="2:10" hidden="1" x14ac:dyDescent="0.2">
      <c r="B948" t="s">
        <v>583</v>
      </c>
      <c r="C948" t="s">
        <v>10</v>
      </c>
      <c r="D948" t="s">
        <v>584</v>
      </c>
      <c r="E948" t="s">
        <v>585</v>
      </c>
      <c r="F948" t="s">
        <v>586</v>
      </c>
      <c r="G948" t="s">
        <v>1034</v>
      </c>
      <c r="H948" t="s">
        <v>15</v>
      </c>
      <c r="I948" s="1">
        <v>1</v>
      </c>
      <c r="J948" s="2">
        <v>310.33999999999997</v>
      </c>
    </row>
    <row r="949" spans="2:10" hidden="1" x14ac:dyDescent="0.2">
      <c r="B949" t="s">
        <v>583</v>
      </c>
      <c r="C949" t="s">
        <v>18</v>
      </c>
      <c r="D949" t="s">
        <v>584</v>
      </c>
      <c r="E949" t="s">
        <v>302</v>
      </c>
      <c r="F949" t="s">
        <v>303</v>
      </c>
      <c r="G949" t="s">
        <v>1033</v>
      </c>
      <c r="H949" t="s">
        <v>30</v>
      </c>
      <c r="I949" s="1">
        <v>1</v>
      </c>
      <c r="J949" s="2">
        <v>474.14</v>
      </c>
    </row>
    <row r="950" spans="2:10" hidden="1" x14ac:dyDescent="0.2">
      <c r="B950" t="s">
        <v>583</v>
      </c>
      <c r="C950" t="s">
        <v>18</v>
      </c>
      <c r="D950" t="s">
        <v>584</v>
      </c>
      <c r="E950" t="s">
        <v>22</v>
      </c>
      <c r="F950" t="s">
        <v>23</v>
      </c>
      <c r="G950" t="s">
        <v>14</v>
      </c>
      <c r="H950" t="s">
        <v>24</v>
      </c>
      <c r="I950" s="1">
        <v>2</v>
      </c>
      <c r="J950" s="2">
        <v>431.04</v>
      </c>
    </row>
    <row r="951" spans="2:10" hidden="1" x14ac:dyDescent="0.2">
      <c r="B951" t="s">
        <v>583</v>
      </c>
      <c r="C951" t="s">
        <v>18</v>
      </c>
      <c r="D951" t="s">
        <v>584</v>
      </c>
      <c r="E951" t="s">
        <v>56</v>
      </c>
      <c r="F951" t="s">
        <v>57</v>
      </c>
      <c r="G951" t="s">
        <v>1034</v>
      </c>
      <c r="H951" t="s">
        <v>15</v>
      </c>
      <c r="I951" s="1">
        <v>1</v>
      </c>
      <c r="J951" s="2">
        <v>431.03</v>
      </c>
    </row>
    <row r="952" spans="2:10" hidden="1" x14ac:dyDescent="0.2">
      <c r="B952" t="s">
        <v>583</v>
      </c>
      <c r="C952" t="s">
        <v>18</v>
      </c>
      <c r="D952" t="s">
        <v>584</v>
      </c>
      <c r="E952" t="s">
        <v>28</v>
      </c>
      <c r="F952" t="s">
        <v>29</v>
      </c>
      <c r="G952" t="s">
        <v>1033</v>
      </c>
      <c r="H952" t="s">
        <v>30</v>
      </c>
      <c r="I952" s="1">
        <v>2</v>
      </c>
      <c r="J952" s="2">
        <v>310.33999999999997</v>
      </c>
    </row>
    <row r="953" spans="2:10" hidden="1" x14ac:dyDescent="0.2">
      <c r="B953" t="s">
        <v>583</v>
      </c>
      <c r="C953" t="s">
        <v>31</v>
      </c>
      <c r="D953" t="s">
        <v>584</v>
      </c>
      <c r="E953" t="s">
        <v>44</v>
      </c>
      <c r="F953" t="s">
        <v>45</v>
      </c>
      <c r="G953" t="s">
        <v>1033</v>
      </c>
      <c r="H953" t="s">
        <v>30</v>
      </c>
      <c r="I953" s="1">
        <v>1</v>
      </c>
      <c r="J953" s="2">
        <v>81.900000000000006</v>
      </c>
    </row>
    <row r="954" spans="2:10" hidden="1" x14ac:dyDescent="0.2">
      <c r="B954" t="s">
        <v>583</v>
      </c>
      <c r="C954" t="s">
        <v>31</v>
      </c>
      <c r="D954" t="s">
        <v>584</v>
      </c>
      <c r="E954" t="s">
        <v>399</v>
      </c>
      <c r="F954" t="s">
        <v>400</v>
      </c>
      <c r="G954" t="s">
        <v>1033</v>
      </c>
      <c r="H954" t="s">
        <v>30</v>
      </c>
      <c r="I954" s="1">
        <v>1</v>
      </c>
      <c r="J954" s="2">
        <v>818.97</v>
      </c>
    </row>
    <row r="955" spans="2:10" hidden="1" x14ac:dyDescent="0.2">
      <c r="B955" t="s">
        <v>583</v>
      </c>
      <c r="C955" t="s">
        <v>31</v>
      </c>
      <c r="D955" t="s">
        <v>584</v>
      </c>
      <c r="E955" t="s">
        <v>36</v>
      </c>
      <c r="F955" t="s">
        <v>37</v>
      </c>
      <c r="G955" t="s">
        <v>1034</v>
      </c>
      <c r="H955" t="s">
        <v>15</v>
      </c>
      <c r="I955" s="1">
        <v>1</v>
      </c>
      <c r="J955" s="2">
        <v>301.72000000000003</v>
      </c>
    </row>
    <row r="956" spans="2:10" hidden="1" x14ac:dyDescent="0.2">
      <c r="B956" t="s">
        <v>583</v>
      </c>
      <c r="C956" t="s">
        <v>40</v>
      </c>
      <c r="D956" t="s">
        <v>130</v>
      </c>
      <c r="E956" t="s">
        <v>167</v>
      </c>
      <c r="F956" t="s">
        <v>168</v>
      </c>
      <c r="G956" t="s">
        <v>1033</v>
      </c>
      <c r="H956" t="s">
        <v>30</v>
      </c>
      <c r="I956" s="1">
        <v>1</v>
      </c>
      <c r="J956" s="2">
        <v>1267.24</v>
      </c>
    </row>
    <row r="957" spans="2:10" hidden="1" x14ac:dyDescent="0.2">
      <c r="B957" t="s">
        <v>583</v>
      </c>
      <c r="C957" t="s">
        <v>40</v>
      </c>
      <c r="D957" t="s">
        <v>130</v>
      </c>
      <c r="E957" t="s">
        <v>401</v>
      </c>
      <c r="F957" t="s">
        <v>402</v>
      </c>
      <c r="G957" t="s">
        <v>43</v>
      </c>
      <c r="H957" t="s">
        <v>403</v>
      </c>
      <c r="I957" s="1">
        <v>1</v>
      </c>
      <c r="J957" s="2">
        <v>159.47999999999999</v>
      </c>
    </row>
    <row r="958" spans="2:10" hidden="1" x14ac:dyDescent="0.2">
      <c r="B958" t="s">
        <v>583</v>
      </c>
      <c r="C958" t="s">
        <v>40</v>
      </c>
      <c r="D958" t="s">
        <v>130</v>
      </c>
      <c r="E958" t="s">
        <v>36</v>
      </c>
      <c r="F958" t="s">
        <v>37</v>
      </c>
      <c r="G958" t="s">
        <v>1034</v>
      </c>
      <c r="H958" t="s">
        <v>15</v>
      </c>
      <c r="I958" s="1">
        <v>1</v>
      </c>
      <c r="J958" s="2">
        <v>301.72000000000003</v>
      </c>
    </row>
    <row r="959" spans="2:10" hidden="1" x14ac:dyDescent="0.2">
      <c r="B959" t="s">
        <v>583</v>
      </c>
      <c r="C959" t="s">
        <v>40</v>
      </c>
      <c r="D959" t="s">
        <v>130</v>
      </c>
      <c r="E959" t="s">
        <v>22</v>
      </c>
      <c r="F959" t="s">
        <v>23</v>
      </c>
      <c r="G959" t="s">
        <v>14</v>
      </c>
      <c r="H959" t="s">
        <v>24</v>
      </c>
      <c r="I959" s="1">
        <v>1</v>
      </c>
      <c r="J959" s="2">
        <v>215.52</v>
      </c>
    </row>
    <row r="960" spans="2:10" hidden="1" x14ac:dyDescent="0.2">
      <c r="B960" t="s">
        <v>583</v>
      </c>
      <c r="C960" t="s">
        <v>40</v>
      </c>
      <c r="D960" t="s">
        <v>130</v>
      </c>
      <c r="E960" t="s">
        <v>587</v>
      </c>
      <c r="F960" t="s">
        <v>588</v>
      </c>
      <c r="G960" t="s">
        <v>43</v>
      </c>
      <c r="H960" t="s">
        <v>589</v>
      </c>
      <c r="I960" s="1">
        <v>1</v>
      </c>
      <c r="J960" s="2">
        <v>1637.93</v>
      </c>
    </row>
    <row r="961" spans="2:10" hidden="1" x14ac:dyDescent="0.2">
      <c r="B961" t="s">
        <v>583</v>
      </c>
      <c r="C961" t="s">
        <v>51</v>
      </c>
      <c r="D961" t="s">
        <v>584</v>
      </c>
      <c r="E961" t="s">
        <v>118</v>
      </c>
      <c r="F961" t="s">
        <v>119</v>
      </c>
      <c r="G961" t="s">
        <v>14</v>
      </c>
      <c r="H961" t="s">
        <v>27</v>
      </c>
      <c r="I961" s="1">
        <v>1</v>
      </c>
      <c r="J961" s="2">
        <v>379.31</v>
      </c>
    </row>
    <row r="962" spans="2:10" hidden="1" x14ac:dyDescent="0.2">
      <c r="B962" t="s">
        <v>583</v>
      </c>
      <c r="C962" t="s">
        <v>51</v>
      </c>
      <c r="D962" t="s">
        <v>584</v>
      </c>
      <c r="E962" t="s">
        <v>482</v>
      </c>
      <c r="F962" t="s">
        <v>483</v>
      </c>
      <c r="G962" t="s">
        <v>14</v>
      </c>
      <c r="H962" t="s">
        <v>27</v>
      </c>
      <c r="I962" s="1">
        <v>1</v>
      </c>
      <c r="J962" s="2">
        <v>379.31</v>
      </c>
    </row>
    <row r="963" spans="2:10" hidden="1" x14ac:dyDescent="0.2">
      <c r="B963" t="s">
        <v>583</v>
      </c>
      <c r="C963" t="s">
        <v>51</v>
      </c>
      <c r="D963" t="s">
        <v>584</v>
      </c>
      <c r="E963" t="s">
        <v>36</v>
      </c>
      <c r="F963" t="s">
        <v>37</v>
      </c>
      <c r="G963" t="s">
        <v>1034</v>
      </c>
      <c r="H963" t="s">
        <v>15</v>
      </c>
      <c r="I963" s="1">
        <v>1</v>
      </c>
      <c r="J963" s="2">
        <v>301.72000000000003</v>
      </c>
    </row>
    <row r="964" spans="2:10" hidden="1" x14ac:dyDescent="0.2">
      <c r="B964" t="s">
        <v>583</v>
      </c>
      <c r="C964" t="s">
        <v>51</v>
      </c>
      <c r="D964" t="s">
        <v>584</v>
      </c>
      <c r="E964" t="s">
        <v>22</v>
      </c>
      <c r="F964" t="s">
        <v>23</v>
      </c>
      <c r="G964" t="s">
        <v>14</v>
      </c>
      <c r="H964" t="s">
        <v>24</v>
      </c>
      <c r="I964" s="1">
        <v>1</v>
      </c>
      <c r="J964" s="2">
        <v>215.52</v>
      </c>
    </row>
    <row r="965" spans="2:10" hidden="1" x14ac:dyDescent="0.2">
      <c r="B965" t="s">
        <v>583</v>
      </c>
      <c r="C965" t="s">
        <v>51</v>
      </c>
      <c r="D965" t="s">
        <v>584</v>
      </c>
      <c r="E965" t="s">
        <v>275</v>
      </c>
      <c r="F965" t="s">
        <v>276</v>
      </c>
      <c r="G965" t="s">
        <v>1033</v>
      </c>
      <c r="H965" t="s">
        <v>30</v>
      </c>
      <c r="I965" s="1">
        <v>1</v>
      </c>
      <c r="J965" s="2">
        <v>1551.72</v>
      </c>
    </row>
    <row r="966" spans="2:10" hidden="1" x14ac:dyDescent="0.2">
      <c r="B966" t="s">
        <v>583</v>
      </c>
      <c r="C966" t="s">
        <v>51</v>
      </c>
      <c r="D966" t="s">
        <v>584</v>
      </c>
      <c r="E966" t="s">
        <v>16</v>
      </c>
      <c r="F966" t="s">
        <v>17</v>
      </c>
      <c r="G966" t="s">
        <v>1034</v>
      </c>
      <c r="H966" t="s">
        <v>15</v>
      </c>
      <c r="I966" s="1">
        <v>1</v>
      </c>
      <c r="J966" s="2">
        <v>577.59</v>
      </c>
    </row>
    <row r="967" spans="2:10" hidden="1" x14ac:dyDescent="0.2">
      <c r="B967" t="s">
        <v>583</v>
      </c>
      <c r="C967" t="s">
        <v>51</v>
      </c>
      <c r="D967" t="s">
        <v>584</v>
      </c>
      <c r="E967" t="s">
        <v>28</v>
      </c>
      <c r="F967" t="s">
        <v>29</v>
      </c>
      <c r="G967" t="s">
        <v>1033</v>
      </c>
      <c r="H967" t="s">
        <v>30</v>
      </c>
      <c r="I967" s="1">
        <v>1</v>
      </c>
      <c r="J967" s="2">
        <v>155.16999999999999</v>
      </c>
    </row>
    <row r="968" spans="2:10" hidden="1" x14ac:dyDescent="0.2">
      <c r="B968" t="s">
        <v>583</v>
      </c>
      <c r="C968" t="s">
        <v>65</v>
      </c>
      <c r="D968" t="s">
        <v>130</v>
      </c>
      <c r="E968" t="s">
        <v>44</v>
      </c>
      <c r="F968" t="s">
        <v>45</v>
      </c>
      <c r="G968" t="s">
        <v>1033</v>
      </c>
      <c r="H968" t="s">
        <v>30</v>
      </c>
      <c r="I968" s="1">
        <v>1</v>
      </c>
      <c r="J968" s="2">
        <v>81.900000000000006</v>
      </c>
    </row>
    <row r="969" spans="2:10" hidden="1" x14ac:dyDescent="0.2">
      <c r="B969" t="s">
        <v>583</v>
      </c>
      <c r="C969" t="s">
        <v>65</v>
      </c>
      <c r="D969" t="s">
        <v>130</v>
      </c>
      <c r="E969" t="s">
        <v>590</v>
      </c>
      <c r="F969" t="s">
        <v>591</v>
      </c>
      <c r="G969" t="s">
        <v>14</v>
      </c>
      <c r="H969" t="s">
        <v>35</v>
      </c>
      <c r="I969" s="1">
        <v>1</v>
      </c>
      <c r="J969" s="2">
        <v>77.59</v>
      </c>
    </row>
    <row r="970" spans="2:10" hidden="1" x14ac:dyDescent="0.2">
      <c r="B970" t="s">
        <v>583</v>
      </c>
      <c r="C970" t="s">
        <v>65</v>
      </c>
      <c r="D970" t="s">
        <v>130</v>
      </c>
      <c r="E970" t="s">
        <v>397</v>
      </c>
      <c r="F970" t="s">
        <v>398</v>
      </c>
      <c r="G970" t="s">
        <v>14</v>
      </c>
      <c r="H970" t="s">
        <v>35</v>
      </c>
      <c r="I970" s="1">
        <v>1</v>
      </c>
      <c r="J970" s="2">
        <v>77.59</v>
      </c>
    </row>
    <row r="971" spans="2:10" hidden="1" x14ac:dyDescent="0.2">
      <c r="B971" t="s">
        <v>583</v>
      </c>
      <c r="C971" t="s">
        <v>65</v>
      </c>
      <c r="D971" t="s">
        <v>130</v>
      </c>
      <c r="E971" t="s">
        <v>36</v>
      </c>
      <c r="F971" t="s">
        <v>37</v>
      </c>
      <c r="G971" t="s">
        <v>1034</v>
      </c>
      <c r="H971" t="s">
        <v>15</v>
      </c>
      <c r="I971" s="1">
        <v>1</v>
      </c>
      <c r="J971" s="2">
        <v>301.72000000000003</v>
      </c>
    </row>
    <row r="972" spans="2:10" hidden="1" x14ac:dyDescent="0.2">
      <c r="B972" t="s">
        <v>583</v>
      </c>
      <c r="C972" t="s">
        <v>65</v>
      </c>
      <c r="D972" t="s">
        <v>130</v>
      </c>
      <c r="E972" t="s">
        <v>56</v>
      </c>
      <c r="F972" t="s">
        <v>57</v>
      </c>
      <c r="G972" t="s">
        <v>1034</v>
      </c>
      <c r="H972" t="s">
        <v>15</v>
      </c>
      <c r="I972" s="1">
        <v>1</v>
      </c>
      <c r="J972" s="2">
        <v>431.03</v>
      </c>
    </row>
    <row r="973" spans="2:10" hidden="1" x14ac:dyDescent="0.2">
      <c r="B973" t="s">
        <v>583</v>
      </c>
      <c r="C973" t="s">
        <v>82</v>
      </c>
      <c r="D973" t="s">
        <v>584</v>
      </c>
      <c r="E973" t="s">
        <v>44</v>
      </c>
      <c r="F973" t="s">
        <v>45</v>
      </c>
      <c r="G973" t="s">
        <v>1033</v>
      </c>
      <c r="H973" t="s">
        <v>30</v>
      </c>
      <c r="I973" s="1">
        <v>3</v>
      </c>
      <c r="J973" s="2">
        <v>245.7</v>
      </c>
    </row>
    <row r="974" spans="2:10" hidden="1" x14ac:dyDescent="0.2">
      <c r="B974" t="s">
        <v>583</v>
      </c>
      <c r="C974" t="s">
        <v>82</v>
      </c>
      <c r="D974" t="s">
        <v>584</v>
      </c>
      <c r="E974" t="s">
        <v>592</v>
      </c>
      <c r="F974" t="s">
        <v>593</v>
      </c>
      <c r="G974" t="s">
        <v>54</v>
      </c>
      <c r="H974" t="s">
        <v>138</v>
      </c>
      <c r="I974" s="1">
        <v>1</v>
      </c>
      <c r="J974" s="2">
        <v>387.93</v>
      </c>
    </row>
    <row r="975" spans="2:10" hidden="1" x14ac:dyDescent="0.2">
      <c r="B975" t="s">
        <v>583</v>
      </c>
      <c r="C975" t="s">
        <v>82</v>
      </c>
      <c r="D975" t="s">
        <v>584</v>
      </c>
      <c r="E975" t="s">
        <v>594</v>
      </c>
      <c r="F975" t="s">
        <v>595</v>
      </c>
      <c r="G975" t="s">
        <v>54</v>
      </c>
      <c r="H975" t="s">
        <v>138</v>
      </c>
      <c r="I975" s="1">
        <v>1</v>
      </c>
      <c r="J975" s="2">
        <v>301.72000000000003</v>
      </c>
    </row>
    <row r="976" spans="2:10" hidden="1" x14ac:dyDescent="0.2">
      <c r="B976" t="s">
        <v>583</v>
      </c>
      <c r="C976" t="s">
        <v>82</v>
      </c>
      <c r="D976" t="s">
        <v>584</v>
      </c>
      <c r="E976" t="s">
        <v>120</v>
      </c>
      <c r="F976" t="s">
        <v>121</v>
      </c>
      <c r="G976" t="s">
        <v>1034</v>
      </c>
      <c r="H976" t="s">
        <v>15</v>
      </c>
      <c r="I976" s="1">
        <v>2</v>
      </c>
      <c r="J976" s="2">
        <v>603.44000000000005</v>
      </c>
    </row>
    <row r="977" spans="2:10" hidden="1" x14ac:dyDescent="0.2">
      <c r="B977" t="s">
        <v>583</v>
      </c>
      <c r="C977" t="s">
        <v>82</v>
      </c>
      <c r="D977" t="s">
        <v>584</v>
      </c>
      <c r="E977" t="s">
        <v>521</v>
      </c>
      <c r="F977" t="s">
        <v>522</v>
      </c>
      <c r="G977" t="s">
        <v>14</v>
      </c>
      <c r="H977" t="s">
        <v>104</v>
      </c>
      <c r="I977" s="1">
        <v>4</v>
      </c>
      <c r="J977" s="2">
        <v>86.2</v>
      </c>
    </row>
    <row r="978" spans="2:10" hidden="1" x14ac:dyDescent="0.2">
      <c r="B978" t="s">
        <v>583</v>
      </c>
      <c r="C978" t="s">
        <v>82</v>
      </c>
      <c r="D978" t="s">
        <v>584</v>
      </c>
      <c r="E978" t="s">
        <v>406</v>
      </c>
      <c r="F978" t="s">
        <v>407</v>
      </c>
      <c r="G978" t="s">
        <v>14</v>
      </c>
      <c r="H978" t="s">
        <v>104</v>
      </c>
      <c r="I978" s="1">
        <v>5</v>
      </c>
      <c r="J978" s="2">
        <v>86.2</v>
      </c>
    </row>
    <row r="979" spans="2:10" hidden="1" x14ac:dyDescent="0.2">
      <c r="B979" t="s">
        <v>583</v>
      </c>
      <c r="C979" t="s">
        <v>88</v>
      </c>
      <c r="D979" t="s">
        <v>584</v>
      </c>
      <c r="E979" t="s">
        <v>44</v>
      </c>
      <c r="F979" t="s">
        <v>45</v>
      </c>
      <c r="G979" t="s">
        <v>1033</v>
      </c>
      <c r="H979" t="s">
        <v>30</v>
      </c>
      <c r="I979" s="1">
        <v>1</v>
      </c>
      <c r="J979" s="2">
        <v>81.900000000000006</v>
      </c>
    </row>
    <row r="980" spans="2:10" hidden="1" x14ac:dyDescent="0.2">
      <c r="B980" t="s">
        <v>583</v>
      </c>
      <c r="C980" t="s">
        <v>88</v>
      </c>
      <c r="D980" t="s">
        <v>584</v>
      </c>
      <c r="E980" t="s">
        <v>545</v>
      </c>
      <c r="F980" t="s">
        <v>546</v>
      </c>
      <c r="G980" t="s">
        <v>284</v>
      </c>
      <c r="H980" t="s">
        <v>547</v>
      </c>
      <c r="I980" s="1">
        <v>1</v>
      </c>
      <c r="J980" s="2">
        <v>297.41000000000003</v>
      </c>
    </row>
    <row r="981" spans="2:10" hidden="1" x14ac:dyDescent="0.2">
      <c r="B981" t="s">
        <v>583</v>
      </c>
      <c r="C981" t="s">
        <v>88</v>
      </c>
      <c r="D981" t="s">
        <v>584</v>
      </c>
      <c r="E981" t="s">
        <v>267</v>
      </c>
      <c r="F981" t="s">
        <v>268</v>
      </c>
      <c r="G981" t="s">
        <v>1034</v>
      </c>
      <c r="H981" t="s">
        <v>15</v>
      </c>
      <c r="I981" s="1">
        <v>1</v>
      </c>
      <c r="J981" s="2">
        <v>258.62</v>
      </c>
    </row>
    <row r="982" spans="2:10" hidden="1" x14ac:dyDescent="0.2">
      <c r="B982" t="s">
        <v>583</v>
      </c>
      <c r="C982" t="s">
        <v>88</v>
      </c>
      <c r="D982" t="s">
        <v>584</v>
      </c>
      <c r="E982" t="s">
        <v>122</v>
      </c>
      <c r="F982" t="s">
        <v>123</v>
      </c>
      <c r="G982" t="s">
        <v>1034</v>
      </c>
      <c r="H982" t="s">
        <v>15</v>
      </c>
      <c r="I982" s="1">
        <v>1</v>
      </c>
      <c r="J982" s="2">
        <v>387.93</v>
      </c>
    </row>
    <row r="983" spans="2:10" hidden="1" x14ac:dyDescent="0.2">
      <c r="B983" t="s">
        <v>583</v>
      </c>
      <c r="C983" t="s">
        <v>117</v>
      </c>
      <c r="D983" t="s">
        <v>584</v>
      </c>
      <c r="E983" t="s">
        <v>120</v>
      </c>
      <c r="F983" t="s">
        <v>121</v>
      </c>
      <c r="G983" t="s">
        <v>1034</v>
      </c>
      <c r="H983" t="s">
        <v>15</v>
      </c>
      <c r="I983" s="1">
        <v>2</v>
      </c>
      <c r="J983" s="2">
        <v>603.44000000000005</v>
      </c>
    </row>
    <row r="984" spans="2:10" hidden="1" x14ac:dyDescent="0.2">
      <c r="B984" t="s">
        <v>583</v>
      </c>
      <c r="C984" t="s">
        <v>117</v>
      </c>
      <c r="D984" t="s">
        <v>584</v>
      </c>
      <c r="E984" t="s">
        <v>122</v>
      </c>
      <c r="F984" t="s">
        <v>123</v>
      </c>
      <c r="G984" t="s">
        <v>1034</v>
      </c>
      <c r="H984" t="s">
        <v>15</v>
      </c>
      <c r="I984" s="1">
        <v>1</v>
      </c>
      <c r="J984" s="2">
        <v>387.93</v>
      </c>
    </row>
    <row r="985" spans="2:10" hidden="1" x14ac:dyDescent="0.2">
      <c r="B985" t="s">
        <v>583</v>
      </c>
      <c r="C985" t="s">
        <v>117</v>
      </c>
      <c r="D985" t="s">
        <v>584</v>
      </c>
      <c r="E985" t="s">
        <v>83</v>
      </c>
      <c r="F985" t="s">
        <v>84</v>
      </c>
      <c r="G985" t="s">
        <v>1034</v>
      </c>
      <c r="H985" t="s">
        <v>15</v>
      </c>
      <c r="I985" s="1">
        <v>1</v>
      </c>
      <c r="J985" s="2">
        <v>387.93</v>
      </c>
    </row>
    <row r="986" spans="2:10" hidden="1" x14ac:dyDescent="0.2">
      <c r="B986" t="s">
        <v>583</v>
      </c>
      <c r="C986" t="s">
        <v>117</v>
      </c>
      <c r="D986" t="s">
        <v>584</v>
      </c>
      <c r="E986" t="s">
        <v>596</v>
      </c>
      <c r="F986" t="s">
        <v>597</v>
      </c>
      <c r="G986" t="s">
        <v>43</v>
      </c>
      <c r="H986" t="s">
        <v>50</v>
      </c>
      <c r="I986" s="1">
        <v>1</v>
      </c>
      <c r="J986" s="2">
        <v>181.03</v>
      </c>
    </row>
    <row r="987" spans="2:10" hidden="1" x14ac:dyDescent="0.2">
      <c r="B987" t="s">
        <v>583</v>
      </c>
      <c r="C987" t="s">
        <v>117</v>
      </c>
      <c r="D987" t="s">
        <v>584</v>
      </c>
      <c r="E987" t="s">
        <v>63</v>
      </c>
      <c r="F987" t="s">
        <v>64</v>
      </c>
      <c r="G987" t="s">
        <v>1034</v>
      </c>
      <c r="H987" t="s">
        <v>15</v>
      </c>
      <c r="I987" s="1">
        <v>1</v>
      </c>
      <c r="J987" s="2">
        <v>172.41</v>
      </c>
    </row>
    <row r="988" spans="2:10" hidden="1" x14ac:dyDescent="0.2">
      <c r="B988" t="s">
        <v>583</v>
      </c>
      <c r="C988" t="s">
        <v>117</v>
      </c>
      <c r="D988" t="s">
        <v>584</v>
      </c>
      <c r="E988" t="s">
        <v>16</v>
      </c>
      <c r="F988" t="s">
        <v>17</v>
      </c>
      <c r="G988" t="s">
        <v>1034</v>
      </c>
      <c r="H988" t="s">
        <v>15</v>
      </c>
      <c r="I988" s="1">
        <v>1</v>
      </c>
      <c r="J988" s="2">
        <v>577.59</v>
      </c>
    </row>
    <row r="989" spans="2:10" hidden="1" x14ac:dyDescent="0.2">
      <c r="B989" t="s">
        <v>583</v>
      </c>
      <c r="C989" t="s">
        <v>117</v>
      </c>
      <c r="D989" t="s">
        <v>584</v>
      </c>
      <c r="E989" t="s">
        <v>110</v>
      </c>
      <c r="F989" t="s">
        <v>111</v>
      </c>
      <c r="G989" t="s">
        <v>14</v>
      </c>
      <c r="H989" t="s">
        <v>112</v>
      </c>
      <c r="I989" s="1">
        <v>1</v>
      </c>
      <c r="J989" s="2">
        <v>301.72000000000003</v>
      </c>
    </row>
    <row r="990" spans="2:10" hidden="1" x14ac:dyDescent="0.2">
      <c r="B990" t="s">
        <v>583</v>
      </c>
      <c r="C990" t="s">
        <v>129</v>
      </c>
      <c r="D990" t="s">
        <v>584</v>
      </c>
      <c r="E990" t="s">
        <v>44</v>
      </c>
      <c r="F990" t="s">
        <v>45</v>
      </c>
      <c r="G990" t="s">
        <v>1033</v>
      </c>
      <c r="H990" t="s">
        <v>30</v>
      </c>
      <c r="I990" s="1">
        <v>1</v>
      </c>
      <c r="J990" s="2">
        <v>81.900000000000006</v>
      </c>
    </row>
    <row r="991" spans="2:10" hidden="1" x14ac:dyDescent="0.2">
      <c r="B991" t="s">
        <v>583</v>
      </c>
      <c r="C991" t="s">
        <v>129</v>
      </c>
      <c r="D991" t="s">
        <v>584</v>
      </c>
      <c r="E991" t="s">
        <v>216</v>
      </c>
      <c r="F991" t="s">
        <v>217</v>
      </c>
      <c r="G991" t="s">
        <v>14</v>
      </c>
      <c r="H991" t="s">
        <v>104</v>
      </c>
      <c r="I991" s="1">
        <v>1</v>
      </c>
      <c r="J991" s="2">
        <v>17.239999999999998</v>
      </c>
    </row>
    <row r="992" spans="2:10" hidden="1" x14ac:dyDescent="0.2">
      <c r="B992" t="s">
        <v>583</v>
      </c>
      <c r="C992" t="s">
        <v>129</v>
      </c>
      <c r="D992" t="s">
        <v>584</v>
      </c>
      <c r="E992" t="s">
        <v>521</v>
      </c>
      <c r="F992" t="s">
        <v>522</v>
      </c>
      <c r="G992" t="s">
        <v>14</v>
      </c>
      <c r="H992" t="s">
        <v>104</v>
      </c>
      <c r="I992" s="1">
        <v>2</v>
      </c>
      <c r="J992" s="2">
        <v>43.1</v>
      </c>
    </row>
    <row r="993" spans="2:10" hidden="1" x14ac:dyDescent="0.2">
      <c r="B993" t="s">
        <v>583</v>
      </c>
      <c r="C993" t="s">
        <v>129</v>
      </c>
      <c r="D993" t="s">
        <v>584</v>
      </c>
      <c r="E993" t="s">
        <v>406</v>
      </c>
      <c r="F993" t="s">
        <v>407</v>
      </c>
      <c r="G993" t="s">
        <v>14</v>
      </c>
      <c r="H993" t="s">
        <v>104</v>
      </c>
      <c r="I993" s="1">
        <v>3</v>
      </c>
      <c r="J993" s="2">
        <v>51.72</v>
      </c>
    </row>
    <row r="994" spans="2:10" hidden="1" x14ac:dyDescent="0.2">
      <c r="B994" t="s">
        <v>583</v>
      </c>
      <c r="C994" t="s">
        <v>134</v>
      </c>
      <c r="D994" t="s">
        <v>584</v>
      </c>
      <c r="E994" t="s">
        <v>598</v>
      </c>
      <c r="F994" t="s">
        <v>599</v>
      </c>
      <c r="G994" t="s">
        <v>43</v>
      </c>
      <c r="H994" t="s">
        <v>205</v>
      </c>
      <c r="I994" s="1">
        <v>1</v>
      </c>
      <c r="J994" s="2">
        <v>1517.24</v>
      </c>
    </row>
    <row r="995" spans="2:10" hidden="1" x14ac:dyDescent="0.2">
      <c r="B995" t="s">
        <v>583</v>
      </c>
      <c r="C995" t="s">
        <v>134</v>
      </c>
      <c r="D995" t="s">
        <v>584</v>
      </c>
      <c r="E995" t="s">
        <v>46</v>
      </c>
      <c r="F995" t="s">
        <v>47</v>
      </c>
      <c r="G995" t="s">
        <v>1034</v>
      </c>
      <c r="H995" t="s">
        <v>15</v>
      </c>
      <c r="I995" s="1">
        <v>1</v>
      </c>
      <c r="J995" s="2">
        <v>301.72000000000003</v>
      </c>
    </row>
    <row r="996" spans="2:10" hidden="1" x14ac:dyDescent="0.2">
      <c r="B996" t="s">
        <v>583</v>
      </c>
      <c r="C996" t="s">
        <v>134</v>
      </c>
      <c r="D996" t="s">
        <v>584</v>
      </c>
      <c r="E996" t="s">
        <v>328</v>
      </c>
      <c r="F996" t="s">
        <v>329</v>
      </c>
      <c r="G996" t="s">
        <v>1033</v>
      </c>
      <c r="H996" t="s">
        <v>30</v>
      </c>
      <c r="I996" s="1">
        <v>1</v>
      </c>
      <c r="J996" s="2">
        <v>172.41</v>
      </c>
    </row>
    <row r="997" spans="2:10" hidden="1" x14ac:dyDescent="0.2">
      <c r="B997" t="s">
        <v>583</v>
      </c>
      <c r="C997" t="s">
        <v>134</v>
      </c>
      <c r="D997" t="s">
        <v>584</v>
      </c>
      <c r="E997" t="s">
        <v>83</v>
      </c>
      <c r="F997" t="s">
        <v>84</v>
      </c>
      <c r="G997" t="s">
        <v>1034</v>
      </c>
      <c r="H997" t="s">
        <v>15</v>
      </c>
      <c r="I997" s="1">
        <v>2</v>
      </c>
      <c r="J997" s="2">
        <v>775.86</v>
      </c>
    </row>
    <row r="998" spans="2:10" hidden="1" x14ac:dyDescent="0.2">
      <c r="B998" t="s">
        <v>583</v>
      </c>
      <c r="C998" t="s">
        <v>134</v>
      </c>
      <c r="D998" t="s">
        <v>584</v>
      </c>
      <c r="E998" t="s">
        <v>22</v>
      </c>
      <c r="F998" t="s">
        <v>23</v>
      </c>
      <c r="G998" t="s">
        <v>14</v>
      </c>
      <c r="H998" t="s">
        <v>24</v>
      </c>
      <c r="I998" s="1">
        <v>1</v>
      </c>
      <c r="J998" s="2">
        <v>215.52</v>
      </c>
    </row>
    <row r="999" spans="2:10" hidden="1" x14ac:dyDescent="0.2">
      <c r="B999" t="s">
        <v>583</v>
      </c>
      <c r="C999" t="s">
        <v>134</v>
      </c>
      <c r="D999" t="s">
        <v>584</v>
      </c>
      <c r="E999" t="s">
        <v>77</v>
      </c>
      <c r="F999" t="s">
        <v>78</v>
      </c>
      <c r="G999" t="s">
        <v>14</v>
      </c>
      <c r="H999" t="s">
        <v>27</v>
      </c>
      <c r="I999" s="1">
        <v>1</v>
      </c>
      <c r="J999" s="2">
        <v>51.72</v>
      </c>
    </row>
    <row r="1000" spans="2:10" hidden="1" x14ac:dyDescent="0.2">
      <c r="B1000" t="s">
        <v>583</v>
      </c>
      <c r="C1000" t="s">
        <v>134</v>
      </c>
      <c r="D1000" t="s">
        <v>584</v>
      </c>
      <c r="E1000" t="s">
        <v>406</v>
      </c>
      <c r="F1000" t="s">
        <v>407</v>
      </c>
      <c r="G1000" t="s">
        <v>14</v>
      </c>
      <c r="H1000" t="s">
        <v>104</v>
      </c>
      <c r="I1000" s="1">
        <v>5</v>
      </c>
      <c r="J1000" s="2">
        <v>86.2</v>
      </c>
    </row>
    <row r="1001" spans="2:10" hidden="1" x14ac:dyDescent="0.2">
      <c r="B1001" t="s">
        <v>583</v>
      </c>
      <c r="C1001" t="s">
        <v>134</v>
      </c>
      <c r="D1001" t="s">
        <v>584</v>
      </c>
      <c r="E1001" t="s">
        <v>193</v>
      </c>
      <c r="F1001" t="s">
        <v>194</v>
      </c>
      <c r="G1001" t="s">
        <v>1034</v>
      </c>
      <c r="H1001" t="s">
        <v>15</v>
      </c>
      <c r="I1001" s="1">
        <v>1</v>
      </c>
      <c r="J1001" s="2">
        <v>1293.0999999999999</v>
      </c>
    </row>
    <row r="1002" spans="2:10" hidden="1" x14ac:dyDescent="0.2">
      <c r="B1002" t="s">
        <v>583</v>
      </c>
      <c r="C1002" t="s">
        <v>135</v>
      </c>
      <c r="D1002" t="s">
        <v>584</v>
      </c>
      <c r="E1002" t="s">
        <v>579</v>
      </c>
      <c r="F1002" t="s">
        <v>580</v>
      </c>
      <c r="G1002" t="s">
        <v>1033</v>
      </c>
      <c r="H1002" t="s">
        <v>30</v>
      </c>
      <c r="I1002" s="1">
        <v>1</v>
      </c>
      <c r="J1002" s="2">
        <v>77.59</v>
      </c>
    </row>
    <row r="1003" spans="2:10" hidden="1" x14ac:dyDescent="0.2">
      <c r="B1003" t="s">
        <v>583</v>
      </c>
      <c r="C1003" t="s">
        <v>135</v>
      </c>
      <c r="D1003" t="s">
        <v>584</v>
      </c>
      <c r="E1003" t="s">
        <v>36</v>
      </c>
      <c r="F1003" t="s">
        <v>37</v>
      </c>
      <c r="G1003" t="s">
        <v>1034</v>
      </c>
      <c r="H1003" t="s">
        <v>15</v>
      </c>
      <c r="I1003" s="1">
        <v>1</v>
      </c>
      <c r="J1003" s="2">
        <v>301.72000000000003</v>
      </c>
    </row>
    <row r="1004" spans="2:10" hidden="1" x14ac:dyDescent="0.2">
      <c r="B1004" t="s">
        <v>583</v>
      </c>
      <c r="C1004" t="s">
        <v>135</v>
      </c>
      <c r="D1004" t="s">
        <v>584</v>
      </c>
      <c r="E1004" t="s">
        <v>77</v>
      </c>
      <c r="F1004" t="s">
        <v>78</v>
      </c>
      <c r="G1004" t="s">
        <v>14</v>
      </c>
      <c r="H1004" t="s">
        <v>27</v>
      </c>
      <c r="I1004" s="1">
        <v>2</v>
      </c>
      <c r="J1004" s="2">
        <v>103.45</v>
      </c>
    </row>
    <row r="1005" spans="2:10" hidden="1" x14ac:dyDescent="0.2">
      <c r="B1005" t="s">
        <v>583</v>
      </c>
      <c r="C1005" t="s">
        <v>135</v>
      </c>
      <c r="D1005" t="s">
        <v>584</v>
      </c>
      <c r="E1005" t="s">
        <v>56</v>
      </c>
      <c r="F1005" t="s">
        <v>57</v>
      </c>
      <c r="G1005" t="s">
        <v>1034</v>
      </c>
      <c r="H1005" t="s">
        <v>15</v>
      </c>
      <c r="I1005" s="1">
        <v>1</v>
      </c>
      <c r="J1005" s="2">
        <v>431.03</v>
      </c>
    </row>
    <row r="1006" spans="2:10" hidden="1" x14ac:dyDescent="0.2">
      <c r="B1006" t="s">
        <v>583</v>
      </c>
      <c r="C1006" t="s">
        <v>141</v>
      </c>
      <c r="D1006" t="s">
        <v>130</v>
      </c>
      <c r="E1006" t="s">
        <v>214</v>
      </c>
      <c r="F1006" t="s">
        <v>215</v>
      </c>
      <c r="G1006" t="s">
        <v>1034</v>
      </c>
      <c r="H1006" t="s">
        <v>15</v>
      </c>
      <c r="I1006" s="1">
        <v>1</v>
      </c>
      <c r="J1006" s="2">
        <v>301.72000000000003</v>
      </c>
    </row>
    <row r="1007" spans="2:10" hidden="1" x14ac:dyDescent="0.2">
      <c r="B1007" t="s">
        <v>583</v>
      </c>
      <c r="C1007" t="s">
        <v>141</v>
      </c>
      <c r="D1007" t="s">
        <v>130</v>
      </c>
      <c r="E1007" t="s">
        <v>587</v>
      </c>
      <c r="F1007" t="s">
        <v>588</v>
      </c>
      <c r="G1007" t="s">
        <v>43</v>
      </c>
      <c r="H1007" t="s">
        <v>589</v>
      </c>
      <c r="I1007" s="1">
        <v>1</v>
      </c>
      <c r="J1007" s="2">
        <v>1637.93</v>
      </c>
    </row>
    <row r="1008" spans="2:10" hidden="1" x14ac:dyDescent="0.2">
      <c r="B1008" t="s">
        <v>583</v>
      </c>
      <c r="C1008" t="s">
        <v>141</v>
      </c>
      <c r="D1008" t="s">
        <v>130</v>
      </c>
      <c r="E1008" t="s">
        <v>28</v>
      </c>
      <c r="F1008" t="s">
        <v>29</v>
      </c>
      <c r="G1008" t="s">
        <v>1033</v>
      </c>
      <c r="H1008" t="s">
        <v>30</v>
      </c>
      <c r="I1008" s="1">
        <v>2</v>
      </c>
      <c r="J1008" s="2">
        <v>310.33999999999997</v>
      </c>
    </row>
    <row r="1009" spans="2:10" hidden="1" x14ac:dyDescent="0.2">
      <c r="B1009" t="s">
        <v>583</v>
      </c>
      <c r="C1009" t="s">
        <v>144</v>
      </c>
      <c r="D1009" t="s">
        <v>584</v>
      </c>
      <c r="E1009" t="s">
        <v>600</v>
      </c>
      <c r="F1009" t="s">
        <v>601</v>
      </c>
      <c r="G1009" t="s">
        <v>1033</v>
      </c>
      <c r="H1009" t="s">
        <v>30</v>
      </c>
      <c r="I1009" s="1">
        <v>1</v>
      </c>
      <c r="J1009" s="2">
        <v>301.72000000000003</v>
      </c>
    </row>
    <row r="1010" spans="2:10" hidden="1" x14ac:dyDescent="0.2">
      <c r="B1010" t="s">
        <v>583</v>
      </c>
      <c r="C1010" t="s">
        <v>144</v>
      </c>
      <c r="D1010" t="s">
        <v>584</v>
      </c>
      <c r="E1010" t="s">
        <v>602</v>
      </c>
      <c r="F1010" t="s">
        <v>603</v>
      </c>
      <c r="G1010" t="s">
        <v>14</v>
      </c>
      <c r="H1010" t="s">
        <v>604</v>
      </c>
      <c r="I1010" s="1">
        <v>1</v>
      </c>
      <c r="J1010" s="2">
        <v>362.07</v>
      </c>
    </row>
    <row r="1011" spans="2:10" hidden="1" x14ac:dyDescent="0.2">
      <c r="B1011" t="s">
        <v>583</v>
      </c>
      <c r="C1011" t="s">
        <v>144</v>
      </c>
      <c r="D1011" t="s">
        <v>584</v>
      </c>
      <c r="E1011" t="s">
        <v>120</v>
      </c>
      <c r="F1011" t="s">
        <v>121</v>
      </c>
      <c r="G1011" t="s">
        <v>1034</v>
      </c>
      <c r="H1011" t="s">
        <v>15</v>
      </c>
      <c r="I1011" s="1">
        <v>1</v>
      </c>
      <c r="J1011" s="2">
        <v>301.72000000000003</v>
      </c>
    </row>
    <row r="1012" spans="2:10" hidden="1" x14ac:dyDescent="0.2">
      <c r="B1012" t="s">
        <v>583</v>
      </c>
      <c r="C1012" t="s">
        <v>144</v>
      </c>
      <c r="D1012" t="s">
        <v>584</v>
      </c>
      <c r="E1012" t="s">
        <v>214</v>
      </c>
      <c r="F1012" t="s">
        <v>215</v>
      </c>
      <c r="G1012" t="s">
        <v>1034</v>
      </c>
      <c r="H1012" t="s">
        <v>15</v>
      </c>
      <c r="I1012" s="1">
        <v>1</v>
      </c>
      <c r="J1012" s="2">
        <v>301.72000000000003</v>
      </c>
    </row>
    <row r="1013" spans="2:10" hidden="1" x14ac:dyDescent="0.2">
      <c r="B1013" t="s">
        <v>583</v>
      </c>
      <c r="C1013" t="s">
        <v>144</v>
      </c>
      <c r="D1013" t="s">
        <v>584</v>
      </c>
      <c r="E1013" t="s">
        <v>72</v>
      </c>
      <c r="F1013" t="s">
        <v>73</v>
      </c>
      <c r="G1013" t="s">
        <v>1034</v>
      </c>
      <c r="H1013" t="s">
        <v>15</v>
      </c>
      <c r="I1013" s="1">
        <v>1</v>
      </c>
      <c r="J1013" s="2">
        <v>775.86</v>
      </c>
    </row>
    <row r="1014" spans="2:10" hidden="1" x14ac:dyDescent="0.2">
      <c r="B1014" t="s">
        <v>583</v>
      </c>
      <c r="C1014" t="s">
        <v>144</v>
      </c>
      <c r="D1014" t="s">
        <v>584</v>
      </c>
      <c r="E1014" t="s">
        <v>159</v>
      </c>
      <c r="F1014" t="s">
        <v>160</v>
      </c>
      <c r="G1014" t="s">
        <v>14</v>
      </c>
      <c r="H1014" t="s">
        <v>87</v>
      </c>
      <c r="I1014" s="1">
        <v>1</v>
      </c>
      <c r="J1014" s="2">
        <v>284.48</v>
      </c>
    </row>
    <row r="1015" spans="2:10" hidden="1" x14ac:dyDescent="0.2">
      <c r="B1015" t="s">
        <v>583</v>
      </c>
      <c r="C1015" t="s">
        <v>165</v>
      </c>
      <c r="D1015" t="s">
        <v>584</v>
      </c>
      <c r="E1015" t="s">
        <v>318</v>
      </c>
      <c r="F1015" t="s">
        <v>319</v>
      </c>
      <c r="G1015" t="s">
        <v>1033</v>
      </c>
      <c r="H1015" t="s">
        <v>30</v>
      </c>
      <c r="I1015" s="1">
        <v>1</v>
      </c>
      <c r="J1015" s="2">
        <v>456.9</v>
      </c>
    </row>
    <row r="1016" spans="2:10" hidden="1" x14ac:dyDescent="0.2">
      <c r="B1016" t="s">
        <v>583</v>
      </c>
      <c r="C1016" t="s">
        <v>165</v>
      </c>
      <c r="D1016" t="s">
        <v>584</v>
      </c>
      <c r="E1016" t="s">
        <v>66</v>
      </c>
      <c r="F1016" t="s">
        <v>67</v>
      </c>
      <c r="G1016" t="s">
        <v>1033</v>
      </c>
      <c r="H1016" t="s">
        <v>30</v>
      </c>
      <c r="I1016" s="1">
        <v>1</v>
      </c>
      <c r="J1016" s="2">
        <v>1681.03</v>
      </c>
    </row>
    <row r="1017" spans="2:10" hidden="1" x14ac:dyDescent="0.2">
      <c r="B1017" t="s">
        <v>583</v>
      </c>
      <c r="C1017" t="s">
        <v>165</v>
      </c>
      <c r="D1017" t="s">
        <v>584</v>
      </c>
      <c r="E1017" t="s">
        <v>605</v>
      </c>
      <c r="F1017" t="s">
        <v>606</v>
      </c>
      <c r="G1017" t="s">
        <v>1033</v>
      </c>
      <c r="H1017" t="s">
        <v>30</v>
      </c>
      <c r="I1017" s="1">
        <v>1</v>
      </c>
      <c r="J1017" s="2">
        <v>465.52</v>
      </c>
    </row>
    <row r="1018" spans="2:10" hidden="1" x14ac:dyDescent="0.2">
      <c r="B1018" t="s">
        <v>583</v>
      </c>
      <c r="C1018" t="s">
        <v>165</v>
      </c>
      <c r="D1018" t="s">
        <v>584</v>
      </c>
      <c r="E1018" t="s">
        <v>56</v>
      </c>
      <c r="F1018" t="s">
        <v>57</v>
      </c>
      <c r="G1018" t="s">
        <v>1034</v>
      </c>
      <c r="H1018" t="s">
        <v>15</v>
      </c>
      <c r="I1018" s="1">
        <v>1</v>
      </c>
      <c r="J1018" s="2">
        <v>431.03</v>
      </c>
    </row>
    <row r="1019" spans="2:10" hidden="1" x14ac:dyDescent="0.2">
      <c r="B1019" t="s">
        <v>583</v>
      </c>
      <c r="C1019" t="s">
        <v>165</v>
      </c>
      <c r="D1019" t="s">
        <v>584</v>
      </c>
      <c r="E1019" t="s">
        <v>63</v>
      </c>
      <c r="F1019" t="s">
        <v>64</v>
      </c>
      <c r="G1019" t="s">
        <v>1034</v>
      </c>
      <c r="H1019" t="s">
        <v>15</v>
      </c>
      <c r="I1019" s="1">
        <v>3</v>
      </c>
      <c r="J1019" s="2">
        <v>517.23</v>
      </c>
    </row>
    <row r="1020" spans="2:10" hidden="1" x14ac:dyDescent="0.2">
      <c r="B1020" t="s">
        <v>583</v>
      </c>
      <c r="C1020" t="s">
        <v>165</v>
      </c>
      <c r="D1020" t="s">
        <v>584</v>
      </c>
      <c r="E1020" t="s">
        <v>16</v>
      </c>
      <c r="F1020" t="s">
        <v>17</v>
      </c>
      <c r="G1020" t="s">
        <v>1034</v>
      </c>
      <c r="H1020" t="s">
        <v>15</v>
      </c>
      <c r="I1020" s="1">
        <v>2</v>
      </c>
      <c r="J1020" s="2">
        <v>1155.18</v>
      </c>
    </row>
    <row r="1021" spans="2:10" hidden="1" x14ac:dyDescent="0.2">
      <c r="B1021" t="s">
        <v>583</v>
      </c>
      <c r="C1021" t="s">
        <v>165</v>
      </c>
      <c r="D1021" t="s">
        <v>584</v>
      </c>
      <c r="E1021" t="s">
        <v>28</v>
      </c>
      <c r="F1021" t="s">
        <v>29</v>
      </c>
      <c r="G1021" t="s">
        <v>1033</v>
      </c>
      <c r="H1021" t="s">
        <v>30</v>
      </c>
      <c r="I1021" s="1">
        <v>1</v>
      </c>
      <c r="J1021" s="2">
        <v>155.16999999999999</v>
      </c>
    </row>
    <row r="1022" spans="2:10" hidden="1" x14ac:dyDescent="0.2">
      <c r="B1022" t="s">
        <v>583</v>
      </c>
      <c r="C1022" t="s">
        <v>166</v>
      </c>
      <c r="D1022" t="s">
        <v>584</v>
      </c>
      <c r="E1022" t="s">
        <v>324</v>
      </c>
      <c r="F1022" t="s">
        <v>325</v>
      </c>
      <c r="G1022" t="s">
        <v>1033</v>
      </c>
      <c r="H1022" t="s">
        <v>30</v>
      </c>
      <c r="I1022" s="1">
        <v>1</v>
      </c>
      <c r="J1022" s="2">
        <v>2000</v>
      </c>
    </row>
    <row r="1023" spans="2:10" hidden="1" x14ac:dyDescent="0.2">
      <c r="B1023" t="s">
        <v>583</v>
      </c>
      <c r="C1023" t="s">
        <v>166</v>
      </c>
      <c r="D1023" t="s">
        <v>584</v>
      </c>
      <c r="E1023" t="s">
        <v>120</v>
      </c>
      <c r="F1023" t="s">
        <v>121</v>
      </c>
      <c r="G1023" t="s">
        <v>1034</v>
      </c>
      <c r="H1023" t="s">
        <v>15</v>
      </c>
      <c r="I1023" s="1">
        <v>1</v>
      </c>
      <c r="J1023" s="2">
        <v>301.72000000000003</v>
      </c>
    </row>
    <row r="1024" spans="2:10" hidden="1" x14ac:dyDescent="0.2">
      <c r="B1024" t="s">
        <v>583</v>
      </c>
      <c r="C1024" t="s">
        <v>166</v>
      </c>
      <c r="D1024" t="s">
        <v>584</v>
      </c>
      <c r="E1024" t="s">
        <v>253</v>
      </c>
      <c r="F1024" t="s">
        <v>254</v>
      </c>
      <c r="G1024" t="s">
        <v>1034</v>
      </c>
      <c r="H1024" t="s">
        <v>15</v>
      </c>
      <c r="I1024" s="1">
        <v>1</v>
      </c>
      <c r="J1024" s="2">
        <v>775.86</v>
      </c>
    </row>
    <row r="1025" spans="2:10" hidden="1" x14ac:dyDescent="0.2">
      <c r="B1025" t="s">
        <v>583</v>
      </c>
      <c r="C1025" t="s">
        <v>166</v>
      </c>
      <c r="D1025" t="s">
        <v>584</v>
      </c>
      <c r="E1025" t="s">
        <v>16</v>
      </c>
      <c r="F1025" t="s">
        <v>17</v>
      </c>
      <c r="G1025" t="s">
        <v>1034</v>
      </c>
      <c r="H1025" t="s">
        <v>15</v>
      </c>
      <c r="I1025" s="1">
        <v>1</v>
      </c>
      <c r="J1025" s="2">
        <v>577.59</v>
      </c>
    </row>
    <row r="1026" spans="2:10" hidden="1" x14ac:dyDescent="0.2">
      <c r="B1026" t="s">
        <v>583</v>
      </c>
      <c r="C1026" t="s">
        <v>185</v>
      </c>
      <c r="D1026" t="s">
        <v>584</v>
      </c>
      <c r="E1026" t="s">
        <v>278</v>
      </c>
      <c r="F1026" t="s">
        <v>279</v>
      </c>
      <c r="G1026" t="s">
        <v>1033</v>
      </c>
      <c r="H1026" t="s">
        <v>30</v>
      </c>
      <c r="I1026" s="1">
        <v>1</v>
      </c>
      <c r="J1026" s="2">
        <v>112.07</v>
      </c>
    </row>
    <row r="1027" spans="2:10" hidden="1" x14ac:dyDescent="0.2">
      <c r="B1027" t="s">
        <v>583</v>
      </c>
      <c r="C1027" t="s">
        <v>185</v>
      </c>
      <c r="D1027" t="s">
        <v>584</v>
      </c>
      <c r="E1027" t="s">
        <v>61</v>
      </c>
      <c r="F1027" t="s">
        <v>62</v>
      </c>
      <c r="G1027" t="s">
        <v>1034</v>
      </c>
      <c r="H1027" t="s">
        <v>15</v>
      </c>
      <c r="I1027" s="1">
        <v>1</v>
      </c>
      <c r="J1027" s="2">
        <v>172.41</v>
      </c>
    </row>
    <row r="1028" spans="2:10" hidden="1" x14ac:dyDescent="0.2">
      <c r="B1028" t="s">
        <v>583</v>
      </c>
      <c r="C1028" t="s">
        <v>335</v>
      </c>
      <c r="D1028" t="s">
        <v>584</v>
      </c>
      <c r="E1028" t="s">
        <v>38</v>
      </c>
      <c r="F1028" t="s">
        <v>39</v>
      </c>
      <c r="G1028" t="s">
        <v>1034</v>
      </c>
      <c r="H1028" t="s">
        <v>15</v>
      </c>
      <c r="I1028" s="1">
        <v>1</v>
      </c>
      <c r="J1028" s="2">
        <v>431.03</v>
      </c>
    </row>
    <row r="1029" spans="2:10" hidden="1" x14ac:dyDescent="0.2">
      <c r="B1029" t="s">
        <v>583</v>
      </c>
      <c r="C1029" t="s">
        <v>418</v>
      </c>
      <c r="D1029" t="s">
        <v>226</v>
      </c>
      <c r="E1029" t="s">
        <v>214</v>
      </c>
      <c r="F1029" t="s">
        <v>215</v>
      </c>
      <c r="G1029" t="s">
        <v>1034</v>
      </c>
      <c r="H1029" t="s">
        <v>15</v>
      </c>
      <c r="I1029" s="1">
        <v>1</v>
      </c>
      <c r="J1029" s="2">
        <v>301.72000000000003</v>
      </c>
    </row>
    <row r="1030" spans="2:10" hidden="1" x14ac:dyDescent="0.2">
      <c r="B1030" t="s">
        <v>583</v>
      </c>
      <c r="C1030" t="s">
        <v>418</v>
      </c>
      <c r="D1030" t="s">
        <v>226</v>
      </c>
      <c r="E1030" t="s">
        <v>38</v>
      </c>
      <c r="F1030" t="s">
        <v>39</v>
      </c>
      <c r="G1030" t="s">
        <v>1034</v>
      </c>
      <c r="H1030" t="s">
        <v>15</v>
      </c>
      <c r="I1030" s="1">
        <v>1</v>
      </c>
      <c r="J1030" s="2">
        <v>431.03</v>
      </c>
    </row>
    <row r="1031" spans="2:10" hidden="1" x14ac:dyDescent="0.2">
      <c r="B1031" t="s">
        <v>583</v>
      </c>
      <c r="C1031" t="s">
        <v>418</v>
      </c>
      <c r="D1031" t="s">
        <v>226</v>
      </c>
      <c r="E1031" t="s">
        <v>56</v>
      </c>
      <c r="F1031" t="s">
        <v>57</v>
      </c>
      <c r="G1031" t="s">
        <v>1034</v>
      </c>
      <c r="H1031" t="s">
        <v>15</v>
      </c>
      <c r="I1031" s="1">
        <v>1</v>
      </c>
      <c r="J1031" s="2">
        <v>431.03</v>
      </c>
    </row>
    <row r="1032" spans="2:10" hidden="1" x14ac:dyDescent="0.2">
      <c r="B1032" t="s">
        <v>583</v>
      </c>
      <c r="C1032" t="s">
        <v>418</v>
      </c>
      <c r="D1032" t="s">
        <v>226</v>
      </c>
      <c r="E1032" t="s">
        <v>607</v>
      </c>
      <c r="F1032" t="s">
        <v>608</v>
      </c>
      <c r="G1032" t="s">
        <v>43</v>
      </c>
      <c r="H1032" t="s">
        <v>94</v>
      </c>
      <c r="I1032" s="1">
        <v>1</v>
      </c>
      <c r="J1032" s="2">
        <v>650.86</v>
      </c>
    </row>
    <row r="1033" spans="2:10" hidden="1" x14ac:dyDescent="0.2">
      <c r="B1033" t="s">
        <v>583</v>
      </c>
      <c r="C1033" t="s">
        <v>186</v>
      </c>
      <c r="D1033" t="s">
        <v>584</v>
      </c>
      <c r="E1033" t="s">
        <v>609</v>
      </c>
      <c r="F1033" t="s">
        <v>610</v>
      </c>
      <c r="G1033" t="s">
        <v>1033</v>
      </c>
      <c r="H1033" t="s">
        <v>30</v>
      </c>
      <c r="I1033" s="1">
        <v>1</v>
      </c>
      <c r="J1033" s="2">
        <v>1267.24</v>
      </c>
    </row>
    <row r="1034" spans="2:10" hidden="1" x14ac:dyDescent="0.2">
      <c r="B1034" t="s">
        <v>583</v>
      </c>
      <c r="C1034" t="s">
        <v>186</v>
      </c>
      <c r="D1034" t="s">
        <v>584</v>
      </c>
      <c r="E1034" t="s">
        <v>425</v>
      </c>
      <c r="F1034" t="s">
        <v>426</v>
      </c>
      <c r="G1034" t="s">
        <v>1033</v>
      </c>
      <c r="H1034" t="s">
        <v>30</v>
      </c>
      <c r="I1034" s="1">
        <v>1</v>
      </c>
      <c r="J1034" s="2">
        <v>1137.93</v>
      </c>
    </row>
    <row r="1035" spans="2:10" hidden="1" x14ac:dyDescent="0.2">
      <c r="B1035" t="s">
        <v>583</v>
      </c>
      <c r="C1035" t="s">
        <v>186</v>
      </c>
      <c r="D1035" t="s">
        <v>584</v>
      </c>
      <c r="E1035" t="s">
        <v>83</v>
      </c>
      <c r="F1035" t="s">
        <v>84</v>
      </c>
      <c r="G1035" t="s">
        <v>1034</v>
      </c>
      <c r="H1035" t="s">
        <v>15</v>
      </c>
      <c r="I1035" s="1">
        <v>1</v>
      </c>
      <c r="J1035" s="2">
        <v>387.93</v>
      </c>
    </row>
    <row r="1036" spans="2:10" hidden="1" x14ac:dyDescent="0.2">
      <c r="B1036" t="s">
        <v>583</v>
      </c>
      <c r="C1036" t="s">
        <v>186</v>
      </c>
      <c r="D1036" t="s">
        <v>584</v>
      </c>
      <c r="E1036" t="s">
        <v>216</v>
      </c>
      <c r="F1036" t="s">
        <v>217</v>
      </c>
      <c r="G1036" t="s">
        <v>14</v>
      </c>
      <c r="H1036" t="s">
        <v>104</v>
      </c>
      <c r="I1036" s="1">
        <v>5</v>
      </c>
      <c r="J1036" s="2">
        <v>86.2</v>
      </c>
    </row>
    <row r="1037" spans="2:10" hidden="1" x14ac:dyDescent="0.2">
      <c r="B1037" t="s">
        <v>583</v>
      </c>
      <c r="C1037" t="s">
        <v>186</v>
      </c>
      <c r="D1037" t="s">
        <v>584</v>
      </c>
      <c r="E1037" t="s">
        <v>521</v>
      </c>
      <c r="F1037" t="s">
        <v>522</v>
      </c>
      <c r="G1037" t="s">
        <v>14</v>
      </c>
      <c r="H1037" t="s">
        <v>104</v>
      </c>
      <c r="I1037" s="1">
        <v>4</v>
      </c>
      <c r="J1037" s="2">
        <v>86.2</v>
      </c>
    </row>
    <row r="1038" spans="2:10" hidden="1" x14ac:dyDescent="0.2">
      <c r="B1038" t="s">
        <v>583</v>
      </c>
      <c r="C1038" t="s">
        <v>186</v>
      </c>
      <c r="D1038" t="s">
        <v>584</v>
      </c>
      <c r="E1038" t="s">
        <v>492</v>
      </c>
      <c r="F1038" t="s">
        <v>493</v>
      </c>
      <c r="G1038" t="s">
        <v>43</v>
      </c>
      <c r="H1038" t="s">
        <v>94</v>
      </c>
      <c r="I1038" s="1">
        <v>1</v>
      </c>
      <c r="J1038" s="2">
        <v>2758.62</v>
      </c>
    </row>
    <row r="1039" spans="2:10" hidden="1" x14ac:dyDescent="0.2">
      <c r="B1039" t="s">
        <v>583</v>
      </c>
      <c r="C1039" t="s">
        <v>206</v>
      </c>
      <c r="D1039" t="s">
        <v>584</v>
      </c>
      <c r="E1039" t="s">
        <v>406</v>
      </c>
      <c r="F1039" t="s">
        <v>407</v>
      </c>
      <c r="G1039" t="s">
        <v>14</v>
      </c>
      <c r="H1039" t="s">
        <v>104</v>
      </c>
      <c r="I1039" s="1">
        <v>5</v>
      </c>
      <c r="J1039" s="2">
        <v>86.2</v>
      </c>
    </row>
    <row r="1040" spans="2:10" hidden="1" x14ac:dyDescent="0.2">
      <c r="B1040" t="s">
        <v>583</v>
      </c>
      <c r="C1040" t="s">
        <v>206</v>
      </c>
      <c r="D1040" t="s">
        <v>584</v>
      </c>
      <c r="E1040" t="s">
        <v>16</v>
      </c>
      <c r="F1040" t="s">
        <v>17</v>
      </c>
      <c r="G1040" t="s">
        <v>1034</v>
      </c>
      <c r="H1040" t="s">
        <v>15</v>
      </c>
      <c r="I1040" s="1">
        <v>1</v>
      </c>
      <c r="J1040" s="2">
        <v>577.59</v>
      </c>
    </row>
    <row r="1041" spans="2:10" hidden="1" x14ac:dyDescent="0.2">
      <c r="B1041" t="s">
        <v>583</v>
      </c>
      <c r="C1041" t="s">
        <v>206</v>
      </c>
      <c r="D1041" t="s">
        <v>584</v>
      </c>
      <c r="E1041" t="s">
        <v>28</v>
      </c>
      <c r="F1041" t="s">
        <v>29</v>
      </c>
      <c r="G1041" t="s">
        <v>1033</v>
      </c>
      <c r="H1041" t="s">
        <v>30</v>
      </c>
      <c r="I1041" s="1">
        <v>1</v>
      </c>
      <c r="J1041" s="2">
        <v>155.16999999999999</v>
      </c>
    </row>
    <row r="1042" spans="2:10" hidden="1" x14ac:dyDescent="0.2">
      <c r="B1042" t="s">
        <v>583</v>
      </c>
      <c r="C1042" t="s">
        <v>220</v>
      </c>
      <c r="D1042" t="s">
        <v>584</v>
      </c>
      <c r="E1042" t="s">
        <v>338</v>
      </c>
      <c r="F1042" t="s">
        <v>339</v>
      </c>
      <c r="G1042" t="s">
        <v>1033</v>
      </c>
      <c r="H1042" t="s">
        <v>30</v>
      </c>
      <c r="I1042" s="1">
        <v>1</v>
      </c>
      <c r="J1042" s="2">
        <v>1525.86</v>
      </c>
    </row>
    <row r="1043" spans="2:10" hidden="1" x14ac:dyDescent="0.2">
      <c r="B1043" t="s">
        <v>583</v>
      </c>
      <c r="C1043" t="s">
        <v>220</v>
      </c>
      <c r="D1043" t="s">
        <v>584</v>
      </c>
      <c r="E1043" t="s">
        <v>214</v>
      </c>
      <c r="F1043" t="s">
        <v>215</v>
      </c>
      <c r="G1043" t="s">
        <v>1034</v>
      </c>
      <c r="H1043" t="s">
        <v>15</v>
      </c>
      <c r="I1043" s="1">
        <v>1</v>
      </c>
      <c r="J1043" s="2">
        <v>301.72000000000003</v>
      </c>
    </row>
    <row r="1044" spans="2:10" hidden="1" x14ac:dyDescent="0.2">
      <c r="B1044" t="s">
        <v>583</v>
      </c>
      <c r="C1044" t="s">
        <v>220</v>
      </c>
      <c r="D1044" t="s">
        <v>584</v>
      </c>
      <c r="E1044" t="s">
        <v>336</v>
      </c>
      <c r="F1044" t="s">
        <v>337</v>
      </c>
      <c r="G1044" t="s">
        <v>1034</v>
      </c>
      <c r="H1044" t="s">
        <v>15</v>
      </c>
      <c r="I1044" s="1">
        <v>1</v>
      </c>
      <c r="J1044" s="2">
        <v>387.93</v>
      </c>
    </row>
    <row r="1045" spans="2:10" hidden="1" x14ac:dyDescent="0.2">
      <c r="B1045" t="s">
        <v>583</v>
      </c>
      <c r="C1045" t="s">
        <v>220</v>
      </c>
      <c r="D1045" t="s">
        <v>584</v>
      </c>
      <c r="E1045" t="s">
        <v>83</v>
      </c>
      <c r="F1045" t="s">
        <v>84</v>
      </c>
      <c r="G1045" t="s">
        <v>1034</v>
      </c>
      <c r="H1045" t="s">
        <v>15</v>
      </c>
      <c r="I1045" s="1">
        <v>1</v>
      </c>
      <c r="J1045" s="2">
        <v>387.93</v>
      </c>
    </row>
    <row r="1046" spans="2:10" hidden="1" x14ac:dyDescent="0.2">
      <c r="B1046" t="s">
        <v>583</v>
      </c>
      <c r="C1046" t="s">
        <v>220</v>
      </c>
      <c r="D1046" t="s">
        <v>584</v>
      </c>
      <c r="E1046" t="s">
        <v>77</v>
      </c>
      <c r="F1046" t="s">
        <v>78</v>
      </c>
      <c r="G1046" t="s">
        <v>14</v>
      </c>
      <c r="H1046" t="s">
        <v>27</v>
      </c>
      <c r="I1046" s="1">
        <v>1</v>
      </c>
      <c r="J1046" s="2">
        <v>51.72</v>
      </c>
    </row>
    <row r="1047" spans="2:10" hidden="1" x14ac:dyDescent="0.2">
      <c r="B1047" t="s">
        <v>583</v>
      </c>
      <c r="C1047" t="s">
        <v>220</v>
      </c>
      <c r="D1047" t="s">
        <v>584</v>
      </c>
      <c r="E1047" t="s">
        <v>48</v>
      </c>
      <c r="F1047" t="s">
        <v>49</v>
      </c>
      <c r="G1047" t="s">
        <v>43</v>
      </c>
      <c r="H1047" t="s">
        <v>50</v>
      </c>
      <c r="I1047" s="1">
        <v>1</v>
      </c>
      <c r="J1047" s="2">
        <v>1318.97</v>
      </c>
    </row>
    <row r="1048" spans="2:10" hidden="1" x14ac:dyDescent="0.2">
      <c r="B1048" t="s">
        <v>583</v>
      </c>
      <c r="C1048" t="s">
        <v>220</v>
      </c>
      <c r="D1048" t="s">
        <v>584</v>
      </c>
      <c r="E1048" t="s">
        <v>406</v>
      </c>
      <c r="F1048" t="s">
        <v>407</v>
      </c>
      <c r="G1048" t="s">
        <v>14</v>
      </c>
      <c r="H1048" t="s">
        <v>104</v>
      </c>
      <c r="I1048" s="1">
        <v>10</v>
      </c>
      <c r="J1048" s="2">
        <v>172.4</v>
      </c>
    </row>
    <row r="1049" spans="2:10" hidden="1" x14ac:dyDescent="0.2">
      <c r="B1049" t="s">
        <v>583</v>
      </c>
      <c r="C1049" t="s">
        <v>225</v>
      </c>
      <c r="D1049" t="s">
        <v>584</v>
      </c>
      <c r="E1049" t="s">
        <v>414</v>
      </c>
      <c r="F1049" t="s">
        <v>415</v>
      </c>
      <c r="G1049" t="s">
        <v>1033</v>
      </c>
      <c r="H1049" t="s">
        <v>30</v>
      </c>
      <c r="I1049" s="1">
        <v>1</v>
      </c>
      <c r="J1049" s="2">
        <v>646.54999999999995</v>
      </c>
    </row>
    <row r="1050" spans="2:10" x14ac:dyDescent="0.2">
      <c r="B1050" t="s">
        <v>583</v>
      </c>
      <c r="C1050" t="s">
        <v>227</v>
      </c>
      <c r="D1050" t="s">
        <v>584</v>
      </c>
      <c r="E1050" t="s">
        <v>46</v>
      </c>
      <c r="F1050" t="s">
        <v>47</v>
      </c>
      <c r="G1050" t="s">
        <v>1034</v>
      </c>
      <c r="H1050" t="s">
        <v>15</v>
      </c>
      <c r="I1050" s="1">
        <v>1</v>
      </c>
      <c r="J1050" s="2">
        <v>301.72000000000003</v>
      </c>
    </row>
    <row r="1051" spans="2:10" x14ac:dyDescent="0.2">
      <c r="B1051" t="s">
        <v>583</v>
      </c>
      <c r="C1051" t="s">
        <v>227</v>
      </c>
      <c r="D1051" t="s">
        <v>584</v>
      </c>
      <c r="E1051" t="s">
        <v>306</v>
      </c>
      <c r="F1051" t="s">
        <v>307</v>
      </c>
      <c r="G1051" t="s">
        <v>1033</v>
      </c>
      <c r="H1051" t="s">
        <v>30</v>
      </c>
      <c r="I1051" s="1">
        <v>1</v>
      </c>
      <c r="J1051" s="2">
        <v>258.62</v>
      </c>
    </row>
    <row r="1052" spans="2:10" x14ac:dyDescent="0.2">
      <c r="B1052" t="s">
        <v>583</v>
      </c>
      <c r="C1052" t="s">
        <v>227</v>
      </c>
      <c r="D1052" t="s">
        <v>584</v>
      </c>
      <c r="E1052" t="s">
        <v>419</v>
      </c>
      <c r="F1052" t="s">
        <v>420</v>
      </c>
      <c r="G1052" t="s">
        <v>14</v>
      </c>
      <c r="H1052" t="s">
        <v>35</v>
      </c>
      <c r="I1052" s="1">
        <v>1</v>
      </c>
      <c r="J1052" s="2">
        <v>77.59</v>
      </c>
    </row>
    <row r="1053" spans="2:10" x14ac:dyDescent="0.2">
      <c r="B1053" t="s">
        <v>583</v>
      </c>
      <c r="C1053" t="s">
        <v>227</v>
      </c>
      <c r="D1053" t="s">
        <v>584</v>
      </c>
      <c r="E1053" t="s">
        <v>249</v>
      </c>
      <c r="F1053" t="s">
        <v>250</v>
      </c>
      <c r="G1053" t="s">
        <v>1033</v>
      </c>
      <c r="H1053" t="s">
        <v>30</v>
      </c>
      <c r="I1053" s="1">
        <v>1</v>
      </c>
      <c r="J1053" s="2">
        <v>517.24</v>
      </c>
    </row>
    <row r="1054" spans="2:10" x14ac:dyDescent="0.2">
      <c r="B1054" t="s">
        <v>583</v>
      </c>
      <c r="C1054" t="s">
        <v>227</v>
      </c>
      <c r="D1054" t="s">
        <v>584</v>
      </c>
      <c r="E1054" t="s">
        <v>557</v>
      </c>
      <c r="F1054" t="s">
        <v>558</v>
      </c>
      <c r="G1054" t="s">
        <v>43</v>
      </c>
      <c r="H1054" t="s">
        <v>403</v>
      </c>
      <c r="I1054" s="1">
        <v>1</v>
      </c>
      <c r="J1054" s="2">
        <v>159.47999999999999</v>
      </c>
    </row>
    <row r="1055" spans="2:10" x14ac:dyDescent="0.2">
      <c r="B1055" t="s">
        <v>583</v>
      </c>
      <c r="C1055" t="s">
        <v>227</v>
      </c>
      <c r="D1055" t="s">
        <v>584</v>
      </c>
      <c r="E1055" t="s">
        <v>214</v>
      </c>
      <c r="F1055" t="s">
        <v>215</v>
      </c>
      <c r="G1055" t="s">
        <v>1034</v>
      </c>
      <c r="H1055" t="s">
        <v>15</v>
      </c>
      <c r="I1055" s="1">
        <v>1</v>
      </c>
      <c r="J1055" s="2">
        <v>301.72000000000003</v>
      </c>
    </row>
    <row r="1056" spans="2:10" x14ac:dyDescent="0.2">
      <c r="B1056" t="s">
        <v>583</v>
      </c>
      <c r="C1056" t="s">
        <v>227</v>
      </c>
      <c r="D1056" t="s">
        <v>584</v>
      </c>
      <c r="E1056" t="s">
        <v>406</v>
      </c>
      <c r="F1056" t="s">
        <v>407</v>
      </c>
      <c r="G1056" t="s">
        <v>14</v>
      </c>
      <c r="H1056" t="s">
        <v>104</v>
      </c>
      <c r="I1056" s="1">
        <v>5</v>
      </c>
      <c r="J1056" s="2">
        <v>86.2</v>
      </c>
    </row>
    <row r="1057" spans="2:10" x14ac:dyDescent="0.2">
      <c r="B1057" t="s">
        <v>583</v>
      </c>
      <c r="C1057" t="s">
        <v>227</v>
      </c>
      <c r="D1057" t="s">
        <v>584</v>
      </c>
      <c r="E1057" t="s">
        <v>61</v>
      </c>
      <c r="F1057" t="s">
        <v>62</v>
      </c>
      <c r="G1057" t="s">
        <v>1034</v>
      </c>
      <c r="H1057" t="s">
        <v>15</v>
      </c>
      <c r="I1057" s="1">
        <v>1</v>
      </c>
      <c r="J1057" s="2">
        <v>172.41</v>
      </c>
    </row>
    <row r="1058" spans="2:10" x14ac:dyDescent="0.2">
      <c r="B1058" t="s">
        <v>583</v>
      </c>
      <c r="C1058" t="s">
        <v>228</v>
      </c>
      <c r="D1058" t="s">
        <v>130</v>
      </c>
      <c r="E1058" t="s">
        <v>72</v>
      </c>
      <c r="F1058" t="s">
        <v>73</v>
      </c>
      <c r="G1058" t="s">
        <v>1034</v>
      </c>
      <c r="H1058" t="s">
        <v>15</v>
      </c>
      <c r="I1058" s="1">
        <v>1</v>
      </c>
      <c r="J1058" s="2">
        <v>775.86</v>
      </c>
    </row>
    <row r="1059" spans="2:10" x14ac:dyDescent="0.2">
      <c r="B1059" t="s">
        <v>583</v>
      </c>
      <c r="C1059" t="s">
        <v>228</v>
      </c>
      <c r="D1059" t="s">
        <v>130</v>
      </c>
      <c r="E1059" t="s">
        <v>223</v>
      </c>
      <c r="F1059" t="s">
        <v>224</v>
      </c>
      <c r="G1059" t="s">
        <v>43</v>
      </c>
      <c r="H1059" t="s">
        <v>50</v>
      </c>
      <c r="I1059" s="1">
        <v>1</v>
      </c>
      <c r="J1059" s="2">
        <v>1637.93</v>
      </c>
    </row>
    <row r="1060" spans="2:10" x14ac:dyDescent="0.2">
      <c r="B1060" t="s">
        <v>583</v>
      </c>
      <c r="C1060" t="s">
        <v>228</v>
      </c>
      <c r="D1060" t="s">
        <v>130</v>
      </c>
      <c r="E1060" t="s">
        <v>16</v>
      </c>
      <c r="F1060" t="s">
        <v>17</v>
      </c>
      <c r="G1060" t="s">
        <v>1034</v>
      </c>
      <c r="H1060" t="s">
        <v>15</v>
      </c>
      <c r="I1060" s="1">
        <v>1</v>
      </c>
      <c r="J1060" s="2">
        <v>577.59</v>
      </c>
    </row>
    <row r="1061" spans="2:10" x14ac:dyDescent="0.2">
      <c r="B1061" t="s">
        <v>583</v>
      </c>
      <c r="C1061" t="s">
        <v>233</v>
      </c>
      <c r="D1061" t="s">
        <v>584</v>
      </c>
      <c r="E1061" t="s">
        <v>611</v>
      </c>
      <c r="F1061" t="s">
        <v>612</v>
      </c>
      <c r="G1061" t="s">
        <v>1033</v>
      </c>
      <c r="H1061" t="s">
        <v>30</v>
      </c>
      <c r="I1061" s="1">
        <v>1</v>
      </c>
      <c r="J1061" s="2">
        <v>793.1</v>
      </c>
    </row>
    <row r="1062" spans="2:10" x14ac:dyDescent="0.2">
      <c r="B1062" t="s">
        <v>583</v>
      </c>
      <c r="C1062" t="s">
        <v>233</v>
      </c>
      <c r="D1062" t="s">
        <v>584</v>
      </c>
      <c r="E1062" t="s">
        <v>316</v>
      </c>
      <c r="F1062" t="s">
        <v>317</v>
      </c>
      <c r="G1062" t="s">
        <v>14</v>
      </c>
      <c r="H1062" t="s">
        <v>27</v>
      </c>
      <c r="I1062" s="1">
        <v>1</v>
      </c>
      <c r="J1062" s="2">
        <v>413.79</v>
      </c>
    </row>
    <row r="1063" spans="2:10" x14ac:dyDescent="0.2">
      <c r="B1063" t="s">
        <v>583</v>
      </c>
      <c r="C1063" t="s">
        <v>233</v>
      </c>
      <c r="D1063" t="s">
        <v>584</v>
      </c>
      <c r="E1063" t="s">
        <v>118</v>
      </c>
      <c r="F1063" t="s">
        <v>119</v>
      </c>
      <c r="G1063" t="s">
        <v>14</v>
      </c>
      <c r="H1063" t="s">
        <v>27</v>
      </c>
      <c r="I1063" s="1">
        <v>1</v>
      </c>
      <c r="J1063" s="2">
        <v>379.31</v>
      </c>
    </row>
    <row r="1064" spans="2:10" x14ac:dyDescent="0.2">
      <c r="B1064" t="s">
        <v>583</v>
      </c>
      <c r="C1064" t="s">
        <v>233</v>
      </c>
      <c r="D1064" t="s">
        <v>584</v>
      </c>
      <c r="E1064" t="s">
        <v>505</v>
      </c>
      <c r="F1064" t="s">
        <v>506</v>
      </c>
      <c r="G1064" t="s">
        <v>1033</v>
      </c>
      <c r="H1064" t="s">
        <v>30</v>
      </c>
      <c r="I1064" s="1">
        <v>1</v>
      </c>
      <c r="J1064" s="2">
        <v>775.86</v>
      </c>
    </row>
    <row r="1065" spans="2:10" x14ac:dyDescent="0.2">
      <c r="B1065" t="s">
        <v>583</v>
      </c>
      <c r="C1065" t="s">
        <v>233</v>
      </c>
      <c r="D1065" t="s">
        <v>584</v>
      </c>
      <c r="E1065" t="s">
        <v>16</v>
      </c>
      <c r="F1065" t="s">
        <v>17</v>
      </c>
      <c r="G1065" t="s">
        <v>1034</v>
      </c>
      <c r="H1065" t="s">
        <v>15</v>
      </c>
      <c r="I1065" s="1">
        <v>3</v>
      </c>
      <c r="J1065" s="2">
        <v>1732.77</v>
      </c>
    </row>
    <row r="1066" spans="2:10" x14ac:dyDescent="0.2">
      <c r="B1066" t="s">
        <v>583</v>
      </c>
      <c r="C1066" t="s">
        <v>236</v>
      </c>
      <c r="D1066" t="s">
        <v>130</v>
      </c>
      <c r="E1066" t="s">
        <v>352</v>
      </c>
      <c r="F1066" t="s">
        <v>353</v>
      </c>
      <c r="G1066" t="s">
        <v>1033</v>
      </c>
      <c r="H1066" t="s">
        <v>30</v>
      </c>
      <c r="I1066" s="1">
        <v>1</v>
      </c>
      <c r="J1066" s="2">
        <v>1422.41</v>
      </c>
    </row>
    <row r="1067" spans="2:10" x14ac:dyDescent="0.2">
      <c r="B1067" t="s">
        <v>583</v>
      </c>
      <c r="C1067" t="s">
        <v>236</v>
      </c>
      <c r="D1067" t="s">
        <v>130</v>
      </c>
      <c r="E1067" t="s">
        <v>267</v>
      </c>
      <c r="F1067" t="s">
        <v>268</v>
      </c>
      <c r="G1067" t="s">
        <v>1034</v>
      </c>
      <c r="H1067" t="s">
        <v>15</v>
      </c>
      <c r="I1067" s="1">
        <v>1</v>
      </c>
      <c r="J1067" s="2">
        <v>258.62</v>
      </c>
    </row>
    <row r="1068" spans="2:10" x14ac:dyDescent="0.2">
      <c r="B1068" t="s">
        <v>583</v>
      </c>
      <c r="C1068" t="s">
        <v>236</v>
      </c>
      <c r="D1068" t="s">
        <v>130</v>
      </c>
      <c r="E1068" t="s">
        <v>16</v>
      </c>
      <c r="F1068" t="s">
        <v>17</v>
      </c>
      <c r="G1068" t="s">
        <v>1034</v>
      </c>
      <c r="H1068" t="s">
        <v>15</v>
      </c>
      <c r="I1068" s="1">
        <v>1</v>
      </c>
      <c r="J1068" s="2">
        <v>577.59</v>
      </c>
    </row>
    <row r="1069" spans="2:10" x14ac:dyDescent="0.2">
      <c r="B1069" t="s">
        <v>583</v>
      </c>
      <c r="C1069" t="s">
        <v>237</v>
      </c>
      <c r="D1069" t="s">
        <v>584</v>
      </c>
      <c r="E1069" t="s">
        <v>44</v>
      </c>
      <c r="F1069" t="s">
        <v>45</v>
      </c>
      <c r="G1069" t="s">
        <v>1033</v>
      </c>
      <c r="H1069" t="s">
        <v>30</v>
      </c>
      <c r="I1069" s="1">
        <v>1</v>
      </c>
      <c r="J1069" s="2">
        <v>81.900000000000006</v>
      </c>
    </row>
    <row r="1070" spans="2:10" x14ac:dyDescent="0.2">
      <c r="B1070" t="s">
        <v>583</v>
      </c>
      <c r="C1070" t="s">
        <v>237</v>
      </c>
      <c r="D1070" t="s">
        <v>584</v>
      </c>
      <c r="E1070" t="s">
        <v>46</v>
      </c>
      <c r="F1070" t="s">
        <v>47</v>
      </c>
      <c r="G1070" t="s">
        <v>1034</v>
      </c>
      <c r="H1070" t="s">
        <v>15</v>
      </c>
      <c r="I1070" s="1">
        <v>1</v>
      </c>
      <c r="J1070" s="2">
        <v>301.72000000000003</v>
      </c>
    </row>
    <row r="1071" spans="2:10" x14ac:dyDescent="0.2">
      <c r="B1071" t="s">
        <v>583</v>
      </c>
      <c r="C1071" t="s">
        <v>237</v>
      </c>
      <c r="D1071" t="s">
        <v>584</v>
      </c>
      <c r="E1071" t="s">
        <v>613</v>
      </c>
      <c r="F1071" t="s">
        <v>614</v>
      </c>
      <c r="G1071" t="s">
        <v>1034</v>
      </c>
      <c r="H1071" t="s">
        <v>15</v>
      </c>
      <c r="I1071" s="1">
        <v>1</v>
      </c>
      <c r="J1071" s="2">
        <v>431.03</v>
      </c>
    </row>
    <row r="1072" spans="2:10" x14ac:dyDescent="0.2">
      <c r="B1072" t="s">
        <v>583</v>
      </c>
      <c r="C1072" t="s">
        <v>237</v>
      </c>
      <c r="D1072" t="s">
        <v>584</v>
      </c>
      <c r="E1072" t="s">
        <v>216</v>
      </c>
      <c r="F1072" t="s">
        <v>217</v>
      </c>
      <c r="G1072" t="s">
        <v>14</v>
      </c>
      <c r="H1072" t="s">
        <v>104</v>
      </c>
      <c r="I1072" s="1">
        <v>5</v>
      </c>
      <c r="J1072" s="2">
        <v>86.2</v>
      </c>
    </row>
    <row r="1073" spans="2:10" x14ac:dyDescent="0.2">
      <c r="B1073" t="s">
        <v>583</v>
      </c>
      <c r="C1073" t="s">
        <v>237</v>
      </c>
      <c r="D1073" t="s">
        <v>584</v>
      </c>
      <c r="E1073" t="s">
        <v>77</v>
      </c>
      <c r="F1073" t="s">
        <v>78</v>
      </c>
      <c r="G1073" t="s">
        <v>14</v>
      </c>
      <c r="H1073" t="s">
        <v>27</v>
      </c>
      <c r="I1073" s="1">
        <v>1</v>
      </c>
      <c r="J1073" s="2">
        <v>51.72</v>
      </c>
    </row>
    <row r="1074" spans="2:10" x14ac:dyDescent="0.2">
      <c r="B1074" t="s">
        <v>583</v>
      </c>
      <c r="C1074" t="s">
        <v>237</v>
      </c>
      <c r="D1074" t="s">
        <v>584</v>
      </c>
      <c r="E1074" t="s">
        <v>257</v>
      </c>
      <c r="F1074" t="s">
        <v>258</v>
      </c>
      <c r="G1074" t="s">
        <v>1033</v>
      </c>
      <c r="H1074" t="s">
        <v>30</v>
      </c>
      <c r="I1074" s="1">
        <v>1</v>
      </c>
      <c r="J1074" s="2">
        <v>1577.59</v>
      </c>
    </row>
    <row r="1075" spans="2:10" x14ac:dyDescent="0.2">
      <c r="B1075" t="s">
        <v>583</v>
      </c>
      <c r="C1075" t="s">
        <v>237</v>
      </c>
      <c r="D1075" t="s">
        <v>584</v>
      </c>
      <c r="E1075" t="s">
        <v>521</v>
      </c>
      <c r="F1075" t="s">
        <v>522</v>
      </c>
      <c r="G1075" t="s">
        <v>14</v>
      </c>
      <c r="H1075" t="s">
        <v>104</v>
      </c>
      <c r="I1075" s="1">
        <v>4</v>
      </c>
      <c r="J1075" s="2">
        <v>86.2</v>
      </c>
    </row>
    <row r="1076" spans="2:10" x14ac:dyDescent="0.2">
      <c r="B1076" t="s">
        <v>583</v>
      </c>
      <c r="C1076" t="s">
        <v>237</v>
      </c>
      <c r="D1076" t="s">
        <v>584</v>
      </c>
      <c r="E1076" t="s">
        <v>124</v>
      </c>
      <c r="F1076" t="s">
        <v>125</v>
      </c>
      <c r="G1076" t="s">
        <v>1034</v>
      </c>
      <c r="H1076" t="s">
        <v>15</v>
      </c>
      <c r="I1076" s="1">
        <v>1</v>
      </c>
      <c r="J1076" s="2">
        <v>431.03</v>
      </c>
    </row>
    <row r="1077" spans="2:10" x14ac:dyDescent="0.2">
      <c r="B1077" t="s">
        <v>583</v>
      </c>
      <c r="C1077" t="s">
        <v>237</v>
      </c>
      <c r="D1077" t="s">
        <v>584</v>
      </c>
      <c r="E1077" t="s">
        <v>16</v>
      </c>
      <c r="F1077" t="s">
        <v>17</v>
      </c>
      <c r="G1077" t="s">
        <v>1034</v>
      </c>
      <c r="H1077" t="s">
        <v>15</v>
      </c>
      <c r="I1077" s="1">
        <v>1</v>
      </c>
      <c r="J1077" s="2">
        <v>577.59</v>
      </c>
    </row>
    <row r="1078" spans="2:10" x14ac:dyDescent="0.2">
      <c r="B1078" t="s">
        <v>583</v>
      </c>
      <c r="C1078" t="s">
        <v>248</v>
      </c>
      <c r="D1078" t="s">
        <v>584</v>
      </c>
      <c r="E1078" t="s">
        <v>521</v>
      </c>
      <c r="F1078" t="s">
        <v>522</v>
      </c>
      <c r="G1078" t="s">
        <v>14</v>
      </c>
      <c r="H1078" t="s">
        <v>104</v>
      </c>
      <c r="I1078" s="1">
        <v>5</v>
      </c>
      <c r="J1078" s="2">
        <v>107.75</v>
      </c>
    </row>
    <row r="1079" spans="2:10" x14ac:dyDescent="0.2">
      <c r="B1079" t="s">
        <v>583</v>
      </c>
      <c r="C1079" t="s">
        <v>248</v>
      </c>
      <c r="D1079" t="s">
        <v>584</v>
      </c>
      <c r="E1079" t="s">
        <v>406</v>
      </c>
      <c r="F1079" t="s">
        <v>407</v>
      </c>
      <c r="G1079" t="s">
        <v>14</v>
      </c>
      <c r="H1079" t="s">
        <v>104</v>
      </c>
      <c r="I1079" s="1">
        <v>4</v>
      </c>
      <c r="J1079" s="2">
        <v>68.959999999999994</v>
      </c>
    </row>
    <row r="1080" spans="2:10" x14ac:dyDescent="0.2">
      <c r="B1080" t="s">
        <v>583</v>
      </c>
      <c r="C1080" t="s">
        <v>248</v>
      </c>
      <c r="D1080" t="s">
        <v>584</v>
      </c>
      <c r="E1080" t="s">
        <v>63</v>
      </c>
      <c r="F1080" t="s">
        <v>64</v>
      </c>
      <c r="G1080" t="s">
        <v>1034</v>
      </c>
      <c r="H1080" t="s">
        <v>15</v>
      </c>
      <c r="I1080" s="1">
        <v>1</v>
      </c>
      <c r="J1080" s="2">
        <v>172.41</v>
      </c>
    </row>
    <row r="1081" spans="2:10" x14ac:dyDescent="0.2">
      <c r="B1081" t="s">
        <v>583</v>
      </c>
      <c r="C1081" t="s">
        <v>248</v>
      </c>
      <c r="D1081" t="s">
        <v>584</v>
      </c>
      <c r="E1081" t="s">
        <v>16</v>
      </c>
      <c r="F1081" t="s">
        <v>17</v>
      </c>
      <c r="G1081" t="s">
        <v>1034</v>
      </c>
      <c r="H1081" t="s">
        <v>15</v>
      </c>
      <c r="I1081" s="1">
        <v>1</v>
      </c>
      <c r="J1081" s="2">
        <v>577.59</v>
      </c>
    </row>
    <row r="1082" spans="2:10" x14ac:dyDescent="0.2">
      <c r="B1082" t="s">
        <v>583</v>
      </c>
      <c r="C1082" t="s">
        <v>248</v>
      </c>
      <c r="D1082" t="s">
        <v>584</v>
      </c>
      <c r="E1082" t="s">
        <v>193</v>
      </c>
      <c r="F1082" t="s">
        <v>194</v>
      </c>
      <c r="G1082" t="s">
        <v>1034</v>
      </c>
      <c r="H1082" t="s">
        <v>15</v>
      </c>
      <c r="I1082" s="1">
        <v>1</v>
      </c>
      <c r="J1082" s="2">
        <v>1293.0999999999999</v>
      </c>
    </row>
    <row r="1083" spans="2:10" hidden="1" x14ac:dyDescent="0.2">
      <c r="B1083" t="s">
        <v>615</v>
      </c>
      <c r="C1083" t="s">
        <v>10</v>
      </c>
      <c r="D1083" t="s">
        <v>616</v>
      </c>
      <c r="E1083" t="s">
        <v>611</v>
      </c>
      <c r="F1083" t="s">
        <v>612</v>
      </c>
      <c r="G1083" t="s">
        <v>1033</v>
      </c>
      <c r="H1083" t="s">
        <v>30</v>
      </c>
      <c r="I1083" s="1">
        <v>1</v>
      </c>
      <c r="J1083" s="2">
        <v>793.1</v>
      </c>
    </row>
    <row r="1084" spans="2:10" hidden="1" x14ac:dyDescent="0.2">
      <c r="B1084" t="s">
        <v>615</v>
      </c>
      <c r="C1084" t="s">
        <v>10</v>
      </c>
      <c r="D1084" t="s">
        <v>616</v>
      </c>
      <c r="E1084" t="s">
        <v>617</v>
      </c>
      <c r="F1084" t="s">
        <v>618</v>
      </c>
      <c r="G1084" t="s">
        <v>1033</v>
      </c>
      <c r="H1084" t="s">
        <v>30</v>
      </c>
      <c r="I1084" s="1">
        <v>1</v>
      </c>
      <c r="J1084" s="2">
        <v>73.28</v>
      </c>
    </row>
    <row r="1085" spans="2:10" hidden="1" x14ac:dyDescent="0.2">
      <c r="B1085" t="s">
        <v>615</v>
      </c>
      <c r="C1085" t="s">
        <v>10</v>
      </c>
      <c r="D1085" t="s">
        <v>616</v>
      </c>
      <c r="E1085" t="s">
        <v>36</v>
      </c>
      <c r="F1085" t="s">
        <v>37</v>
      </c>
      <c r="G1085" t="s">
        <v>1034</v>
      </c>
      <c r="H1085" t="s">
        <v>15</v>
      </c>
      <c r="I1085" s="1">
        <v>1</v>
      </c>
      <c r="J1085" s="2">
        <v>301.72000000000003</v>
      </c>
    </row>
    <row r="1086" spans="2:10" hidden="1" x14ac:dyDescent="0.2">
      <c r="B1086" t="s">
        <v>615</v>
      </c>
      <c r="C1086" t="s">
        <v>10</v>
      </c>
      <c r="D1086" t="s">
        <v>616</v>
      </c>
      <c r="E1086" t="s">
        <v>122</v>
      </c>
      <c r="F1086" t="s">
        <v>123</v>
      </c>
      <c r="G1086" t="s">
        <v>1034</v>
      </c>
      <c r="H1086" t="s">
        <v>15</v>
      </c>
      <c r="I1086" s="1">
        <v>1</v>
      </c>
      <c r="J1086" s="2">
        <v>387.93</v>
      </c>
    </row>
    <row r="1087" spans="2:10" hidden="1" x14ac:dyDescent="0.2">
      <c r="B1087" t="s">
        <v>615</v>
      </c>
      <c r="C1087" t="s">
        <v>10</v>
      </c>
      <c r="D1087" t="s">
        <v>616</v>
      </c>
      <c r="E1087" t="s">
        <v>304</v>
      </c>
      <c r="F1087" t="s">
        <v>305</v>
      </c>
      <c r="G1087" t="s">
        <v>76</v>
      </c>
      <c r="H1087" t="s">
        <v>60</v>
      </c>
      <c r="I1087" s="1">
        <v>1</v>
      </c>
      <c r="J1087" s="2">
        <v>344.83</v>
      </c>
    </row>
    <row r="1088" spans="2:10" hidden="1" x14ac:dyDescent="0.2">
      <c r="B1088" t="s">
        <v>615</v>
      </c>
      <c r="C1088" t="s">
        <v>10</v>
      </c>
      <c r="D1088" t="s">
        <v>616</v>
      </c>
      <c r="E1088" t="s">
        <v>22</v>
      </c>
      <c r="F1088" t="s">
        <v>23</v>
      </c>
      <c r="G1088" t="s">
        <v>14</v>
      </c>
      <c r="H1088" t="s">
        <v>24</v>
      </c>
      <c r="I1088" s="1">
        <v>1</v>
      </c>
      <c r="J1088" s="2">
        <v>215.52</v>
      </c>
    </row>
    <row r="1089" spans="2:10" hidden="1" x14ac:dyDescent="0.2">
      <c r="B1089" t="s">
        <v>615</v>
      </c>
      <c r="C1089" t="s">
        <v>10</v>
      </c>
      <c r="D1089" t="s">
        <v>616</v>
      </c>
      <c r="E1089" t="s">
        <v>61</v>
      </c>
      <c r="F1089" t="s">
        <v>62</v>
      </c>
      <c r="G1089" t="s">
        <v>1034</v>
      </c>
      <c r="H1089" t="s">
        <v>15</v>
      </c>
      <c r="I1089" s="1">
        <v>2</v>
      </c>
      <c r="J1089" s="2">
        <v>344.82</v>
      </c>
    </row>
    <row r="1090" spans="2:10" hidden="1" x14ac:dyDescent="0.2">
      <c r="B1090" t="s">
        <v>615</v>
      </c>
      <c r="C1090" t="s">
        <v>10</v>
      </c>
      <c r="D1090" t="s">
        <v>616</v>
      </c>
      <c r="E1090" t="s">
        <v>63</v>
      </c>
      <c r="F1090" t="s">
        <v>64</v>
      </c>
      <c r="G1090" t="s">
        <v>1034</v>
      </c>
      <c r="H1090" t="s">
        <v>15</v>
      </c>
      <c r="I1090" s="1">
        <v>2</v>
      </c>
      <c r="J1090" s="2">
        <v>344.82</v>
      </c>
    </row>
    <row r="1091" spans="2:10" hidden="1" x14ac:dyDescent="0.2">
      <c r="B1091" t="s">
        <v>615</v>
      </c>
      <c r="C1091" t="s">
        <v>10</v>
      </c>
      <c r="D1091" t="s">
        <v>616</v>
      </c>
      <c r="E1091" t="s">
        <v>16</v>
      </c>
      <c r="F1091" t="s">
        <v>17</v>
      </c>
      <c r="G1091" t="s">
        <v>1034</v>
      </c>
      <c r="H1091" t="s">
        <v>15</v>
      </c>
      <c r="I1091" s="1">
        <v>1</v>
      </c>
      <c r="J1091" s="2">
        <v>577.59</v>
      </c>
    </row>
    <row r="1092" spans="2:10" hidden="1" x14ac:dyDescent="0.2">
      <c r="B1092" t="s">
        <v>615</v>
      </c>
      <c r="C1092" t="s">
        <v>18</v>
      </c>
      <c r="D1092" t="s">
        <v>616</v>
      </c>
      <c r="E1092" t="s">
        <v>619</v>
      </c>
      <c r="F1092" t="s">
        <v>620</v>
      </c>
      <c r="G1092" t="s">
        <v>54</v>
      </c>
      <c r="H1092" t="s">
        <v>138</v>
      </c>
      <c r="I1092" s="1">
        <v>1</v>
      </c>
      <c r="J1092" s="2">
        <v>129.31</v>
      </c>
    </row>
    <row r="1093" spans="2:10" hidden="1" x14ac:dyDescent="0.2">
      <c r="B1093" t="s">
        <v>615</v>
      </c>
      <c r="C1093" t="s">
        <v>18</v>
      </c>
      <c r="D1093" t="s">
        <v>616</v>
      </c>
      <c r="E1093" t="s">
        <v>399</v>
      </c>
      <c r="F1093" t="s">
        <v>400</v>
      </c>
      <c r="G1093" t="s">
        <v>1033</v>
      </c>
      <c r="H1093" t="s">
        <v>30</v>
      </c>
      <c r="I1093" s="1">
        <v>2</v>
      </c>
      <c r="J1093" s="2">
        <v>1637.94</v>
      </c>
    </row>
    <row r="1094" spans="2:10" hidden="1" x14ac:dyDescent="0.2">
      <c r="B1094" t="s">
        <v>615</v>
      </c>
      <c r="C1094" t="s">
        <v>18</v>
      </c>
      <c r="D1094" t="s">
        <v>616</v>
      </c>
      <c r="E1094" t="s">
        <v>70</v>
      </c>
      <c r="F1094" t="s">
        <v>71</v>
      </c>
      <c r="G1094" t="s">
        <v>1033</v>
      </c>
      <c r="H1094" t="s">
        <v>30</v>
      </c>
      <c r="I1094" s="1">
        <v>1</v>
      </c>
      <c r="J1094" s="2">
        <v>2112.0700000000002</v>
      </c>
    </row>
    <row r="1095" spans="2:10" hidden="1" x14ac:dyDescent="0.2">
      <c r="B1095" t="s">
        <v>615</v>
      </c>
      <c r="C1095" t="s">
        <v>18</v>
      </c>
      <c r="D1095" t="s">
        <v>616</v>
      </c>
      <c r="E1095" t="s">
        <v>298</v>
      </c>
      <c r="F1095" t="s">
        <v>299</v>
      </c>
      <c r="G1095" t="s">
        <v>14</v>
      </c>
      <c r="H1095" t="s">
        <v>27</v>
      </c>
      <c r="I1095" s="1">
        <v>1</v>
      </c>
      <c r="J1095" s="2">
        <v>387.93</v>
      </c>
    </row>
    <row r="1096" spans="2:10" hidden="1" x14ac:dyDescent="0.2">
      <c r="B1096" t="s">
        <v>615</v>
      </c>
      <c r="C1096" t="s">
        <v>18</v>
      </c>
      <c r="D1096" t="s">
        <v>616</v>
      </c>
      <c r="E1096" t="s">
        <v>543</v>
      </c>
      <c r="F1096" t="s">
        <v>544</v>
      </c>
      <c r="G1096" t="s">
        <v>14</v>
      </c>
      <c r="H1096" t="s">
        <v>27</v>
      </c>
      <c r="I1096" s="1">
        <v>1</v>
      </c>
      <c r="J1096" s="2">
        <v>413.79</v>
      </c>
    </row>
    <row r="1097" spans="2:10" hidden="1" x14ac:dyDescent="0.2">
      <c r="B1097" t="s">
        <v>615</v>
      </c>
      <c r="C1097" t="s">
        <v>18</v>
      </c>
      <c r="D1097" t="s">
        <v>616</v>
      </c>
      <c r="E1097" t="s">
        <v>267</v>
      </c>
      <c r="F1097" t="s">
        <v>268</v>
      </c>
      <c r="G1097" t="s">
        <v>1034</v>
      </c>
      <c r="H1097" t="s">
        <v>15</v>
      </c>
      <c r="I1097" s="1">
        <v>1</v>
      </c>
      <c r="J1097" s="2">
        <v>258.62</v>
      </c>
    </row>
    <row r="1098" spans="2:10" hidden="1" x14ac:dyDescent="0.2">
      <c r="B1098" t="s">
        <v>615</v>
      </c>
      <c r="C1098" t="s">
        <v>18</v>
      </c>
      <c r="D1098" t="s">
        <v>616</v>
      </c>
      <c r="E1098" t="s">
        <v>38</v>
      </c>
      <c r="F1098" t="s">
        <v>39</v>
      </c>
      <c r="G1098" t="s">
        <v>1034</v>
      </c>
      <c r="H1098" t="s">
        <v>15</v>
      </c>
      <c r="I1098" s="1">
        <v>1</v>
      </c>
      <c r="J1098" s="2">
        <v>431.03</v>
      </c>
    </row>
    <row r="1099" spans="2:10" hidden="1" x14ac:dyDescent="0.2">
      <c r="B1099" t="s">
        <v>615</v>
      </c>
      <c r="C1099" t="s">
        <v>18</v>
      </c>
      <c r="D1099" t="s">
        <v>616</v>
      </c>
      <c r="E1099" t="s">
        <v>63</v>
      </c>
      <c r="F1099" t="s">
        <v>64</v>
      </c>
      <c r="G1099" t="s">
        <v>1034</v>
      </c>
      <c r="H1099" t="s">
        <v>15</v>
      </c>
      <c r="I1099" s="1">
        <v>2</v>
      </c>
      <c r="J1099" s="2">
        <v>344.82</v>
      </c>
    </row>
    <row r="1100" spans="2:10" hidden="1" x14ac:dyDescent="0.2">
      <c r="B1100" t="s">
        <v>615</v>
      </c>
      <c r="C1100" t="s">
        <v>18</v>
      </c>
      <c r="D1100" t="s">
        <v>616</v>
      </c>
      <c r="E1100" t="s">
        <v>16</v>
      </c>
      <c r="F1100" t="s">
        <v>17</v>
      </c>
      <c r="G1100" t="s">
        <v>1034</v>
      </c>
      <c r="H1100" t="s">
        <v>15</v>
      </c>
      <c r="I1100" s="1">
        <v>1</v>
      </c>
      <c r="J1100" s="2">
        <v>577.59</v>
      </c>
    </row>
    <row r="1101" spans="2:10" hidden="1" x14ac:dyDescent="0.2">
      <c r="B1101" t="s">
        <v>615</v>
      </c>
      <c r="C1101" t="s">
        <v>31</v>
      </c>
      <c r="D1101" t="s">
        <v>616</v>
      </c>
      <c r="E1101" t="s">
        <v>621</v>
      </c>
      <c r="F1101" t="s">
        <v>622</v>
      </c>
      <c r="G1101" t="s">
        <v>14</v>
      </c>
      <c r="H1101" t="s">
        <v>27</v>
      </c>
      <c r="I1101" s="1">
        <v>1</v>
      </c>
      <c r="J1101" s="2">
        <v>413.79</v>
      </c>
    </row>
    <row r="1102" spans="2:10" hidden="1" x14ac:dyDescent="0.2">
      <c r="B1102" t="s">
        <v>615</v>
      </c>
      <c r="C1102" t="s">
        <v>31</v>
      </c>
      <c r="D1102" t="s">
        <v>616</v>
      </c>
      <c r="E1102" t="s">
        <v>267</v>
      </c>
      <c r="F1102" t="s">
        <v>268</v>
      </c>
      <c r="G1102" t="s">
        <v>1034</v>
      </c>
      <c r="H1102" t="s">
        <v>15</v>
      </c>
      <c r="I1102" s="1">
        <v>1</v>
      </c>
      <c r="J1102" s="2">
        <v>258.62</v>
      </c>
    </row>
    <row r="1103" spans="2:10" hidden="1" x14ac:dyDescent="0.2">
      <c r="B1103" t="s">
        <v>615</v>
      </c>
      <c r="C1103" t="s">
        <v>31</v>
      </c>
      <c r="D1103" t="s">
        <v>616</v>
      </c>
      <c r="E1103" t="s">
        <v>74</v>
      </c>
      <c r="F1103" t="s">
        <v>75</v>
      </c>
      <c r="G1103" t="s">
        <v>76</v>
      </c>
      <c r="H1103" t="s">
        <v>60</v>
      </c>
      <c r="I1103" s="1">
        <v>1</v>
      </c>
      <c r="J1103" s="2">
        <v>344.83</v>
      </c>
    </row>
    <row r="1104" spans="2:10" hidden="1" x14ac:dyDescent="0.2">
      <c r="B1104" t="s">
        <v>615</v>
      </c>
      <c r="C1104" t="s">
        <v>31</v>
      </c>
      <c r="D1104" t="s">
        <v>616</v>
      </c>
      <c r="E1104" t="s">
        <v>623</v>
      </c>
      <c r="F1104" t="s">
        <v>624</v>
      </c>
      <c r="G1104" t="s">
        <v>76</v>
      </c>
      <c r="H1104" t="s">
        <v>60</v>
      </c>
      <c r="I1104" s="1">
        <v>1</v>
      </c>
      <c r="J1104" s="2">
        <v>344.83</v>
      </c>
    </row>
    <row r="1105" spans="2:10" hidden="1" x14ac:dyDescent="0.2">
      <c r="B1105" t="s">
        <v>615</v>
      </c>
      <c r="C1105" t="s">
        <v>31</v>
      </c>
      <c r="D1105" t="s">
        <v>616</v>
      </c>
      <c r="E1105" t="s">
        <v>61</v>
      </c>
      <c r="F1105" t="s">
        <v>62</v>
      </c>
      <c r="G1105" t="s">
        <v>1034</v>
      </c>
      <c r="H1105" t="s">
        <v>15</v>
      </c>
      <c r="I1105" s="1">
        <v>1</v>
      </c>
      <c r="J1105" s="2">
        <v>172.41</v>
      </c>
    </row>
    <row r="1106" spans="2:10" hidden="1" x14ac:dyDescent="0.2">
      <c r="B1106" t="s">
        <v>615</v>
      </c>
      <c r="C1106" t="s">
        <v>40</v>
      </c>
      <c r="D1106" t="s">
        <v>616</v>
      </c>
      <c r="E1106" t="s">
        <v>97</v>
      </c>
      <c r="F1106" t="s">
        <v>98</v>
      </c>
      <c r="G1106" t="s">
        <v>1033</v>
      </c>
      <c r="H1106" t="s">
        <v>30</v>
      </c>
      <c r="I1106" s="1">
        <v>1</v>
      </c>
      <c r="J1106" s="2">
        <v>2500</v>
      </c>
    </row>
    <row r="1107" spans="2:10" hidden="1" x14ac:dyDescent="0.2">
      <c r="B1107" t="s">
        <v>615</v>
      </c>
      <c r="C1107" t="s">
        <v>40</v>
      </c>
      <c r="D1107" t="s">
        <v>616</v>
      </c>
      <c r="E1107" t="s">
        <v>625</v>
      </c>
      <c r="F1107" t="s">
        <v>626</v>
      </c>
      <c r="G1107" t="s">
        <v>54</v>
      </c>
      <c r="H1107" t="s">
        <v>138</v>
      </c>
      <c r="I1107" s="1">
        <v>1</v>
      </c>
      <c r="J1107" s="2">
        <v>100</v>
      </c>
    </row>
    <row r="1108" spans="2:10" hidden="1" x14ac:dyDescent="0.2">
      <c r="B1108" t="s">
        <v>615</v>
      </c>
      <c r="C1108" t="s">
        <v>40</v>
      </c>
      <c r="D1108" t="s">
        <v>616</v>
      </c>
      <c r="E1108" t="s">
        <v>61</v>
      </c>
      <c r="F1108" t="s">
        <v>62</v>
      </c>
      <c r="G1108" t="s">
        <v>1034</v>
      </c>
      <c r="H1108" t="s">
        <v>15</v>
      </c>
      <c r="I1108" s="1">
        <v>1</v>
      </c>
      <c r="J1108" s="2">
        <v>172.41</v>
      </c>
    </row>
    <row r="1109" spans="2:10" hidden="1" x14ac:dyDescent="0.2">
      <c r="B1109" t="s">
        <v>615</v>
      </c>
      <c r="C1109" t="s">
        <v>51</v>
      </c>
      <c r="D1109" t="s">
        <v>616</v>
      </c>
      <c r="E1109" t="s">
        <v>171</v>
      </c>
      <c r="F1109" t="s">
        <v>172</v>
      </c>
      <c r="G1109" t="s">
        <v>14</v>
      </c>
      <c r="H1109" t="s">
        <v>35</v>
      </c>
      <c r="I1109" s="1">
        <v>1</v>
      </c>
      <c r="J1109" s="2">
        <v>77.59</v>
      </c>
    </row>
    <row r="1110" spans="2:10" hidden="1" x14ac:dyDescent="0.2">
      <c r="B1110" t="s">
        <v>615</v>
      </c>
      <c r="C1110" t="s">
        <v>51</v>
      </c>
      <c r="D1110" t="s">
        <v>616</v>
      </c>
      <c r="E1110" t="s">
        <v>419</v>
      </c>
      <c r="F1110" t="s">
        <v>420</v>
      </c>
      <c r="G1110" t="s">
        <v>14</v>
      </c>
      <c r="H1110" t="s">
        <v>35</v>
      </c>
      <c r="I1110" s="1">
        <v>1</v>
      </c>
      <c r="J1110" s="2">
        <v>77.59</v>
      </c>
    </row>
    <row r="1111" spans="2:10" hidden="1" x14ac:dyDescent="0.2">
      <c r="B1111" t="s">
        <v>615</v>
      </c>
      <c r="C1111" t="s">
        <v>51</v>
      </c>
      <c r="D1111" t="s">
        <v>616</v>
      </c>
      <c r="E1111" t="s">
        <v>267</v>
      </c>
      <c r="F1111" t="s">
        <v>268</v>
      </c>
      <c r="G1111" t="s">
        <v>1034</v>
      </c>
      <c r="H1111" t="s">
        <v>15</v>
      </c>
      <c r="I1111" s="1">
        <v>1</v>
      </c>
      <c r="J1111" s="2">
        <v>258.62</v>
      </c>
    </row>
    <row r="1112" spans="2:10" hidden="1" x14ac:dyDescent="0.2">
      <c r="B1112" t="s">
        <v>615</v>
      </c>
      <c r="C1112" t="s">
        <v>51</v>
      </c>
      <c r="D1112" t="s">
        <v>616</v>
      </c>
      <c r="E1112" t="s">
        <v>344</v>
      </c>
      <c r="F1112" t="s">
        <v>345</v>
      </c>
      <c r="G1112" t="s">
        <v>1033</v>
      </c>
      <c r="H1112" t="s">
        <v>30</v>
      </c>
      <c r="I1112" s="1">
        <v>1</v>
      </c>
      <c r="J1112" s="2">
        <v>2163.79</v>
      </c>
    </row>
    <row r="1113" spans="2:10" hidden="1" x14ac:dyDescent="0.2">
      <c r="B1113" t="s">
        <v>615</v>
      </c>
      <c r="C1113" t="s">
        <v>65</v>
      </c>
      <c r="D1113" t="s">
        <v>616</v>
      </c>
      <c r="E1113" t="s">
        <v>267</v>
      </c>
      <c r="F1113" t="s">
        <v>268</v>
      </c>
      <c r="G1113" t="s">
        <v>1034</v>
      </c>
      <c r="H1113" t="s">
        <v>15</v>
      </c>
      <c r="I1113" s="1">
        <v>1</v>
      </c>
      <c r="J1113" s="2">
        <v>258.62</v>
      </c>
    </row>
    <row r="1114" spans="2:10" hidden="1" x14ac:dyDescent="0.2">
      <c r="B1114" t="s">
        <v>615</v>
      </c>
      <c r="C1114" t="s">
        <v>65</v>
      </c>
      <c r="D1114" t="s">
        <v>616</v>
      </c>
      <c r="E1114" t="s">
        <v>16</v>
      </c>
      <c r="F1114" t="s">
        <v>17</v>
      </c>
      <c r="G1114" t="s">
        <v>1034</v>
      </c>
      <c r="H1114" t="s">
        <v>15</v>
      </c>
      <c r="I1114" s="1">
        <v>1</v>
      </c>
      <c r="J1114" s="2">
        <v>577.59</v>
      </c>
    </row>
    <row r="1115" spans="2:10" hidden="1" x14ac:dyDescent="0.2">
      <c r="B1115" t="s">
        <v>615</v>
      </c>
      <c r="C1115" t="s">
        <v>82</v>
      </c>
      <c r="D1115" t="s">
        <v>616</v>
      </c>
      <c r="E1115" t="s">
        <v>627</v>
      </c>
      <c r="F1115" t="s">
        <v>628</v>
      </c>
      <c r="G1115" t="s">
        <v>1033</v>
      </c>
      <c r="H1115" t="s">
        <v>30</v>
      </c>
      <c r="I1115" s="1">
        <v>1</v>
      </c>
      <c r="J1115" s="2">
        <v>344.83</v>
      </c>
    </row>
    <row r="1116" spans="2:10" hidden="1" x14ac:dyDescent="0.2">
      <c r="B1116" t="s">
        <v>615</v>
      </c>
      <c r="C1116" t="s">
        <v>82</v>
      </c>
      <c r="D1116" t="s">
        <v>616</v>
      </c>
      <c r="E1116" t="s">
        <v>316</v>
      </c>
      <c r="F1116" t="s">
        <v>317</v>
      </c>
      <c r="G1116" t="s">
        <v>14</v>
      </c>
      <c r="H1116" t="s">
        <v>27</v>
      </c>
      <c r="I1116" s="1">
        <v>1</v>
      </c>
      <c r="J1116" s="2">
        <v>413.79</v>
      </c>
    </row>
    <row r="1117" spans="2:10" hidden="1" x14ac:dyDescent="0.2">
      <c r="B1117" t="s">
        <v>615</v>
      </c>
      <c r="C1117" t="s">
        <v>82</v>
      </c>
      <c r="D1117" t="s">
        <v>616</v>
      </c>
      <c r="E1117" t="s">
        <v>61</v>
      </c>
      <c r="F1117" t="s">
        <v>62</v>
      </c>
      <c r="G1117" t="s">
        <v>1034</v>
      </c>
      <c r="H1117" t="s">
        <v>15</v>
      </c>
      <c r="I1117" s="1">
        <v>1</v>
      </c>
      <c r="J1117" s="2">
        <v>172.41</v>
      </c>
    </row>
    <row r="1118" spans="2:10" hidden="1" x14ac:dyDescent="0.2">
      <c r="B1118" t="s">
        <v>615</v>
      </c>
      <c r="C1118" t="s">
        <v>82</v>
      </c>
      <c r="D1118" t="s">
        <v>616</v>
      </c>
      <c r="E1118" t="s">
        <v>63</v>
      </c>
      <c r="F1118" t="s">
        <v>64</v>
      </c>
      <c r="G1118" t="s">
        <v>1034</v>
      </c>
      <c r="H1118" t="s">
        <v>15</v>
      </c>
      <c r="I1118" s="1">
        <v>1</v>
      </c>
      <c r="J1118" s="2">
        <v>172.41</v>
      </c>
    </row>
    <row r="1119" spans="2:10" hidden="1" x14ac:dyDescent="0.2">
      <c r="B1119" t="s">
        <v>615</v>
      </c>
      <c r="C1119" t="s">
        <v>82</v>
      </c>
      <c r="D1119" t="s">
        <v>616</v>
      </c>
      <c r="E1119" t="s">
        <v>16</v>
      </c>
      <c r="F1119" t="s">
        <v>17</v>
      </c>
      <c r="G1119" t="s">
        <v>1034</v>
      </c>
      <c r="H1119" t="s">
        <v>15</v>
      </c>
      <c r="I1119" s="1">
        <v>1</v>
      </c>
      <c r="J1119" s="2">
        <v>577.59</v>
      </c>
    </row>
    <row r="1120" spans="2:10" hidden="1" x14ac:dyDescent="0.2">
      <c r="B1120" t="s">
        <v>615</v>
      </c>
      <c r="C1120" t="s">
        <v>88</v>
      </c>
      <c r="D1120" t="s">
        <v>130</v>
      </c>
      <c r="E1120" t="s">
        <v>623</v>
      </c>
      <c r="F1120" t="s">
        <v>624</v>
      </c>
      <c r="G1120" t="s">
        <v>76</v>
      </c>
      <c r="H1120" t="s">
        <v>60</v>
      </c>
      <c r="I1120" s="1">
        <v>1</v>
      </c>
      <c r="J1120" s="2">
        <v>344.83</v>
      </c>
    </row>
    <row r="1121" spans="2:10" hidden="1" x14ac:dyDescent="0.2">
      <c r="B1121" t="s">
        <v>615</v>
      </c>
      <c r="C1121" t="s">
        <v>117</v>
      </c>
      <c r="D1121" t="s">
        <v>616</v>
      </c>
      <c r="E1121" t="s">
        <v>167</v>
      </c>
      <c r="F1121" t="s">
        <v>168</v>
      </c>
      <c r="G1121" t="s">
        <v>1033</v>
      </c>
      <c r="H1121" t="s">
        <v>30</v>
      </c>
      <c r="I1121" s="1">
        <v>1</v>
      </c>
      <c r="J1121" s="2">
        <v>1267.24</v>
      </c>
    </row>
    <row r="1122" spans="2:10" hidden="1" x14ac:dyDescent="0.2">
      <c r="B1122" t="s">
        <v>615</v>
      </c>
      <c r="C1122" t="s">
        <v>117</v>
      </c>
      <c r="D1122" t="s">
        <v>616</v>
      </c>
      <c r="E1122" t="s">
        <v>70</v>
      </c>
      <c r="F1122" t="s">
        <v>71</v>
      </c>
      <c r="G1122" t="s">
        <v>1033</v>
      </c>
      <c r="H1122" t="s">
        <v>30</v>
      </c>
      <c r="I1122" s="1">
        <v>1</v>
      </c>
      <c r="J1122" s="2">
        <v>2112.0700000000002</v>
      </c>
    </row>
    <row r="1123" spans="2:10" hidden="1" x14ac:dyDescent="0.2">
      <c r="B1123" t="s">
        <v>615</v>
      </c>
      <c r="C1123" t="s">
        <v>117</v>
      </c>
      <c r="D1123" t="s">
        <v>616</v>
      </c>
      <c r="E1123" t="s">
        <v>629</v>
      </c>
      <c r="F1123" t="s">
        <v>630</v>
      </c>
      <c r="G1123" t="s">
        <v>43</v>
      </c>
      <c r="H1123" t="s">
        <v>403</v>
      </c>
      <c r="I1123" s="1">
        <v>1</v>
      </c>
      <c r="J1123" s="2">
        <v>159.47999999999999</v>
      </c>
    </row>
    <row r="1124" spans="2:10" hidden="1" x14ac:dyDescent="0.2">
      <c r="B1124" t="s">
        <v>615</v>
      </c>
      <c r="C1124" t="s">
        <v>117</v>
      </c>
      <c r="D1124" t="s">
        <v>616</v>
      </c>
      <c r="E1124" t="s">
        <v>525</v>
      </c>
      <c r="F1124" t="s">
        <v>526</v>
      </c>
      <c r="G1124" t="s">
        <v>43</v>
      </c>
      <c r="H1124" t="s">
        <v>403</v>
      </c>
      <c r="I1124" s="1">
        <v>1</v>
      </c>
      <c r="J1124" s="2">
        <v>159.47999999999999</v>
      </c>
    </row>
    <row r="1125" spans="2:10" hidden="1" x14ac:dyDescent="0.2">
      <c r="B1125" t="s">
        <v>615</v>
      </c>
      <c r="C1125" t="s">
        <v>117</v>
      </c>
      <c r="D1125" t="s">
        <v>616</v>
      </c>
      <c r="E1125" t="s">
        <v>56</v>
      </c>
      <c r="F1125" t="s">
        <v>57</v>
      </c>
      <c r="G1125" t="s">
        <v>1034</v>
      </c>
      <c r="H1125" t="s">
        <v>15</v>
      </c>
      <c r="I1125" s="1">
        <v>1</v>
      </c>
      <c r="J1125" s="2">
        <v>431.03</v>
      </c>
    </row>
    <row r="1126" spans="2:10" hidden="1" x14ac:dyDescent="0.2">
      <c r="B1126" t="s">
        <v>615</v>
      </c>
      <c r="C1126" t="s">
        <v>129</v>
      </c>
      <c r="D1126" t="s">
        <v>616</v>
      </c>
      <c r="E1126" t="s">
        <v>22</v>
      </c>
      <c r="F1126" t="s">
        <v>23</v>
      </c>
      <c r="G1126" t="s">
        <v>14</v>
      </c>
      <c r="H1126" t="s">
        <v>24</v>
      </c>
      <c r="I1126" s="1">
        <v>1</v>
      </c>
      <c r="J1126" s="2">
        <v>215.52</v>
      </c>
    </row>
    <row r="1127" spans="2:10" hidden="1" x14ac:dyDescent="0.2">
      <c r="B1127" t="s">
        <v>615</v>
      </c>
      <c r="C1127" t="s">
        <v>129</v>
      </c>
      <c r="D1127" t="s">
        <v>616</v>
      </c>
      <c r="E1127" t="s">
        <v>61</v>
      </c>
      <c r="F1127" t="s">
        <v>62</v>
      </c>
      <c r="G1127" t="s">
        <v>1034</v>
      </c>
      <c r="H1127" t="s">
        <v>15</v>
      </c>
      <c r="I1127" s="1">
        <v>2</v>
      </c>
      <c r="J1127" s="2">
        <v>344.82</v>
      </c>
    </row>
    <row r="1128" spans="2:10" hidden="1" x14ac:dyDescent="0.2">
      <c r="B1128" t="s">
        <v>615</v>
      </c>
      <c r="C1128" t="s">
        <v>129</v>
      </c>
      <c r="D1128" t="s">
        <v>616</v>
      </c>
      <c r="E1128" t="s">
        <v>16</v>
      </c>
      <c r="F1128" t="s">
        <v>17</v>
      </c>
      <c r="G1128" t="s">
        <v>1034</v>
      </c>
      <c r="H1128" t="s">
        <v>15</v>
      </c>
      <c r="I1128" s="1">
        <v>2</v>
      </c>
      <c r="J1128" s="2">
        <v>1155.18</v>
      </c>
    </row>
    <row r="1129" spans="2:10" hidden="1" x14ac:dyDescent="0.2">
      <c r="B1129" t="s">
        <v>615</v>
      </c>
      <c r="C1129" t="s">
        <v>134</v>
      </c>
      <c r="D1129" t="s">
        <v>277</v>
      </c>
      <c r="E1129" t="s">
        <v>214</v>
      </c>
      <c r="F1129" t="s">
        <v>215</v>
      </c>
      <c r="G1129" t="s">
        <v>1034</v>
      </c>
      <c r="H1129" t="s">
        <v>15</v>
      </c>
      <c r="I1129" s="1">
        <v>1</v>
      </c>
      <c r="J1129" s="2">
        <v>301.72000000000003</v>
      </c>
    </row>
    <row r="1130" spans="2:10" hidden="1" x14ac:dyDescent="0.2">
      <c r="B1130" t="s">
        <v>615</v>
      </c>
      <c r="C1130" t="s">
        <v>135</v>
      </c>
      <c r="D1130" t="s">
        <v>130</v>
      </c>
      <c r="E1130" t="s">
        <v>16</v>
      </c>
      <c r="F1130" t="s">
        <v>17</v>
      </c>
      <c r="G1130" t="s">
        <v>1034</v>
      </c>
      <c r="H1130" t="s">
        <v>15</v>
      </c>
      <c r="I1130" s="1">
        <v>1</v>
      </c>
      <c r="J1130" s="2">
        <v>577.59</v>
      </c>
    </row>
    <row r="1131" spans="2:10" hidden="1" x14ac:dyDescent="0.2">
      <c r="B1131" t="s">
        <v>615</v>
      </c>
      <c r="C1131" t="s">
        <v>144</v>
      </c>
      <c r="D1131" t="s">
        <v>130</v>
      </c>
      <c r="E1131" t="s">
        <v>406</v>
      </c>
      <c r="F1131" t="s">
        <v>407</v>
      </c>
      <c r="G1131" t="s">
        <v>14</v>
      </c>
      <c r="H1131" t="s">
        <v>104</v>
      </c>
      <c r="I1131" s="1">
        <v>5</v>
      </c>
      <c r="J1131" s="2">
        <v>86.2</v>
      </c>
    </row>
    <row r="1132" spans="2:10" hidden="1" x14ac:dyDescent="0.2">
      <c r="B1132" t="s">
        <v>615</v>
      </c>
      <c r="C1132" t="s">
        <v>144</v>
      </c>
      <c r="D1132" t="s">
        <v>130</v>
      </c>
      <c r="E1132" t="s">
        <v>16</v>
      </c>
      <c r="F1132" t="s">
        <v>17</v>
      </c>
      <c r="G1132" t="s">
        <v>1034</v>
      </c>
      <c r="H1132" t="s">
        <v>15</v>
      </c>
      <c r="I1132" s="1">
        <v>1</v>
      </c>
      <c r="J1132" s="2">
        <v>577.59</v>
      </c>
    </row>
    <row r="1133" spans="2:10" hidden="1" x14ac:dyDescent="0.2">
      <c r="B1133" t="s">
        <v>615</v>
      </c>
      <c r="C1133" t="s">
        <v>166</v>
      </c>
      <c r="D1133" t="s">
        <v>616</v>
      </c>
      <c r="E1133" t="s">
        <v>66</v>
      </c>
      <c r="F1133" t="s">
        <v>67</v>
      </c>
      <c r="G1133" t="s">
        <v>1033</v>
      </c>
      <c r="H1133" t="s">
        <v>30</v>
      </c>
      <c r="I1133" s="1">
        <v>1</v>
      </c>
      <c r="J1133" s="2">
        <v>1681.03</v>
      </c>
    </row>
    <row r="1134" spans="2:10" hidden="1" x14ac:dyDescent="0.2">
      <c r="B1134" t="s">
        <v>615</v>
      </c>
      <c r="C1134" t="s">
        <v>166</v>
      </c>
      <c r="D1134" t="s">
        <v>616</v>
      </c>
      <c r="E1134" t="s">
        <v>463</v>
      </c>
      <c r="F1134" t="s">
        <v>464</v>
      </c>
      <c r="G1134" t="s">
        <v>14</v>
      </c>
      <c r="H1134" t="s">
        <v>35</v>
      </c>
      <c r="I1134" s="1">
        <v>1</v>
      </c>
      <c r="J1134" s="2">
        <v>77.59</v>
      </c>
    </row>
    <row r="1135" spans="2:10" hidden="1" x14ac:dyDescent="0.2">
      <c r="B1135" t="s">
        <v>615</v>
      </c>
      <c r="C1135" t="s">
        <v>166</v>
      </c>
      <c r="D1135" t="s">
        <v>616</v>
      </c>
      <c r="E1135" t="s">
        <v>120</v>
      </c>
      <c r="F1135" t="s">
        <v>121</v>
      </c>
      <c r="G1135" t="s">
        <v>1034</v>
      </c>
      <c r="H1135" t="s">
        <v>15</v>
      </c>
      <c r="I1135" s="1">
        <v>2</v>
      </c>
      <c r="J1135" s="2">
        <v>603.44000000000005</v>
      </c>
    </row>
    <row r="1136" spans="2:10" hidden="1" x14ac:dyDescent="0.2">
      <c r="B1136" t="s">
        <v>615</v>
      </c>
      <c r="C1136" t="s">
        <v>166</v>
      </c>
      <c r="D1136" t="s">
        <v>616</v>
      </c>
      <c r="E1136" t="s">
        <v>122</v>
      </c>
      <c r="F1136" t="s">
        <v>123</v>
      </c>
      <c r="G1136" t="s">
        <v>1034</v>
      </c>
      <c r="H1136" t="s">
        <v>15</v>
      </c>
      <c r="I1136" s="1">
        <v>1</v>
      </c>
      <c r="J1136" s="2">
        <v>387.93</v>
      </c>
    </row>
    <row r="1137" spans="2:10" hidden="1" x14ac:dyDescent="0.2">
      <c r="B1137" t="s">
        <v>615</v>
      </c>
      <c r="C1137" t="s">
        <v>166</v>
      </c>
      <c r="D1137" t="s">
        <v>616</v>
      </c>
      <c r="E1137" t="s">
        <v>83</v>
      </c>
      <c r="F1137" t="s">
        <v>84</v>
      </c>
      <c r="G1137" t="s">
        <v>1034</v>
      </c>
      <c r="H1137" t="s">
        <v>15</v>
      </c>
      <c r="I1137" s="1">
        <v>1</v>
      </c>
      <c r="J1137" s="2">
        <v>387.93</v>
      </c>
    </row>
    <row r="1138" spans="2:10" hidden="1" x14ac:dyDescent="0.2">
      <c r="B1138" t="s">
        <v>615</v>
      </c>
      <c r="C1138" t="s">
        <v>166</v>
      </c>
      <c r="D1138" t="s">
        <v>616</v>
      </c>
      <c r="E1138" t="s">
        <v>61</v>
      </c>
      <c r="F1138" t="s">
        <v>62</v>
      </c>
      <c r="G1138" t="s">
        <v>1034</v>
      </c>
      <c r="H1138" t="s">
        <v>15</v>
      </c>
      <c r="I1138" s="1">
        <v>3</v>
      </c>
      <c r="J1138" s="2">
        <v>517.23</v>
      </c>
    </row>
    <row r="1139" spans="2:10" hidden="1" x14ac:dyDescent="0.2">
      <c r="B1139" t="s">
        <v>615</v>
      </c>
      <c r="C1139" t="s">
        <v>166</v>
      </c>
      <c r="D1139" t="s">
        <v>616</v>
      </c>
      <c r="E1139" t="s">
        <v>63</v>
      </c>
      <c r="F1139" t="s">
        <v>64</v>
      </c>
      <c r="G1139" t="s">
        <v>1034</v>
      </c>
      <c r="H1139" t="s">
        <v>15</v>
      </c>
      <c r="I1139" s="1">
        <v>2</v>
      </c>
      <c r="J1139" s="2">
        <v>344.82</v>
      </c>
    </row>
    <row r="1140" spans="2:10" hidden="1" x14ac:dyDescent="0.2">
      <c r="B1140" t="s">
        <v>615</v>
      </c>
      <c r="C1140" t="s">
        <v>335</v>
      </c>
      <c r="D1140" t="s">
        <v>130</v>
      </c>
      <c r="E1140" t="s">
        <v>70</v>
      </c>
      <c r="F1140" t="s">
        <v>71</v>
      </c>
      <c r="G1140" t="s">
        <v>1033</v>
      </c>
      <c r="H1140" t="s">
        <v>30</v>
      </c>
      <c r="I1140" s="1">
        <v>1</v>
      </c>
      <c r="J1140" s="2">
        <v>2112.0700000000002</v>
      </c>
    </row>
    <row r="1141" spans="2:10" hidden="1" x14ac:dyDescent="0.2">
      <c r="B1141" t="s">
        <v>615</v>
      </c>
      <c r="C1141" t="s">
        <v>335</v>
      </c>
      <c r="D1141" t="s">
        <v>130</v>
      </c>
      <c r="E1141" t="s">
        <v>525</v>
      </c>
      <c r="F1141" t="s">
        <v>526</v>
      </c>
      <c r="G1141" t="s">
        <v>43</v>
      </c>
      <c r="H1141" t="s">
        <v>403</v>
      </c>
      <c r="I1141" s="1">
        <v>1</v>
      </c>
      <c r="J1141" s="2">
        <v>159.47999999999999</v>
      </c>
    </row>
    <row r="1142" spans="2:10" hidden="1" x14ac:dyDescent="0.2">
      <c r="B1142" t="s">
        <v>615</v>
      </c>
      <c r="C1142" t="s">
        <v>335</v>
      </c>
      <c r="D1142" t="s">
        <v>130</v>
      </c>
      <c r="E1142" t="s">
        <v>36</v>
      </c>
      <c r="F1142" t="s">
        <v>37</v>
      </c>
      <c r="G1142" t="s">
        <v>1034</v>
      </c>
      <c r="H1142" t="s">
        <v>15</v>
      </c>
      <c r="I1142" s="1">
        <v>1</v>
      </c>
      <c r="J1142" s="2">
        <v>301.72000000000003</v>
      </c>
    </row>
    <row r="1143" spans="2:10" hidden="1" x14ac:dyDescent="0.2">
      <c r="B1143" t="s">
        <v>615</v>
      </c>
      <c r="C1143" t="s">
        <v>335</v>
      </c>
      <c r="D1143" t="s">
        <v>130</v>
      </c>
      <c r="E1143" t="s">
        <v>16</v>
      </c>
      <c r="F1143" t="s">
        <v>17</v>
      </c>
      <c r="G1143" t="s">
        <v>1034</v>
      </c>
      <c r="H1143" t="s">
        <v>15</v>
      </c>
      <c r="I1143" s="1">
        <v>1</v>
      </c>
      <c r="J1143" s="2">
        <v>577.59</v>
      </c>
    </row>
    <row r="1144" spans="2:10" hidden="1" x14ac:dyDescent="0.2">
      <c r="B1144" t="s">
        <v>615</v>
      </c>
      <c r="C1144" t="s">
        <v>418</v>
      </c>
      <c r="D1144" t="s">
        <v>616</v>
      </c>
      <c r="E1144" t="s">
        <v>120</v>
      </c>
      <c r="F1144" t="s">
        <v>121</v>
      </c>
      <c r="G1144" t="s">
        <v>1034</v>
      </c>
      <c r="H1144" t="s">
        <v>15</v>
      </c>
      <c r="I1144" s="1">
        <v>1</v>
      </c>
      <c r="J1144" s="2">
        <v>301.72000000000003</v>
      </c>
    </row>
    <row r="1145" spans="2:10" hidden="1" x14ac:dyDescent="0.2">
      <c r="B1145" t="s">
        <v>615</v>
      </c>
      <c r="C1145" t="s">
        <v>418</v>
      </c>
      <c r="D1145" t="s">
        <v>616</v>
      </c>
      <c r="E1145" t="s">
        <v>63</v>
      </c>
      <c r="F1145" t="s">
        <v>64</v>
      </c>
      <c r="G1145" t="s">
        <v>1034</v>
      </c>
      <c r="H1145" t="s">
        <v>15</v>
      </c>
      <c r="I1145" s="1">
        <v>1</v>
      </c>
      <c r="J1145" s="2">
        <v>172.41</v>
      </c>
    </row>
    <row r="1146" spans="2:10" hidden="1" x14ac:dyDescent="0.2">
      <c r="B1146" t="s">
        <v>615</v>
      </c>
      <c r="C1146" t="s">
        <v>186</v>
      </c>
      <c r="D1146" t="s">
        <v>616</v>
      </c>
      <c r="E1146" t="s">
        <v>61</v>
      </c>
      <c r="F1146" t="s">
        <v>62</v>
      </c>
      <c r="G1146" t="s">
        <v>1034</v>
      </c>
      <c r="H1146" t="s">
        <v>15</v>
      </c>
      <c r="I1146" s="1">
        <v>1</v>
      </c>
      <c r="J1146" s="2">
        <v>172.41</v>
      </c>
    </row>
    <row r="1147" spans="2:10" hidden="1" x14ac:dyDescent="0.2">
      <c r="B1147" t="s">
        <v>615</v>
      </c>
      <c r="C1147" t="s">
        <v>197</v>
      </c>
      <c r="D1147" t="s">
        <v>616</v>
      </c>
      <c r="E1147" t="s">
        <v>63</v>
      </c>
      <c r="F1147" t="s">
        <v>64</v>
      </c>
      <c r="G1147" t="s">
        <v>1034</v>
      </c>
      <c r="H1147" t="s">
        <v>15</v>
      </c>
      <c r="I1147" s="1">
        <v>1</v>
      </c>
      <c r="J1147" s="2">
        <v>172.41</v>
      </c>
    </row>
    <row r="1148" spans="2:10" hidden="1" x14ac:dyDescent="0.2">
      <c r="B1148" t="s">
        <v>615</v>
      </c>
      <c r="C1148" t="s">
        <v>206</v>
      </c>
      <c r="D1148" t="s">
        <v>616</v>
      </c>
      <c r="E1148" t="s">
        <v>631</v>
      </c>
      <c r="F1148" t="s">
        <v>632</v>
      </c>
      <c r="G1148" t="s">
        <v>14</v>
      </c>
      <c r="H1148" t="s">
        <v>27</v>
      </c>
      <c r="I1148" s="1">
        <v>1</v>
      </c>
      <c r="J1148" s="2">
        <v>448.28</v>
      </c>
    </row>
    <row r="1149" spans="2:10" hidden="1" x14ac:dyDescent="0.2">
      <c r="B1149" t="s">
        <v>615</v>
      </c>
      <c r="C1149" t="s">
        <v>206</v>
      </c>
      <c r="D1149" t="s">
        <v>616</v>
      </c>
      <c r="E1149" t="s">
        <v>249</v>
      </c>
      <c r="F1149" t="s">
        <v>250</v>
      </c>
      <c r="G1149" t="s">
        <v>1033</v>
      </c>
      <c r="H1149" t="s">
        <v>30</v>
      </c>
      <c r="I1149" s="1">
        <v>1</v>
      </c>
      <c r="J1149" s="2">
        <v>517.24</v>
      </c>
    </row>
    <row r="1150" spans="2:10" hidden="1" x14ac:dyDescent="0.2">
      <c r="B1150" t="s">
        <v>615</v>
      </c>
      <c r="C1150" t="s">
        <v>206</v>
      </c>
      <c r="D1150" t="s">
        <v>616</v>
      </c>
      <c r="E1150" t="s">
        <v>189</v>
      </c>
      <c r="F1150" t="s">
        <v>190</v>
      </c>
      <c r="G1150" t="s">
        <v>1033</v>
      </c>
      <c r="H1150" t="s">
        <v>30</v>
      </c>
      <c r="I1150" s="1">
        <v>1</v>
      </c>
      <c r="J1150" s="2">
        <v>818.97</v>
      </c>
    </row>
    <row r="1151" spans="2:10" hidden="1" x14ac:dyDescent="0.2">
      <c r="B1151" t="s">
        <v>615</v>
      </c>
      <c r="C1151" t="s">
        <v>206</v>
      </c>
      <c r="D1151" t="s">
        <v>616</v>
      </c>
      <c r="E1151" t="s">
        <v>120</v>
      </c>
      <c r="F1151" t="s">
        <v>121</v>
      </c>
      <c r="G1151" t="s">
        <v>1034</v>
      </c>
      <c r="H1151" t="s">
        <v>15</v>
      </c>
      <c r="I1151" s="1">
        <v>1</v>
      </c>
      <c r="J1151" s="2">
        <v>301.72000000000003</v>
      </c>
    </row>
    <row r="1152" spans="2:10" hidden="1" x14ac:dyDescent="0.2">
      <c r="B1152" t="s">
        <v>615</v>
      </c>
      <c r="C1152" t="s">
        <v>206</v>
      </c>
      <c r="D1152" t="s">
        <v>616</v>
      </c>
      <c r="E1152" t="s">
        <v>633</v>
      </c>
      <c r="F1152" t="s">
        <v>634</v>
      </c>
      <c r="G1152" t="s">
        <v>43</v>
      </c>
      <c r="H1152" t="s">
        <v>205</v>
      </c>
      <c r="I1152" s="1">
        <v>1</v>
      </c>
      <c r="J1152" s="2">
        <v>1435.34</v>
      </c>
    </row>
    <row r="1153" spans="2:10" hidden="1" x14ac:dyDescent="0.2">
      <c r="B1153" t="s">
        <v>615</v>
      </c>
      <c r="C1153" t="s">
        <v>206</v>
      </c>
      <c r="D1153" t="s">
        <v>616</v>
      </c>
      <c r="E1153" t="s">
        <v>56</v>
      </c>
      <c r="F1153" t="s">
        <v>57</v>
      </c>
      <c r="G1153" t="s">
        <v>1034</v>
      </c>
      <c r="H1153" t="s">
        <v>15</v>
      </c>
      <c r="I1153" s="1">
        <v>2</v>
      </c>
      <c r="J1153" s="2">
        <v>862.07</v>
      </c>
    </row>
    <row r="1154" spans="2:10" hidden="1" x14ac:dyDescent="0.2">
      <c r="B1154" t="s">
        <v>615</v>
      </c>
      <c r="C1154" t="s">
        <v>206</v>
      </c>
      <c r="D1154" t="s">
        <v>616</v>
      </c>
      <c r="E1154" t="s">
        <v>61</v>
      </c>
      <c r="F1154" t="s">
        <v>62</v>
      </c>
      <c r="G1154" t="s">
        <v>1034</v>
      </c>
      <c r="H1154" t="s">
        <v>15</v>
      </c>
      <c r="I1154" s="1">
        <v>1</v>
      </c>
      <c r="J1154" s="2">
        <v>172.41</v>
      </c>
    </row>
    <row r="1155" spans="2:10" hidden="1" x14ac:dyDescent="0.2">
      <c r="B1155" t="s">
        <v>615</v>
      </c>
      <c r="C1155" t="s">
        <v>206</v>
      </c>
      <c r="D1155" t="s">
        <v>616</v>
      </c>
      <c r="E1155" t="s">
        <v>63</v>
      </c>
      <c r="F1155" t="s">
        <v>64</v>
      </c>
      <c r="G1155" t="s">
        <v>1034</v>
      </c>
      <c r="H1155" t="s">
        <v>15</v>
      </c>
      <c r="I1155" s="1">
        <v>1</v>
      </c>
      <c r="J1155" s="2">
        <v>172.41</v>
      </c>
    </row>
    <row r="1156" spans="2:10" hidden="1" x14ac:dyDescent="0.2">
      <c r="B1156" t="s">
        <v>615</v>
      </c>
      <c r="C1156" t="s">
        <v>206</v>
      </c>
      <c r="D1156" t="s">
        <v>616</v>
      </c>
      <c r="E1156" t="s">
        <v>28</v>
      </c>
      <c r="F1156" t="s">
        <v>29</v>
      </c>
      <c r="G1156" t="s">
        <v>1033</v>
      </c>
      <c r="H1156" t="s">
        <v>30</v>
      </c>
      <c r="I1156" s="1">
        <v>1</v>
      </c>
      <c r="J1156" s="2">
        <v>155.16999999999999</v>
      </c>
    </row>
    <row r="1157" spans="2:10" hidden="1" x14ac:dyDescent="0.2">
      <c r="B1157" t="s">
        <v>615</v>
      </c>
      <c r="C1157" t="s">
        <v>220</v>
      </c>
      <c r="D1157" t="s">
        <v>616</v>
      </c>
      <c r="E1157" t="s">
        <v>463</v>
      </c>
      <c r="F1157" t="s">
        <v>464</v>
      </c>
      <c r="G1157" t="s">
        <v>14</v>
      </c>
      <c r="H1157" t="s">
        <v>35</v>
      </c>
      <c r="I1157" s="1">
        <v>1</v>
      </c>
      <c r="J1157" s="2">
        <v>77.59</v>
      </c>
    </row>
    <row r="1158" spans="2:10" hidden="1" x14ac:dyDescent="0.2">
      <c r="B1158" t="s">
        <v>615</v>
      </c>
      <c r="C1158" t="s">
        <v>220</v>
      </c>
      <c r="D1158" t="s">
        <v>616</v>
      </c>
      <c r="E1158" t="s">
        <v>414</v>
      </c>
      <c r="F1158" t="s">
        <v>415</v>
      </c>
      <c r="G1158" t="s">
        <v>1033</v>
      </c>
      <c r="H1158" t="s">
        <v>30</v>
      </c>
      <c r="I1158" s="1">
        <v>1</v>
      </c>
      <c r="J1158" s="2">
        <v>646.54999999999995</v>
      </c>
    </row>
    <row r="1159" spans="2:10" hidden="1" x14ac:dyDescent="0.2">
      <c r="B1159" t="s">
        <v>615</v>
      </c>
      <c r="C1159" t="s">
        <v>220</v>
      </c>
      <c r="D1159" t="s">
        <v>616</v>
      </c>
      <c r="E1159" t="s">
        <v>324</v>
      </c>
      <c r="F1159" t="s">
        <v>325</v>
      </c>
      <c r="G1159" t="s">
        <v>1033</v>
      </c>
      <c r="H1159" t="s">
        <v>30</v>
      </c>
      <c r="I1159" s="1">
        <v>1</v>
      </c>
      <c r="J1159" s="2">
        <v>2000</v>
      </c>
    </row>
    <row r="1160" spans="2:10" hidden="1" x14ac:dyDescent="0.2">
      <c r="B1160" t="s">
        <v>615</v>
      </c>
      <c r="C1160" t="s">
        <v>220</v>
      </c>
      <c r="D1160" t="s">
        <v>616</v>
      </c>
      <c r="E1160" t="s">
        <v>635</v>
      </c>
      <c r="F1160" t="s">
        <v>636</v>
      </c>
      <c r="G1160" t="s">
        <v>43</v>
      </c>
      <c r="H1160" t="s">
        <v>403</v>
      </c>
      <c r="I1160" s="1">
        <v>1</v>
      </c>
      <c r="J1160" s="2">
        <v>159.47999999999999</v>
      </c>
    </row>
    <row r="1161" spans="2:10" hidden="1" x14ac:dyDescent="0.2">
      <c r="B1161" t="s">
        <v>615</v>
      </c>
      <c r="C1161" t="s">
        <v>220</v>
      </c>
      <c r="D1161" t="s">
        <v>616</v>
      </c>
      <c r="E1161" t="s">
        <v>214</v>
      </c>
      <c r="F1161" t="s">
        <v>215</v>
      </c>
      <c r="G1161" t="s">
        <v>1034</v>
      </c>
      <c r="H1161" t="s">
        <v>15</v>
      </c>
      <c r="I1161" s="1">
        <v>1</v>
      </c>
      <c r="J1161" s="2">
        <v>301.72000000000003</v>
      </c>
    </row>
    <row r="1162" spans="2:10" hidden="1" x14ac:dyDescent="0.2">
      <c r="B1162" t="s">
        <v>615</v>
      </c>
      <c r="C1162" t="s">
        <v>220</v>
      </c>
      <c r="D1162" t="s">
        <v>616</v>
      </c>
      <c r="E1162" t="s">
        <v>36</v>
      </c>
      <c r="F1162" t="s">
        <v>37</v>
      </c>
      <c r="G1162" t="s">
        <v>1034</v>
      </c>
      <c r="H1162" t="s">
        <v>15</v>
      </c>
      <c r="I1162" s="1">
        <v>1</v>
      </c>
      <c r="J1162" s="2">
        <v>301.72000000000003</v>
      </c>
    </row>
    <row r="1163" spans="2:10" hidden="1" x14ac:dyDescent="0.2">
      <c r="B1163" t="s">
        <v>615</v>
      </c>
      <c r="C1163" t="s">
        <v>220</v>
      </c>
      <c r="D1163" t="s">
        <v>616</v>
      </c>
      <c r="E1163" t="s">
        <v>16</v>
      </c>
      <c r="F1163" t="s">
        <v>17</v>
      </c>
      <c r="G1163" t="s">
        <v>1034</v>
      </c>
      <c r="H1163" t="s">
        <v>15</v>
      </c>
      <c r="I1163" s="1">
        <v>1</v>
      </c>
      <c r="J1163" s="2">
        <v>577.59</v>
      </c>
    </row>
    <row r="1164" spans="2:10" hidden="1" x14ac:dyDescent="0.2">
      <c r="B1164" t="s">
        <v>615</v>
      </c>
      <c r="C1164" t="s">
        <v>220</v>
      </c>
      <c r="D1164" t="s">
        <v>616</v>
      </c>
      <c r="E1164" t="s">
        <v>28</v>
      </c>
      <c r="F1164" t="s">
        <v>29</v>
      </c>
      <c r="G1164" t="s">
        <v>1033</v>
      </c>
      <c r="H1164" t="s">
        <v>30</v>
      </c>
      <c r="I1164" s="1">
        <v>1</v>
      </c>
      <c r="J1164" s="2">
        <v>155.16999999999999</v>
      </c>
    </row>
    <row r="1165" spans="2:10" hidden="1" x14ac:dyDescent="0.2">
      <c r="B1165" t="s">
        <v>615</v>
      </c>
      <c r="C1165" t="s">
        <v>225</v>
      </c>
      <c r="D1165" t="s">
        <v>616</v>
      </c>
      <c r="E1165" t="s">
        <v>238</v>
      </c>
      <c r="F1165" t="s">
        <v>239</v>
      </c>
      <c r="G1165" t="s">
        <v>1033</v>
      </c>
      <c r="H1165" t="s">
        <v>30</v>
      </c>
      <c r="I1165" s="1">
        <v>1</v>
      </c>
      <c r="J1165" s="2">
        <v>396.55</v>
      </c>
    </row>
    <row r="1166" spans="2:10" hidden="1" x14ac:dyDescent="0.2">
      <c r="B1166" t="s">
        <v>615</v>
      </c>
      <c r="C1166" t="s">
        <v>225</v>
      </c>
      <c r="D1166" t="s">
        <v>616</v>
      </c>
      <c r="E1166" t="s">
        <v>637</v>
      </c>
      <c r="F1166" t="s">
        <v>638</v>
      </c>
      <c r="G1166" t="s">
        <v>1033</v>
      </c>
      <c r="H1166" t="s">
        <v>30</v>
      </c>
      <c r="I1166" s="1">
        <v>1</v>
      </c>
      <c r="J1166" s="2">
        <v>689.66</v>
      </c>
    </row>
    <row r="1167" spans="2:10" hidden="1" x14ac:dyDescent="0.2">
      <c r="B1167" t="s">
        <v>615</v>
      </c>
      <c r="C1167" t="s">
        <v>225</v>
      </c>
      <c r="D1167" t="s">
        <v>616</v>
      </c>
      <c r="E1167" t="s">
        <v>639</v>
      </c>
      <c r="F1167" t="s">
        <v>640</v>
      </c>
      <c r="G1167" t="s">
        <v>1033</v>
      </c>
      <c r="H1167" t="s">
        <v>30</v>
      </c>
      <c r="I1167" s="1">
        <v>1</v>
      </c>
      <c r="J1167" s="2">
        <v>344.83</v>
      </c>
    </row>
    <row r="1168" spans="2:10" hidden="1" x14ac:dyDescent="0.2">
      <c r="B1168" t="s">
        <v>615</v>
      </c>
      <c r="C1168" t="s">
        <v>225</v>
      </c>
      <c r="D1168" t="s">
        <v>616</v>
      </c>
      <c r="E1168" t="s">
        <v>120</v>
      </c>
      <c r="F1168" t="s">
        <v>121</v>
      </c>
      <c r="G1168" t="s">
        <v>1034</v>
      </c>
      <c r="H1168" t="s">
        <v>15</v>
      </c>
      <c r="I1168" s="1">
        <v>2</v>
      </c>
      <c r="J1168" s="2">
        <v>603.44000000000005</v>
      </c>
    </row>
    <row r="1169" spans="2:10" hidden="1" x14ac:dyDescent="0.2">
      <c r="B1169" t="s">
        <v>615</v>
      </c>
      <c r="C1169" t="s">
        <v>225</v>
      </c>
      <c r="D1169" t="s">
        <v>616</v>
      </c>
      <c r="E1169" t="s">
        <v>61</v>
      </c>
      <c r="F1169" t="s">
        <v>62</v>
      </c>
      <c r="G1169" t="s">
        <v>1034</v>
      </c>
      <c r="H1169" t="s">
        <v>15</v>
      </c>
      <c r="I1169" s="1">
        <v>1</v>
      </c>
      <c r="J1169" s="2">
        <v>172.41</v>
      </c>
    </row>
    <row r="1170" spans="2:10" x14ac:dyDescent="0.2">
      <c r="B1170" t="s">
        <v>615</v>
      </c>
      <c r="C1170" t="s">
        <v>227</v>
      </c>
      <c r="D1170" t="s">
        <v>616</v>
      </c>
      <c r="E1170" t="s">
        <v>641</v>
      </c>
      <c r="F1170" t="s">
        <v>642</v>
      </c>
      <c r="G1170" t="s">
        <v>43</v>
      </c>
      <c r="H1170" t="s">
        <v>643</v>
      </c>
      <c r="I1170" s="1">
        <v>1</v>
      </c>
      <c r="J1170" s="2">
        <v>3672.41</v>
      </c>
    </row>
    <row r="1171" spans="2:10" x14ac:dyDescent="0.2">
      <c r="B1171" t="s">
        <v>615</v>
      </c>
      <c r="C1171" t="s">
        <v>227</v>
      </c>
      <c r="D1171" t="s">
        <v>616</v>
      </c>
      <c r="E1171" t="s">
        <v>644</v>
      </c>
      <c r="F1171" t="s">
        <v>645</v>
      </c>
      <c r="G1171" t="s">
        <v>1033</v>
      </c>
      <c r="H1171" t="s">
        <v>30</v>
      </c>
      <c r="I1171" s="1">
        <v>1</v>
      </c>
      <c r="J1171" s="2">
        <v>431.03</v>
      </c>
    </row>
    <row r="1172" spans="2:10" x14ac:dyDescent="0.2">
      <c r="B1172" t="s">
        <v>615</v>
      </c>
      <c r="C1172" t="s">
        <v>227</v>
      </c>
      <c r="D1172" t="s">
        <v>616</v>
      </c>
      <c r="E1172" t="s">
        <v>318</v>
      </c>
      <c r="F1172" t="s">
        <v>319</v>
      </c>
      <c r="G1172" t="s">
        <v>1033</v>
      </c>
      <c r="H1172" t="s">
        <v>30</v>
      </c>
      <c r="I1172" s="1">
        <v>1</v>
      </c>
      <c r="J1172" s="2">
        <v>456.9</v>
      </c>
    </row>
    <row r="1173" spans="2:10" x14ac:dyDescent="0.2">
      <c r="B1173" t="s">
        <v>615</v>
      </c>
      <c r="C1173" t="s">
        <v>227</v>
      </c>
      <c r="D1173" t="s">
        <v>616</v>
      </c>
      <c r="E1173" t="s">
        <v>646</v>
      </c>
      <c r="F1173" t="s">
        <v>647</v>
      </c>
      <c r="G1173" t="s">
        <v>43</v>
      </c>
      <c r="H1173" t="s">
        <v>27</v>
      </c>
      <c r="I1173" s="1">
        <v>1</v>
      </c>
      <c r="J1173" s="2">
        <v>258.62</v>
      </c>
    </row>
    <row r="1174" spans="2:10" x14ac:dyDescent="0.2">
      <c r="B1174" t="s">
        <v>615</v>
      </c>
      <c r="C1174" t="s">
        <v>227</v>
      </c>
      <c r="D1174" t="s">
        <v>616</v>
      </c>
      <c r="E1174" t="s">
        <v>61</v>
      </c>
      <c r="F1174" t="s">
        <v>62</v>
      </c>
      <c r="G1174" t="s">
        <v>1034</v>
      </c>
      <c r="H1174" t="s">
        <v>15</v>
      </c>
      <c r="I1174" s="1">
        <v>1</v>
      </c>
      <c r="J1174" s="2">
        <v>172.41</v>
      </c>
    </row>
    <row r="1175" spans="2:10" x14ac:dyDescent="0.2">
      <c r="B1175" t="s">
        <v>615</v>
      </c>
      <c r="C1175" t="s">
        <v>227</v>
      </c>
      <c r="D1175" t="s">
        <v>616</v>
      </c>
      <c r="E1175" t="s">
        <v>63</v>
      </c>
      <c r="F1175" t="s">
        <v>64</v>
      </c>
      <c r="G1175" t="s">
        <v>1034</v>
      </c>
      <c r="H1175" t="s">
        <v>15</v>
      </c>
      <c r="I1175" s="1">
        <v>1</v>
      </c>
      <c r="J1175" s="2">
        <v>172.41</v>
      </c>
    </row>
    <row r="1176" spans="2:10" x14ac:dyDescent="0.2">
      <c r="B1176" t="s">
        <v>615</v>
      </c>
      <c r="C1176" t="s">
        <v>228</v>
      </c>
      <c r="D1176" t="s">
        <v>32</v>
      </c>
      <c r="E1176" t="s">
        <v>401</v>
      </c>
      <c r="F1176" t="s">
        <v>402</v>
      </c>
      <c r="G1176" t="s">
        <v>43</v>
      </c>
      <c r="H1176" t="s">
        <v>403</v>
      </c>
      <c r="I1176" s="1">
        <v>1</v>
      </c>
      <c r="J1176" s="2">
        <v>159.47999999999999</v>
      </c>
    </row>
    <row r="1177" spans="2:10" x14ac:dyDescent="0.2">
      <c r="B1177" t="s">
        <v>615</v>
      </c>
      <c r="C1177" t="s">
        <v>228</v>
      </c>
      <c r="D1177" t="s">
        <v>32</v>
      </c>
      <c r="E1177" t="s">
        <v>38</v>
      </c>
      <c r="F1177" t="s">
        <v>39</v>
      </c>
      <c r="G1177" t="s">
        <v>1034</v>
      </c>
      <c r="H1177" t="s">
        <v>15</v>
      </c>
      <c r="I1177" s="1">
        <v>1</v>
      </c>
      <c r="J1177" s="2">
        <v>431.03</v>
      </c>
    </row>
    <row r="1178" spans="2:10" x14ac:dyDescent="0.2">
      <c r="B1178" t="s">
        <v>615</v>
      </c>
      <c r="C1178" t="s">
        <v>228</v>
      </c>
      <c r="D1178" t="s">
        <v>32</v>
      </c>
      <c r="E1178" t="s">
        <v>648</v>
      </c>
      <c r="F1178" t="s">
        <v>649</v>
      </c>
      <c r="G1178" t="s">
        <v>43</v>
      </c>
      <c r="H1178" t="s">
        <v>27</v>
      </c>
      <c r="I1178" s="1">
        <v>1</v>
      </c>
      <c r="J1178" s="2">
        <v>948.28</v>
      </c>
    </row>
    <row r="1179" spans="2:10" x14ac:dyDescent="0.2">
      <c r="B1179" t="s">
        <v>615</v>
      </c>
      <c r="C1179" t="s">
        <v>236</v>
      </c>
      <c r="D1179" t="s">
        <v>616</v>
      </c>
      <c r="E1179" t="s">
        <v>318</v>
      </c>
      <c r="F1179" t="s">
        <v>319</v>
      </c>
      <c r="G1179" t="s">
        <v>1033</v>
      </c>
      <c r="H1179" t="s">
        <v>30</v>
      </c>
      <c r="I1179" s="1">
        <v>1</v>
      </c>
      <c r="J1179" s="2">
        <v>456.9</v>
      </c>
    </row>
    <row r="1180" spans="2:10" x14ac:dyDescent="0.2">
      <c r="B1180" t="s">
        <v>615</v>
      </c>
      <c r="C1180" t="s">
        <v>236</v>
      </c>
      <c r="D1180" t="s">
        <v>616</v>
      </c>
      <c r="E1180" t="s">
        <v>650</v>
      </c>
      <c r="F1180" t="s">
        <v>651</v>
      </c>
      <c r="G1180" t="s">
        <v>43</v>
      </c>
      <c r="H1180" t="s">
        <v>205</v>
      </c>
      <c r="I1180" s="1">
        <v>1</v>
      </c>
      <c r="J1180" s="2">
        <v>275.86</v>
      </c>
    </row>
    <row r="1181" spans="2:10" x14ac:dyDescent="0.2">
      <c r="B1181" t="s">
        <v>615</v>
      </c>
      <c r="C1181" t="s">
        <v>236</v>
      </c>
      <c r="D1181" t="s">
        <v>616</v>
      </c>
      <c r="E1181" t="s">
        <v>56</v>
      </c>
      <c r="F1181" t="s">
        <v>57</v>
      </c>
      <c r="G1181" t="s">
        <v>1034</v>
      </c>
      <c r="H1181" t="s">
        <v>15</v>
      </c>
      <c r="I1181" s="1">
        <v>1</v>
      </c>
      <c r="J1181" s="2">
        <v>431.03</v>
      </c>
    </row>
    <row r="1182" spans="2:10" x14ac:dyDescent="0.2">
      <c r="B1182" t="s">
        <v>615</v>
      </c>
      <c r="C1182" t="s">
        <v>236</v>
      </c>
      <c r="D1182" t="s">
        <v>616</v>
      </c>
      <c r="E1182" t="s">
        <v>28</v>
      </c>
      <c r="F1182" t="s">
        <v>29</v>
      </c>
      <c r="G1182" t="s">
        <v>1033</v>
      </c>
      <c r="H1182" t="s">
        <v>30</v>
      </c>
      <c r="I1182" s="1">
        <v>1</v>
      </c>
      <c r="J1182" s="2">
        <v>155.16999999999999</v>
      </c>
    </row>
    <row r="1183" spans="2:10" x14ac:dyDescent="0.2">
      <c r="B1183" t="s">
        <v>615</v>
      </c>
      <c r="C1183" t="s">
        <v>237</v>
      </c>
      <c r="D1183" t="s">
        <v>616</v>
      </c>
      <c r="E1183" t="s">
        <v>122</v>
      </c>
      <c r="F1183" t="s">
        <v>123</v>
      </c>
      <c r="G1183" t="s">
        <v>1034</v>
      </c>
      <c r="H1183" t="s">
        <v>15</v>
      </c>
      <c r="I1183" s="1">
        <v>1</v>
      </c>
      <c r="J1183" s="2">
        <v>387.93</v>
      </c>
    </row>
    <row r="1184" spans="2:10" x14ac:dyDescent="0.2">
      <c r="B1184" t="s">
        <v>615</v>
      </c>
      <c r="C1184" t="s">
        <v>237</v>
      </c>
      <c r="D1184" t="s">
        <v>616</v>
      </c>
      <c r="E1184" t="s">
        <v>153</v>
      </c>
      <c r="F1184" t="s">
        <v>154</v>
      </c>
      <c r="G1184" t="s">
        <v>1034</v>
      </c>
      <c r="H1184" t="s">
        <v>15</v>
      </c>
      <c r="I1184" s="1">
        <v>1</v>
      </c>
      <c r="J1184" s="2">
        <v>387.93</v>
      </c>
    </row>
    <row r="1185" spans="2:10" x14ac:dyDescent="0.2">
      <c r="B1185" t="s">
        <v>615</v>
      </c>
      <c r="C1185" t="s">
        <v>237</v>
      </c>
      <c r="D1185" t="s">
        <v>616</v>
      </c>
      <c r="E1185" t="s">
        <v>61</v>
      </c>
      <c r="F1185" t="s">
        <v>62</v>
      </c>
      <c r="G1185" t="s">
        <v>1034</v>
      </c>
      <c r="H1185" t="s">
        <v>15</v>
      </c>
      <c r="I1185" s="1">
        <v>1</v>
      </c>
      <c r="J1185" s="2">
        <v>172.41</v>
      </c>
    </row>
    <row r="1186" spans="2:10" x14ac:dyDescent="0.2">
      <c r="B1186" t="s">
        <v>615</v>
      </c>
      <c r="C1186" t="s">
        <v>237</v>
      </c>
      <c r="D1186" t="s">
        <v>616</v>
      </c>
      <c r="E1186" t="s">
        <v>28</v>
      </c>
      <c r="F1186" t="s">
        <v>29</v>
      </c>
      <c r="G1186" t="s">
        <v>1033</v>
      </c>
      <c r="H1186" t="s">
        <v>30</v>
      </c>
      <c r="I1186" s="1">
        <v>1</v>
      </c>
      <c r="J1186" s="2">
        <v>155.16999999999999</v>
      </c>
    </row>
    <row r="1187" spans="2:10" x14ac:dyDescent="0.2">
      <c r="B1187" t="s">
        <v>615</v>
      </c>
      <c r="C1187" t="s">
        <v>248</v>
      </c>
      <c r="D1187" t="s">
        <v>616</v>
      </c>
      <c r="E1187" t="s">
        <v>169</v>
      </c>
      <c r="F1187" t="s">
        <v>170</v>
      </c>
      <c r="G1187" t="s">
        <v>1033</v>
      </c>
      <c r="H1187" t="s">
        <v>30</v>
      </c>
      <c r="I1187" s="1">
        <v>1</v>
      </c>
      <c r="J1187" s="2">
        <v>258.62</v>
      </c>
    </row>
    <row r="1188" spans="2:10" x14ac:dyDescent="0.2">
      <c r="B1188" t="s">
        <v>615</v>
      </c>
      <c r="C1188" t="s">
        <v>248</v>
      </c>
      <c r="D1188" t="s">
        <v>616</v>
      </c>
      <c r="E1188" t="s">
        <v>214</v>
      </c>
      <c r="F1188" t="s">
        <v>215</v>
      </c>
      <c r="G1188" t="s">
        <v>1034</v>
      </c>
      <c r="H1188" t="s">
        <v>15</v>
      </c>
      <c r="I1188" s="1">
        <v>2</v>
      </c>
      <c r="J1188" s="2">
        <v>603.44000000000005</v>
      </c>
    </row>
    <row r="1189" spans="2:10" x14ac:dyDescent="0.2">
      <c r="B1189" t="s">
        <v>615</v>
      </c>
      <c r="C1189" t="s">
        <v>248</v>
      </c>
      <c r="D1189" t="s">
        <v>616</v>
      </c>
      <c r="E1189" t="s">
        <v>16</v>
      </c>
      <c r="F1189" t="s">
        <v>17</v>
      </c>
      <c r="G1189" t="s">
        <v>1034</v>
      </c>
      <c r="H1189" t="s">
        <v>15</v>
      </c>
      <c r="I1189" s="1">
        <v>1</v>
      </c>
      <c r="J1189" s="2">
        <v>577.59</v>
      </c>
    </row>
    <row r="1190" spans="2:10" x14ac:dyDescent="0.2">
      <c r="B1190" t="s">
        <v>615</v>
      </c>
      <c r="C1190" t="s">
        <v>248</v>
      </c>
      <c r="D1190" t="s">
        <v>616</v>
      </c>
      <c r="E1190" t="s">
        <v>652</v>
      </c>
      <c r="F1190" t="s">
        <v>653</v>
      </c>
      <c r="G1190" t="s">
        <v>54</v>
      </c>
      <c r="H1190" t="s">
        <v>138</v>
      </c>
      <c r="I1190" s="1">
        <v>1</v>
      </c>
      <c r="J1190" s="2">
        <v>133.62</v>
      </c>
    </row>
    <row r="1191" spans="2:10" hidden="1" x14ac:dyDescent="0.2">
      <c r="B1191" t="s">
        <v>654</v>
      </c>
      <c r="C1191" t="s">
        <v>10</v>
      </c>
      <c r="D1191" t="s">
        <v>655</v>
      </c>
      <c r="E1191" t="s">
        <v>44</v>
      </c>
      <c r="F1191" t="s">
        <v>45</v>
      </c>
      <c r="G1191" t="s">
        <v>1033</v>
      </c>
      <c r="H1191" t="s">
        <v>30</v>
      </c>
      <c r="I1191" s="1">
        <v>2</v>
      </c>
      <c r="J1191" s="2">
        <v>163.80000000000001</v>
      </c>
    </row>
    <row r="1192" spans="2:10" hidden="1" x14ac:dyDescent="0.2">
      <c r="B1192" t="s">
        <v>654</v>
      </c>
      <c r="C1192" t="s">
        <v>10</v>
      </c>
      <c r="D1192" t="s">
        <v>655</v>
      </c>
      <c r="E1192" t="s">
        <v>463</v>
      </c>
      <c r="F1192" t="s">
        <v>464</v>
      </c>
      <c r="G1192" t="s">
        <v>14</v>
      </c>
      <c r="H1192" t="s">
        <v>35</v>
      </c>
      <c r="I1192" s="1">
        <v>1</v>
      </c>
      <c r="J1192" s="2">
        <v>77.59</v>
      </c>
    </row>
    <row r="1193" spans="2:10" hidden="1" x14ac:dyDescent="0.2">
      <c r="B1193" t="s">
        <v>654</v>
      </c>
      <c r="C1193" t="s">
        <v>10</v>
      </c>
      <c r="D1193" t="s">
        <v>655</v>
      </c>
      <c r="E1193" t="s">
        <v>72</v>
      </c>
      <c r="F1193" t="s">
        <v>73</v>
      </c>
      <c r="G1193" t="s">
        <v>1034</v>
      </c>
      <c r="H1193" t="s">
        <v>15</v>
      </c>
      <c r="I1193" s="1">
        <v>1</v>
      </c>
      <c r="J1193" s="2">
        <v>775.86</v>
      </c>
    </row>
    <row r="1194" spans="2:10" hidden="1" x14ac:dyDescent="0.2">
      <c r="B1194" t="s">
        <v>654</v>
      </c>
      <c r="C1194" t="s">
        <v>10</v>
      </c>
      <c r="D1194" t="s">
        <v>655</v>
      </c>
      <c r="E1194" t="s">
        <v>656</v>
      </c>
      <c r="F1194" t="s">
        <v>657</v>
      </c>
      <c r="G1194" t="s">
        <v>43</v>
      </c>
      <c r="H1194" t="s">
        <v>50</v>
      </c>
      <c r="I1194" s="1">
        <v>1</v>
      </c>
      <c r="J1194" s="2">
        <v>181.03</v>
      </c>
    </row>
    <row r="1195" spans="2:10" hidden="1" x14ac:dyDescent="0.2">
      <c r="B1195" t="s">
        <v>654</v>
      </c>
      <c r="C1195" t="s">
        <v>18</v>
      </c>
      <c r="D1195" t="s">
        <v>655</v>
      </c>
      <c r="E1195" t="s">
        <v>658</v>
      </c>
      <c r="F1195" t="s">
        <v>659</v>
      </c>
      <c r="G1195" t="s">
        <v>14</v>
      </c>
      <c r="H1195" t="s">
        <v>27</v>
      </c>
      <c r="I1195" s="1">
        <v>1</v>
      </c>
      <c r="J1195" s="2">
        <v>448.28</v>
      </c>
    </row>
    <row r="1196" spans="2:10" hidden="1" x14ac:dyDescent="0.2">
      <c r="B1196" t="s">
        <v>654</v>
      </c>
      <c r="C1196" t="s">
        <v>18</v>
      </c>
      <c r="D1196" t="s">
        <v>655</v>
      </c>
      <c r="E1196" t="s">
        <v>660</v>
      </c>
      <c r="F1196" t="s">
        <v>661</v>
      </c>
      <c r="G1196" t="s">
        <v>14</v>
      </c>
      <c r="H1196" t="s">
        <v>27</v>
      </c>
      <c r="I1196" s="1">
        <v>1</v>
      </c>
      <c r="J1196" s="2">
        <v>448.28</v>
      </c>
    </row>
    <row r="1197" spans="2:10" hidden="1" x14ac:dyDescent="0.2">
      <c r="B1197" t="s">
        <v>654</v>
      </c>
      <c r="C1197" t="s">
        <v>18</v>
      </c>
      <c r="D1197" t="s">
        <v>655</v>
      </c>
      <c r="E1197" t="s">
        <v>44</v>
      </c>
      <c r="F1197" t="s">
        <v>45</v>
      </c>
      <c r="G1197" t="s">
        <v>1033</v>
      </c>
      <c r="H1197" t="s">
        <v>30</v>
      </c>
      <c r="I1197" s="1">
        <v>1</v>
      </c>
      <c r="J1197" s="2">
        <v>81.900000000000006</v>
      </c>
    </row>
    <row r="1198" spans="2:10" hidden="1" x14ac:dyDescent="0.2">
      <c r="B1198" t="s">
        <v>654</v>
      </c>
      <c r="C1198" t="s">
        <v>18</v>
      </c>
      <c r="D1198" t="s">
        <v>655</v>
      </c>
      <c r="E1198" t="s">
        <v>553</v>
      </c>
      <c r="F1198" t="s">
        <v>554</v>
      </c>
      <c r="G1198" t="s">
        <v>1033</v>
      </c>
      <c r="H1198" t="s">
        <v>30</v>
      </c>
      <c r="I1198" s="1">
        <v>1</v>
      </c>
      <c r="J1198" s="2">
        <v>1379.31</v>
      </c>
    </row>
    <row r="1199" spans="2:10" hidden="1" x14ac:dyDescent="0.2">
      <c r="B1199" t="s">
        <v>654</v>
      </c>
      <c r="C1199" t="s">
        <v>18</v>
      </c>
      <c r="D1199" t="s">
        <v>655</v>
      </c>
      <c r="E1199" t="s">
        <v>662</v>
      </c>
      <c r="F1199" t="s">
        <v>663</v>
      </c>
      <c r="G1199" t="s">
        <v>1033</v>
      </c>
      <c r="H1199" t="s">
        <v>30</v>
      </c>
      <c r="I1199" s="1">
        <v>1</v>
      </c>
      <c r="J1199" s="2">
        <v>344.83</v>
      </c>
    </row>
    <row r="1200" spans="2:10" hidden="1" x14ac:dyDescent="0.2">
      <c r="B1200" t="s">
        <v>654</v>
      </c>
      <c r="C1200" t="s">
        <v>18</v>
      </c>
      <c r="D1200" t="s">
        <v>655</v>
      </c>
      <c r="E1200" t="s">
        <v>419</v>
      </c>
      <c r="F1200" t="s">
        <v>420</v>
      </c>
      <c r="G1200" t="s">
        <v>14</v>
      </c>
      <c r="H1200" t="s">
        <v>35</v>
      </c>
      <c r="I1200" s="1">
        <v>1</v>
      </c>
      <c r="J1200" s="2">
        <v>77.59</v>
      </c>
    </row>
    <row r="1201" spans="2:10" hidden="1" x14ac:dyDescent="0.2">
      <c r="B1201" t="s">
        <v>654</v>
      </c>
      <c r="C1201" t="s">
        <v>18</v>
      </c>
      <c r="D1201" t="s">
        <v>655</v>
      </c>
      <c r="E1201" t="s">
        <v>97</v>
      </c>
      <c r="F1201" t="s">
        <v>98</v>
      </c>
      <c r="G1201" t="s">
        <v>1033</v>
      </c>
      <c r="H1201" t="s">
        <v>30</v>
      </c>
      <c r="I1201" s="1">
        <v>1</v>
      </c>
      <c r="J1201" s="2">
        <v>2500</v>
      </c>
    </row>
    <row r="1202" spans="2:10" hidden="1" x14ac:dyDescent="0.2">
      <c r="B1202" t="s">
        <v>654</v>
      </c>
      <c r="C1202" t="s">
        <v>18</v>
      </c>
      <c r="D1202" t="s">
        <v>655</v>
      </c>
      <c r="E1202" t="s">
        <v>316</v>
      </c>
      <c r="F1202" t="s">
        <v>317</v>
      </c>
      <c r="G1202" t="s">
        <v>14</v>
      </c>
      <c r="H1202" t="s">
        <v>27</v>
      </c>
      <c r="I1202" s="1">
        <v>1</v>
      </c>
      <c r="J1202" s="2">
        <v>413.79</v>
      </c>
    </row>
    <row r="1203" spans="2:10" hidden="1" x14ac:dyDescent="0.2">
      <c r="B1203" t="s">
        <v>654</v>
      </c>
      <c r="C1203" t="s">
        <v>18</v>
      </c>
      <c r="D1203" t="s">
        <v>655</v>
      </c>
      <c r="E1203" t="s">
        <v>122</v>
      </c>
      <c r="F1203" t="s">
        <v>123</v>
      </c>
      <c r="G1203" t="s">
        <v>1034</v>
      </c>
      <c r="H1203" t="s">
        <v>15</v>
      </c>
      <c r="I1203" s="1">
        <v>1</v>
      </c>
      <c r="J1203" s="2">
        <v>387.93</v>
      </c>
    </row>
    <row r="1204" spans="2:10" hidden="1" x14ac:dyDescent="0.2">
      <c r="B1204" t="s">
        <v>654</v>
      </c>
      <c r="C1204" t="s">
        <v>18</v>
      </c>
      <c r="D1204" t="s">
        <v>655</v>
      </c>
      <c r="E1204" t="s">
        <v>521</v>
      </c>
      <c r="F1204" t="s">
        <v>522</v>
      </c>
      <c r="G1204" t="s">
        <v>14</v>
      </c>
      <c r="H1204" t="s">
        <v>104</v>
      </c>
      <c r="I1204" s="1">
        <v>5</v>
      </c>
      <c r="J1204" s="2">
        <v>107.75</v>
      </c>
    </row>
    <row r="1205" spans="2:10" hidden="1" x14ac:dyDescent="0.2">
      <c r="B1205" t="s">
        <v>654</v>
      </c>
      <c r="C1205" t="s">
        <v>18</v>
      </c>
      <c r="D1205" t="s">
        <v>655</v>
      </c>
      <c r="E1205" t="s">
        <v>63</v>
      </c>
      <c r="F1205" t="s">
        <v>64</v>
      </c>
      <c r="G1205" t="s">
        <v>1034</v>
      </c>
      <c r="H1205" t="s">
        <v>15</v>
      </c>
      <c r="I1205" s="1">
        <v>1</v>
      </c>
      <c r="J1205" s="2">
        <v>172.41</v>
      </c>
    </row>
    <row r="1206" spans="2:10" hidden="1" x14ac:dyDescent="0.2">
      <c r="B1206" t="s">
        <v>654</v>
      </c>
      <c r="C1206" t="s">
        <v>18</v>
      </c>
      <c r="D1206" t="s">
        <v>655</v>
      </c>
      <c r="E1206" t="s">
        <v>16</v>
      </c>
      <c r="F1206" t="s">
        <v>17</v>
      </c>
      <c r="G1206" t="s">
        <v>1034</v>
      </c>
      <c r="H1206" t="s">
        <v>15</v>
      </c>
      <c r="I1206" s="1">
        <v>1</v>
      </c>
      <c r="J1206" s="2">
        <v>577.59</v>
      </c>
    </row>
    <row r="1207" spans="2:10" hidden="1" x14ac:dyDescent="0.2">
      <c r="B1207" t="s">
        <v>654</v>
      </c>
      <c r="C1207" t="s">
        <v>18</v>
      </c>
      <c r="D1207" t="s">
        <v>655</v>
      </c>
      <c r="E1207" t="s">
        <v>472</v>
      </c>
      <c r="F1207" t="s">
        <v>473</v>
      </c>
      <c r="G1207" t="s">
        <v>14</v>
      </c>
      <c r="H1207" t="s">
        <v>200</v>
      </c>
      <c r="I1207" s="1">
        <v>1</v>
      </c>
      <c r="J1207" s="2">
        <v>517.24</v>
      </c>
    </row>
    <row r="1208" spans="2:10" hidden="1" x14ac:dyDescent="0.2">
      <c r="B1208" t="s">
        <v>654</v>
      </c>
      <c r="C1208" t="s">
        <v>18</v>
      </c>
      <c r="D1208" t="s">
        <v>655</v>
      </c>
      <c r="E1208" t="s">
        <v>559</v>
      </c>
      <c r="F1208" t="s">
        <v>664</v>
      </c>
      <c r="G1208" t="s">
        <v>1033</v>
      </c>
      <c r="H1208" t="s">
        <v>30</v>
      </c>
      <c r="I1208" s="1">
        <v>1</v>
      </c>
      <c r="J1208" s="2">
        <v>551.72</v>
      </c>
    </row>
    <row r="1209" spans="2:10" hidden="1" x14ac:dyDescent="0.2">
      <c r="B1209" t="s">
        <v>654</v>
      </c>
      <c r="C1209" t="s">
        <v>40</v>
      </c>
      <c r="D1209" t="s">
        <v>655</v>
      </c>
      <c r="E1209" t="s">
        <v>41</v>
      </c>
      <c r="F1209" t="s">
        <v>42</v>
      </c>
      <c r="G1209" t="s">
        <v>1033</v>
      </c>
      <c r="H1209" t="s">
        <v>30</v>
      </c>
      <c r="I1209" s="1">
        <v>1</v>
      </c>
      <c r="J1209" s="2">
        <v>34.479999999999997</v>
      </c>
    </row>
    <row r="1210" spans="2:10" hidden="1" x14ac:dyDescent="0.2">
      <c r="B1210" t="s">
        <v>654</v>
      </c>
      <c r="C1210" t="s">
        <v>40</v>
      </c>
      <c r="D1210" t="s">
        <v>655</v>
      </c>
      <c r="E1210" t="s">
        <v>553</v>
      </c>
      <c r="F1210" t="s">
        <v>554</v>
      </c>
      <c r="G1210" t="s">
        <v>1033</v>
      </c>
      <c r="H1210" t="s">
        <v>30</v>
      </c>
      <c r="I1210" s="1">
        <v>1</v>
      </c>
      <c r="J1210" s="2">
        <v>1379.31</v>
      </c>
    </row>
    <row r="1211" spans="2:10" hidden="1" x14ac:dyDescent="0.2">
      <c r="B1211" t="s">
        <v>654</v>
      </c>
      <c r="C1211" t="s">
        <v>40</v>
      </c>
      <c r="D1211" t="s">
        <v>655</v>
      </c>
      <c r="E1211" t="s">
        <v>368</v>
      </c>
      <c r="F1211" t="s">
        <v>369</v>
      </c>
      <c r="G1211" t="s">
        <v>1033</v>
      </c>
      <c r="H1211" t="s">
        <v>30</v>
      </c>
      <c r="I1211" s="1">
        <v>1</v>
      </c>
      <c r="J1211" s="2">
        <v>612.07000000000005</v>
      </c>
    </row>
    <row r="1212" spans="2:10" hidden="1" x14ac:dyDescent="0.2">
      <c r="B1212" t="s">
        <v>654</v>
      </c>
      <c r="C1212" t="s">
        <v>40</v>
      </c>
      <c r="D1212" t="s">
        <v>655</v>
      </c>
      <c r="E1212" t="s">
        <v>605</v>
      </c>
      <c r="F1212" t="s">
        <v>606</v>
      </c>
      <c r="G1212" t="s">
        <v>1033</v>
      </c>
      <c r="H1212" t="s">
        <v>30</v>
      </c>
      <c r="I1212" s="1">
        <v>1</v>
      </c>
      <c r="J1212" s="2">
        <v>465.52</v>
      </c>
    </row>
    <row r="1213" spans="2:10" hidden="1" x14ac:dyDescent="0.2">
      <c r="B1213" t="s">
        <v>654</v>
      </c>
      <c r="C1213" t="s">
        <v>40</v>
      </c>
      <c r="D1213" t="s">
        <v>655</v>
      </c>
      <c r="E1213" t="s">
        <v>253</v>
      </c>
      <c r="F1213" t="s">
        <v>254</v>
      </c>
      <c r="G1213" t="s">
        <v>1034</v>
      </c>
      <c r="H1213" t="s">
        <v>15</v>
      </c>
      <c r="I1213" s="1">
        <v>1</v>
      </c>
      <c r="J1213" s="2">
        <v>775.86</v>
      </c>
    </row>
    <row r="1214" spans="2:10" hidden="1" x14ac:dyDescent="0.2">
      <c r="B1214" t="s">
        <v>654</v>
      </c>
      <c r="C1214" t="s">
        <v>40</v>
      </c>
      <c r="D1214" t="s">
        <v>655</v>
      </c>
      <c r="E1214" t="s">
        <v>72</v>
      </c>
      <c r="F1214" t="s">
        <v>73</v>
      </c>
      <c r="G1214" t="s">
        <v>1034</v>
      </c>
      <c r="H1214" t="s">
        <v>15</v>
      </c>
      <c r="I1214" s="1">
        <v>1</v>
      </c>
      <c r="J1214" s="2">
        <v>775.86</v>
      </c>
    </row>
    <row r="1215" spans="2:10" hidden="1" x14ac:dyDescent="0.2">
      <c r="B1215" t="s">
        <v>654</v>
      </c>
      <c r="C1215" t="s">
        <v>40</v>
      </c>
      <c r="D1215" t="s">
        <v>655</v>
      </c>
      <c r="E1215" t="s">
        <v>63</v>
      </c>
      <c r="F1215" t="s">
        <v>64</v>
      </c>
      <c r="G1215" t="s">
        <v>1034</v>
      </c>
      <c r="H1215" t="s">
        <v>15</v>
      </c>
      <c r="I1215" s="1">
        <v>1</v>
      </c>
      <c r="J1215" s="2">
        <v>172.41</v>
      </c>
    </row>
    <row r="1216" spans="2:10" hidden="1" x14ac:dyDescent="0.2">
      <c r="B1216" t="s">
        <v>654</v>
      </c>
      <c r="C1216" t="s">
        <v>40</v>
      </c>
      <c r="D1216" t="s">
        <v>655</v>
      </c>
      <c r="E1216" t="s">
        <v>348</v>
      </c>
      <c r="F1216" t="s">
        <v>349</v>
      </c>
      <c r="G1216" t="s">
        <v>1034</v>
      </c>
      <c r="H1216" t="s">
        <v>15</v>
      </c>
      <c r="I1216" s="1">
        <v>1</v>
      </c>
      <c r="J1216" s="2">
        <v>241.38</v>
      </c>
    </row>
    <row r="1217" spans="2:10" hidden="1" x14ac:dyDescent="0.2">
      <c r="B1217" t="s">
        <v>654</v>
      </c>
      <c r="C1217" t="s">
        <v>51</v>
      </c>
      <c r="D1217" t="s">
        <v>655</v>
      </c>
      <c r="E1217" t="s">
        <v>318</v>
      </c>
      <c r="F1217" t="s">
        <v>319</v>
      </c>
      <c r="G1217" t="s">
        <v>1033</v>
      </c>
      <c r="H1217" t="s">
        <v>30</v>
      </c>
      <c r="I1217" s="1">
        <v>1</v>
      </c>
      <c r="J1217" s="2">
        <v>456.9</v>
      </c>
    </row>
    <row r="1218" spans="2:10" hidden="1" x14ac:dyDescent="0.2">
      <c r="B1218" t="s">
        <v>654</v>
      </c>
      <c r="C1218" t="s">
        <v>51</v>
      </c>
      <c r="D1218" t="s">
        <v>655</v>
      </c>
      <c r="E1218" t="s">
        <v>19</v>
      </c>
      <c r="F1218" t="s">
        <v>20</v>
      </c>
      <c r="G1218" t="s">
        <v>14</v>
      </c>
      <c r="H1218" t="s">
        <v>21</v>
      </c>
      <c r="I1218" s="1">
        <v>1</v>
      </c>
      <c r="J1218" s="2">
        <v>431.04</v>
      </c>
    </row>
    <row r="1219" spans="2:10" hidden="1" x14ac:dyDescent="0.2">
      <c r="B1219" t="s">
        <v>654</v>
      </c>
      <c r="C1219" t="s">
        <v>51</v>
      </c>
      <c r="D1219" t="s">
        <v>655</v>
      </c>
      <c r="E1219" t="s">
        <v>173</v>
      </c>
      <c r="F1219" t="s">
        <v>174</v>
      </c>
      <c r="G1219" t="s">
        <v>14</v>
      </c>
      <c r="H1219" t="s">
        <v>35</v>
      </c>
      <c r="I1219" s="1">
        <v>1</v>
      </c>
      <c r="J1219" s="2">
        <v>60.34</v>
      </c>
    </row>
    <row r="1220" spans="2:10" hidden="1" x14ac:dyDescent="0.2">
      <c r="B1220" t="s">
        <v>654</v>
      </c>
      <c r="C1220" t="s">
        <v>51</v>
      </c>
      <c r="D1220" t="s">
        <v>655</v>
      </c>
      <c r="E1220" t="s">
        <v>16</v>
      </c>
      <c r="F1220" t="s">
        <v>17</v>
      </c>
      <c r="G1220" t="s">
        <v>1034</v>
      </c>
      <c r="H1220" t="s">
        <v>15</v>
      </c>
      <c r="I1220" s="1">
        <v>6</v>
      </c>
      <c r="J1220" s="2">
        <v>3465.54</v>
      </c>
    </row>
    <row r="1221" spans="2:10" hidden="1" x14ac:dyDescent="0.2">
      <c r="B1221" t="s">
        <v>654</v>
      </c>
      <c r="C1221" t="s">
        <v>65</v>
      </c>
      <c r="D1221" t="s">
        <v>655</v>
      </c>
      <c r="E1221" t="s">
        <v>44</v>
      </c>
      <c r="F1221" t="s">
        <v>45</v>
      </c>
      <c r="G1221" t="s">
        <v>1033</v>
      </c>
      <c r="H1221" t="s">
        <v>30</v>
      </c>
      <c r="I1221" s="1">
        <v>1</v>
      </c>
      <c r="J1221" s="2">
        <v>81.900000000000006</v>
      </c>
    </row>
    <row r="1222" spans="2:10" hidden="1" x14ac:dyDescent="0.2">
      <c r="B1222" t="s">
        <v>654</v>
      </c>
      <c r="C1222" t="s">
        <v>65</v>
      </c>
      <c r="D1222" t="s">
        <v>655</v>
      </c>
      <c r="E1222" t="s">
        <v>70</v>
      </c>
      <c r="F1222" t="s">
        <v>71</v>
      </c>
      <c r="G1222" t="s">
        <v>1033</v>
      </c>
      <c r="H1222" t="s">
        <v>30</v>
      </c>
      <c r="I1222" s="1">
        <v>1</v>
      </c>
      <c r="J1222" s="2">
        <v>2112.0700000000002</v>
      </c>
    </row>
    <row r="1223" spans="2:10" hidden="1" x14ac:dyDescent="0.2">
      <c r="B1223" t="s">
        <v>654</v>
      </c>
      <c r="C1223" t="s">
        <v>65</v>
      </c>
      <c r="D1223" t="s">
        <v>655</v>
      </c>
      <c r="E1223" t="s">
        <v>221</v>
      </c>
      <c r="F1223" t="s">
        <v>222</v>
      </c>
      <c r="G1223" t="s">
        <v>1034</v>
      </c>
      <c r="H1223" t="s">
        <v>15</v>
      </c>
      <c r="I1223" s="1">
        <v>2</v>
      </c>
      <c r="J1223" s="2">
        <v>862.06</v>
      </c>
    </row>
    <row r="1224" spans="2:10" hidden="1" x14ac:dyDescent="0.2">
      <c r="B1224" t="s">
        <v>654</v>
      </c>
      <c r="C1224" t="s">
        <v>65</v>
      </c>
      <c r="D1224" t="s">
        <v>655</v>
      </c>
      <c r="E1224" t="s">
        <v>336</v>
      </c>
      <c r="F1224" t="s">
        <v>337</v>
      </c>
      <c r="G1224" t="s">
        <v>1034</v>
      </c>
      <c r="H1224" t="s">
        <v>15</v>
      </c>
      <c r="I1224" s="1">
        <v>1</v>
      </c>
      <c r="J1224" s="2">
        <v>387.93</v>
      </c>
    </row>
    <row r="1225" spans="2:10" hidden="1" x14ac:dyDescent="0.2">
      <c r="B1225" t="s">
        <v>654</v>
      </c>
      <c r="C1225" t="s">
        <v>65</v>
      </c>
      <c r="D1225" t="s">
        <v>655</v>
      </c>
      <c r="E1225" t="s">
        <v>406</v>
      </c>
      <c r="F1225" t="s">
        <v>407</v>
      </c>
      <c r="G1225" t="s">
        <v>14</v>
      </c>
      <c r="H1225" t="s">
        <v>104</v>
      </c>
      <c r="I1225" s="1">
        <v>6</v>
      </c>
      <c r="J1225" s="2">
        <v>103.44</v>
      </c>
    </row>
    <row r="1226" spans="2:10" hidden="1" x14ac:dyDescent="0.2">
      <c r="B1226" t="s">
        <v>654</v>
      </c>
      <c r="C1226" t="s">
        <v>65</v>
      </c>
      <c r="D1226" t="s">
        <v>655</v>
      </c>
      <c r="E1226" t="s">
        <v>665</v>
      </c>
      <c r="F1226" t="s">
        <v>666</v>
      </c>
      <c r="G1226" t="s">
        <v>1033</v>
      </c>
      <c r="H1226" t="s">
        <v>30</v>
      </c>
      <c r="I1226" s="1">
        <v>1</v>
      </c>
      <c r="J1226" s="2">
        <v>646.54999999999995</v>
      </c>
    </row>
    <row r="1227" spans="2:10" hidden="1" x14ac:dyDescent="0.2">
      <c r="B1227" t="s">
        <v>654</v>
      </c>
      <c r="C1227" t="s">
        <v>65</v>
      </c>
      <c r="D1227" t="s">
        <v>655</v>
      </c>
      <c r="E1227" t="s">
        <v>28</v>
      </c>
      <c r="F1227" t="s">
        <v>29</v>
      </c>
      <c r="G1227" t="s">
        <v>1033</v>
      </c>
      <c r="H1227" t="s">
        <v>30</v>
      </c>
      <c r="I1227" s="1">
        <v>1</v>
      </c>
      <c r="J1227" s="2">
        <v>155.16999999999999</v>
      </c>
    </row>
    <row r="1228" spans="2:10" hidden="1" x14ac:dyDescent="0.2">
      <c r="B1228" t="s">
        <v>654</v>
      </c>
      <c r="C1228" t="s">
        <v>82</v>
      </c>
      <c r="D1228" t="s">
        <v>655</v>
      </c>
      <c r="E1228" t="s">
        <v>66</v>
      </c>
      <c r="F1228" t="s">
        <v>67</v>
      </c>
      <c r="G1228" t="s">
        <v>1033</v>
      </c>
      <c r="H1228" t="s">
        <v>30</v>
      </c>
      <c r="I1228" s="1">
        <v>1</v>
      </c>
      <c r="J1228" s="2">
        <v>1681.03</v>
      </c>
    </row>
    <row r="1229" spans="2:10" hidden="1" x14ac:dyDescent="0.2">
      <c r="B1229" t="s">
        <v>654</v>
      </c>
      <c r="C1229" t="s">
        <v>82</v>
      </c>
      <c r="D1229" t="s">
        <v>655</v>
      </c>
      <c r="E1229" t="s">
        <v>263</v>
      </c>
      <c r="F1229" t="s">
        <v>264</v>
      </c>
      <c r="G1229" t="s">
        <v>14</v>
      </c>
      <c r="H1229" t="s">
        <v>35</v>
      </c>
      <c r="I1229" s="1">
        <v>1</v>
      </c>
      <c r="J1229" s="2">
        <v>77.59</v>
      </c>
    </row>
    <row r="1230" spans="2:10" hidden="1" x14ac:dyDescent="0.2">
      <c r="B1230" t="s">
        <v>654</v>
      </c>
      <c r="C1230" t="s">
        <v>82</v>
      </c>
      <c r="D1230" t="s">
        <v>655</v>
      </c>
      <c r="E1230" t="s">
        <v>529</v>
      </c>
      <c r="F1230" t="s">
        <v>530</v>
      </c>
      <c r="G1230" t="s">
        <v>14</v>
      </c>
      <c r="H1230" t="s">
        <v>35</v>
      </c>
      <c r="I1230" s="1">
        <v>1</v>
      </c>
      <c r="J1230" s="2">
        <v>77.59</v>
      </c>
    </row>
    <row r="1231" spans="2:10" hidden="1" x14ac:dyDescent="0.2">
      <c r="B1231" t="s">
        <v>654</v>
      </c>
      <c r="C1231" t="s">
        <v>82</v>
      </c>
      <c r="D1231" t="s">
        <v>655</v>
      </c>
      <c r="E1231" t="s">
        <v>97</v>
      </c>
      <c r="F1231" t="s">
        <v>98</v>
      </c>
      <c r="G1231" t="s">
        <v>1033</v>
      </c>
      <c r="H1231" t="s">
        <v>30</v>
      </c>
      <c r="I1231" s="1">
        <v>1</v>
      </c>
      <c r="J1231" s="2">
        <v>2500</v>
      </c>
    </row>
    <row r="1232" spans="2:10" hidden="1" x14ac:dyDescent="0.2">
      <c r="B1232" t="s">
        <v>654</v>
      </c>
      <c r="C1232" t="s">
        <v>82</v>
      </c>
      <c r="D1232" t="s">
        <v>655</v>
      </c>
      <c r="E1232" t="s">
        <v>253</v>
      </c>
      <c r="F1232" t="s">
        <v>254</v>
      </c>
      <c r="G1232" t="s">
        <v>1034</v>
      </c>
      <c r="H1232" t="s">
        <v>15</v>
      </c>
      <c r="I1232" s="1">
        <v>1</v>
      </c>
      <c r="J1232" s="2">
        <v>775.86</v>
      </c>
    </row>
    <row r="1233" spans="2:10" hidden="1" x14ac:dyDescent="0.2">
      <c r="B1233" t="s">
        <v>654</v>
      </c>
      <c r="C1233" t="s">
        <v>82</v>
      </c>
      <c r="D1233" t="s">
        <v>655</v>
      </c>
      <c r="E1233" t="s">
        <v>72</v>
      </c>
      <c r="F1233" t="s">
        <v>73</v>
      </c>
      <c r="G1233" t="s">
        <v>1034</v>
      </c>
      <c r="H1233" t="s">
        <v>15</v>
      </c>
      <c r="I1233" s="1">
        <v>1</v>
      </c>
      <c r="J1233" s="2">
        <v>775.86</v>
      </c>
    </row>
    <row r="1234" spans="2:10" hidden="1" x14ac:dyDescent="0.2">
      <c r="B1234" t="s">
        <v>654</v>
      </c>
      <c r="C1234" t="s">
        <v>82</v>
      </c>
      <c r="D1234" t="s">
        <v>655</v>
      </c>
      <c r="E1234" t="s">
        <v>273</v>
      </c>
      <c r="F1234" t="s">
        <v>274</v>
      </c>
      <c r="G1234" t="s">
        <v>1033</v>
      </c>
      <c r="H1234" t="s">
        <v>30</v>
      </c>
      <c r="I1234" s="1">
        <v>1</v>
      </c>
      <c r="J1234" s="2">
        <v>1293.0999999999999</v>
      </c>
    </row>
    <row r="1235" spans="2:10" hidden="1" x14ac:dyDescent="0.2">
      <c r="B1235" t="s">
        <v>654</v>
      </c>
      <c r="C1235" t="s">
        <v>82</v>
      </c>
      <c r="D1235" t="s">
        <v>655</v>
      </c>
      <c r="E1235" t="s">
        <v>79</v>
      </c>
      <c r="F1235" t="s">
        <v>80</v>
      </c>
      <c r="G1235" t="s">
        <v>43</v>
      </c>
      <c r="H1235" t="s">
        <v>81</v>
      </c>
      <c r="I1235" s="1">
        <v>1</v>
      </c>
      <c r="J1235" s="2">
        <v>1810.34</v>
      </c>
    </row>
    <row r="1236" spans="2:10" hidden="1" x14ac:dyDescent="0.2">
      <c r="B1236" t="s">
        <v>654</v>
      </c>
      <c r="C1236" t="s">
        <v>117</v>
      </c>
      <c r="D1236" t="s">
        <v>655</v>
      </c>
      <c r="E1236" t="s">
        <v>44</v>
      </c>
      <c r="F1236" t="s">
        <v>45</v>
      </c>
      <c r="G1236" t="s">
        <v>1033</v>
      </c>
      <c r="H1236" t="s">
        <v>30</v>
      </c>
      <c r="I1236" s="1">
        <v>2</v>
      </c>
      <c r="J1236" s="2">
        <v>163.80000000000001</v>
      </c>
    </row>
    <row r="1237" spans="2:10" hidden="1" x14ac:dyDescent="0.2">
      <c r="B1237" t="s">
        <v>654</v>
      </c>
      <c r="C1237" t="s">
        <v>117</v>
      </c>
      <c r="D1237" t="s">
        <v>655</v>
      </c>
      <c r="E1237" t="s">
        <v>566</v>
      </c>
      <c r="F1237" t="s">
        <v>567</v>
      </c>
      <c r="G1237" t="s">
        <v>14</v>
      </c>
      <c r="H1237" t="s">
        <v>35</v>
      </c>
      <c r="I1237" s="1">
        <v>1</v>
      </c>
      <c r="J1237" s="2">
        <v>77.59</v>
      </c>
    </row>
    <row r="1238" spans="2:10" hidden="1" x14ac:dyDescent="0.2">
      <c r="B1238" t="s">
        <v>654</v>
      </c>
      <c r="C1238" t="s">
        <v>117</v>
      </c>
      <c r="D1238" t="s">
        <v>655</v>
      </c>
      <c r="E1238" t="s">
        <v>212</v>
      </c>
      <c r="F1238" t="s">
        <v>213</v>
      </c>
      <c r="G1238" t="s">
        <v>14</v>
      </c>
      <c r="H1238" t="s">
        <v>35</v>
      </c>
      <c r="I1238" s="1">
        <v>1</v>
      </c>
      <c r="J1238" s="2">
        <v>77.59</v>
      </c>
    </row>
    <row r="1239" spans="2:10" hidden="1" x14ac:dyDescent="0.2">
      <c r="B1239" t="s">
        <v>654</v>
      </c>
      <c r="C1239" t="s">
        <v>117</v>
      </c>
      <c r="D1239" t="s">
        <v>655</v>
      </c>
      <c r="E1239" t="s">
        <v>221</v>
      </c>
      <c r="F1239" t="s">
        <v>222</v>
      </c>
      <c r="G1239" t="s">
        <v>1034</v>
      </c>
      <c r="H1239" t="s">
        <v>15</v>
      </c>
      <c r="I1239" s="1">
        <v>1</v>
      </c>
      <c r="J1239" s="2">
        <v>431.03</v>
      </c>
    </row>
    <row r="1240" spans="2:10" hidden="1" x14ac:dyDescent="0.2">
      <c r="B1240" t="s">
        <v>654</v>
      </c>
      <c r="C1240" t="s">
        <v>117</v>
      </c>
      <c r="D1240" t="s">
        <v>655</v>
      </c>
      <c r="E1240" t="s">
        <v>667</v>
      </c>
      <c r="F1240" t="s">
        <v>668</v>
      </c>
      <c r="G1240" t="s">
        <v>1033</v>
      </c>
      <c r="H1240" t="s">
        <v>30</v>
      </c>
      <c r="I1240" s="1">
        <v>1</v>
      </c>
      <c r="J1240" s="2">
        <v>310.33999999999997</v>
      </c>
    </row>
    <row r="1241" spans="2:10" hidden="1" x14ac:dyDescent="0.2">
      <c r="B1241" t="s">
        <v>654</v>
      </c>
      <c r="C1241" t="s">
        <v>117</v>
      </c>
      <c r="D1241" t="s">
        <v>655</v>
      </c>
      <c r="E1241" t="s">
        <v>521</v>
      </c>
      <c r="F1241" t="s">
        <v>522</v>
      </c>
      <c r="G1241" t="s">
        <v>14</v>
      </c>
      <c r="H1241" t="s">
        <v>104</v>
      </c>
      <c r="I1241" s="1">
        <v>5</v>
      </c>
      <c r="J1241" s="2">
        <v>107.75</v>
      </c>
    </row>
    <row r="1242" spans="2:10" hidden="1" x14ac:dyDescent="0.2">
      <c r="B1242" t="s">
        <v>654</v>
      </c>
      <c r="C1242" t="s">
        <v>117</v>
      </c>
      <c r="D1242" t="s">
        <v>655</v>
      </c>
      <c r="E1242" t="s">
        <v>63</v>
      </c>
      <c r="F1242" t="s">
        <v>64</v>
      </c>
      <c r="G1242" t="s">
        <v>1034</v>
      </c>
      <c r="H1242" t="s">
        <v>15</v>
      </c>
      <c r="I1242" s="1">
        <v>1</v>
      </c>
      <c r="J1242" s="2">
        <v>172.41</v>
      </c>
    </row>
    <row r="1243" spans="2:10" hidden="1" x14ac:dyDescent="0.2">
      <c r="B1243" t="s">
        <v>654</v>
      </c>
      <c r="C1243" t="s">
        <v>134</v>
      </c>
      <c r="D1243" t="s">
        <v>655</v>
      </c>
      <c r="E1243" t="s">
        <v>573</v>
      </c>
      <c r="F1243" t="s">
        <v>574</v>
      </c>
      <c r="G1243" t="s">
        <v>1033</v>
      </c>
      <c r="H1243" t="s">
        <v>30</v>
      </c>
      <c r="I1243" s="1">
        <v>1</v>
      </c>
      <c r="J1243" s="2">
        <v>775.86</v>
      </c>
    </row>
    <row r="1244" spans="2:10" hidden="1" x14ac:dyDescent="0.2">
      <c r="B1244" t="s">
        <v>654</v>
      </c>
      <c r="C1244" t="s">
        <v>134</v>
      </c>
      <c r="D1244" t="s">
        <v>655</v>
      </c>
      <c r="E1244" t="s">
        <v>12</v>
      </c>
      <c r="F1244" t="s">
        <v>13</v>
      </c>
      <c r="G1244" t="s">
        <v>1034</v>
      </c>
      <c r="H1244" t="s">
        <v>15</v>
      </c>
      <c r="I1244" s="1">
        <v>1</v>
      </c>
      <c r="J1244" s="2">
        <v>1077.5899999999999</v>
      </c>
    </row>
    <row r="1245" spans="2:10" hidden="1" x14ac:dyDescent="0.2">
      <c r="B1245" t="s">
        <v>654</v>
      </c>
      <c r="C1245" t="s">
        <v>135</v>
      </c>
      <c r="D1245" t="s">
        <v>655</v>
      </c>
      <c r="E1245" t="s">
        <v>669</v>
      </c>
      <c r="F1245" t="s">
        <v>670</v>
      </c>
      <c r="G1245" t="s">
        <v>14</v>
      </c>
      <c r="H1245" t="s">
        <v>27</v>
      </c>
      <c r="I1245" s="1">
        <v>1</v>
      </c>
      <c r="J1245" s="2">
        <v>448.28</v>
      </c>
    </row>
    <row r="1246" spans="2:10" hidden="1" x14ac:dyDescent="0.2">
      <c r="B1246" t="s">
        <v>654</v>
      </c>
      <c r="C1246" t="s">
        <v>135</v>
      </c>
      <c r="D1246" t="s">
        <v>655</v>
      </c>
      <c r="E1246" t="s">
        <v>637</v>
      </c>
      <c r="F1246" t="s">
        <v>638</v>
      </c>
      <c r="G1246" t="s">
        <v>1033</v>
      </c>
      <c r="H1246" t="s">
        <v>30</v>
      </c>
      <c r="I1246" s="1">
        <v>1</v>
      </c>
      <c r="J1246" s="2">
        <v>689.66</v>
      </c>
    </row>
    <row r="1247" spans="2:10" hidden="1" x14ac:dyDescent="0.2">
      <c r="B1247" t="s">
        <v>654</v>
      </c>
      <c r="C1247" t="s">
        <v>135</v>
      </c>
      <c r="D1247" t="s">
        <v>655</v>
      </c>
      <c r="E1247" t="s">
        <v>41</v>
      </c>
      <c r="F1247" t="s">
        <v>42</v>
      </c>
      <c r="G1247" t="s">
        <v>1033</v>
      </c>
      <c r="H1247" t="s">
        <v>30</v>
      </c>
      <c r="I1247" s="1">
        <v>1</v>
      </c>
      <c r="J1247" s="2">
        <v>34.479999999999997</v>
      </c>
    </row>
    <row r="1248" spans="2:10" hidden="1" x14ac:dyDescent="0.2">
      <c r="B1248" t="s">
        <v>654</v>
      </c>
      <c r="C1248" t="s">
        <v>135</v>
      </c>
      <c r="D1248" t="s">
        <v>655</v>
      </c>
      <c r="E1248" t="s">
        <v>44</v>
      </c>
      <c r="F1248" t="s">
        <v>45</v>
      </c>
      <c r="G1248" t="s">
        <v>1033</v>
      </c>
      <c r="H1248" t="s">
        <v>30</v>
      </c>
      <c r="I1248" s="1">
        <v>1</v>
      </c>
      <c r="J1248" s="2">
        <v>81.900000000000006</v>
      </c>
    </row>
    <row r="1249" spans="2:10" hidden="1" x14ac:dyDescent="0.2">
      <c r="B1249" t="s">
        <v>654</v>
      </c>
      <c r="C1249" t="s">
        <v>135</v>
      </c>
      <c r="D1249" t="s">
        <v>655</v>
      </c>
      <c r="E1249" t="s">
        <v>463</v>
      </c>
      <c r="F1249" t="s">
        <v>464</v>
      </c>
      <c r="G1249" t="s">
        <v>14</v>
      </c>
      <c r="H1249" t="s">
        <v>35</v>
      </c>
      <c r="I1249" s="1">
        <v>1</v>
      </c>
      <c r="J1249" s="2">
        <v>77.59</v>
      </c>
    </row>
    <row r="1250" spans="2:10" hidden="1" x14ac:dyDescent="0.2">
      <c r="B1250" t="s">
        <v>654</v>
      </c>
      <c r="C1250" t="s">
        <v>135</v>
      </c>
      <c r="D1250" t="s">
        <v>655</v>
      </c>
      <c r="E1250" t="s">
        <v>671</v>
      </c>
      <c r="F1250" t="s">
        <v>672</v>
      </c>
      <c r="G1250" t="s">
        <v>14</v>
      </c>
      <c r="H1250" t="s">
        <v>35</v>
      </c>
      <c r="I1250" s="1">
        <v>1</v>
      </c>
      <c r="J1250" s="2">
        <v>77.59</v>
      </c>
    </row>
    <row r="1251" spans="2:10" hidden="1" x14ac:dyDescent="0.2">
      <c r="B1251" t="s">
        <v>654</v>
      </c>
      <c r="C1251" t="s">
        <v>135</v>
      </c>
      <c r="D1251" t="s">
        <v>655</v>
      </c>
      <c r="E1251" t="s">
        <v>83</v>
      </c>
      <c r="F1251" t="s">
        <v>84</v>
      </c>
      <c r="G1251" t="s">
        <v>1034</v>
      </c>
      <c r="H1251" t="s">
        <v>15</v>
      </c>
      <c r="I1251" s="1">
        <v>1</v>
      </c>
      <c r="J1251" s="2">
        <v>387.93</v>
      </c>
    </row>
    <row r="1252" spans="2:10" hidden="1" x14ac:dyDescent="0.2">
      <c r="B1252" t="s">
        <v>654</v>
      </c>
      <c r="C1252" t="s">
        <v>135</v>
      </c>
      <c r="D1252" t="s">
        <v>655</v>
      </c>
      <c r="E1252" t="s">
        <v>269</v>
      </c>
      <c r="F1252" t="s">
        <v>270</v>
      </c>
      <c r="G1252" t="s">
        <v>1033</v>
      </c>
      <c r="H1252" t="s">
        <v>30</v>
      </c>
      <c r="I1252" s="1">
        <v>1</v>
      </c>
      <c r="J1252" s="2">
        <v>948.28</v>
      </c>
    </row>
    <row r="1253" spans="2:10" hidden="1" x14ac:dyDescent="0.2">
      <c r="B1253" t="s">
        <v>654</v>
      </c>
      <c r="C1253" t="s">
        <v>135</v>
      </c>
      <c r="D1253" t="s">
        <v>655</v>
      </c>
      <c r="E1253" t="s">
        <v>16</v>
      </c>
      <c r="F1253" t="s">
        <v>17</v>
      </c>
      <c r="G1253" t="s">
        <v>1034</v>
      </c>
      <c r="H1253" t="s">
        <v>15</v>
      </c>
      <c r="I1253" s="1">
        <v>2</v>
      </c>
      <c r="J1253" s="2">
        <v>1155.18</v>
      </c>
    </row>
    <row r="1254" spans="2:10" hidden="1" x14ac:dyDescent="0.2">
      <c r="B1254" t="s">
        <v>654</v>
      </c>
      <c r="C1254" t="s">
        <v>141</v>
      </c>
      <c r="D1254" t="s">
        <v>655</v>
      </c>
      <c r="E1254" t="s">
        <v>44</v>
      </c>
      <c r="F1254" t="s">
        <v>45</v>
      </c>
      <c r="G1254" t="s">
        <v>1033</v>
      </c>
      <c r="H1254" t="s">
        <v>30</v>
      </c>
      <c r="I1254" s="1">
        <v>1</v>
      </c>
      <c r="J1254" s="2">
        <v>81.900000000000006</v>
      </c>
    </row>
    <row r="1255" spans="2:10" hidden="1" x14ac:dyDescent="0.2">
      <c r="B1255" t="s">
        <v>654</v>
      </c>
      <c r="C1255" t="s">
        <v>141</v>
      </c>
      <c r="D1255" t="s">
        <v>655</v>
      </c>
      <c r="E1255" t="s">
        <v>221</v>
      </c>
      <c r="F1255" t="s">
        <v>222</v>
      </c>
      <c r="G1255" t="s">
        <v>1034</v>
      </c>
      <c r="H1255" t="s">
        <v>15</v>
      </c>
      <c r="I1255" s="1">
        <v>1</v>
      </c>
      <c r="J1255" s="2">
        <v>431.03</v>
      </c>
    </row>
    <row r="1256" spans="2:10" hidden="1" x14ac:dyDescent="0.2">
      <c r="B1256" t="s">
        <v>654</v>
      </c>
      <c r="C1256" t="s">
        <v>141</v>
      </c>
      <c r="D1256" t="s">
        <v>655</v>
      </c>
      <c r="E1256" t="s">
        <v>83</v>
      </c>
      <c r="F1256" t="s">
        <v>84</v>
      </c>
      <c r="G1256" t="s">
        <v>1034</v>
      </c>
      <c r="H1256" t="s">
        <v>15</v>
      </c>
      <c r="I1256" s="1">
        <v>1</v>
      </c>
      <c r="J1256" s="2">
        <v>387.93</v>
      </c>
    </row>
    <row r="1257" spans="2:10" hidden="1" x14ac:dyDescent="0.2">
      <c r="B1257" t="s">
        <v>654</v>
      </c>
      <c r="C1257" t="s">
        <v>141</v>
      </c>
      <c r="D1257" t="s">
        <v>655</v>
      </c>
      <c r="E1257" t="s">
        <v>667</v>
      </c>
      <c r="F1257" t="s">
        <v>668</v>
      </c>
      <c r="G1257" t="s">
        <v>1033</v>
      </c>
      <c r="H1257" t="s">
        <v>30</v>
      </c>
      <c r="I1257" s="1">
        <v>1</v>
      </c>
      <c r="J1257" s="2">
        <v>310.33999999999997</v>
      </c>
    </row>
    <row r="1258" spans="2:10" hidden="1" x14ac:dyDescent="0.2">
      <c r="B1258" t="s">
        <v>654</v>
      </c>
      <c r="C1258" t="s">
        <v>141</v>
      </c>
      <c r="D1258" t="s">
        <v>655</v>
      </c>
      <c r="E1258" t="s">
        <v>28</v>
      </c>
      <c r="F1258" t="s">
        <v>29</v>
      </c>
      <c r="G1258" t="s">
        <v>1033</v>
      </c>
      <c r="H1258" t="s">
        <v>30</v>
      </c>
      <c r="I1258" s="1">
        <v>2</v>
      </c>
      <c r="J1258" s="2">
        <v>310.33999999999997</v>
      </c>
    </row>
    <row r="1259" spans="2:10" hidden="1" x14ac:dyDescent="0.2">
      <c r="B1259" t="s">
        <v>654</v>
      </c>
      <c r="C1259" t="s">
        <v>144</v>
      </c>
      <c r="D1259" t="s">
        <v>655</v>
      </c>
      <c r="E1259" t="s">
        <v>41</v>
      </c>
      <c r="F1259" t="s">
        <v>42</v>
      </c>
      <c r="G1259" t="s">
        <v>1033</v>
      </c>
      <c r="H1259" t="s">
        <v>30</v>
      </c>
      <c r="I1259" s="1">
        <v>2</v>
      </c>
      <c r="J1259" s="2">
        <v>68.959999999999994</v>
      </c>
    </row>
    <row r="1260" spans="2:10" hidden="1" x14ac:dyDescent="0.2">
      <c r="B1260" t="s">
        <v>654</v>
      </c>
      <c r="C1260" t="s">
        <v>144</v>
      </c>
      <c r="D1260" t="s">
        <v>655</v>
      </c>
      <c r="E1260" t="s">
        <v>611</v>
      </c>
      <c r="F1260" t="s">
        <v>612</v>
      </c>
      <c r="G1260" t="s">
        <v>1033</v>
      </c>
      <c r="H1260" t="s">
        <v>30</v>
      </c>
      <c r="I1260" s="1">
        <v>2</v>
      </c>
      <c r="J1260" s="2">
        <v>1586.2</v>
      </c>
    </row>
    <row r="1261" spans="2:10" hidden="1" x14ac:dyDescent="0.2">
      <c r="B1261" t="s">
        <v>654</v>
      </c>
      <c r="C1261" t="s">
        <v>144</v>
      </c>
      <c r="D1261" t="s">
        <v>655</v>
      </c>
      <c r="E1261" t="s">
        <v>44</v>
      </c>
      <c r="F1261" t="s">
        <v>45</v>
      </c>
      <c r="G1261" t="s">
        <v>1033</v>
      </c>
      <c r="H1261" t="s">
        <v>30</v>
      </c>
      <c r="I1261" s="1">
        <v>1</v>
      </c>
      <c r="J1261" s="2">
        <v>81.900000000000006</v>
      </c>
    </row>
    <row r="1262" spans="2:10" hidden="1" x14ac:dyDescent="0.2">
      <c r="B1262" t="s">
        <v>654</v>
      </c>
      <c r="C1262" t="s">
        <v>144</v>
      </c>
      <c r="D1262" t="s">
        <v>655</v>
      </c>
      <c r="E1262" t="s">
        <v>395</v>
      </c>
      <c r="F1262" t="s">
        <v>396</v>
      </c>
      <c r="G1262" t="s">
        <v>14</v>
      </c>
      <c r="H1262" t="s">
        <v>35</v>
      </c>
      <c r="I1262" s="1">
        <v>1</v>
      </c>
      <c r="J1262" s="2">
        <v>60.34</v>
      </c>
    </row>
    <row r="1263" spans="2:10" hidden="1" x14ac:dyDescent="0.2">
      <c r="B1263" t="s">
        <v>654</v>
      </c>
      <c r="C1263" t="s">
        <v>144</v>
      </c>
      <c r="D1263" t="s">
        <v>655</v>
      </c>
      <c r="E1263" t="s">
        <v>328</v>
      </c>
      <c r="F1263" t="s">
        <v>329</v>
      </c>
      <c r="G1263" t="s">
        <v>1033</v>
      </c>
      <c r="H1263" t="s">
        <v>30</v>
      </c>
      <c r="I1263" s="1">
        <v>1</v>
      </c>
      <c r="J1263" s="2">
        <v>172.41</v>
      </c>
    </row>
    <row r="1264" spans="2:10" hidden="1" x14ac:dyDescent="0.2">
      <c r="B1264" t="s">
        <v>654</v>
      </c>
      <c r="C1264" t="s">
        <v>144</v>
      </c>
      <c r="D1264" t="s">
        <v>655</v>
      </c>
      <c r="E1264" t="s">
        <v>122</v>
      </c>
      <c r="F1264" t="s">
        <v>123</v>
      </c>
      <c r="G1264" t="s">
        <v>1034</v>
      </c>
      <c r="H1264" t="s">
        <v>15</v>
      </c>
      <c r="I1264" s="1">
        <v>1</v>
      </c>
      <c r="J1264" s="2">
        <v>387.93</v>
      </c>
    </row>
    <row r="1265" spans="2:10" hidden="1" x14ac:dyDescent="0.2">
      <c r="B1265" t="s">
        <v>654</v>
      </c>
      <c r="C1265" t="s">
        <v>144</v>
      </c>
      <c r="D1265" t="s">
        <v>655</v>
      </c>
      <c r="E1265" t="s">
        <v>83</v>
      </c>
      <c r="F1265" t="s">
        <v>84</v>
      </c>
      <c r="G1265" t="s">
        <v>1034</v>
      </c>
      <c r="H1265" t="s">
        <v>15</v>
      </c>
      <c r="I1265" s="1">
        <v>1</v>
      </c>
      <c r="J1265" s="2">
        <v>387.93</v>
      </c>
    </row>
    <row r="1266" spans="2:10" hidden="1" x14ac:dyDescent="0.2">
      <c r="B1266" t="s">
        <v>654</v>
      </c>
      <c r="C1266" t="s">
        <v>144</v>
      </c>
      <c r="D1266" t="s">
        <v>655</v>
      </c>
      <c r="E1266" t="s">
        <v>427</v>
      </c>
      <c r="F1266" t="s">
        <v>428</v>
      </c>
      <c r="G1266" t="s">
        <v>14</v>
      </c>
      <c r="H1266" t="s">
        <v>87</v>
      </c>
      <c r="I1266" s="1">
        <v>1</v>
      </c>
      <c r="J1266" s="2">
        <v>120.69</v>
      </c>
    </row>
    <row r="1267" spans="2:10" hidden="1" x14ac:dyDescent="0.2">
      <c r="B1267" t="s">
        <v>654</v>
      </c>
      <c r="C1267" t="s">
        <v>144</v>
      </c>
      <c r="D1267" t="s">
        <v>655</v>
      </c>
      <c r="E1267" t="s">
        <v>370</v>
      </c>
      <c r="F1267" t="s">
        <v>371</v>
      </c>
      <c r="G1267" t="s">
        <v>1033</v>
      </c>
      <c r="H1267" t="s">
        <v>30</v>
      </c>
      <c r="I1267" s="1">
        <v>1</v>
      </c>
      <c r="J1267" s="2">
        <v>1034.48</v>
      </c>
    </row>
    <row r="1268" spans="2:10" hidden="1" x14ac:dyDescent="0.2">
      <c r="B1268" t="s">
        <v>654</v>
      </c>
      <c r="C1268" t="s">
        <v>144</v>
      </c>
      <c r="D1268" t="s">
        <v>655</v>
      </c>
      <c r="E1268" t="s">
        <v>521</v>
      </c>
      <c r="F1268" t="s">
        <v>522</v>
      </c>
      <c r="G1268" t="s">
        <v>14</v>
      </c>
      <c r="H1268" t="s">
        <v>104</v>
      </c>
      <c r="I1268" s="1">
        <v>5</v>
      </c>
      <c r="J1268" s="2">
        <v>107.75</v>
      </c>
    </row>
    <row r="1269" spans="2:10" hidden="1" x14ac:dyDescent="0.2">
      <c r="B1269" t="s">
        <v>654</v>
      </c>
      <c r="C1269" t="s">
        <v>144</v>
      </c>
      <c r="D1269" t="s">
        <v>655</v>
      </c>
      <c r="E1269" t="s">
        <v>406</v>
      </c>
      <c r="F1269" t="s">
        <v>407</v>
      </c>
      <c r="G1269" t="s">
        <v>14</v>
      </c>
      <c r="H1269" t="s">
        <v>104</v>
      </c>
      <c r="I1269" s="1">
        <v>6</v>
      </c>
      <c r="J1269" s="2">
        <v>103.44</v>
      </c>
    </row>
    <row r="1270" spans="2:10" hidden="1" x14ac:dyDescent="0.2">
      <c r="B1270" t="s">
        <v>654</v>
      </c>
      <c r="C1270" t="s">
        <v>144</v>
      </c>
      <c r="D1270" t="s">
        <v>655</v>
      </c>
      <c r="E1270" t="s">
        <v>63</v>
      </c>
      <c r="F1270" t="s">
        <v>64</v>
      </c>
      <c r="G1270" t="s">
        <v>1034</v>
      </c>
      <c r="H1270" t="s">
        <v>15</v>
      </c>
      <c r="I1270" s="1">
        <v>1</v>
      </c>
      <c r="J1270" s="2">
        <v>172.41</v>
      </c>
    </row>
    <row r="1271" spans="2:10" hidden="1" x14ac:dyDescent="0.2">
      <c r="B1271" t="s">
        <v>654</v>
      </c>
      <c r="C1271" t="s">
        <v>165</v>
      </c>
      <c r="D1271" t="s">
        <v>655</v>
      </c>
      <c r="E1271" t="s">
        <v>671</v>
      </c>
      <c r="F1271" t="s">
        <v>672</v>
      </c>
      <c r="G1271" t="s">
        <v>14</v>
      </c>
      <c r="H1271" t="s">
        <v>35</v>
      </c>
      <c r="I1271" s="1">
        <v>1</v>
      </c>
      <c r="J1271" s="2">
        <v>77.59</v>
      </c>
    </row>
    <row r="1272" spans="2:10" hidden="1" x14ac:dyDescent="0.2">
      <c r="B1272" t="s">
        <v>654</v>
      </c>
      <c r="C1272" t="s">
        <v>165</v>
      </c>
      <c r="D1272" t="s">
        <v>655</v>
      </c>
      <c r="E1272" t="s">
        <v>97</v>
      </c>
      <c r="F1272" t="s">
        <v>98</v>
      </c>
      <c r="G1272" t="s">
        <v>1033</v>
      </c>
      <c r="H1272" t="s">
        <v>30</v>
      </c>
      <c r="I1272" s="1">
        <v>1</v>
      </c>
      <c r="J1272" s="2">
        <v>2500</v>
      </c>
    </row>
    <row r="1273" spans="2:10" hidden="1" x14ac:dyDescent="0.2">
      <c r="B1273" t="s">
        <v>654</v>
      </c>
      <c r="C1273" t="s">
        <v>165</v>
      </c>
      <c r="D1273" t="s">
        <v>655</v>
      </c>
      <c r="E1273" t="s">
        <v>251</v>
      </c>
      <c r="F1273" t="s">
        <v>252</v>
      </c>
      <c r="G1273" t="s">
        <v>1033</v>
      </c>
      <c r="H1273" t="s">
        <v>30</v>
      </c>
      <c r="I1273" s="1">
        <v>1</v>
      </c>
      <c r="J1273" s="2">
        <v>1500</v>
      </c>
    </row>
    <row r="1274" spans="2:10" hidden="1" x14ac:dyDescent="0.2">
      <c r="B1274" t="s">
        <v>654</v>
      </c>
      <c r="C1274" t="s">
        <v>165</v>
      </c>
      <c r="D1274" t="s">
        <v>655</v>
      </c>
      <c r="E1274" t="s">
        <v>36</v>
      </c>
      <c r="F1274" t="s">
        <v>37</v>
      </c>
      <c r="G1274" t="s">
        <v>1034</v>
      </c>
      <c r="H1274" t="s">
        <v>15</v>
      </c>
      <c r="I1274" s="1">
        <v>1</v>
      </c>
      <c r="J1274" s="2">
        <v>301.72000000000003</v>
      </c>
    </row>
    <row r="1275" spans="2:10" hidden="1" x14ac:dyDescent="0.2">
      <c r="B1275" t="s">
        <v>654</v>
      </c>
      <c r="C1275" t="s">
        <v>165</v>
      </c>
      <c r="D1275" t="s">
        <v>655</v>
      </c>
      <c r="E1275" t="s">
        <v>500</v>
      </c>
      <c r="F1275" t="s">
        <v>501</v>
      </c>
      <c r="G1275" t="s">
        <v>1033</v>
      </c>
      <c r="H1275" t="s">
        <v>30</v>
      </c>
      <c r="I1275" s="1">
        <v>1</v>
      </c>
      <c r="J1275" s="2">
        <v>3017.24</v>
      </c>
    </row>
    <row r="1276" spans="2:10" hidden="1" x14ac:dyDescent="0.2">
      <c r="B1276" t="s">
        <v>654</v>
      </c>
      <c r="C1276" t="s">
        <v>165</v>
      </c>
      <c r="D1276" t="s">
        <v>655</v>
      </c>
      <c r="E1276" t="s">
        <v>61</v>
      </c>
      <c r="F1276" t="s">
        <v>62</v>
      </c>
      <c r="G1276" t="s">
        <v>1034</v>
      </c>
      <c r="H1276" t="s">
        <v>15</v>
      </c>
      <c r="I1276" s="1">
        <v>1</v>
      </c>
      <c r="J1276" s="2">
        <v>172.41</v>
      </c>
    </row>
    <row r="1277" spans="2:10" hidden="1" x14ac:dyDescent="0.2">
      <c r="B1277" t="s">
        <v>654</v>
      </c>
      <c r="C1277" t="s">
        <v>165</v>
      </c>
      <c r="D1277" t="s">
        <v>655</v>
      </c>
      <c r="E1277" t="s">
        <v>16</v>
      </c>
      <c r="F1277" t="s">
        <v>17</v>
      </c>
      <c r="G1277" t="s">
        <v>1034</v>
      </c>
      <c r="H1277" t="s">
        <v>15</v>
      </c>
      <c r="I1277" s="1">
        <v>1</v>
      </c>
      <c r="J1277" s="2">
        <v>577.59</v>
      </c>
    </row>
    <row r="1278" spans="2:10" hidden="1" x14ac:dyDescent="0.2">
      <c r="B1278" t="s">
        <v>654</v>
      </c>
      <c r="C1278" t="s">
        <v>166</v>
      </c>
      <c r="D1278" t="s">
        <v>655</v>
      </c>
      <c r="E1278" t="s">
        <v>221</v>
      </c>
      <c r="F1278" t="s">
        <v>222</v>
      </c>
      <c r="G1278" t="s">
        <v>1034</v>
      </c>
      <c r="H1278" t="s">
        <v>15</v>
      </c>
      <c r="I1278" s="1">
        <v>1</v>
      </c>
      <c r="J1278" s="2">
        <v>431.03</v>
      </c>
    </row>
    <row r="1279" spans="2:10" hidden="1" x14ac:dyDescent="0.2">
      <c r="B1279" t="s">
        <v>654</v>
      </c>
      <c r="C1279" t="s">
        <v>166</v>
      </c>
      <c r="D1279" t="s">
        <v>655</v>
      </c>
      <c r="E1279" t="s">
        <v>216</v>
      </c>
      <c r="F1279" t="s">
        <v>217</v>
      </c>
      <c r="G1279" t="s">
        <v>14</v>
      </c>
      <c r="H1279" t="s">
        <v>104</v>
      </c>
      <c r="I1279" s="1">
        <v>1</v>
      </c>
      <c r="J1279" s="2">
        <v>17.239999999999998</v>
      </c>
    </row>
    <row r="1280" spans="2:10" hidden="1" x14ac:dyDescent="0.2">
      <c r="B1280" t="s">
        <v>654</v>
      </c>
      <c r="C1280" t="s">
        <v>166</v>
      </c>
      <c r="D1280" t="s">
        <v>655</v>
      </c>
      <c r="E1280" t="s">
        <v>223</v>
      </c>
      <c r="F1280" t="s">
        <v>224</v>
      </c>
      <c r="G1280" t="s">
        <v>43</v>
      </c>
      <c r="H1280" t="s">
        <v>50</v>
      </c>
      <c r="I1280" s="1">
        <v>1</v>
      </c>
      <c r="J1280" s="2">
        <v>1637.93</v>
      </c>
    </row>
    <row r="1281" spans="2:10" hidden="1" x14ac:dyDescent="0.2">
      <c r="B1281" t="s">
        <v>654</v>
      </c>
      <c r="C1281" t="s">
        <v>166</v>
      </c>
      <c r="D1281" t="s">
        <v>655</v>
      </c>
      <c r="E1281" t="s">
        <v>181</v>
      </c>
      <c r="F1281" t="s">
        <v>182</v>
      </c>
      <c r="G1281" t="s">
        <v>43</v>
      </c>
      <c r="H1281" t="s">
        <v>81</v>
      </c>
      <c r="I1281" s="1">
        <v>1</v>
      </c>
      <c r="J1281" s="2">
        <v>1379.31</v>
      </c>
    </row>
    <row r="1282" spans="2:10" hidden="1" x14ac:dyDescent="0.2">
      <c r="B1282" t="s">
        <v>654</v>
      </c>
      <c r="C1282" t="s">
        <v>166</v>
      </c>
      <c r="D1282" t="s">
        <v>655</v>
      </c>
      <c r="E1282" t="s">
        <v>28</v>
      </c>
      <c r="F1282" t="s">
        <v>29</v>
      </c>
      <c r="G1282" t="s">
        <v>1033</v>
      </c>
      <c r="H1282" t="s">
        <v>30</v>
      </c>
      <c r="I1282" s="1">
        <v>1</v>
      </c>
      <c r="J1282" s="2">
        <v>155.16999999999999</v>
      </c>
    </row>
    <row r="1283" spans="2:10" hidden="1" x14ac:dyDescent="0.2">
      <c r="B1283" t="s">
        <v>654</v>
      </c>
      <c r="C1283" t="s">
        <v>335</v>
      </c>
      <c r="D1283" t="s">
        <v>655</v>
      </c>
      <c r="E1283" t="s">
        <v>387</v>
      </c>
      <c r="F1283" t="s">
        <v>388</v>
      </c>
      <c r="G1283" t="s">
        <v>1033</v>
      </c>
      <c r="H1283" t="s">
        <v>30</v>
      </c>
      <c r="I1283" s="1">
        <v>1</v>
      </c>
      <c r="J1283" s="2">
        <v>775.86</v>
      </c>
    </row>
    <row r="1284" spans="2:10" hidden="1" x14ac:dyDescent="0.2">
      <c r="B1284" t="s">
        <v>654</v>
      </c>
      <c r="C1284" t="s">
        <v>418</v>
      </c>
      <c r="D1284" t="s">
        <v>655</v>
      </c>
      <c r="E1284" t="s">
        <v>673</v>
      </c>
      <c r="F1284" t="s">
        <v>674</v>
      </c>
      <c r="G1284" t="s">
        <v>1033</v>
      </c>
      <c r="H1284" t="s">
        <v>30</v>
      </c>
      <c r="I1284" s="1">
        <v>1</v>
      </c>
      <c r="J1284" s="2">
        <v>625</v>
      </c>
    </row>
    <row r="1285" spans="2:10" hidden="1" x14ac:dyDescent="0.2">
      <c r="B1285" t="s">
        <v>654</v>
      </c>
      <c r="C1285" t="s">
        <v>418</v>
      </c>
      <c r="D1285" t="s">
        <v>655</v>
      </c>
      <c r="E1285" t="s">
        <v>187</v>
      </c>
      <c r="F1285" t="s">
        <v>188</v>
      </c>
      <c r="G1285" t="s">
        <v>1033</v>
      </c>
      <c r="H1285" t="s">
        <v>30</v>
      </c>
      <c r="I1285" s="1">
        <v>1</v>
      </c>
      <c r="J1285" s="2">
        <v>258.62</v>
      </c>
    </row>
    <row r="1286" spans="2:10" hidden="1" x14ac:dyDescent="0.2">
      <c r="B1286" t="s">
        <v>654</v>
      </c>
      <c r="C1286" t="s">
        <v>418</v>
      </c>
      <c r="D1286" t="s">
        <v>655</v>
      </c>
      <c r="E1286" t="s">
        <v>605</v>
      </c>
      <c r="F1286" t="s">
        <v>606</v>
      </c>
      <c r="G1286" t="s">
        <v>1033</v>
      </c>
      <c r="H1286" t="s">
        <v>30</v>
      </c>
      <c r="I1286" s="1">
        <v>1</v>
      </c>
      <c r="J1286" s="2">
        <v>465.52</v>
      </c>
    </row>
    <row r="1287" spans="2:10" hidden="1" x14ac:dyDescent="0.2">
      <c r="B1287" t="s">
        <v>654</v>
      </c>
      <c r="C1287" t="s">
        <v>186</v>
      </c>
      <c r="D1287" t="s">
        <v>655</v>
      </c>
      <c r="E1287" t="s">
        <v>44</v>
      </c>
      <c r="F1287" t="s">
        <v>45</v>
      </c>
      <c r="G1287" t="s">
        <v>1033</v>
      </c>
      <c r="H1287" t="s">
        <v>30</v>
      </c>
      <c r="I1287" s="1">
        <v>2</v>
      </c>
      <c r="J1287" s="2">
        <v>163.80000000000001</v>
      </c>
    </row>
    <row r="1288" spans="2:10" hidden="1" x14ac:dyDescent="0.2">
      <c r="B1288" t="s">
        <v>654</v>
      </c>
      <c r="C1288" t="s">
        <v>186</v>
      </c>
      <c r="D1288" t="s">
        <v>655</v>
      </c>
      <c r="E1288" t="s">
        <v>399</v>
      </c>
      <c r="F1288" t="s">
        <v>400</v>
      </c>
      <c r="G1288" t="s">
        <v>1033</v>
      </c>
      <c r="H1288" t="s">
        <v>30</v>
      </c>
      <c r="I1288" s="1">
        <v>1</v>
      </c>
      <c r="J1288" s="2">
        <v>818.97</v>
      </c>
    </row>
    <row r="1289" spans="2:10" hidden="1" x14ac:dyDescent="0.2">
      <c r="B1289" t="s">
        <v>654</v>
      </c>
      <c r="C1289" t="s">
        <v>186</v>
      </c>
      <c r="D1289" t="s">
        <v>655</v>
      </c>
      <c r="E1289" t="s">
        <v>559</v>
      </c>
      <c r="F1289" t="s">
        <v>560</v>
      </c>
      <c r="G1289" t="s">
        <v>1033</v>
      </c>
      <c r="H1289" t="s">
        <v>30</v>
      </c>
      <c r="I1289" s="1">
        <v>1</v>
      </c>
      <c r="J1289" s="2">
        <v>1706.9</v>
      </c>
    </row>
    <row r="1290" spans="2:10" hidden="1" x14ac:dyDescent="0.2">
      <c r="B1290" t="s">
        <v>654</v>
      </c>
      <c r="C1290" t="s">
        <v>186</v>
      </c>
      <c r="D1290" t="s">
        <v>655</v>
      </c>
      <c r="E1290" t="s">
        <v>122</v>
      </c>
      <c r="F1290" t="s">
        <v>123</v>
      </c>
      <c r="G1290" t="s">
        <v>1034</v>
      </c>
      <c r="H1290" t="s">
        <v>15</v>
      </c>
      <c r="I1290" s="1">
        <v>1</v>
      </c>
      <c r="J1290" s="2">
        <v>387.93</v>
      </c>
    </row>
    <row r="1291" spans="2:10" hidden="1" x14ac:dyDescent="0.2">
      <c r="B1291" t="s">
        <v>654</v>
      </c>
      <c r="C1291" t="s">
        <v>186</v>
      </c>
      <c r="D1291" t="s">
        <v>655</v>
      </c>
      <c r="E1291" t="s">
        <v>61</v>
      </c>
      <c r="F1291" t="s">
        <v>62</v>
      </c>
      <c r="G1291" t="s">
        <v>1034</v>
      </c>
      <c r="H1291" t="s">
        <v>15</v>
      </c>
      <c r="I1291" s="1">
        <v>3</v>
      </c>
      <c r="J1291" s="2">
        <v>517.23</v>
      </c>
    </row>
    <row r="1292" spans="2:10" hidden="1" x14ac:dyDescent="0.2">
      <c r="B1292" t="s">
        <v>654</v>
      </c>
      <c r="C1292" t="s">
        <v>186</v>
      </c>
      <c r="D1292" t="s">
        <v>655</v>
      </c>
      <c r="E1292" t="s">
        <v>16</v>
      </c>
      <c r="F1292" t="s">
        <v>17</v>
      </c>
      <c r="G1292" t="s">
        <v>1034</v>
      </c>
      <c r="H1292" t="s">
        <v>15</v>
      </c>
      <c r="I1292" s="1">
        <v>1</v>
      </c>
      <c r="J1292" s="2">
        <v>577.59</v>
      </c>
    </row>
    <row r="1293" spans="2:10" hidden="1" x14ac:dyDescent="0.2">
      <c r="B1293" t="s">
        <v>654</v>
      </c>
      <c r="C1293" t="s">
        <v>197</v>
      </c>
      <c r="D1293" t="s">
        <v>655</v>
      </c>
      <c r="E1293" t="s">
        <v>575</v>
      </c>
      <c r="F1293" t="s">
        <v>576</v>
      </c>
      <c r="G1293" t="s">
        <v>1033</v>
      </c>
      <c r="H1293" t="s">
        <v>30</v>
      </c>
      <c r="I1293" s="1">
        <v>1</v>
      </c>
      <c r="J1293" s="2">
        <v>474.14</v>
      </c>
    </row>
    <row r="1294" spans="2:10" hidden="1" x14ac:dyDescent="0.2">
      <c r="B1294" t="s">
        <v>654</v>
      </c>
      <c r="C1294" t="s">
        <v>197</v>
      </c>
      <c r="D1294" t="s">
        <v>655</v>
      </c>
      <c r="E1294" t="s">
        <v>278</v>
      </c>
      <c r="F1294" t="s">
        <v>279</v>
      </c>
      <c r="G1294" t="s">
        <v>1033</v>
      </c>
      <c r="H1294" t="s">
        <v>30</v>
      </c>
      <c r="I1294" s="1">
        <v>1</v>
      </c>
      <c r="J1294" s="2">
        <v>112.07</v>
      </c>
    </row>
    <row r="1295" spans="2:10" hidden="1" x14ac:dyDescent="0.2">
      <c r="B1295" t="s">
        <v>654</v>
      </c>
      <c r="C1295" t="s">
        <v>197</v>
      </c>
      <c r="D1295" t="s">
        <v>655</v>
      </c>
      <c r="E1295" t="s">
        <v>242</v>
      </c>
      <c r="F1295" t="s">
        <v>243</v>
      </c>
      <c r="G1295" t="s">
        <v>14</v>
      </c>
      <c r="H1295" t="s">
        <v>87</v>
      </c>
      <c r="I1295" s="1">
        <v>1</v>
      </c>
      <c r="J1295" s="2">
        <v>120.69</v>
      </c>
    </row>
    <row r="1296" spans="2:10" hidden="1" x14ac:dyDescent="0.2">
      <c r="B1296" t="s">
        <v>654</v>
      </c>
      <c r="C1296" t="s">
        <v>197</v>
      </c>
      <c r="D1296" t="s">
        <v>655</v>
      </c>
      <c r="E1296" t="s">
        <v>545</v>
      </c>
      <c r="F1296" t="s">
        <v>546</v>
      </c>
      <c r="G1296" t="s">
        <v>284</v>
      </c>
      <c r="H1296" t="s">
        <v>547</v>
      </c>
      <c r="I1296" s="1">
        <v>1</v>
      </c>
      <c r="J1296" s="2">
        <v>297.41000000000003</v>
      </c>
    </row>
    <row r="1297" spans="2:10" hidden="1" x14ac:dyDescent="0.2">
      <c r="B1297" t="s">
        <v>654</v>
      </c>
      <c r="C1297" t="s">
        <v>197</v>
      </c>
      <c r="D1297" t="s">
        <v>655</v>
      </c>
      <c r="E1297" t="s">
        <v>122</v>
      </c>
      <c r="F1297" t="s">
        <v>123</v>
      </c>
      <c r="G1297" t="s">
        <v>1034</v>
      </c>
      <c r="H1297" t="s">
        <v>15</v>
      </c>
      <c r="I1297" s="1">
        <v>1</v>
      </c>
      <c r="J1297" s="2">
        <v>387.93</v>
      </c>
    </row>
    <row r="1298" spans="2:10" hidden="1" x14ac:dyDescent="0.2">
      <c r="B1298" t="s">
        <v>654</v>
      </c>
      <c r="C1298" t="s">
        <v>197</v>
      </c>
      <c r="D1298" t="s">
        <v>655</v>
      </c>
      <c r="E1298" t="s">
        <v>656</v>
      </c>
      <c r="F1298" t="s">
        <v>657</v>
      </c>
      <c r="G1298" t="s">
        <v>43</v>
      </c>
      <c r="H1298" t="s">
        <v>50</v>
      </c>
      <c r="I1298" s="1">
        <v>1</v>
      </c>
      <c r="J1298" s="2">
        <v>181.03</v>
      </c>
    </row>
    <row r="1299" spans="2:10" hidden="1" x14ac:dyDescent="0.2">
      <c r="B1299" t="s">
        <v>654</v>
      </c>
      <c r="C1299" t="s">
        <v>197</v>
      </c>
      <c r="D1299" t="s">
        <v>655</v>
      </c>
      <c r="E1299" t="s">
        <v>61</v>
      </c>
      <c r="F1299" t="s">
        <v>62</v>
      </c>
      <c r="G1299" t="s">
        <v>1034</v>
      </c>
      <c r="H1299" t="s">
        <v>15</v>
      </c>
      <c r="I1299" s="1">
        <v>1</v>
      </c>
      <c r="J1299" s="2">
        <v>172.41</v>
      </c>
    </row>
    <row r="1300" spans="2:10" hidden="1" x14ac:dyDescent="0.2">
      <c r="B1300" t="s">
        <v>654</v>
      </c>
      <c r="C1300" t="s">
        <v>206</v>
      </c>
      <c r="D1300" t="s">
        <v>655</v>
      </c>
      <c r="E1300" t="s">
        <v>675</v>
      </c>
      <c r="F1300" t="s">
        <v>676</v>
      </c>
      <c r="G1300" t="s">
        <v>1033</v>
      </c>
      <c r="H1300" t="s">
        <v>30</v>
      </c>
      <c r="I1300" s="1">
        <v>1</v>
      </c>
      <c r="J1300" s="2">
        <v>1508.62</v>
      </c>
    </row>
    <row r="1301" spans="2:10" hidden="1" x14ac:dyDescent="0.2">
      <c r="B1301" t="s">
        <v>654</v>
      </c>
      <c r="C1301" t="s">
        <v>206</v>
      </c>
      <c r="D1301" t="s">
        <v>655</v>
      </c>
      <c r="E1301" t="s">
        <v>46</v>
      </c>
      <c r="F1301" t="s">
        <v>47</v>
      </c>
      <c r="G1301" t="s">
        <v>1034</v>
      </c>
      <c r="H1301" t="s">
        <v>15</v>
      </c>
      <c r="I1301" s="1">
        <v>1</v>
      </c>
      <c r="J1301" s="2">
        <v>301.72000000000003</v>
      </c>
    </row>
    <row r="1302" spans="2:10" hidden="1" x14ac:dyDescent="0.2">
      <c r="B1302" t="s">
        <v>654</v>
      </c>
      <c r="C1302" t="s">
        <v>206</v>
      </c>
      <c r="D1302" t="s">
        <v>655</v>
      </c>
      <c r="E1302" t="s">
        <v>677</v>
      </c>
      <c r="F1302" t="s">
        <v>678</v>
      </c>
      <c r="G1302" t="s">
        <v>1033</v>
      </c>
      <c r="H1302" t="s">
        <v>30</v>
      </c>
      <c r="I1302" s="1">
        <v>1</v>
      </c>
      <c r="J1302" s="2">
        <v>1116.3800000000001</v>
      </c>
    </row>
    <row r="1303" spans="2:10" hidden="1" x14ac:dyDescent="0.2">
      <c r="B1303" t="s">
        <v>654</v>
      </c>
      <c r="C1303" t="s">
        <v>206</v>
      </c>
      <c r="D1303" t="s">
        <v>655</v>
      </c>
      <c r="E1303" t="s">
        <v>36</v>
      </c>
      <c r="F1303" t="s">
        <v>37</v>
      </c>
      <c r="G1303" t="s">
        <v>1034</v>
      </c>
      <c r="H1303" t="s">
        <v>15</v>
      </c>
      <c r="I1303" s="1">
        <v>1</v>
      </c>
      <c r="J1303" s="2">
        <v>301.72000000000003</v>
      </c>
    </row>
    <row r="1304" spans="2:10" hidden="1" x14ac:dyDescent="0.2">
      <c r="B1304" t="s">
        <v>654</v>
      </c>
      <c r="C1304" t="s">
        <v>206</v>
      </c>
      <c r="D1304" t="s">
        <v>655</v>
      </c>
      <c r="E1304" t="s">
        <v>153</v>
      </c>
      <c r="F1304" t="s">
        <v>154</v>
      </c>
      <c r="G1304" t="s">
        <v>1034</v>
      </c>
      <c r="H1304" t="s">
        <v>15</v>
      </c>
      <c r="I1304" s="1">
        <v>1</v>
      </c>
      <c r="J1304" s="2">
        <v>387.93</v>
      </c>
    </row>
    <row r="1305" spans="2:10" hidden="1" x14ac:dyDescent="0.2">
      <c r="B1305" t="s">
        <v>654</v>
      </c>
      <c r="C1305" t="s">
        <v>206</v>
      </c>
      <c r="D1305" t="s">
        <v>655</v>
      </c>
      <c r="E1305" t="s">
        <v>490</v>
      </c>
      <c r="F1305" t="s">
        <v>491</v>
      </c>
      <c r="G1305" t="s">
        <v>1033</v>
      </c>
      <c r="H1305" t="s">
        <v>30</v>
      </c>
      <c r="I1305" s="1">
        <v>1</v>
      </c>
      <c r="J1305" s="2">
        <v>1982.76</v>
      </c>
    </row>
    <row r="1306" spans="2:10" hidden="1" x14ac:dyDescent="0.2">
      <c r="B1306" t="s">
        <v>654</v>
      </c>
      <c r="C1306" t="s">
        <v>206</v>
      </c>
      <c r="D1306" t="s">
        <v>655</v>
      </c>
      <c r="E1306" t="s">
        <v>61</v>
      </c>
      <c r="F1306" t="s">
        <v>62</v>
      </c>
      <c r="G1306" t="s">
        <v>1034</v>
      </c>
      <c r="H1306" t="s">
        <v>15</v>
      </c>
      <c r="I1306" s="1">
        <v>2</v>
      </c>
      <c r="J1306" s="2">
        <v>344.82</v>
      </c>
    </row>
    <row r="1307" spans="2:10" hidden="1" x14ac:dyDescent="0.2">
      <c r="B1307" t="s">
        <v>654</v>
      </c>
      <c r="C1307" t="s">
        <v>206</v>
      </c>
      <c r="D1307" t="s">
        <v>655</v>
      </c>
      <c r="E1307" t="s">
        <v>16</v>
      </c>
      <c r="F1307" t="s">
        <v>17</v>
      </c>
      <c r="G1307" t="s">
        <v>1034</v>
      </c>
      <c r="H1307" t="s">
        <v>15</v>
      </c>
      <c r="I1307" s="1">
        <v>1</v>
      </c>
      <c r="J1307" s="2">
        <v>577.59</v>
      </c>
    </row>
    <row r="1308" spans="2:10" hidden="1" x14ac:dyDescent="0.2">
      <c r="B1308" t="s">
        <v>654</v>
      </c>
      <c r="C1308" t="s">
        <v>220</v>
      </c>
      <c r="D1308" t="s">
        <v>655</v>
      </c>
      <c r="E1308" t="s">
        <v>521</v>
      </c>
      <c r="F1308" t="s">
        <v>522</v>
      </c>
      <c r="G1308" t="s">
        <v>14</v>
      </c>
      <c r="H1308" t="s">
        <v>104</v>
      </c>
      <c r="I1308" s="1">
        <v>5</v>
      </c>
      <c r="J1308" s="2">
        <v>107.75</v>
      </c>
    </row>
    <row r="1309" spans="2:10" hidden="1" x14ac:dyDescent="0.2">
      <c r="B1309" t="s">
        <v>654</v>
      </c>
      <c r="C1309" t="s">
        <v>220</v>
      </c>
      <c r="D1309" t="s">
        <v>655</v>
      </c>
      <c r="E1309" t="s">
        <v>63</v>
      </c>
      <c r="F1309" t="s">
        <v>64</v>
      </c>
      <c r="G1309" t="s">
        <v>1034</v>
      </c>
      <c r="H1309" t="s">
        <v>15</v>
      </c>
      <c r="I1309" s="1">
        <v>1</v>
      </c>
      <c r="J1309" s="2">
        <v>172.41</v>
      </c>
    </row>
    <row r="1310" spans="2:10" x14ac:dyDescent="0.2">
      <c r="B1310" t="s">
        <v>654</v>
      </c>
      <c r="C1310" t="s">
        <v>227</v>
      </c>
      <c r="D1310" t="s">
        <v>655</v>
      </c>
      <c r="E1310" t="s">
        <v>36</v>
      </c>
      <c r="F1310" t="s">
        <v>37</v>
      </c>
      <c r="G1310" t="s">
        <v>1034</v>
      </c>
      <c r="H1310" t="s">
        <v>15</v>
      </c>
      <c r="I1310" s="1">
        <v>1</v>
      </c>
      <c r="J1310" s="2">
        <v>301.72000000000003</v>
      </c>
    </row>
    <row r="1311" spans="2:10" x14ac:dyDescent="0.2">
      <c r="B1311" t="s">
        <v>654</v>
      </c>
      <c r="C1311" t="s">
        <v>227</v>
      </c>
      <c r="D1311" t="s">
        <v>655</v>
      </c>
      <c r="E1311" t="s">
        <v>679</v>
      </c>
      <c r="F1311" t="s">
        <v>680</v>
      </c>
      <c r="G1311" t="s">
        <v>1033</v>
      </c>
      <c r="H1311" t="s">
        <v>30</v>
      </c>
      <c r="I1311" s="1">
        <v>1</v>
      </c>
      <c r="J1311" s="2">
        <v>1293.0999999999999</v>
      </c>
    </row>
    <row r="1312" spans="2:10" x14ac:dyDescent="0.2">
      <c r="B1312" t="s">
        <v>654</v>
      </c>
      <c r="C1312" t="s">
        <v>227</v>
      </c>
      <c r="D1312" t="s">
        <v>655</v>
      </c>
      <c r="E1312" t="s">
        <v>406</v>
      </c>
      <c r="F1312" t="s">
        <v>407</v>
      </c>
      <c r="G1312" t="s">
        <v>14</v>
      </c>
      <c r="H1312" t="s">
        <v>104</v>
      </c>
      <c r="I1312" s="1">
        <v>6</v>
      </c>
      <c r="J1312" s="2">
        <v>103.44</v>
      </c>
    </row>
    <row r="1313" spans="2:10" x14ac:dyDescent="0.2">
      <c r="B1313" t="s">
        <v>654</v>
      </c>
      <c r="C1313" t="s">
        <v>228</v>
      </c>
      <c r="D1313" t="s">
        <v>655</v>
      </c>
      <c r="E1313" t="s">
        <v>36</v>
      </c>
      <c r="F1313" t="s">
        <v>37</v>
      </c>
      <c r="G1313" t="s">
        <v>1034</v>
      </c>
      <c r="H1313" t="s">
        <v>15</v>
      </c>
      <c r="I1313" s="1">
        <v>1</v>
      </c>
      <c r="J1313" s="2">
        <v>301.72000000000003</v>
      </c>
    </row>
    <row r="1314" spans="2:10" x14ac:dyDescent="0.2">
      <c r="B1314" t="s">
        <v>654</v>
      </c>
      <c r="C1314" t="s">
        <v>228</v>
      </c>
      <c r="D1314" t="s">
        <v>655</v>
      </c>
      <c r="E1314" t="s">
        <v>406</v>
      </c>
      <c r="F1314" t="s">
        <v>407</v>
      </c>
      <c r="G1314" t="s">
        <v>14</v>
      </c>
      <c r="H1314" t="s">
        <v>104</v>
      </c>
      <c r="I1314" s="1">
        <v>1</v>
      </c>
      <c r="J1314" s="2">
        <v>17.239999999999998</v>
      </c>
    </row>
    <row r="1315" spans="2:10" x14ac:dyDescent="0.2">
      <c r="B1315" t="s">
        <v>654</v>
      </c>
      <c r="C1315" t="s">
        <v>228</v>
      </c>
      <c r="D1315" t="s">
        <v>655</v>
      </c>
      <c r="E1315" t="s">
        <v>61</v>
      </c>
      <c r="F1315" t="s">
        <v>62</v>
      </c>
      <c r="G1315" t="s">
        <v>1034</v>
      </c>
      <c r="H1315" t="s">
        <v>15</v>
      </c>
      <c r="I1315" s="1">
        <v>1</v>
      </c>
      <c r="J1315" s="2">
        <v>172.41</v>
      </c>
    </row>
    <row r="1316" spans="2:10" x14ac:dyDescent="0.2">
      <c r="B1316" t="s">
        <v>654</v>
      </c>
      <c r="C1316" t="s">
        <v>228</v>
      </c>
      <c r="D1316" t="s">
        <v>655</v>
      </c>
      <c r="E1316" t="s">
        <v>28</v>
      </c>
      <c r="F1316" t="s">
        <v>29</v>
      </c>
      <c r="G1316" t="s">
        <v>1033</v>
      </c>
      <c r="H1316" t="s">
        <v>30</v>
      </c>
      <c r="I1316" s="1">
        <v>1</v>
      </c>
      <c r="J1316" s="2">
        <v>155.16999999999999</v>
      </c>
    </row>
    <row r="1317" spans="2:10" x14ac:dyDescent="0.2">
      <c r="B1317" t="s">
        <v>654</v>
      </c>
      <c r="C1317" t="s">
        <v>233</v>
      </c>
      <c r="D1317" t="s">
        <v>655</v>
      </c>
      <c r="E1317" t="s">
        <v>44</v>
      </c>
      <c r="F1317" t="s">
        <v>45</v>
      </c>
      <c r="G1317" t="s">
        <v>1033</v>
      </c>
      <c r="H1317" t="s">
        <v>30</v>
      </c>
      <c r="I1317" s="1">
        <v>1</v>
      </c>
      <c r="J1317" s="2">
        <v>81.900000000000006</v>
      </c>
    </row>
    <row r="1318" spans="2:10" x14ac:dyDescent="0.2">
      <c r="B1318" t="s">
        <v>654</v>
      </c>
      <c r="C1318" t="s">
        <v>233</v>
      </c>
      <c r="D1318" t="s">
        <v>655</v>
      </c>
      <c r="E1318" t="s">
        <v>36</v>
      </c>
      <c r="F1318" t="s">
        <v>37</v>
      </c>
      <c r="G1318" t="s">
        <v>1034</v>
      </c>
      <c r="H1318" t="s">
        <v>15</v>
      </c>
      <c r="I1318" s="1">
        <v>1</v>
      </c>
      <c r="J1318" s="2">
        <v>301.72000000000003</v>
      </c>
    </row>
    <row r="1319" spans="2:10" x14ac:dyDescent="0.2">
      <c r="B1319" t="s">
        <v>654</v>
      </c>
      <c r="C1319" t="s">
        <v>236</v>
      </c>
      <c r="D1319" t="s">
        <v>655</v>
      </c>
      <c r="E1319" t="s">
        <v>41</v>
      </c>
      <c r="F1319" t="s">
        <v>42</v>
      </c>
      <c r="G1319" t="s">
        <v>1033</v>
      </c>
      <c r="H1319" t="s">
        <v>30</v>
      </c>
      <c r="I1319" s="1">
        <v>3</v>
      </c>
      <c r="J1319" s="2">
        <v>103.44999999999999</v>
      </c>
    </row>
    <row r="1320" spans="2:10" x14ac:dyDescent="0.2">
      <c r="B1320" t="s">
        <v>654</v>
      </c>
      <c r="C1320" t="s">
        <v>236</v>
      </c>
      <c r="D1320" t="s">
        <v>655</v>
      </c>
      <c r="E1320" t="s">
        <v>44</v>
      </c>
      <c r="F1320" t="s">
        <v>45</v>
      </c>
      <c r="G1320" t="s">
        <v>1033</v>
      </c>
      <c r="H1320" t="s">
        <v>30</v>
      </c>
      <c r="I1320" s="1">
        <v>1</v>
      </c>
      <c r="J1320" s="2">
        <v>81.900000000000006</v>
      </c>
    </row>
    <row r="1321" spans="2:10" x14ac:dyDescent="0.2">
      <c r="B1321" t="s">
        <v>654</v>
      </c>
      <c r="C1321" t="s">
        <v>236</v>
      </c>
      <c r="D1321" t="s">
        <v>655</v>
      </c>
      <c r="E1321" t="s">
        <v>368</v>
      </c>
      <c r="F1321" t="s">
        <v>369</v>
      </c>
      <c r="G1321" t="s">
        <v>1033</v>
      </c>
      <c r="H1321" t="s">
        <v>30</v>
      </c>
      <c r="I1321" s="1">
        <v>1</v>
      </c>
      <c r="J1321" s="2">
        <v>612.07000000000005</v>
      </c>
    </row>
    <row r="1322" spans="2:10" x14ac:dyDescent="0.2">
      <c r="B1322" t="s">
        <v>654</v>
      </c>
      <c r="C1322" t="s">
        <v>236</v>
      </c>
      <c r="D1322" t="s">
        <v>655</v>
      </c>
      <c r="E1322" t="s">
        <v>214</v>
      </c>
      <c r="F1322" t="s">
        <v>215</v>
      </c>
      <c r="G1322" t="s">
        <v>1034</v>
      </c>
      <c r="H1322" t="s">
        <v>15</v>
      </c>
      <c r="I1322" s="1">
        <v>1</v>
      </c>
      <c r="J1322" s="2">
        <v>301.72000000000003</v>
      </c>
    </row>
    <row r="1323" spans="2:10" x14ac:dyDescent="0.2">
      <c r="B1323" t="s">
        <v>654</v>
      </c>
      <c r="C1323" t="s">
        <v>236</v>
      </c>
      <c r="D1323" t="s">
        <v>655</v>
      </c>
      <c r="E1323" t="s">
        <v>83</v>
      </c>
      <c r="F1323" t="s">
        <v>84</v>
      </c>
      <c r="G1323" t="s">
        <v>1034</v>
      </c>
      <c r="H1323" t="s">
        <v>15</v>
      </c>
      <c r="I1323" s="1">
        <v>1</v>
      </c>
      <c r="J1323" s="2">
        <v>387.93</v>
      </c>
    </row>
    <row r="1324" spans="2:10" x14ac:dyDescent="0.2">
      <c r="B1324" t="s">
        <v>654</v>
      </c>
      <c r="C1324" t="s">
        <v>236</v>
      </c>
      <c r="D1324" t="s">
        <v>655</v>
      </c>
      <c r="E1324" t="s">
        <v>354</v>
      </c>
      <c r="F1324" t="s">
        <v>355</v>
      </c>
      <c r="G1324" t="s">
        <v>1033</v>
      </c>
      <c r="H1324" t="s">
        <v>30</v>
      </c>
      <c r="I1324" s="1">
        <v>1</v>
      </c>
      <c r="J1324" s="2">
        <v>2543.1</v>
      </c>
    </row>
    <row r="1325" spans="2:10" x14ac:dyDescent="0.2">
      <c r="B1325" t="s">
        <v>654</v>
      </c>
      <c r="C1325" t="s">
        <v>236</v>
      </c>
      <c r="D1325" t="s">
        <v>655</v>
      </c>
      <c r="E1325" t="s">
        <v>521</v>
      </c>
      <c r="F1325" t="s">
        <v>522</v>
      </c>
      <c r="G1325" t="s">
        <v>14</v>
      </c>
      <c r="H1325" t="s">
        <v>104</v>
      </c>
      <c r="I1325" s="1">
        <v>5</v>
      </c>
      <c r="J1325" s="2">
        <v>107.75</v>
      </c>
    </row>
    <row r="1326" spans="2:10" x14ac:dyDescent="0.2">
      <c r="B1326" t="s">
        <v>654</v>
      </c>
      <c r="C1326" t="s">
        <v>236</v>
      </c>
      <c r="D1326" t="s">
        <v>655</v>
      </c>
      <c r="E1326" t="s">
        <v>61</v>
      </c>
      <c r="F1326" t="s">
        <v>62</v>
      </c>
      <c r="G1326" t="s">
        <v>1034</v>
      </c>
      <c r="H1326" t="s">
        <v>15</v>
      </c>
      <c r="I1326" s="1">
        <v>1</v>
      </c>
      <c r="J1326" s="2">
        <v>172.41</v>
      </c>
    </row>
    <row r="1327" spans="2:10" x14ac:dyDescent="0.2">
      <c r="B1327" t="s">
        <v>654</v>
      </c>
      <c r="C1327" t="s">
        <v>236</v>
      </c>
      <c r="D1327" t="s">
        <v>655</v>
      </c>
      <c r="E1327" t="s">
        <v>63</v>
      </c>
      <c r="F1327" t="s">
        <v>64</v>
      </c>
      <c r="G1327" t="s">
        <v>1034</v>
      </c>
      <c r="H1327" t="s">
        <v>15</v>
      </c>
      <c r="I1327" s="1">
        <v>1</v>
      </c>
      <c r="J1327" s="2">
        <v>172.41</v>
      </c>
    </row>
    <row r="1328" spans="2:10" x14ac:dyDescent="0.2">
      <c r="B1328" t="s">
        <v>654</v>
      </c>
      <c r="C1328" t="s">
        <v>236</v>
      </c>
      <c r="D1328" t="s">
        <v>655</v>
      </c>
      <c r="E1328" t="s">
        <v>310</v>
      </c>
      <c r="F1328" t="s">
        <v>681</v>
      </c>
      <c r="G1328" t="s">
        <v>1033</v>
      </c>
      <c r="H1328" t="s">
        <v>30</v>
      </c>
      <c r="I1328" s="1">
        <v>1</v>
      </c>
      <c r="J1328" s="2">
        <v>258.62</v>
      </c>
    </row>
    <row r="1329" spans="2:10" x14ac:dyDescent="0.2">
      <c r="B1329" t="s">
        <v>654</v>
      </c>
      <c r="C1329" t="s">
        <v>236</v>
      </c>
      <c r="D1329" t="s">
        <v>655</v>
      </c>
      <c r="E1329" t="s">
        <v>682</v>
      </c>
      <c r="F1329" t="s">
        <v>683</v>
      </c>
      <c r="G1329" t="s">
        <v>14</v>
      </c>
      <c r="H1329" t="s">
        <v>684</v>
      </c>
      <c r="I1329" s="1">
        <v>1</v>
      </c>
      <c r="J1329" s="2">
        <v>775.86</v>
      </c>
    </row>
    <row r="1330" spans="2:10" x14ac:dyDescent="0.2">
      <c r="B1330" t="s">
        <v>654</v>
      </c>
      <c r="C1330" t="s">
        <v>237</v>
      </c>
      <c r="D1330" t="s">
        <v>655</v>
      </c>
      <c r="E1330" t="s">
        <v>44</v>
      </c>
      <c r="F1330" t="s">
        <v>45</v>
      </c>
      <c r="G1330" t="s">
        <v>1033</v>
      </c>
      <c r="H1330" t="s">
        <v>30</v>
      </c>
      <c r="I1330" s="1">
        <v>2</v>
      </c>
      <c r="J1330" s="2">
        <v>163.80000000000001</v>
      </c>
    </row>
    <row r="1331" spans="2:10" x14ac:dyDescent="0.2">
      <c r="B1331" t="s">
        <v>654</v>
      </c>
      <c r="C1331" t="s">
        <v>237</v>
      </c>
      <c r="D1331" t="s">
        <v>655</v>
      </c>
      <c r="E1331" t="s">
        <v>36</v>
      </c>
      <c r="F1331" t="s">
        <v>37</v>
      </c>
      <c r="G1331" t="s">
        <v>1034</v>
      </c>
      <c r="H1331" t="s">
        <v>15</v>
      </c>
      <c r="I1331" s="1">
        <v>1</v>
      </c>
      <c r="J1331" s="2">
        <v>301.72000000000003</v>
      </c>
    </row>
    <row r="1332" spans="2:10" x14ac:dyDescent="0.2">
      <c r="B1332" t="s">
        <v>654</v>
      </c>
      <c r="C1332" t="s">
        <v>237</v>
      </c>
      <c r="D1332" t="s">
        <v>655</v>
      </c>
      <c r="E1332" t="s">
        <v>153</v>
      </c>
      <c r="F1332" t="s">
        <v>154</v>
      </c>
      <c r="G1332" t="s">
        <v>1034</v>
      </c>
      <c r="H1332" t="s">
        <v>15</v>
      </c>
      <c r="I1332" s="1">
        <v>1</v>
      </c>
      <c r="J1332" s="2">
        <v>387.93</v>
      </c>
    </row>
    <row r="1333" spans="2:10" x14ac:dyDescent="0.2">
      <c r="B1333" t="s">
        <v>654</v>
      </c>
      <c r="C1333" t="s">
        <v>237</v>
      </c>
      <c r="D1333" t="s">
        <v>655</v>
      </c>
      <c r="E1333" t="s">
        <v>61</v>
      </c>
      <c r="F1333" t="s">
        <v>62</v>
      </c>
      <c r="G1333" t="s">
        <v>1034</v>
      </c>
      <c r="H1333" t="s">
        <v>15</v>
      </c>
      <c r="I1333" s="1">
        <v>1</v>
      </c>
      <c r="J1333" s="2">
        <v>172.41</v>
      </c>
    </row>
    <row r="1334" spans="2:10" x14ac:dyDescent="0.2">
      <c r="B1334" t="s">
        <v>654</v>
      </c>
      <c r="C1334" t="s">
        <v>248</v>
      </c>
      <c r="D1334" t="s">
        <v>655</v>
      </c>
      <c r="E1334" t="s">
        <v>685</v>
      </c>
      <c r="F1334" t="s">
        <v>686</v>
      </c>
      <c r="G1334" t="s">
        <v>14</v>
      </c>
      <c r="H1334" t="s">
        <v>27</v>
      </c>
      <c r="I1334" s="1">
        <v>1</v>
      </c>
      <c r="J1334" s="2">
        <v>448.28</v>
      </c>
    </row>
    <row r="1335" spans="2:10" x14ac:dyDescent="0.2">
      <c r="B1335" t="s">
        <v>654</v>
      </c>
      <c r="C1335" t="s">
        <v>248</v>
      </c>
      <c r="D1335" t="s">
        <v>655</v>
      </c>
      <c r="E1335" t="s">
        <v>44</v>
      </c>
      <c r="F1335" t="s">
        <v>45</v>
      </c>
      <c r="G1335" t="s">
        <v>1033</v>
      </c>
      <c r="H1335" t="s">
        <v>30</v>
      </c>
      <c r="I1335" s="1">
        <v>1</v>
      </c>
      <c r="J1335" s="2">
        <v>81.900000000000006</v>
      </c>
    </row>
    <row r="1336" spans="2:10" x14ac:dyDescent="0.2">
      <c r="B1336" t="s">
        <v>654</v>
      </c>
      <c r="C1336" t="s">
        <v>248</v>
      </c>
      <c r="D1336" t="s">
        <v>655</v>
      </c>
      <c r="E1336" t="s">
        <v>494</v>
      </c>
      <c r="F1336" t="s">
        <v>495</v>
      </c>
      <c r="G1336" t="s">
        <v>1033</v>
      </c>
      <c r="H1336" t="s">
        <v>30</v>
      </c>
      <c r="I1336" s="1">
        <v>1</v>
      </c>
      <c r="J1336" s="2">
        <v>301.72000000000003</v>
      </c>
    </row>
    <row r="1337" spans="2:10" x14ac:dyDescent="0.2">
      <c r="B1337" t="s">
        <v>654</v>
      </c>
      <c r="C1337" t="s">
        <v>248</v>
      </c>
      <c r="D1337" t="s">
        <v>655</v>
      </c>
      <c r="E1337" t="s">
        <v>36</v>
      </c>
      <c r="F1337" t="s">
        <v>37</v>
      </c>
      <c r="G1337" t="s">
        <v>1034</v>
      </c>
      <c r="H1337" t="s">
        <v>15</v>
      </c>
      <c r="I1337" s="1">
        <v>2</v>
      </c>
      <c r="J1337" s="2">
        <v>603.44000000000005</v>
      </c>
    </row>
    <row r="1338" spans="2:10" x14ac:dyDescent="0.2">
      <c r="B1338" t="s">
        <v>654</v>
      </c>
      <c r="C1338" t="s">
        <v>248</v>
      </c>
      <c r="D1338" t="s">
        <v>655</v>
      </c>
      <c r="E1338" t="s">
        <v>216</v>
      </c>
      <c r="F1338" t="s">
        <v>217</v>
      </c>
      <c r="G1338" t="s">
        <v>14</v>
      </c>
      <c r="H1338" t="s">
        <v>104</v>
      </c>
      <c r="I1338" s="1">
        <v>1</v>
      </c>
      <c r="J1338" s="2">
        <v>17.239999999999998</v>
      </c>
    </row>
    <row r="1339" spans="2:10" x14ac:dyDescent="0.2">
      <c r="B1339" t="s">
        <v>654</v>
      </c>
      <c r="C1339" t="s">
        <v>248</v>
      </c>
      <c r="D1339" t="s">
        <v>655</v>
      </c>
      <c r="E1339" t="s">
        <v>687</v>
      </c>
      <c r="F1339" t="s">
        <v>688</v>
      </c>
      <c r="G1339" t="s">
        <v>43</v>
      </c>
      <c r="H1339" t="s">
        <v>50</v>
      </c>
      <c r="I1339" s="1">
        <v>1</v>
      </c>
      <c r="J1339" s="2">
        <v>181.03</v>
      </c>
    </row>
    <row r="1340" spans="2:10" x14ac:dyDescent="0.2">
      <c r="B1340" t="s">
        <v>654</v>
      </c>
      <c r="C1340" t="s">
        <v>248</v>
      </c>
      <c r="D1340" t="s">
        <v>655</v>
      </c>
      <c r="E1340" t="s">
        <v>61</v>
      </c>
      <c r="F1340" t="s">
        <v>62</v>
      </c>
      <c r="G1340" t="s">
        <v>1034</v>
      </c>
      <c r="H1340" t="s">
        <v>15</v>
      </c>
      <c r="I1340" s="1">
        <v>3</v>
      </c>
      <c r="J1340" s="2">
        <v>517.23</v>
      </c>
    </row>
    <row r="1341" spans="2:10" x14ac:dyDescent="0.2">
      <c r="B1341" t="s">
        <v>654</v>
      </c>
      <c r="C1341" t="s">
        <v>248</v>
      </c>
      <c r="D1341" t="s">
        <v>655</v>
      </c>
      <c r="E1341" t="s">
        <v>275</v>
      </c>
      <c r="F1341" t="s">
        <v>689</v>
      </c>
      <c r="G1341" t="s">
        <v>1033</v>
      </c>
      <c r="H1341" t="s">
        <v>30</v>
      </c>
      <c r="I1341" s="1">
        <v>1</v>
      </c>
      <c r="J1341" s="2">
        <v>448.28</v>
      </c>
    </row>
    <row r="1342" spans="2:10" x14ac:dyDescent="0.2">
      <c r="B1342" t="s">
        <v>654</v>
      </c>
      <c r="C1342" t="s">
        <v>248</v>
      </c>
      <c r="D1342" t="s">
        <v>655</v>
      </c>
      <c r="E1342" t="s">
        <v>28</v>
      </c>
      <c r="F1342" t="s">
        <v>29</v>
      </c>
      <c r="G1342" t="s">
        <v>1033</v>
      </c>
      <c r="H1342" t="s">
        <v>30</v>
      </c>
      <c r="I1342" s="1">
        <v>1</v>
      </c>
      <c r="J1342" s="2">
        <v>155.16999999999999</v>
      </c>
    </row>
    <row r="1343" spans="2:10" hidden="1" x14ac:dyDescent="0.2">
      <c r="B1343" t="s">
        <v>690</v>
      </c>
      <c r="C1343" t="s">
        <v>10</v>
      </c>
      <c r="D1343" t="s">
        <v>691</v>
      </c>
      <c r="E1343" t="s">
        <v>611</v>
      </c>
      <c r="F1343" t="s">
        <v>612</v>
      </c>
      <c r="G1343" t="s">
        <v>1033</v>
      </c>
      <c r="H1343" t="s">
        <v>30</v>
      </c>
      <c r="I1343" s="1">
        <v>2</v>
      </c>
      <c r="J1343" s="2">
        <v>1586.2</v>
      </c>
    </row>
    <row r="1344" spans="2:10" hidden="1" x14ac:dyDescent="0.2">
      <c r="B1344" t="s">
        <v>690</v>
      </c>
      <c r="C1344" t="s">
        <v>10</v>
      </c>
      <c r="D1344" t="s">
        <v>691</v>
      </c>
      <c r="E1344" t="s">
        <v>61</v>
      </c>
      <c r="F1344" t="s">
        <v>62</v>
      </c>
      <c r="G1344" t="s">
        <v>1034</v>
      </c>
      <c r="H1344" t="s">
        <v>15</v>
      </c>
      <c r="I1344" s="1">
        <v>2</v>
      </c>
      <c r="J1344" s="2">
        <v>344.82</v>
      </c>
    </row>
    <row r="1345" spans="2:10" hidden="1" x14ac:dyDescent="0.2">
      <c r="B1345" t="s">
        <v>690</v>
      </c>
      <c r="C1345" t="s">
        <v>18</v>
      </c>
      <c r="D1345" t="s">
        <v>691</v>
      </c>
      <c r="E1345" t="s">
        <v>692</v>
      </c>
      <c r="F1345" t="s">
        <v>693</v>
      </c>
      <c r="G1345" t="s">
        <v>54</v>
      </c>
      <c r="H1345" t="s">
        <v>694</v>
      </c>
      <c r="I1345" s="1">
        <v>1</v>
      </c>
      <c r="J1345" s="2">
        <v>688</v>
      </c>
    </row>
    <row r="1346" spans="2:10" hidden="1" x14ac:dyDescent="0.2">
      <c r="B1346" t="s">
        <v>690</v>
      </c>
      <c r="C1346" t="s">
        <v>18</v>
      </c>
      <c r="D1346" t="s">
        <v>691</v>
      </c>
      <c r="E1346" t="s">
        <v>19</v>
      </c>
      <c r="F1346" t="s">
        <v>20</v>
      </c>
      <c r="G1346" t="s">
        <v>14</v>
      </c>
      <c r="H1346" t="s">
        <v>21</v>
      </c>
      <c r="I1346" s="1">
        <v>1</v>
      </c>
      <c r="J1346" s="2">
        <v>431.04</v>
      </c>
    </row>
    <row r="1347" spans="2:10" hidden="1" x14ac:dyDescent="0.2">
      <c r="B1347" t="s">
        <v>690</v>
      </c>
      <c r="C1347" t="s">
        <v>18</v>
      </c>
      <c r="D1347" t="s">
        <v>691</v>
      </c>
      <c r="E1347" t="s">
        <v>695</v>
      </c>
      <c r="F1347" t="s">
        <v>696</v>
      </c>
      <c r="G1347" t="s">
        <v>54</v>
      </c>
      <c r="H1347" t="s">
        <v>138</v>
      </c>
      <c r="I1347" s="1">
        <v>1</v>
      </c>
      <c r="J1347" s="2">
        <v>489.22</v>
      </c>
    </row>
    <row r="1348" spans="2:10" hidden="1" x14ac:dyDescent="0.2">
      <c r="B1348" t="s">
        <v>690</v>
      </c>
      <c r="C1348" t="s">
        <v>18</v>
      </c>
      <c r="D1348" t="s">
        <v>691</v>
      </c>
      <c r="E1348" t="s">
        <v>221</v>
      </c>
      <c r="F1348" t="s">
        <v>222</v>
      </c>
      <c r="G1348" t="s">
        <v>1034</v>
      </c>
      <c r="H1348" t="s">
        <v>15</v>
      </c>
      <c r="I1348" s="1">
        <v>1</v>
      </c>
      <c r="J1348" s="2">
        <v>431.03</v>
      </c>
    </row>
    <row r="1349" spans="2:10" hidden="1" x14ac:dyDescent="0.2">
      <c r="B1349" t="s">
        <v>690</v>
      </c>
      <c r="C1349" t="s">
        <v>18</v>
      </c>
      <c r="D1349" t="s">
        <v>691</v>
      </c>
      <c r="E1349" t="s">
        <v>295</v>
      </c>
      <c r="F1349" t="s">
        <v>296</v>
      </c>
      <c r="G1349" t="s">
        <v>43</v>
      </c>
      <c r="H1349" t="s">
        <v>297</v>
      </c>
      <c r="I1349" s="1">
        <v>1</v>
      </c>
      <c r="J1349" s="2">
        <v>224.14</v>
      </c>
    </row>
    <row r="1350" spans="2:10" hidden="1" x14ac:dyDescent="0.2">
      <c r="B1350" t="s">
        <v>690</v>
      </c>
      <c r="C1350" t="s">
        <v>18</v>
      </c>
      <c r="D1350" t="s">
        <v>691</v>
      </c>
      <c r="E1350" t="s">
        <v>573</v>
      </c>
      <c r="F1350" t="s">
        <v>574</v>
      </c>
      <c r="G1350" t="s">
        <v>1033</v>
      </c>
      <c r="H1350" t="s">
        <v>30</v>
      </c>
      <c r="I1350" s="1">
        <v>1</v>
      </c>
      <c r="J1350" s="2">
        <v>775.86</v>
      </c>
    </row>
    <row r="1351" spans="2:10" hidden="1" x14ac:dyDescent="0.2">
      <c r="B1351" t="s">
        <v>690</v>
      </c>
      <c r="C1351" t="s">
        <v>18</v>
      </c>
      <c r="D1351" t="s">
        <v>691</v>
      </c>
      <c r="E1351" t="s">
        <v>16</v>
      </c>
      <c r="F1351" t="s">
        <v>17</v>
      </c>
      <c r="G1351" t="s">
        <v>1034</v>
      </c>
      <c r="H1351" t="s">
        <v>15</v>
      </c>
      <c r="I1351" s="1">
        <v>2</v>
      </c>
      <c r="J1351" s="2">
        <v>1155.18</v>
      </c>
    </row>
    <row r="1352" spans="2:10" hidden="1" x14ac:dyDescent="0.2">
      <c r="B1352" t="s">
        <v>690</v>
      </c>
      <c r="C1352" t="s">
        <v>18</v>
      </c>
      <c r="D1352" t="s">
        <v>691</v>
      </c>
      <c r="E1352" t="s">
        <v>697</v>
      </c>
      <c r="F1352" t="s">
        <v>698</v>
      </c>
      <c r="G1352" t="s">
        <v>699</v>
      </c>
      <c r="H1352" t="s">
        <v>700</v>
      </c>
      <c r="I1352" s="1">
        <v>1</v>
      </c>
      <c r="J1352" s="2">
        <v>103.45</v>
      </c>
    </row>
    <row r="1353" spans="2:10" hidden="1" x14ac:dyDescent="0.2">
      <c r="B1353" t="s">
        <v>690</v>
      </c>
      <c r="C1353" t="s">
        <v>40</v>
      </c>
      <c r="D1353" t="s">
        <v>691</v>
      </c>
      <c r="E1353" t="s">
        <v>701</v>
      </c>
      <c r="F1353" t="s">
        <v>702</v>
      </c>
      <c r="G1353" t="s">
        <v>43</v>
      </c>
      <c r="H1353" t="s">
        <v>50</v>
      </c>
      <c r="I1353" s="1">
        <v>1</v>
      </c>
      <c r="J1353" s="2">
        <v>4482.76</v>
      </c>
    </row>
    <row r="1354" spans="2:10" hidden="1" x14ac:dyDescent="0.2">
      <c r="B1354" t="s">
        <v>690</v>
      </c>
      <c r="C1354" t="s">
        <v>40</v>
      </c>
      <c r="D1354" t="s">
        <v>691</v>
      </c>
      <c r="E1354" t="s">
        <v>644</v>
      </c>
      <c r="F1354" t="s">
        <v>645</v>
      </c>
      <c r="G1354" t="s">
        <v>1033</v>
      </c>
      <c r="H1354" t="s">
        <v>30</v>
      </c>
      <c r="I1354" s="1">
        <v>1</v>
      </c>
      <c r="J1354" s="2">
        <v>431.03</v>
      </c>
    </row>
    <row r="1355" spans="2:10" hidden="1" x14ac:dyDescent="0.2">
      <c r="B1355" t="s">
        <v>690</v>
      </c>
      <c r="C1355" t="s">
        <v>40</v>
      </c>
      <c r="D1355" t="s">
        <v>691</v>
      </c>
      <c r="E1355" t="s">
        <v>167</v>
      </c>
      <c r="F1355" t="s">
        <v>168</v>
      </c>
      <c r="G1355" t="s">
        <v>1033</v>
      </c>
      <c r="H1355" t="s">
        <v>30</v>
      </c>
      <c r="I1355" s="1">
        <v>1</v>
      </c>
      <c r="J1355" s="2">
        <v>1267.24</v>
      </c>
    </row>
    <row r="1356" spans="2:10" hidden="1" x14ac:dyDescent="0.2">
      <c r="B1356" t="s">
        <v>690</v>
      </c>
      <c r="C1356" t="s">
        <v>40</v>
      </c>
      <c r="D1356" t="s">
        <v>691</v>
      </c>
      <c r="E1356" t="s">
        <v>391</v>
      </c>
      <c r="F1356" t="s">
        <v>392</v>
      </c>
      <c r="G1356" t="s">
        <v>14</v>
      </c>
      <c r="H1356" t="s">
        <v>87</v>
      </c>
      <c r="I1356" s="1">
        <v>1</v>
      </c>
      <c r="J1356" s="2">
        <v>482.76</v>
      </c>
    </row>
    <row r="1357" spans="2:10" hidden="1" x14ac:dyDescent="0.2">
      <c r="B1357" t="s">
        <v>690</v>
      </c>
      <c r="C1357" t="s">
        <v>40</v>
      </c>
      <c r="D1357" t="s">
        <v>691</v>
      </c>
      <c r="E1357" t="s">
        <v>703</v>
      </c>
      <c r="F1357" t="s">
        <v>704</v>
      </c>
      <c r="G1357" t="s">
        <v>54</v>
      </c>
      <c r="H1357" t="s">
        <v>471</v>
      </c>
      <c r="I1357" s="1">
        <v>1</v>
      </c>
      <c r="J1357" s="2">
        <v>982.76</v>
      </c>
    </row>
    <row r="1358" spans="2:10" hidden="1" x14ac:dyDescent="0.2">
      <c r="B1358" t="s">
        <v>690</v>
      </c>
      <c r="C1358" t="s">
        <v>40</v>
      </c>
      <c r="D1358" t="s">
        <v>691</v>
      </c>
      <c r="E1358" t="s">
        <v>19</v>
      </c>
      <c r="F1358" t="s">
        <v>20</v>
      </c>
      <c r="G1358" t="s">
        <v>14</v>
      </c>
      <c r="H1358" t="s">
        <v>21</v>
      </c>
      <c r="I1358" s="1">
        <v>3</v>
      </c>
      <c r="J1358" s="2">
        <v>1293.1199999999999</v>
      </c>
    </row>
    <row r="1359" spans="2:10" hidden="1" x14ac:dyDescent="0.2">
      <c r="B1359" t="s">
        <v>690</v>
      </c>
      <c r="C1359" t="s">
        <v>40</v>
      </c>
      <c r="D1359" t="s">
        <v>691</v>
      </c>
      <c r="E1359" t="s">
        <v>553</v>
      </c>
      <c r="F1359" t="s">
        <v>554</v>
      </c>
      <c r="G1359" t="s">
        <v>1033</v>
      </c>
      <c r="H1359" t="s">
        <v>30</v>
      </c>
      <c r="I1359" s="1">
        <v>1</v>
      </c>
      <c r="J1359" s="2">
        <v>1379.31</v>
      </c>
    </row>
    <row r="1360" spans="2:10" hidden="1" x14ac:dyDescent="0.2">
      <c r="B1360" t="s">
        <v>690</v>
      </c>
      <c r="C1360" t="s">
        <v>40</v>
      </c>
      <c r="D1360" t="s">
        <v>691</v>
      </c>
      <c r="E1360" t="s">
        <v>171</v>
      </c>
      <c r="F1360" t="s">
        <v>172</v>
      </c>
      <c r="G1360" t="s">
        <v>14</v>
      </c>
      <c r="H1360" t="s">
        <v>35</v>
      </c>
      <c r="I1360" s="1">
        <v>1</v>
      </c>
      <c r="J1360" s="2">
        <v>77.59</v>
      </c>
    </row>
    <row r="1361" spans="2:10" hidden="1" x14ac:dyDescent="0.2">
      <c r="B1361" t="s">
        <v>690</v>
      </c>
      <c r="C1361" t="s">
        <v>40</v>
      </c>
      <c r="D1361" t="s">
        <v>691</v>
      </c>
      <c r="E1361" t="s">
        <v>579</v>
      </c>
      <c r="F1361" t="s">
        <v>580</v>
      </c>
      <c r="G1361" t="s">
        <v>1033</v>
      </c>
      <c r="H1361" t="s">
        <v>30</v>
      </c>
      <c r="I1361" s="1">
        <v>1</v>
      </c>
      <c r="J1361" s="2">
        <v>77.59</v>
      </c>
    </row>
    <row r="1362" spans="2:10" hidden="1" x14ac:dyDescent="0.2">
      <c r="B1362" t="s">
        <v>690</v>
      </c>
      <c r="C1362" t="s">
        <v>40</v>
      </c>
      <c r="D1362" t="s">
        <v>691</v>
      </c>
      <c r="E1362" t="s">
        <v>278</v>
      </c>
      <c r="F1362" t="s">
        <v>279</v>
      </c>
      <c r="G1362" t="s">
        <v>1033</v>
      </c>
      <c r="H1362" t="s">
        <v>30</v>
      </c>
      <c r="I1362" s="1">
        <v>1</v>
      </c>
      <c r="J1362" s="2">
        <v>112.07</v>
      </c>
    </row>
    <row r="1363" spans="2:10" hidden="1" x14ac:dyDescent="0.2">
      <c r="B1363" t="s">
        <v>690</v>
      </c>
      <c r="C1363" t="s">
        <v>40</v>
      </c>
      <c r="D1363" t="s">
        <v>691</v>
      </c>
      <c r="E1363" t="s">
        <v>95</v>
      </c>
      <c r="F1363" t="s">
        <v>96</v>
      </c>
      <c r="G1363" t="s">
        <v>1033</v>
      </c>
      <c r="H1363" t="s">
        <v>30</v>
      </c>
      <c r="I1363" s="1">
        <v>1</v>
      </c>
      <c r="J1363" s="2">
        <v>1706.9</v>
      </c>
    </row>
    <row r="1364" spans="2:10" hidden="1" x14ac:dyDescent="0.2">
      <c r="B1364" t="s">
        <v>690</v>
      </c>
      <c r="C1364" t="s">
        <v>40</v>
      </c>
      <c r="D1364" t="s">
        <v>691</v>
      </c>
      <c r="E1364" t="s">
        <v>99</v>
      </c>
      <c r="F1364" t="s">
        <v>100</v>
      </c>
      <c r="G1364" t="s">
        <v>43</v>
      </c>
      <c r="H1364" t="s">
        <v>50</v>
      </c>
      <c r="I1364" s="1">
        <v>1</v>
      </c>
      <c r="J1364" s="2">
        <v>3275.86</v>
      </c>
    </row>
    <row r="1365" spans="2:10" hidden="1" x14ac:dyDescent="0.2">
      <c r="B1365" t="s">
        <v>690</v>
      </c>
      <c r="C1365" t="s">
        <v>40</v>
      </c>
      <c r="D1365" t="s">
        <v>691</v>
      </c>
      <c r="E1365" t="s">
        <v>705</v>
      </c>
      <c r="F1365" t="s">
        <v>706</v>
      </c>
      <c r="G1365" t="s">
        <v>43</v>
      </c>
      <c r="H1365" t="s">
        <v>94</v>
      </c>
      <c r="I1365" s="1">
        <v>1</v>
      </c>
      <c r="J1365" s="2">
        <v>603.45000000000005</v>
      </c>
    </row>
    <row r="1366" spans="2:10" hidden="1" x14ac:dyDescent="0.2">
      <c r="B1366" t="s">
        <v>690</v>
      </c>
      <c r="C1366" t="s">
        <v>40</v>
      </c>
      <c r="D1366" t="s">
        <v>691</v>
      </c>
      <c r="E1366" t="s">
        <v>251</v>
      </c>
      <c r="F1366" t="s">
        <v>252</v>
      </c>
      <c r="G1366" t="s">
        <v>1033</v>
      </c>
      <c r="H1366" t="s">
        <v>30</v>
      </c>
      <c r="I1366" s="1">
        <v>1</v>
      </c>
      <c r="J1366" s="2">
        <v>1500</v>
      </c>
    </row>
    <row r="1367" spans="2:10" hidden="1" x14ac:dyDescent="0.2">
      <c r="B1367" t="s">
        <v>690</v>
      </c>
      <c r="C1367" t="s">
        <v>40</v>
      </c>
      <c r="D1367" t="s">
        <v>691</v>
      </c>
      <c r="E1367" t="s">
        <v>545</v>
      </c>
      <c r="F1367" t="s">
        <v>546</v>
      </c>
      <c r="G1367" t="s">
        <v>284</v>
      </c>
      <c r="H1367" t="s">
        <v>547</v>
      </c>
      <c r="I1367" s="1">
        <v>1</v>
      </c>
      <c r="J1367" s="2">
        <v>297.41000000000003</v>
      </c>
    </row>
    <row r="1368" spans="2:10" hidden="1" x14ac:dyDescent="0.2">
      <c r="B1368" t="s">
        <v>690</v>
      </c>
      <c r="C1368" t="s">
        <v>40</v>
      </c>
      <c r="D1368" t="s">
        <v>691</v>
      </c>
      <c r="E1368" t="s">
        <v>707</v>
      </c>
      <c r="F1368" t="s">
        <v>708</v>
      </c>
      <c r="G1368" t="s">
        <v>54</v>
      </c>
      <c r="H1368" t="s">
        <v>709</v>
      </c>
      <c r="I1368" s="1">
        <v>1</v>
      </c>
      <c r="J1368" s="2">
        <v>431.03</v>
      </c>
    </row>
    <row r="1369" spans="2:10" hidden="1" x14ac:dyDescent="0.2">
      <c r="B1369" t="s">
        <v>690</v>
      </c>
      <c r="C1369" t="s">
        <v>40</v>
      </c>
      <c r="D1369" t="s">
        <v>691</v>
      </c>
      <c r="E1369" t="s">
        <v>72</v>
      </c>
      <c r="F1369" t="s">
        <v>73</v>
      </c>
      <c r="G1369" t="s">
        <v>1034</v>
      </c>
      <c r="H1369" t="s">
        <v>15</v>
      </c>
      <c r="I1369" s="1">
        <v>1</v>
      </c>
      <c r="J1369" s="2">
        <v>775.86</v>
      </c>
    </row>
    <row r="1370" spans="2:10" hidden="1" x14ac:dyDescent="0.2">
      <c r="B1370" t="s">
        <v>690</v>
      </c>
      <c r="C1370" t="s">
        <v>40</v>
      </c>
      <c r="D1370" t="s">
        <v>691</v>
      </c>
      <c r="E1370" t="s">
        <v>336</v>
      </c>
      <c r="F1370" t="s">
        <v>337</v>
      </c>
      <c r="G1370" t="s">
        <v>1034</v>
      </c>
      <c r="H1370" t="s">
        <v>15</v>
      </c>
      <c r="I1370" s="1">
        <v>1</v>
      </c>
      <c r="J1370" s="2">
        <v>387.93</v>
      </c>
    </row>
    <row r="1371" spans="2:10" hidden="1" x14ac:dyDescent="0.2">
      <c r="B1371" t="s">
        <v>690</v>
      </c>
      <c r="C1371" t="s">
        <v>40</v>
      </c>
      <c r="D1371" t="s">
        <v>691</v>
      </c>
      <c r="E1371" t="s">
        <v>22</v>
      </c>
      <c r="F1371" t="s">
        <v>23</v>
      </c>
      <c r="G1371" t="s">
        <v>14</v>
      </c>
      <c r="H1371" t="s">
        <v>24</v>
      </c>
      <c r="I1371" s="1">
        <v>5</v>
      </c>
      <c r="J1371" s="2">
        <v>1077.5999999999999</v>
      </c>
    </row>
    <row r="1372" spans="2:10" hidden="1" x14ac:dyDescent="0.2">
      <c r="B1372" t="s">
        <v>690</v>
      </c>
      <c r="C1372" t="s">
        <v>40</v>
      </c>
      <c r="D1372" t="s">
        <v>691</v>
      </c>
      <c r="E1372" t="s">
        <v>157</v>
      </c>
      <c r="F1372" t="s">
        <v>158</v>
      </c>
      <c r="G1372" t="s">
        <v>14</v>
      </c>
      <c r="H1372" t="s">
        <v>87</v>
      </c>
      <c r="I1372" s="1">
        <v>2</v>
      </c>
      <c r="J1372" s="2">
        <v>568.97</v>
      </c>
    </row>
    <row r="1373" spans="2:10" hidden="1" x14ac:dyDescent="0.2">
      <c r="B1373" t="s">
        <v>690</v>
      </c>
      <c r="C1373" t="s">
        <v>40</v>
      </c>
      <c r="D1373" t="s">
        <v>691</v>
      </c>
      <c r="E1373" t="s">
        <v>159</v>
      </c>
      <c r="F1373" t="s">
        <v>160</v>
      </c>
      <c r="G1373" t="s">
        <v>14</v>
      </c>
      <c r="H1373" t="s">
        <v>87</v>
      </c>
      <c r="I1373" s="1">
        <v>2</v>
      </c>
      <c r="J1373" s="2">
        <v>568.97</v>
      </c>
    </row>
    <row r="1374" spans="2:10" hidden="1" x14ac:dyDescent="0.2">
      <c r="B1374" t="s">
        <v>690</v>
      </c>
      <c r="C1374" t="s">
        <v>40</v>
      </c>
      <c r="D1374" t="s">
        <v>691</v>
      </c>
      <c r="E1374" t="s">
        <v>38</v>
      </c>
      <c r="F1374" t="s">
        <v>39</v>
      </c>
      <c r="G1374" t="s">
        <v>1034</v>
      </c>
      <c r="H1374" t="s">
        <v>15</v>
      </c>
      <c r="I1374" s="1">
        <v>1</v>
      </c>
      <c r="J1374" s="2">
        <v>431.03</v>
      </c>
    </row>
    <row r="1375" spans="2:10" hidden="1" x14ac:dyDescent="0.2">
      <c r="B1375" t="s">
        <v>690</v>
      </c>
      <c r="C1375" t="s">
        <v>40</v>
      </c>
      <c r="D1375" t="s">
        <v>691</v>
      </c>
      <c r="E1375" t="s">
        <v>710</v>
      </c>
      <c r="F1375" t="s">
        <v>711</v>
      </c>
      <c r="G1375" t="s">
        <v>284</v>
      </c>
      <c r="H1375" t="s">
        <v>712</v>
      </c>
      <c r="I1375" s="1">
        <v>1</v>
      </c>
      <c r="J1375" s="2">
        <v>310.33999999999997</v>
      </c>
    </row>
    <row r="1376" spans="2:10" hidden="1" x14ac:dyDescent="0.2">
      <c r="B1376" t="s">
        <v>690</v>
      </c>
      <c r="C1376" t="s">
        <v>40</v>
      </c>
      <c r="D1376" t="s">
        <v>691</v>
      </c>
      <c r="E1376" t="s">
        <v>273</v>
      </c>
      <c r="F1376" t="s">
        <v>274</v>
      </c>
      <c r="G1376" t="s">
        <v>1033</v>
      </c>
      <c r="H1376" t="s">
        <v>30</v>
      </c>
      <c r="I1376" s="1">
        <v>1</v>
      </c>
      <c r="J1376" s="2">
        <v>1293.0999999999999</v>
      </c>
    </row>
    <row r="1377" spans="2:10" hidden="1" x14ac:dyDescent="0.2">
      <c r="B1377" t="s">
        <v>690</v>
      </c>
      <c r="C1377" t="s">
        <v>40</v>
      </c>
      <c r="D1377" t="s">
        <v>691</v>
      </c>
      <c r="E1377" t="s">
        <v>713</v>
      </c>
      <c r="F1377" t="s">
        <v>714</v>
      </c>
      <c r="G1377" t="s">
        <v>14</v>
      </c>
      <c r="H1377" t="s">
        <v>94</v>
      </c>
      <c r="I1377" s="1">
        <v>1</v>
      </c>
      <c r="J1377" s="2">
        <v>387.93</v>
      </c>
    </row>
    <row r="1378" spans="2:10" hidden="1" x14ac:dyDescent="0.2">
      <c r="B1378" t="s">
        <v>690</v>
      </c>
      <c r="C1378" t="s">
        <v>40</v>
      </c>
      <c r="D1378" t="s">
        <v>691</v>
      </c>
      <c r="E1378" t="s">
        <v>163</v>
      </c>
      <c r="F1378" t="s">
        <v>164</v>
      </c>
      <c r="G1378" t="s">
        <v>1034</v>
      </c>
      <c r="H1378" t="s">
        <v>15</v>
      </c>
      <c r="I1378" s="1">
        <v>1</v>
      </c>
      <c r="J1378" s="2">
        <v>431.03</v>
      </c>
    </row>
    <row r="1379" spans="2:10" hidden="1" x14ac:dyDescent="0.2">
      <c r="B1379" t="s">
        <v>690</v>
      </c>
      <c r="C1379" t="s">
        <v>40</v>
      </c>
      <c r="D1379" t="s">
        <v>691</v>
      </c>
      <c r="E1379" t="s">
        <v>61</v>
      </c>
      <c r="F1379" t="s">
        <v>62</v>
      </c>
      <c r="G1379" t="s">
        <v>1034</v>
      </c>
      <c r="H1379" t="s">
        <v>15</v>
      </c>
      <c r="I1379" s="1">
        <v>5</v>
      </c>
      <c r="J1379" s="2">
        <v>862.05</v>
      </c>
    </row>
    <row r="1380" spans="2:10" hidden="1" x14ac:dyDescent="0.2">
      <c r="B1380" t="s">
        <v>690</v>
      </c>
      <c r="C1380" t="s">
        <v>40</v>
      </c>
      <c r="D1380" t="s">
        <v>691</v>
      </c>
      <c r="E1380" t="s">
        <v>63</v>
      </c>
      <c r="F1380" t="s">
        <v>64</v>
      </c>
      <c r="G1380" t="s">
        <v>1034</v>
      </c>
      <c r="H1380" t="s">
        <v>15</v>
      </c>
      <c r="I1380" s="1">
        <v>4</v>
      </c>
      <c r="J1380" s="2">
        <v>689.64</v>
      </c>
    </row>
    <row r="1381" spans="2:10" hidden="1" x14ac:dyDescent="0.2">
      <c r="B1381" t="s">
        <v>690</v>
      </c>
      <c r="C1381" t="s">
        <v>40</v>
      </c>
      <c r="D1381" t="s">
        <v>691</v>
      </c>
      <c r="E1381" t="s">
        <v>715</v>
      </c>
      <c r="F1381" t="s">
        <v>716</v>
      </c>
      <c r="G1381" t="s">
        <v>43</v>
      </c>
      <c r="H1381" t="s">
        <v>81</v>
      </c>
      <c r="I1381" s="1">
        <v>1</v>
      </c>
      <c r="J1381" s="2">
        <v>1637.93</v>
      </c>
    </row>
    <row r="1382" spans="2:10" hidden="1" x14ac:dyDescent="0.2">
      <c r="B1382" t="s">
        <v>690</v>
      </c>
      <c r="C1382" t="s">
        <v>40</v>
      </c>
      <c r="D1382" t="s">
        <v>691</v>
      </c>
      <c r="E1382" t="s">
        <v>717</v>
      </c>
      <c r="F1382" t="s">
        <v>718</v>
      </c>
      <c r="G1382" t="s">
        <v>43</v>
      </c>
      <c r="H1382" t="s">
        <v>91</v>
      </c>
      <c r="I1382" s="1">
        <v>1</v>
      </c>
      <c r="J1382" s="2">
        <v>1810.34</v>
      </c>
    </row>
    <row r="1383" spans="2:10" hidden="1" x14ac:dyDescent="0.2">
      <c r="B1383" t="s">
        <v>690</v>
      </c>
      <c r="C1383" t="s">
        <v>40</v>
      </c>
      <c r="D1383" t="s">
        <v>691</v>
      </c>
      <c r="E1383" t="s">
        <v>461</v>
      </c>
      <c r="F1383" t="s">
        <v>462</v>
      </c>
      <c r="G1383" t="s">
        <v>43</v>
      </c>
      <c r="H1383" t="s">
        <v>50</v>
      </c>
      <c r="I1383" s="1">
        <v>1</v>
      </c>
      <c r="J1383" s="2">
        <v>3879.31</v>
      </c>
    </row>
    <row r="1384" spans="2:10" hidden="1" x14ac:dyDescent="0.2">
      <c r="B1384" t="s">
        <v>690</v>
      </c>
      <c r="C1384" t="s">
        <v>40</v>
      </c>
      <c r="D1384" t="s">
        <v>691</v>
      </c>
      <c r="E1384" t="s">
        <v>28</v>
      </c>
      <c r="F1384" t="s">
        <v>29</v>
      </c>
      <c r="G1384" t="s">
        <v>1033</v>
      </c>
      <c r="H1384" t="s">
        <v>30</v>
      </c>
      <c r="I1384" s="1">
        <v>2</v>
      </c>
      <c r="J1384" s="2">
        <v>310.33999999999997</v>
      </c>
    </row>
    <row r="1385" spans="2:10" hidden="1" x14ac:dyDescent="0.2">
      <c r="B1385" t="s">
        <v>690</v>
      </c>
      <c r="C1385" t="s">
        <v>51</v>
      </c>
      <c r="D1385" t="s">
        <v>691</v>
      </c>
      <c r="E1385" t="s">
        <v>19</v>
      </c>
      <c r="F1385" t="s">
        <v>20</v>
      </c>
      <c r="G1385" t="s">
        <v>14</v>
      </c>
      <c r="H1385" t="s">
        <v>21</v>
      </c>
      <c r="I1385" s="1">
        <v>1</v>
      </c>
      <c r="J1385" s="2">
        <v>431.04</v>
      </c>
    </row>
    <row r="1386" spans="2:10" hidden="1" x14ac:dyDescent="0.2">
      <c r="B1386" t="s">
        <v>690</v>
      </c>
      <c r="C1386" t="s">
        <v>51</v>
      </c>
      <c r="D1386" t="s">
        <v>691</v>
      </c>
      <c r="E1386" t="s">
        <v>72</v>
      </c>
      <c r="F1386" t="s">
        <v>73</v>
      </c>
      <c r="G1386" t="s">
        <v>1034</v>
      </c>
      <c r="H1386" t="s">
        <v>15</v>
      </c>
      <c r="I1386" s="1">
        <v>1</v>
      </c>
      <c r="J1386" s="2">
        <v>775.86</v>
      </c>
    </row>
    <row r="1387" spans="2:10" hidden="1" x14ac:dyDescent="0.2">
      <c r="B1387" t="s">
        <v>690</v>
      </c>
      <c r="C1387" t="s">
        <v>51</v>
      </c>
      <c r="D1387" t="s">
        <v>691</v>
      </c>
      <c r="E1387" t="s">
        <v>63</v>
      </c>
      <c r="F1387" t="s">
        <v>64</v>
      </c>
      <c r="G1387" t="s">
        <v>1034</v>
      </c>
      <c r="H1387" t="s">
        <v>15</v>
      </c>
      <c r="I1387" s="1">
        <v>1</v>
      </c>
      <c r="J1387" s="2">
        <v>172.41</v>
      </c>
    </row>
    <row r="1388" spans="2:10" hidden="1" x14ac:dyDescent="0.2">
      <c r="B1388" t="s">
        <v>690</v>
      </c>
      <c r="C1388" t="s">
        <v>51</v>
      </c>
      <c r="D1388" t="s">
        <v>691</v>
      </c>
      <c r="E1388" t="s">
        <v>16</v>
      </c>
      <c r="F1388" t="s">
        <v>17</v>
      </c>
      <c r="G1388" t="s">
        <v>1034</v>
      </c>
      <c r="H1388" t="s">
        <v>15</v>
      </c>
      <c r="I1388" s="1">
        <v>2</v>
      </c>
      <c r="J1388" s="2">
        <v>1155.18</v>
      </c>
    </row>
    <row r="1389" spans="2:10" hidden="1" x14ac:dyDescent="0.2">
      <c r="B1389" t="s">
        <v>690</v>
      </c>
      <c r="C1389" t="s">
        <v>65</v>
      </c>
      <c r="D1389" t="s">
        <v>691</v>
      </c>
      <c r="E1389" t="s">
        <v>36</v>
      </c>
      <c r="F1389" t="s">
        <v>37</v>
      </c>
      <c r="G1389" t="s">
        <v>1034</v>
      </c>
      <c r="H1389" t="s">
        <v>15</v>
      </c>
      <c r="I1389" s="1">
        <v>1</v>
      </c>
      <c r="J1389" s="2">
        <v>301.72000000000003</v>
      </c>
    </row>
    <row r="1390" spans="2:10" hidden="1" x14ac:dyDescent="0.2">
      <c r="B1390" t="s">
        <v>690</v>
      </c>
      <c r="C1390" t="s">
        <v>65</v>
      </c>
      <c r="D1390" t="s">
        <v>691</v>
      </c>
      <c r="E1390" t="s">
        <v>16</v>
      </c>
      <c r="F1390" t="s">
        <v>17</v>
      </c>
      <c r="G1390" t="s">
        <v>1034</v>
      </c>
      <c r="H1390" t="s">
        <v>15</v>
      </c>
      <c r="I1390" s="1">
        <v>2</v>
      </c>
      <c r="J1390" s="2">
        <v>1155.18</v>
      </c>
    </row>
    <row r="1391" spans="2:10" hidden="1" x14ac:dyDescent="0.2">
      <c r="B1391" t="s">
        <v>690</v>
      </c>
      <c r="C1391" t="s">
        <v>82</v>
      </c>
      <c r="D1391" t="s">
        <v>691</v>
      </c>
      <c r="E1391" t="s">
        <v>46</v>
      </c>
      <c r="F1391" t="s">
        <v>47</v>
      </c>
      <c r="G1391" t="s">
        <v>1034</v>
      </c>
      <c r="H1391" t="s">
        <v>15</v>
      </c>
      <c r="I1391" s="1">
        <v>1</v>
      </c>
      <c r="J1391" s="2">
        <v>301.72000000000003</v>
      </c>
    </row>
    <row r="1392" spans="2:10" hidden="1" x14ac:dyDescent="0.2">
      <c r="B1392" t="s">
        <v>690</v>
      </c>
      <c r="C1392" t="s">
        <v>82</v>
      </c>
      <c r="D1392" t="s">
        <v>691</v>
      </c>
      <c r="E1392" t="s">
        <v>149</v>
      </c>
      <c r="F1392" t="s">
        <v>150</v>
      </c>
      <c r="G1392" t="s">
        <v>43</v>
      </c>
      <c r="H1392" t="s">
        <v>50</v>
      </c>
      <c r="I1392" s="1">
        <v>1</v>
      </c>
      <c r="J1392" s="2">
        <v>3017.24</v>
      </c>
    </row>
    <row r="1393" spans="2:10" hidden="1" x14ac:dyDescent="0.2">
      <c r="B1393" t="s">
        <v>690</v>
      </c>
      <c r="C1393" t="s">
        <v>82</v>
      </c>
      <c r="D1393" t="s">
        <v>691</v>
      </c>
      <c r="E1393" t="s">
        <v>120</v>
      </c>
      <c r="F1393" t="s">
        <v>121</v>
      </c>
      <c r="G1393" t="s">
        <v>1034</v>
      </c>
      <c r="H1393" t="s">
        <v>15</v>
      </c>
      <c r="I1393" s="1">
        <v>1</v>
      </c>
      <c r="J1393" s="2">
        <v>301.72000000000003</v>
      </c>
    </row>
    <row r="1394" spans="2:10" hidden="1" x14ac:dyDescent="0.2">
      <c r="B1394" t="s">
        <v>690</v>
      </c>
      <c r="C1394" t="s">
        <v>82</v>
      </c>
      <c r="D1394" t="s">
        <v>691</v>
      </c>
      <c r="E1394" t="s">
        <v>36</v>
      </c>
      <c r="F1394" t="s">
        <v>37</v>
      </c>
      <c r="G1394" t="s">
        <v>1034</v>
      </c>
      <c r="H1394" t="s">
        <v>15</v>
      </c>
      <c r="I1394" s="1">
        <v>2</v>
      </c>
      <c r="J1394" s="2">
        <v>603.44000000000005</v>
      </c>
    </row>
    <row r="1395" spans="2:10" hidden="1" x14ac:dyDescent="0.2">
      <c r="B1395" t="s">
        <v>690</v>
      </c>
      <c r="C1395" t="s">
        <v>82</v>
      </c>
      <c r="D1395" t="s">
        <v>691</v>
      </c>
      <c r="E1395" t="s">
        <v>72</v>
      </c>
      <c r="F1395" t="s">
        <v>73</v>
      </c>
      <c r="G1395" t="s">
        <v>1034</v>
      </c>
      <c r="H1395" t="s">
        <v>15</v>
      </c>
      <c r="I1395" s="1">
        <v>1</v>
      </c>
      <c r="J1395" s="2">
        <v>775.86</v>
      </c>
    </row>
    <row r="1396" spans="2:10" hidden="1" x14ac:dyDescent="0.2">
      <c r="B1396" t="s">
        <v>690</v>
      </c>
      <c r="C1396" t="s">
        <v>82</v>
      </c>
      <c r="D1396" t="s">
        <v>691</v>
      </c>
      <c r="E1396" t="s">
        <v>273</v>
      </c>
      <c r="F1396" t="s">
        <v>274</v>
      </c>
      <c r="G1396" t="s">
        <v>1033</v>
      </c>
      <c r="H1396" t="s">
        <v>30</v>
      </c>
      <c r="I1396" s="1">
        <v>1</v>
      </c>
      <c r="J1396" s="2">
        <v>1293.0999999999999</v>
      </c>
    </row>
    <row r="1397" spans="2:10" hidden="1" x14ac:dyDescent="0.2">
      <c r="B1397" t="s">
        <v>690</v>
      </c>
      <c r="C1397" t="s">
        <v>82</v>
      </c>
      <c r="D1397" t="s">
        <v>691</v>
      </c>
      <c r="E1397" t="s">
        <v>56</v>
      </c>
      <c r="F1397" t="s">
        <v>57</v>
      </c>
      <c r="G1397" t="s">
        <v>1034</v>
      </c>
      <c r="H1397" t="s">
        <v>15</v>
      </c>
      <c r="I1397" s="1">
        <v>1</v>
      </c>
      <c r="J1397" s="2">
        <v>431.03</v>
      </c>
    </row>
    <row r="1398" spans="2:10" hidden="1" x14ac:dyDescent="0.2">
      <c r="B1398" t="s">
        <v>690</v>
      </c>
      <c r="C1398" t="s">
        <v>82</v>
      </c>
      <c r="D1398" t="s">
        <v>691</v>
      </c>
      <c r="E1398" t="s">
        <v>16</v>
      </c>
      <c r="F1398" t="s">
        <v>17</v>
      </c>
      <c r="G1398" t="s">
        <v>1034</v>
      </c>
      <c r="H1398" t="s">
        <v>15</v>
      </c>
      <c r="I1398" s="1">
        <v>1</v>
      </c>
      <c r="J1398" s="2">
        <v>577.59</v>
      </c>
    </row>
    <row r="1399" spans="2:10" hidden="1" x14ac:dyDescent="0.2">
      <c r="B1399" t="s">
        <v>690</v>
      </c>
      <c r="C1399" t="s">
        <v>82</v>
      </c>
      <c r="D1399" t="s">
        <v>691</v>
      </c>
      <c r="E1399" t="s">
        <v>193</v>
      </c>
      <c r="F1399" t="s">
        <v>194</v>
      </c>
      <c r="G1399" t="s">
        <v>1034</v>
      </c>
      <c r="H1399" t="s">
        <v>15</v>
      </c>
      <c r="I1399" s="1">
        <v>1</v>
      </c>
      <c r="J1399" s="2">
        <v>1293.0999999999999</v>
      </c>
    </row>
    <row r="1400" spans="2:10" hidden="1" x14ac:dyDescent="0.2">
      <c r="B1400" t="s">
        <v>690</v>
      </c>
      <c r="C1400" t="s">
        <v>82</v>
      </c>
      <c r="D1400" t="s">
        <v>691</v>
      </c>
      <c r="E1400" t="s">
        <v>719</v>
      </c>
      <c r="F1400" t="s">
        <v>720</v>
      </c>
      <c r="G1400" t="s">
        <v>1033</v>
      </c>
      <c r="H1400" t="s">
        <v>30</v>
      </c>
      <c r="I1400" s="1">
        <v>1</v>
      </c>
      <c r="J1400" s="2">
        <v>818.97</v>
      </c>
    </row>
    <row r="1401" spans="2:10" hidden="1" x14ac:dyDescent="0.2">
      <c r="B1401" t="s">
        <v>690</v>
      </c>
      <c r="C1401" t="s">
        <v>82</v>
      </c>
      <c r="D1401" t="s">
        <v>691</v>
      </c>
      <c r="E1401" t="s">
        <v>721</v>
      </c>
      <c r="F1401" t="s">
        <v>722</v>
      </c>
      <c r="G1401" t="s">
        <v>699</v>
      </c>
      <c r="H1401" t="s">
        <v>723</v>
      </c>
      <c r="I1401" s="1">
        <v>1</v>
      </c>
      <c r="J1401" s="2">
        <v>103.45</v>
      </c>
    </row>
    <row r="1402" spans="2:10" hidden="1" x14ac:dyDescent="0.2">
      <c r="B1402" t="s">
        <v>690</v>
      </c>
      <c r="C1402" t="s">
        <v>88</v>
      </c>
      <c r="D1402" t="s">
        <v>691</v>
      </c>
      <c r="E1402" t="s">
        <v>22</v>
      </c>
      <c r="F1402" t="s">
        <v>23</v>
      </c>
      <c r="G1402" t="s">
        <v>14</v>
      </c>
      <c r="H1402" t="s">
        <v>24</v>
      </c>
      <c r="I1402" s="1">
        <v>1</v>
      </c>
      <c r="J1402" s="2">
        <v>215.52</v>
      </c>
    </row>
    <row r="1403" spans="2:10" hidden="1" x14ac:dyDescent="0.2">
      <c r="B1403" t="s">
        <v>690</v>
      </c>
      <c r="C1403" t="s">
        <v>117</v>
      </c>
      <c r="D1403" t="s">
        <v>691</v>
      </c>
      <c r="E1403" t="s">
        <v>44</v>
      </c>
      <c r="F1403" t="s">
        <v>45</v>
      </c>
      <c r="G1403" t="s">
        <v>1033</v>
      </c>
      <c r="H1403" t="s">
        <v>30</v>
      </c>
      <c r="I1403" s="1">
        <v>1</v>
      </c>
      <c r="J1403" s="2">
        <v>81.900000000000006</v>
      </c>
    </row>
    <row r="1404" spans="2:10" hidden="1" x14ac:dyDescent="0.2">
      <c r="B1404" t="s">
        <v>690</v>
      </c>
      <c r="C1404" t="s">
        <v>117</v>
      </c>
      <c r="D1404" t="s">
        <v>691</v>
      </c>
      <c r="E1404" t="s">
        <v>97</v>
      </c>
      <c r="F1404" t="s">
        <v>98</v>
      </c>
      <c r="G1404" t="s">
        <v>1033</v>
      </c>
      <c r="H1404" t="s">
        <v>30</v>
      </c>
      <c r="I1404" s="1">
        <v>1</v>
      </c>
      <c r="J1404" s="2">
        <v>2500</v>
      </c>
    </row>
    <row r="1405" spans="2:10" hidden="1" x14ac:dyDescent="0.2">
      <c r="B1405" t="s">
        <v>690</v>
      </c>
      <c r="C1405" t="s">
        <v>117</v>
      </c>
      <c r="D1405" t="s">
        <v>691</v>
      </c>
      <c r="E1405" t="s">
        <v>12</v>
      </c>
      <c r="F1405" t="s">
        <v>13</v>
      </c>
      <c r="G1405" t="s">
        <v>1034</v>
      </c>
      <c r="H1405" t="s">
        <v>15</v>
      </c>
      <c r="I1405" s="1">
        <v>1</v>
      </c>
      <c r="J1405" s="2">
        <v>1077.5899999999999</v>
      </c>
    </row>
    <row r="1406" spans="2:10" hidden="1" x14ac:dyDescent="0.2">
      <c r="B1406" t="s">
        <v>690</v>
      </c>
      <c r="C1406" t="s">
        <v>117</v>
      </c>
      <c r="D1406" t="s">
        <v>691</v>
      </c>
      <c r="E1406" t="s">
        <v>85</v>
      </c>
      <c r="F1406" t="s">
        <v>86</v>
      </c>
      <c r="G1406" t="s">
        <v>14</v>
      </c>
      <c r="H1406" t="s">
        <v>87</v>
      </c>
      <c r="I1406" s="1">
        <v>1</v>
      </c>
      <c r="J1406" s="2">
        <v>301.72000000000003</v>
      </c>
    </row>
    <row r="1407" spans="2:10" hidden="1" x14ac:dyDescent="0.2">
      <c r="B1407" t="s">
        <v>690</v>
      </c>
      <c r="C1407" t="s">
        <v>117</v>
      </c>
      <c r="D1407" t="s">
        <v>691</v>
      </c>
      <c r="E1407" t="s">
        <v>22</v>
      </c>
      <c r="F1407" t="s">
        <v>23</v>
      </c>
      <c r="G1407" t="s">
        <v>14</v>
      </c>
      <c r="H1407" t="s">
        <v>24</v>
      </c>
      <c r="I1407" s="1">
        <v>1</v>
      </c>
      <c r="J1407" s="2">
        <v>215.52</v>
      </c>
    </row>
    <row r="1408" spans="2:10" hidden="1" x14ac:dyDescent="0.2">
      <c r="B1408" t="s">
        <v>690</v>
      </c>
      <c r="C1408" t="s">
        <v>117</v>
      </c>
      <c r="D1408" t="s">
        <v>691</v>
      </c>
      <c r="E1408" t="s">
        <v>442</v>
      </c>
      <c r="F1408" t="s">
        <v>443</v>
      </c>
      <c r="G1408" t="s">
        <v>1033</v>
      </c>
      <c r="H1408" t="s">
        <v>30</v>
      </c>
      <c r="I1408" s="1">
        <v>1</v>
      </c>
      <c r="J1408" s="2">
        <v>2500</v>
      </c>
    </row>
    <row r="1409" spans="2:10" hidden="1" x14ac:dyDescent="0.2">
      <c r="B1409" t="s">
        <v>690</v>
      </c>
      <c r="C1409" t="s">
        <v>117</v>
      </c>
      <c r="D1409" t="s">
        <v>691</v>
      </c>
      <c r="E1409" t="s">
        <v>63</v>
      </c>
      <c r="F1409" t="s">
        <v>64</v>
      </c>
      <c r="G1409" t="s">
        <v>1034</v>
      </c>
      <c r="H1409" t="s">
        <v>15</v>
      </c>
      <c r="I1409" s="1">
        <v>1</v>
      </c>
      <c r="J1409" s="2">
        <v>172.41</v>
      </c>
    </row>
    <row r="1410" spans="2:10" hidden="1" x14ac:dyDescent="0.2">
      <c r="B1410" t="s">
        <v>690</v>
      </c>
      <c r="C1410" t="s">
        <v>117</v>
      </c>
      <c r="D1410" t="s">
        <v>691</v>
      </c>
      <c r="E1410" t="s">
        <v>28</v>
      </c>
      <c r="F1410" t="s">
        <v>29</v>
      </c>
      <c r="G1410" t="s">
        <v>1033</v>
      </c>
      <c r="H1410" t="s">
        <v>30</v>
      </c>
      <c r="I1410" s="1">
        <v>1</v>
      </c>
      <c r="J1410" s="2">
        <v>155.16999999999999</v>
      </c>
    </row>
    <row r="1411" spans="2:10" hidden="1" x14ac:dyDescent="0.2">
      <c r="B1411" t="s">
        <v>690</v>
      </c>
      <c r="C1411" t="s">
        <v>141</v>
      </c>
      <c r="D1411" t="s">
        <v>691</v>
      </c>
      <c r="E1411" t="s">
        <v>122</v>
      </c>
      <c r="F1411" t="s">
        <v>123</v>
      </c>
      <c r="G1411" t="s">
        <v>1034</v>
      </c>
      <c r="H1411" t="s">
        <v>15</v>
      </c>
      <c r="I1411" s="1">
        <v>1</v>
      </c>
      <c r="J1411" s="2">
        <v>387.93</v>
      </c>
    </row>
    <row r="1412" spans="2:10" hidden="1" x14ac:dyDescent="0.2">
      <c r="B1412" t="s">
        <v>690</v>
      </c>
      <c r="C1412" t="s">
        <v>141</v>
      </c>
      <c r="D1412" t="s">
        <v>691</v>
      </c>
      <c r="E1412" t="s">
        <v>63</v>
      </c>
      <c r="F1412" t="s">
        <v>64</v>
      </c>
      <c r="G1412" t="s">
        <v>1034</v>
      </c>
      <c r="H1412" t="s">
        <v>15</v>
      </c>
      <c r="I1412" s="1">
        <v>1</v>
      </c>
      <c r="J1412" s="2">
        <v>172.41</v>
      </c>
    </row>
    <row r="1413" spans="2:10" hidden="1" x14ac:dyDescent="0.2">
      <c r="B1413" t="s">
        <v>690</v>
      </c>
      <c r="C1413" t="s">
        <v>141</v>
      </c>
      <c r="D1413" t="s">
        <v>691</v>
      </c>
      <c r="E1413" t="s">
        <v>28</v>
      </c>
      <c r="F1413" t="s">
        <v>29</v>
      </c>
      <c r="G1413" t="s">
        <v>1033</v>
      </c>
      <c r="H1413" t="s">
        <v>30</v>
      </c>
      <c r="I1413" s="1">
        <v>1</v>
      </c>
      <c r="J1413" s="2">
        <v>155.16999999999999</v>
      </c>
    </row>
    <row r="1414" spans="2:10" hidden="1" x14ac:dyDescent="0.2">
      <c r="B1414" t="s">
        <v>690</v>
      </c>
      <c r="C1414" t="s">
        <v>144</v>
      </c>
      <c r="D1414" t="s">
        <v>691</v>
      </c>
      <c r="E1414" t="s">
        <v>85</v>
      </c>
      <c r="F1414" t="s">
        <v>86</v>
      </c>
      <c r="G1414" t="s">
        <v>14</v>
      </c>
      <c r="H1414" t="s">
        <v>87</v>
      </c>
      <c r="I1414" s="1">
        <v>2</v>
      </c>
      <c r="J1414" s="2">
        <v>603.45000000000005</v>
      </c>
    </row>
    <row r="1415" spans="2:10" hidden="1" x14ac:dyDescent="0.2">
      <c r="B1415" t="s">
        <v>690</v>
      </c>
      <c r="C1415" t="s">
        <v>144</v>
      </c>
      <c r="D1415" t="s">
        <v>691</v>
      </c>
      <c r="E1415" t="s">
        <v>56</v>
      </c>
      <c r="F1415" t="s">
        <v>57</v>
      </c>
      <c r="G1415" t="s">
        <v>1034</v>
      </c>
      <c r="H1415" t="s">
        <v>15</v>
      </c>
      <c r="I1415" s="1">
        <v>1</v>
      </c>
      <c r="J1415" s="2">
        <v>431.03</v>
      </c>
    </row>
    <row r="1416" spans="2:10" hidden="1" x14ac:dyDescent="0.2">
      <c r="B1416" t="s">
        <v>690</v>
      </c>
      <c r="C1416" t="s">
        <v>144</v>
      </c>
      <c r="D1416" t="s">
        <v>691</v>
      </c>
      <c r="E1416" t="s">
        <v>63</v>
      </c>
      <c r="F1416" t="s">
        <v>64</v>
      </c>
      <c r="G1416" t="s">
        <v>1034</v>
      </c>
      <c r="H1416" t="s">
        <v>15</v>
      </c>
      <c r="I1416" s="1">
        <v>2</v>
      </c>
      <c r="J1416" s="2">
        <v>344.82</v>
      </c>
    </row>
    <row r="1417" spans="2:10" hidden="1" x14ac:dyDescent="0.2">
      <c r="B1417" t="s">
        <v>690</v>
      </c>
      <c r="C1417" t="s">
        <v>166</v>
      </c>
      <c r="D1417" t="s">
        <v>691</v>
      </c>
      <c r="E1417" t="s">
        <v>724</v>
      </c>
      <c r="F1417" t="s">
        <v>725</v>
      </c>
      <c r="G1417" t="s">
        <v>43</v>
      </c>
      <c r="H1417" t="s">
        <v>50</v>
      </c>
      <c r="I1417" s="1">
        <v>1</v>
      </c>
      <c r="J1417" s="2">
        <v>1810.34</v>
      </c>
    </row>
    <row r="1418" spans="2:10" hidden="1" x14ac:dyDescent="0.2">
      <c r="B1418" t="s">
        <v>690</v>
      </c>
      <c r="C1418" t="s">
        <v>166</v>
      </c>
      <c r="D1418" t="s">
        <v>691</v>
      </c>
      <c r="E1418" t="s">
        <v>486</v>
      </c>
      <c r="F1418" t="s">
        <v>487</v>
      </c>
      <c r="G1418" t="s">
        <v>1033</v>
      </c>
      <c r="H1418" t="s">
        <v>30</v>
      </c>
      <c r="I1418" s="1">
        <v>1</v>
      </c>
      <c r="J1418" s="2">
        <v>258.62</v>
      </c>
    </row>
    <row r="1419" spans="2:10" hidden="1" x14ac:dyDescent="0.2">
      <c r="B1419" t="s">
        <v>690</v>
      </c>
      <c r="C1419" t="s">
        <v>166</v>
      </c>
      <c r="D1419" t="s">
        <v>691</v>
      </c>
      <c r="E1419" t="s">
        <v>726</v>
      </c>
      <c r="F1419" t="s">
        <v>727</v>
      </c>
      <c r="G1419" t="s">
        <v>14</v>
      </c>
      <c r="H1419" t="s">
        <v>35</v>
      </c>
      <c r="I1419" s="1">
        <v>1</v>
      </c>
      <c r="J1419" s="2">
        <v>77.59</v>
      </c>
    </row>
    <row r="1420" spans="2:10" hidden="1" x14ac:dyDescent="0.2">
      <c r="B1420" t="s">
        <v>690</v>
      </c>
      <c r="C1420" t="s">
        <v>166</v>
      </c>
      <c r="D1420" t="s">
        <v>691</v>
      </c>
      <c r="E1420" t="s">
        <v>566</v>
      </c>
      <c r="F1420" t="s">
        <v>567</v>
      </c>
      <c r="G1420" t="s">
        <v>14</v>
      </c>
      <c r="H1420" t="s">
        <v>35</v>
      </c>
      <c r="I1420" s="1">
        <v>1</v>
      </c>
      <c r="J1420" s="2">
        <v>77.59</v>
      </c>
    </row>
    <row r="1421" spans="2:10" hidden="1" x14ac:dyDescent="0.2">
      <c r="B1421" t="s">
        <v>690</v>
      </c>
      <c r="C1421" t="s">
        <v>166</v>
      </c>
      <c r="D1421" t="s">
        <v>691</v>
      </c>
      <c r="E1421" t="s">
        <v>463</v>
      </c>
      <c r="F1421" t="s">
        <v>464</v>
      </c>
      <c r="G1421" t="s">
        <v>14</v>
      </c>
      <c r="H1421" t="s">
        <v>35</v>
      </c>
      <c r="I1421" s="1">
        <v>1</v>
      </c>
      <c r="J1421" s="2">
        <v>77.59</v>
      </c>
    </row>
    <row r="1422" spans="2:10" hidden="1" x14ac:dyDescent="0.2">
      <c r="B1422" t="s">
        <v>690</v>
      </c>
      <c r="C1422" t="s">
        <v>166</v>
      </c>
      <c r="D1422" t="s">
        <v>691</v>
      </c>
      <c r="E1422" t="s">
        <v>221</v>
      </c>
      <c r="F1422" t="s">
        <v>222</v>
      </c>
      <c r="G1422" t="s">
        <v>1034</v>
      </c>
      <c r="H1422" t="s">
        <v>15</v>
      </c>
      <c r="I1422" s="1">
        <v>1</v>
      </c>
      <c r="J1422" s="2">
        <v>431.03</v>
      </c>
    </row>
    <row r="1423" spans="2:10" hidden="1" x14ac:dyDescent="0.2">
      <c r="B1423" t="s">
        <v>690</v>
      </c>
      <c r="C1423" t="s">
        <v>166</v>
      </c>
      <c r="D1423" t="s">
        <v>691</v>
      </c>
      <c r="E1423" t="s">
        <v>36</v>
      </c>
      <c r="F1423" t="s">
        <v>37</v>
      </c>
      <c r="G1423" t="s">
        <v>1034</v>
      </c>
      <c r="H1423" t="s">
        <v>15</v>
      </c>
      <c r="I1423" s="1">
        <v>1</v>
      </c>
      <c r="J1423" s="2">
        <v>301.72000000000003</v>
      </c>
    </row>
    <row r="1424" spans="2:10" hidden="1" x14ac:dyDescent="0.2">
      <c r="B1424" t="s">
        <v>690</v>
      </c>
      <c r="C1424" t="s">
        <v>166</v>
      </c>
      <c r="D1424" t="s">
        <v>691</v>
      </c>
      <c r="E1424" t="s">
        <v>122</v>
      </c>
      <c r="F1424" t="s">
        <v>123</v>
      </c>
      <c r="G1424" t="s">
        <v>1034</v>
      </c>
      <c r="H1424" t="s">
        <v>15</v>
      </c>
      <c r="I1424" s="1">
        <v>1</v>
      </c>
      <c r="J1424" s="2">
        <v>387.93</v>
      </c>
    </row>
    <row r="1425" spans="2:10" hidden="1" x14ac:dyDescent="0.2">
      <c r="B1425" t="s">
        <v>690</v>
      </c>
      <c r="C1425" t="s">
        <v>166</v>
      </c>
      <c r="D1425" t="s">
        <v>691</v>
      </c>
      <c r="E1425" t="s">
        <v>153</v>
      </c>
      <c r="F1425" t="s">
        <v>154</v>
      </c>
      <c r="G1425" t="s">
        <v>1034</v>
      </c>
      <c r="H1425" t="s">
        <v>15</v>
      </c>
      <c r="I1425" s="1">
        <v>1</v>
      </c>
      <c r="J1425" s="2">
        <v>387.93</v>
      </c>
    </row>
    <row r="1426" spans="2:10" hidden="1" x14ac:dyDescent="0.2">
      <c r="B1426" t="s">
        <v>690</v>
      </c>
      <c r="C1426" t="s">
        <v>166</v>
      </c>
      <c r="D1426" t="s">
        <v>691</v>
      </c>
      <c r="E1426" t="s">
        <v>656</v>
      </c>
      <c r="F1426" t="s">
        <v>657</v>
      </c>
      <c r="G1426" t="s">
        <v>43</v>
      </c>
      <c r="H1426" t="s">
        <v>50</v>
      </c>
      <c r="I1426" s="1">
        <v>1</v>
      </c>
      <c r="J1426" s="2">
        <v>181.03</v>
      </c>
    </row>
    <row r="1427" spans="2:10" hidden="1" x14ac:dyDescent="0.2">
      <c r="B1427" t="s">
        <v>690</v>
      </c>
      <c r="C1427" t="s">
        <v>166</v>
      </c>
      <c r="D1427" t="s">
        <v>691</v>
      </c>
      <c r="E1427" t="s">
        <v>273</v>
      </c>
      <c r="F1427" t="s">
        <v>274</v>
      </c>
      <c r="G1427" t="s">
        <v>1033</v>
      </c>
      <c r="H1427" t="s">
        <v>30</v>
      </c>
      <c r="I1427" s="1">
        <v>1</v>
      </c>
      <c r="J1427" s="2">
        <v>1293.0999999999999</v>
      </c>
    </row>
    <row r="1428" spans="2:10" hidden="1" x14ac:dyDescent="0.2">
      <c r="B1428" t="s">
        <v>690</v>
      </c>
      <c r="C1428" t="s">
        <v>166</v>
      </c>
      <c r="D1428" t="s">
        <v>691</v>
      </c>
      <c r="E1428" t="s">
        <v>244</v>
      </c>
      <c r="F1428" t="s">
        <v>245</v>
      </c>
      <c r="G1428" t="s">
        <v>14</v>
      </c>
      <c r="H1428" t="s">
        <v>94</v>
      </c>
      <c r="I1428" s="1">
        <v>1</v>
      </c>
      <c r="J1428" s="2">
        <v>68.97</v>
      </c>
    </row>
    <row r="1429" spans="2:10" hidden="1" x14ac:dyDescent="0.2">
      <c r="B1429" t="s">
        <v>690</v>
      </c>
      <c r="C1429" t="s">
        <v>166</v>
      </c>
      <c r="D1429" t="s">
        <v>691</v>
      </c>
      <c r="E1429" t="s">
        <v>406</v>
      </c>
      <c r="F1429" t="s">
        <v>407</v>
      </c>
      <c r="G1429" t="s">
        <v>14</v>
      </c>
      <c r="H1429" t="s">
        <v>104</v>
      </c>
      <c r="I1429" s="1">
        <v>2</v>
      </c>
      <c r="J1429" s="2">
        <v>34.479999999999997</v>
      </c>
    </row>
    <row r="1430" spans="2:10" hidden="1" x14ac:dyDescent="0.2">
      <c r="B1430" t="s">
        <v>690</v>
      </c>
      <c r="C1430" t="s">
        <v>166</v>
      </c>
      <c r="D1430" t="s">
        <v>691</v>
      </c>
      <c r="E1430" t="s">
        <v>63</v>
      </c>
      <c r="F1430" t="s">
        <v>64</v>
      </c>
      <c r="G1430" t="s">
        <v>1034</v>
      </c>
      <c r="H1430" t="s">
        <v>15</v>
      </c>
      <c r="I1430" s="1">
        <v>1</v>
      </c>
      <c r="J1430" s="2">
        <v>172.41</v>
      </c>
    </row>
    <row r="1431" spans="2:10" hidden="1" x14ac:dyDescent="0.2">
      <c r="B1431" t="s">
        <v>690</v>
      </c>
      <c r="C1431" t="s">
        <v>335</v>
      </c>
      <c r="D1431" t="s">
        <v>691</v>
      </c>
      <c r="E1431" t="s">
        <v>635</v>
      </c>
      <c r="F1431" t="s">
        <v>636</v>
      </c>
      <c r="G1431" t="s">
        <v>43</v>
      </c>
      <c r="H1431" t="s">
        <v>403</v>
      </c>
      <c r="I1431" s="1">
        <v>1</v>
      </c>
      <c r="J1431" s="2">
        <v>159.47999999999999</v>
      </c>
    </row>
    <row r="1432" spans="2:10" hidden="1" x14ac:dyDescent="0.2">
      <c r="B1432" t="s">
        <v>690</v>
      </c>
      <c r="C1432" t="s">
        <v>335</v>
      </c>
      <c r="D1432" t="s">
        <v>691</v>
      </c>
      <c r="E1432" t="s">
        <v>72</v>
      </c>
      <c r="F1432" t="s">
        <v>73</v>
      </c>
      <c r="G1432" t="s">
        <v>1034</v>
      </c>
      <c r="H1432" t="s">
        <v>15</v>
      </c>
      <c r="I1432" s="1">
        <v>1</v>
      </c>
      <c r="J1432" s="2">
        <v>775.86</v>
      </c>
    </row>
    <row r="1433" spans="2:10" hidden="1" x14ac:dyDescent="0.2">
      <c r="B1433" t="s">
        <v>690</v>
      </c>
      <c r="C1433" t="s">
        <v>335</v>
      </c>
      <c r="D1433" t="s">
        <v>691</v>
      </c>
      <c r="E1433" t="s">
        <v>381</v>
      </c>
      <c r="F1433" t="s">
        <v>728</v>
      </c>
      <c r="G1433" t="s">
        <v>43</v>
      </c>
      <c r="H1433" t="s">
        <v>383</v>
      </c>
      <c r="I1433" s="1">
        <v>1</v>
      </c>
      <c r="J1433" s="2">
        <v>301.72000000000003</v>
      </c>
    </row>
    <row r="1434" spans="2:10" hidden="1" x14ac:dyDescent="0.2">
      <c r="B1434" t="s">
        <v>690</v>
      </c>
      <c r="C1434" t="s">
        <v>335</v>
      </c>
      <c r="D1434" t="s">
        <v>691</v>
      </c>
      <c r="E1434" t="s">
        <v>38</v>
      </c>
      <c r="F1434" t="s">
        <v>39</v>
      </c>
      <c r="G1434" t="s">
        <v>1034</v>
      </c>
      <c r="H1434" t="s">
        <v>15</v>
      </c>
      <c r="I1434" s="1">
        <v>1</v>
      </c>
      <c r="J1434" s="2">
        <v>431.03</v>
      </c>
    </row>
    <row r="1435" spans="2:10" hidden="1" x14ac:dyDescent="0.2">
      <c r="B1435" t="s">
        <v>690</v>
      </c>
      <c r="C1435" t="s">
        <v>335</v>
      </c>
      <c r="D1435" t="s">
        <v>691</v>
      </c>
      <c r="E1435" t="s">
        <v>61</v>
      </c>
      <c r="F1435" t="s">
        <v>62</v>
      </c>
      <c r="G1435" t="s">
        <v>1034</v>
      </c>
      <c r="H1435" t="s">
        <v>15</v>
      </c>
      <c r="I1435" s="1">
        <v>1</v>
      </c>
      <c r="J1435" s="2">
        <v>172.41</v>
      </c>
    </row>
    <row r="1436" spans="2:10" hidden="1" x14ac:dyDescent="0.2">
      <c r="B1436" t="s">
        <v>690</v>
      </c>
      <c r="C1436" t="s">
        <v>335</v>
      </c>
      <c r="D1436" t="s">
        <v>691</v>
      </c>
      <c r="E1436" t="s">
        <v>63</v>
      </c>
      <c r="F1436" t="s">
        <v>64</v>
      </c>
      <c r="G1436" t="s">
        <v>1034</v>
      </c>
      <c r="H1436" t="s">
        <v>15</v>
      </c>
      <c r="I1436" s="1">
        <v>1</v>
      </c>
      <c r="J1436" s="2">
        <v>172.41</v>
      </c>
    </row>
    <row r="1437" spans="2:10" hidden="1" x14ac:dyDescent="0.2">
      <c r="B1437" t="s">
        <v>690</v>
      </c>
      <c r="C1437" t="s">
        <v>335</v>
      </c>
      <c r="D1437" t="s">
        <v>691</v>
      </c>
      <c r="E1437" t="s">
        <v>16</v>
      </c>
      <c r="F1437" t="s">
        <v>17</v>
      </c>
      <c r="G1437" t="s">
        <v>1034</v>
      </c>
      <c r="H1437" t="s">
        <v>15</v>
      </c>
      <c r="I1437" s="1">
        <v>5</v>
      </c>
      <c r="J1437" s="2">
        <v>2887.9500000000003</v>
      </c>
    </row>
    <row r="1438" spans="2:10" hidden="1" x14ac:dyDescent="0.2">
      <c r="B1438" t="s">
        <v>690</v>
      </c>
      <c r="C1438" t="s">
        <v>418</v>
      </c>
      <c r="D1438" t="s">
        <v>691</v>
      </c>
      <c r="E1438" t="s">
        <v>16</v>
      </c>
      <c r="F1438" t="s">
        <v>17</v>
      </c>
      <c r="G1438" t="s">
        <v>1034</v>
      </c>
      <c r="H1438" t="s">
        <v>15</v>
      </c>
      <c r="I1438" s="1">
        <v>1</v>
      </c>
      <c r="J1438" s="2">
        <v>577.59</v>
      </c>
    </row>
    <row r="1439" spans="2:10" hidden="1" x14ac:dyDescent="0.2">
      <c r="B1439" t="s">
        <v>690</v>
      </c>
      <c r="C1439" t="s">
        <v>186</v>
      </c>
      <c r="D1439" t="s">
        <v>691</v>
      </c>
      <c r="E1439" t="s">
        <v>19</v>
      </c>
      <c r="F1439" t="s">
        <v>20</v>
      </c>
      <c r="G1439" t="s">
        <v>14</v>
      </c>
      <c r="H1439" t="s">
        <v>21</v>
      </c>
      <c r="I1439" s="1">
        <v>1</v>
      </c>
      <c r="J1439" s="2">
        <v>431.04</v>
      </c>
    </row>
    <row r="1440" spans="2:10" hidden="1" x14ac:dyDescent="0.2">
      <c r="B1440" t="s">
        <v>690</v>
      </c>
      <c r="C1440" t="s">
        <v>197</v>
      </c>
      <c r="D1440" t="s">
        <v>691</v>
      </c>
      <c r="E1440" t="s">
        <v>167</v>
      </c>
      <c r="F1440" t="s">
        <v>168</v>
      </c>
      <c r="G1440" t="s">
        <v>1033</v>
      </c>
      <c r="H1440" t="s">
        <v>30</v>
      </c>
      <c r="I1440" s="1">
        <v>1</v>
      </c>
      <c r="J1440" s="2">
        <v>1267.24</v>
      </c>
    </row>
    <row r="1441" spans="2:10" hidden="1" x14ac:dyDescent="0.2">
      <c r="B1441" t="s">
        <v>690</v>
      </c>
      <c r="C1441" t="s">
        <v>197</v>
      </c>
      <c r="D1441" t="s">
        <v>691</v>
      </c>
      <c r="E1441" t="s">
        <v>350</v>
      </c>
      <c r="F1441" t="s">
        <v>351</v>
      </c>
      <c r="G1441" t="s">
        <v>1033</v>
      </c>
      <c r="H1441" t="s">
        <v>30</v>
      </c>
      <c r="I1441" s="1">
        <v>1</v>
      </c>
      <c r="J1441" s="2">
        <v>818.97</v>
      </c>
    </row>
    <row r="1442" spans="2:10" hidden="1" x14ac:dyDescent="0.2">
      <c r="B1442" t="s">
        <v>690</v>
      </c>
      <c r="C1442" t="s">
        <v>197</v>
      </c>
      <c r="D1442" t="s">
        <v>691</v>
      </c>
      <c r="E1442" t="s">
        <v>278</v>
      </c>
      <c r="F1442" t="s">
        <v>279</v>
      </c>
      <c r="G1442" t="s">
        <v>1033</v>
      </c>
      <c r="H1442" t="s">
        <v>30</v>
      </c>
      <c r="I1442" s="1">
        <v>1</v>
      </c>
      <c r="J1442" s="2">
        <v>112.07</v>
      </c>
    </row>
    <row r="1443" spans="2:10" hidden="1" x14ac:dyDescent="0.2">
      <c r="B1443" t="s">
        <v>690</v>
      </c>
      <c r="C1443" t="s">
        <v>197</v>
      </c>
      <c r="D1443" t="s">
        <v>691</v>
      </c>
      <c r="E1443" t="s">
        <v>177</v>
      </c>
      <c r="F1443" t="s">
        <v>178</v>
      </c>
      <c r="G1443" t="s">
        <v>1033</v>
      </c>
      <c r="H1443" t="s">
        <v>30</v>
      </c>
      <c r="I1443" s="1">
        <v>1</v>
      </c>
      <c r="J1443" s="2">
        <v>637.92999999999995</v>
      </c>
    </row>
    <row r="1444" spans="2:10" hidden="1" x14ac:dyDescent="0.2">
      <c r="B1444" t="s">
        <v>690</v>
      </c>
      <c r="C1444" t="s">
        <v>197</v>
      </c>
      <c r="D1444" t="s">
        <v>691</v>
      </c>
      <c r="E1444" t="s">
        <v>729</v>
      </c>
      <c r="F1444" t="s">
        <v>730</v>
      </c>
      <c r="G1444" t="s">
        <v>1033</v>
      </c>
      <c r="H1444" t="s">
        <v>30</v>
      </c>
      <c r="I1444" s="1">
        <v>1</v>
      </c>
      <c r="J1444" s="2">
        <v>1724.14</v>
      </c>
    </row>
    <row r="1445" spans="2:10" hidden="1" x14ac:dyDescent="0.2">
      <c r="B1445" t="s">
        <v>690</v>
      </c>
      <c r="C1445" t="s">
        <v>197</v>
      </c>
      <c r="D1445" t="s">
        <v>691</v>
      </c>
      <c r="E1445" t="s">
        <v>12</v>
      </c>
      <c r="F1445" t="s">
        <v>13</v>
      </c>
      <c r="G1445" t="s">
        <v>1034</v>
      </c>
      <c r="H1445" t="s">
        <v>15</v>
      </c>
      <c r="I1445" s="1">
        <v>2</v>
      </c>
      <c r="J1445" s="2">
        <v>2155.1799999999998</v>
      </c>
    </row>
    <row r="1446" spans="2:10" hidden="1" x14ac:dyDescent="0.2">
      <c r="B1446" t="s">
        <v>690</v>
      </c>
      <c r="C1446" t="s">
        <v>197</v>
      </c>
      <c r="D1446" t="s">
        <v>691</v>
      </c>
      <c r="E1446" t="s">
        <v>72</v>
      </c>
      <c r="F1446" t="s">
        <v>73</v>
      </c>
      <c r="G1446" t="s">
        <v>1034</v>
      </c>
      <c r="H1446" t="s">
        <v>15</v>
      </c>
      <c r="I1446" s="1">
        <v>1</v>
      </c>
      <c r="J1446" s="2">
        <v>775.86</v>
      </c>
    </row>
    <row r="1447" spans="2:10" hidden="1" x14ac:dyDescent="0.2">
      <c r="B1447" t="s">
        <v>690</v>
      </c>
      <c r="C1447" t="s">
        <v>197</v>
      </c>
      <c r="D1447" t="s">
        <v>691</v>
      </c>
      <c r="E1447" t="s">
        <v>444</v>
      </c>
      <c r="F1447" t="s">
        <v>445</v>
      </c>
      <c r="G1447" t="s">
        <v>14</v>
      </c>
      <c r="H1447" t="s">
        <v>27</v>
      </c>
      <c r="I1447" s="1">
        <v>2</v>
      </c>
      <c r="J1447" s="2">
        <v>1017.24</v>
      </c>
    </row>
    <row r="1448" spans="2:10" hidden="1" x14ac:dyDescent="0.2">
      <c r="B1448" t="s">
        <v>690</v>
      </c>
      <c r="C1448" t="s">
        <v>197</v>
      </c>
      <c r="D1448" t="s">
        <v>691</v>
      </c>
      <c r="E1448" t="s">
        <v>38</v>
      </c>
      <c r="F1448" t="s">
        <v>39</v>
      </c>
      <c r="G1448" t="s">
        <v>1034</v>
      </c>
      <c r="H1448" t="s">
        <v>15</v>
      </c>
      <c r="I1448" s="1">
        <v>4</v>
      </c>
      <c r="J1448" s="2">
        <v>1724.12</v>
      </c>
    </row>
    <row r="1449" spans="2:10" hidden="1" x14ac:dyDescent="0.2">
      <c r="B1449" t="s">
        <v>690</v>
      </c>
      <c r="C1449" t="s">
        <v>197</v>
      </c>
      <c r="D1449" t="s">
        <v>691</v>
      </c>
      <c r="E1449" t="s">
        <v>406</v>
      </c>
      <c r="F1449" t="s">
        <v>407</v>
      </c>
      <c r="G1449" t="s">
        <v>14</v>
      </c>
      <c r="H1449" t="s">
        <v>104</v>
      </c>
      <c r="I1449" s="1">
        <v>6</v>
      </c>
      <c r="J1449" s="2">
        <v>103.44</v>
      </c>
    </row>
    <row r="1450" spans="2:10" hidden="1" x14ac:dyDescent="0.2">
      <c r="B1450" t="s">
        <v>690</v>
      </c>
      <c r="C1450" t="s">
        <v>197</v>
      </c>
      <c r="D1450" t="s">
        <v>691</v>
      </c>
      <c r="E1450" t="s">
        <v>61</v>
      </c>
      <c r="F1450" t="s">
        <v>62</v>
      </c>
      <c r="G1450" t="s">
        <v>1034</v>
      </c>
      <c r="H1450" t="s">
        <v>15</v>
      </c>
      <c r="I1450" s="1">
        <v>3</v>
      </c>
      <c r="J1450" s="2">
        <v>517.23</v>
      </c>
    </row>
    <row r="1451" spans="2:10" hidden="1" x14ac:dyDescent="0.2">
      <c r="B1451" t="s">
        <v>690</v>
      </c>
      <c r="C1451" t="s">
        <v>197</v>
      </c>
      <c r="D1451" t="s">
        <v>691</v>
      </c>
      <c r="E1451" t="s">
        <v>63</v>
      </c>
      <c r="F1451" t="s">
        <v>64</v>
      </c>
      <c r="G1451" t="s">
        <v>1034</v>
      </c>
      <c r="H1451" t="s">
        <v>15</v>
      </c>
      <c r="I1451" s="1">
        <v>3</v>
      </c>
      <c r="J1451" s="2">
        <v>517.23</v>
      </c>
    </row>
    <row r="1452" spans="2:10" hidden="1" x14ac:dyDescent="0.2">
      <c r="B1452" t="s">
        <v>690</v>
      </c>
      <c r="C1452" t="s">
        <v>197</v>
      </c>
      <c r="D1452" t="s">
        <v>691</v>
      </c>
      <c r="E1452" t="s">
        <v>79</v>
      </c>
      <c r="F1452" t="s">
        <v>80</v>
      </c>
      <c r="G1452" t="s">
        <v>43</v>
      </c>
      <c r="H1452" t="s">
        <v>81</v>
      </c>
      <c r="I1452" s="1">
        <v>1</v>
      </c>
      <c r="J1452" s="2">
        <v>1810.34</v>
      </c>
    </row>
    <row r="1453" spans="2:10" hidden="1" x14ac:dyDescent="0.2">
      <c r="B1453" t="s">
        <v>690</v>
      </c>
      <c r="C1453" t="s">
        <v>206</v>
      </c>
      <c r="D1453" t="s">
        <v>691</v>
      </c>
      <c r="E1453" t="s">
        <v>41</v>
      </c>
      <c r="F1453" t="s">
        <v>42</v>
      </c>
      <c r="G1453" t="s">
        <v>1033</v>
      </c>
      <c r="H1453" t="s">
        <v>30</v>
      </c>
      <c r="I1453" s="1">
        <v>2</v>
      </c>
      <c r="J1453" s="2">
        <v>68.959999999999994</v>
      </c>
    </row>
    <row r="1454" spans="2:10" hidden="1" x14ac:dyDescent="0.2">
      <c r="B1454" t="s">
        <v>690</v>
      </c>
      <c r="C1454" t="s">
        <v>206</v>
      </c>
      <c r="D1454" t="s">
        <v>691</v>
      </c>
      <c r="E1454" t="s">
        <v>731</v>
      </c>
      <c r="F1454" t="s">
        <v>732</v>
      </c>
      <c r="G1454" t="s">
        <v>14</v>
      </c>
      <c r="H1454" t="s">
        <v>27</v>
      </c>
      <c r="I1454" s="1">
        <v>1</v>
      </c>
      <c r="J1454" s="2">
        <v>413.79</v>
      </c>
    </row>
    <row r="1455" spans="2:10" hidden="1" x14ac:dyDescent="0.2">
      <c r="B1455" t="s">
        <v>690</v>
      </c>
      <c r="C1455" t="s">
        <v>206</v>
      </c>
      <c r="D1455" t="s">
        <v>691</v>
      </c>
      <c r="E1455" t="s">
        <v>635</v>
      </c>
      <c r="F1455" t="s">
        <v>636</v>
      </c>
      <c r="G1455" t="s">
        <v>43</v>
      </c>
      <c r="H1455" t="s">
        <v>403</v>
      </c>
      <c r="I1455" s="1">
        <v>1</v>
      </c>
      <c r="J1455" s="2">
        <v>159.47999999999999</v>
      </c>
    </row>
    <row r="1456" spans="2:10" hidden="1" x14ac:dyDescent="0.2">
      <c r="B1456" t="s">
        <v>690</v>
      </c>
      <c r="C1456" t="s">
        <v>206</v>
      </c>
      <c r="D1456" t="s">
        <v>691</v>
      </c>
      <c r="E1456" t="s">
        <v>605</v>
      </c>
      <c r="F1456" t="s">
        <v>606</v>
      </c>
      <c r="G1456" t="s">
        <v>1033</v>
      </c>
      <c r="H1456" t="s">
        <v>30</v>
      </c>
      <c r="I1456" s="1">
        <v>1</v>
      </c>
      <c r="J1456" s="2">
        <v>465.52</v>
      </c>
    </row>
    <row r="1457" spans="2:10" hidden="1" x14ac:dyDescent="0.2">
      <c r="B1457" t="s">
        <v>690</v>
      </c>
      <c r="C1457" t="s">
        <v>206</v>
      </c>
      <c r="D1457" t="s">
        <v>691</v>
      </c>
      <c r="E1457" t="s">
        <v>38</v>
      </c>
      <c r="F1457" t="s">
        <v>39</v>
      </c>
      <c r="G1457" t="s">
        <v>1034</v>
      </c>
      <c r="H1457" t="s">
        <v>15</v>
      </c>
      <c r="I1457" s="1">
        <v>1</v>
      </c>
      <c r="J1457" s="2">
        <v>431.03</v>
      </c>
    </row>
    <row r="1458" spans="2:10" hidden="1" x14ac:dyDescent="0.2">
      <c r="B1458" t="s">
        <v>690</v>
      </c>
      <c r="C1458" t="s">
        <v>206</v>
      </c>
      <c r="D1458" t="s">
        <v>691</v>
      </c>
      <c r="E1458" t="s">
        <v>181</v>
      </c>
      <c r="F1458" t="s">
        <v>182</v>
      </c>
      <c r="G1458" t="s">
        <v>43</v>
      </c>
      <c r="H1458" t="s">
        <v>81</v>
      </c>
      <c r="I1458" s="1">
        <v>1</v>
      </c>
      <c r="J1458" s="2">
        <v>1379.31</v>
      </c>
    </row>
    <row r="1459" spans="2:10" hidden="1" x14ac:dyDescent="0.2">
      <c r="B1459" t="s">
        <v>690</v>
      </c>
      <c r="C1459" t="s">
        <v>220</v>
      </c>
      <c r="D1459" t="s">
        <v>691</v>
      </c>
      <c r="E1459" t="s">
        <v>41</v>
      </c>
      <c r="F1459" t="s">
        <v>42</v>
      </c>
      <c r="G1459" t="s">
        <v>1033</v>
      </c>
      <c r="H1459" t="s">
        <v>30</v>
      </c>
      <c r="I1459" s="1">
        <v>2</v>
      </c>
      <c r="J1459" s="2">
        <v>68.97</v>
      </c>
    </row>
    <row r="1460" spans="2:10" x14ac:dyDescent="0.2">
      <c r="B1460" t="s">
        <v>690</v>
      </c>
      <c r="C1460" t="s">
        <v>227</v>
      </c>
      <c r="D1460" t="s">
        <v>691</v>
      </c>
      <c r="E1460" t="s">
        <v>149</v>
      </c>
      <c r="F1460" t="s">
        <v>150</v>
      </c>
      <c r="G1460" t="s">
        <v>43</v>
      </c>
      <c r="H1460" t="s">
        <v>50</v>
      </c>
      <c r="I1460" s="1">
        <v>1</v>
      </c>
      <c r="J1460" s="2">
        <v>3017.24</v>
      </c>
    </row>
    <row r="1461" spans="2:10" x14ac:dyDescent="0.2">
      <c r="B1461" t="s">
        <v>690</v>
      </c>
      <c r="C1461" t="s">
        <v>227</v>
      </c>
      <c r="D1461" t="s">
        <v>691</v>
      </c>
      <c r="E1461" t="s">
        <v>358</v>
      </c>
      <c r="F1461" t="s">
        <v>359</v>
      </c>
      <c r="G1461" t="s">
        <v>1033</v>
      </c>
      <c r="H1461" t="s">
        <v>30</v>
      </c>
      <c r="I1461" s="1">
        <v>1</v>
      </c>
      <c r="J1461" s="2">
        <v>1500</v>
      </c>
    </row>
    <row r="1462" spans="2:10" x14ac:dyDescent="0.2">
      <c r="B1462" t="s">
        <v>690</v>
      </c>
      <c r="C1462" t="s">
        <v>227</v>
      </c>
      <c r="D1462" t="s">
        <v>691</v>
      </c>
      <c r="E1462" t="s">
        <v>36</v>
      </c>
      <c r="F1462" t="s">
        <v>37</v>
      </c>
      <c r="G1462" t="s">
        <v>1034</v>
      </c>
      <c r="H1462" t="s">
        <v>15</v>
      </c>
      <c r="I1462" s="1">
        <v>1</v>
      </c>
      <c r="J1462" s="2">
        <v>301.72000000000003</v>
      </c>
    </row>
    <row r="1463" spans="2:10" x14ac:dyDescent="0.2">
      <c r="B1463" t="s">
        <v>690</v>
      </c>
      <c r="C1463" t="s">
        <v>227</v>
      </c>
      <c r="D1463" t="s">
        <v>691</v>
      </c>
      <c r="E1463" t="s">
        <v>72</v>
      </c>
      <c r="F1463" t="s">
        <v>73</v>
      </c>
      <c r="G1463" t="s">
        <v>1034</v>
      </c>
      <c r="H1463" t="s">
        <v>15</v>
      </c>
      <c r="I1463" s="1">
        <v>1</v>
      </c>
      <c r="J1463" s="2">
        <v>775.86</v>
      </c>
    </row>
    <row r="1464" spans="2:10" x14ac:dyDescent="0.2">
      <c r="B1464" t="s">
        <v>690</v>
      </c>
      <c r="C1464" t="s">
        <v>227</v>
      </c>
      <c r="D1464" t="s">
        <v>691</v>
      </c>
      <c r="E1464" t="s">
        <v>56</v>
      </c>
      <c r="F1464" t="s">
        <v>57</v>
      </c>
      <c r="G1464" t="s">
        <v>1034</v>
      </c>
      <c r="H1464" t="s">
        <v>15</v>
      </c>
      <c r="I1464" s="1">
        <v>20</v>
      </c>
      <c r="J1464" s="2">
        <v>8620.69</v>
      </c>
    </row>
    <row r="1465" spans="2:10" x14ac:dyDescent="0.2">
      <c r="B1465" t="s">
        <v>690</v>
      </c>
      <c r="C1465" t="s">
        <v>228</v>
      </c>
      <c r="D1465" t="s">
        <v>691</v>
      </c>
      <c r="E1465" t="s">
        <v>167</v>
      </c>
      <c r="F1465" t="s">
        <v>168</v>
      </c>
      <c r="G1465" t="s">
        <v>1033</v>
      </c>
      <c r="H1465" t="s">
        <v>30</v>
      </c>
      <c r="I1465" s="1">
        <v>1</v>
      </c>
      <c r="J1465" s="2">
        <v>1267.24</v>
      </c>
    </row>
    <row r="1466" spans="2:10" x14ac:dyDescent="0.2">
      <c r="B1466" t="s">
        <v>690</v>
      </c>
      <c r="C1466" t="s">
        <v>228</v>
      </c>
      <c r="D1466" t="s">
        <v>691</v>
      </c>
      <c r="E1466" t="s">
        <v>122</v>
      </c>
      <c r="F1466" t="s">
        <v>123</v>
      </c>
      <c r="G1466" t="s">
        <v>1034</v>
      </c>
      <c r="H1466" t="s">
        <v>15</v>
      </c>
      <c r="I1466" s="1">
        <v>1</v>
      </c>
      <c r="J1466" s="2">
        <v>387.93</v>
      </c>
    </row>
    <row r="1467" spans="2:10" x14ac:dyDescent="0.2">
      <c r="B1467" t="s">
        <v>690</v>
      </c>
      <c r="C1467" t="s">
        <v>228</v>
      </c>
      <c r="D1467" t="s">
        <v>691</v>
      </c>
      <c r="E1467" t="s">
        <v>733</v>
      </c>
      <c r="F1467" t="s">
        <v>734</v>
      </c>
      <c r="G1467" t="s">
        <v>43</v>
      </c>
      <c r="H1467" t="s">
        <v>735</v>
      </c>
      <c r="I1467" s="1">
        <v>1</v>
      </c>
      <c r="J1467" s="2">
        <v>1306.03</v>
      </c>
    </row>
    <row r="1468" spans="2:10" x14ac:dyDescent="0.2">
      <c r="B1468" t="s">
        <v>690</v>
      </c>
      <c r="C1468" t="s">
        <v>228</v>
      </c>
      <c r="D1468" t="s">
        <v>691</v>
      </c>
      <c r="E1468" t="s">
        <v>61</v>
      </c>
      <c r="F1468" t="s">
        <v>62</v>
      </c>
      <c r="G1468" t="s">
        <v>1034</v>
      </c>
      <c r="H1468" t="s">
        <v>15</v>
      </c>
      <c r="I1468" s="1">
        <v>1</v>
      </c>
      <c r="J1468" s="2">
        <v>172.41</v>
      </c>
    </row>
    <row r="1469" spans="2:10" x14ac:dyDescent="0.2">
      <c r="B1469" t="s">
        <v>690</v>
      </c>
      <c r="C1469" t="s">
        <v>228</v>
      </c>
      <c r="D1469" t="s">
        <v>691</v>
      </c>
      <c r="E1469" t="s">
        <v>63</v>
      </c>
      <c r="F1469" t="s">
        <v>64</v>
      </c>
      <c r="G1469" t="s">
        <v>1034</v>
      </c>
      <c r="H1469" t="s">
        <v>15</v>
      </c>
      <c r="I1469" s="1">
        <v>1</v>
      </c>
      <c r="J1469" s="2">
        <v>172.41</v>
      </c>
    </row>
    <row r="1470" spans="2:10" x14ac:dyDescent="0.2">
      <c r="B1470" t="s">
        <v>690</v>
      </c>
      <c r="C1470" t="s">
        <v>228</v>
      </c>
      <c r="D1470" t="s">
        <v>691</v>
      </c>
      <c r="E1470" t="s">
        <v>736</v>
      </c>
      <c r="F1470" t="s">
        <v>737</v>
      </c>
      <c r="G1470" t="s">
        <v>699</v>
      </c>
      <c r="H1470" t="s">
        <v>723</v>
      </c>
      <c r="I1470" s="1">
        <v>1</v>
      </c>
      <c r="J1470" s="2">
        <v>103.45</v>
      </c>
    </row>
    <row r="1471" spans="2:10" x14ac:dyDescent="0.2">
      <c r="B1471" t="s">
        <v>690</v>
      </c>
      <c r="C1471" t="s">
        <v>236</v>
      </c>
      <c r="D1471" t="s">
        <v>691</v>
      </c>
      <c r="E1471" t="s">
        <v>316</v>
      </c>
      <c r="F1471" t="s">
        <v>317</v>
      </c>
      <c r="G1471" t="s">
        <v>14</v>
      </c>
      <c r="H1471" t="s">
        <v>27</v>
      </c>
      <c r="I1471" s="1">
        <v>2</v>
      </c>
      <c r="J1471" s="2">
        <v>827.59</v>
      </c>
    </row>
    <row r="1472" spans="2:10" x14ac:dyDescent="0.2">
      <c r="B1472" t="s">
        <v>690</v>
      </c>
      <c r="C1472" t="s">
        <v>236</v>
      </c>
      <c r="D1472" t="s">
        <v>691</v>
      </c>
      <c r="E1472" t="s">
        <v>623</v>
      </c>
      <c r="F1472" t="s">
        <v>624</v>
      </c>
      <c r="G1472" t="s">
        <v>76</v>
      </c>
      <c r="H1472" t="s">
        <v>60</v>
      </c>
      <c r="I1472" s="1">
        <v>1</v>
      </c>
      <c r="J1472" s="2">
        <v>344.83</v>
      </c>
    </row>
    <row r="1473" spans="2:10" x14ac:dyDescent="0.2">
      <c r="B1473" t="s">
        <v>690</v>
      </c>
      <c r="C1473" t="s">
        <v>236</v>
      </c>
      <c r="D1473" t="s">
        <v>691</v>
      </c>
      <c r="E1473" t="s">
        <v>16</v>
      </c>
      <c r="F1473" t="s">
        <v>17</v>
      </c>
      <c r="G1473" t="s">
        <v>1034</v>
      </c>
      <c r="H1473" t="s">
        <v>15</v>
      </c>
      <c r="I1473" s="1">
        <v>1</v>
      </c>
      <c r="J1473" s="2">
        <v>577.59</v>
      </c>
    </row>
    <row r="1474" spans="2:10" x14ac:dyDescent="0.2">
      <c r="B1474" t="s">
        <v>690</v>
      </c>
      <c r="C1474" t="s">
        <v>237</v>
      </c>
      <c r="D1474" t="s">
        <v>691</v>
      </c>
      <c r="E1474" t="s">
        <v>44</v>
      </c>
      <c r="F1474" t="s">
        <v>45</v>
      </c>
      <c r="G1474" t="s">
        <v>1033</v>
      </c>
      <c r="H1474" t="s">
        <v>30</v>
      </c>
      <c r="I1474" s="1">
        <v>1</v>
      </c>
      <c r="J1474" s="2">
        <v>81.900000000000006</v>
      </c>
    </row>
    <row r="1475" spans="2:10" x14ac:dyDescent="0.2">
      <c r="B1475" t="s">
        <v>690</v>
      </c>
      <c r="C1475" t="s">
        <v>237</v>
      </c>
      <c r="D1475" t="s">
        <v>691</v>
      </c>
      <c r="E1475" t="s">
        <v>36</v>
      </c>
      <c r="F1475" t="s">
        <v>37</v>
      </c>
      <c r="G1475" t="s">
        <v>1034</v>
      </c>
      <c r="H1475" t="s">
        <v>15</v>
      </c>
      <c r="I1475" s="1">
        <v>1</v>
      </c>
      <c r="J1475" s="2">
        <v>301.72000000000003</v>
      </c>
    </row>
    <row r="1476" spans="2:10" x14ac:dyDescent="0.2">
      <c r="B1476" t="s">
        <v>690</v>
      </c>
      <c r="C1476" t="s">
        <v>237</v>
      </c>
      <c r="D1476" t="s">
        <v>691</v>
      </c>
      <c r="E1476" t="s">
        <v>38</v>
      </c>
      <c r="F1476" t="s">
        <v>39</v>
      </c>
      <c r="G1476" t="s">
        <v>1034</v>
      </c>
      <c r="H1476" t="s">
        <v>15</v>
      </c>
      <c r="I1476" s="1">
        <v>1</v>
      </c>
      <c r="J1476" s="2">
        <v>431.03</v>
      </c>
    </row>
    <row r="1477" spans="2:10" x14ac:dyDescent="0.2">
      <c r="B1477" t="s">
        <v>690</v>
      </c>
      <c r="C1477" t="s">
        <v>237</v>
      </c>
      <c r="D1477" t="s">
        <v>691</v>
      </c>
      <c r="E1477" t="s">
        <v>61</v>
      </c>
      <c r="F1477" t="s">
        <v>62</v>
      </c>
      <c r="G1477" t="s">
        <v>1034</v>
      </c>
      <c r="H1477" t="s">
        <v>15</v>
      </c>
      <c r="I1477" s="1">
        <v>1</v>
      </c>
      <c r="J1477" s="2">
        <v>172.41</v>
      </c>
    </row>
    <row r="1478" spans="2:10" x14ac:dyDescent="0.2">
      <c r="B1478" t="s">
        <v>690</v>
      </c>
      <c r="C1478" t="s">
        <v>237</v>
      </c>
      <c r="D1478" t="s">
        <v>691</v>
      </c>
      <c r="E1478" t="s">
        <v>63</v>
      </c>
      <c r="F1478" t="s">
        <v>64</v>
      </c>
      <c r="G1478" t="s">
        <v>1034</v>
      </c>
      <c r="H1478" t="s">
        <v>15</v>
      </c>
      <c r="I1478" s="1">
        <v>1</v>
      </c>
      <c r="J1478" s="2">
        <v>172.41</v>
      </c>
    </row>
    <row r="1479" spans="2:10" x14ac:dyDescent="0.2">
      <c r="B1479" t="s">
        <v>690</v>
      </c>
      <c r="C1479" t="s">
        <v>237</v>
      </c>
      <c r="D1479" t="s">
        <v>691</v>
      </c>
      <c r="E1479" t="s">
        <v>16</v>
      </c>
      <c r="F1479" t="s">
        <v>17</v>
      </c>
      <c r="G1479" t="s">
        <v>1034</v>
      </c>
      <c r="H1479" t="s">
        <v>15</v>
      </c>
      <c r="I1479" s="1">
        <v>3</v>
      </c>
      <c r="J1479" s="2">
        <v>1732.77</v>
      </c>
    </row>
    <row r="1480" spans="2:10" x14ac:dyDescent="0.2">
      <c r="B1480" t="s">
        <v>690</v>
      </c>
      <c r="C1480" t="s">
        <v>237</v>
      </c>
      <c r="D1480" t="s">
        <v>691</v>
      </c>
      <c r="E1480" t="s">
        <v>28</v>
      </c>
      <c r="F1480" t="s">
        <v>29</v>
      </c>
      <c r="G1480" t="s">
        <v>1033</v>
      </c>
      <c r="H1480" t="s">
        <v>30</v>
      </c>
      <c r="I1480" s="1">
        <v>1</v>
      </c>
      <c r="J1480" s="2">
        <v>155.16999999999999</v>
      </c>
    </row>
    <row r="1481" spans="2:10" x14ac:dyDescent="0.2">
      <c r="B1481" t="s">
        <v>690</v>
      </c>
      <c r="C1481" t="s">
        <v>248</v>
      </c>
      <c r="D1481" t="s">
        <v>691</v>
      </c>
      <c r="E1481" t="s">
        <v>167</v>
      </c>
      <c r="F1481" t="s">
        <v>168</v>
      </c>
      <c r="G1481" t="s">
        <v>1033</v>
      </c>
      <c r="H1481" t="s">
        <v>30</v>
      </c>
      <c r="I1481" s="1">
        <v>1</v>
      </c>
      <c r="J1481" s="2">
        <v>1267.24</v>
      </c>
    </row>
    <row r="1482" spans="2:10" x14ac:dyDescent="0.2">
      <c r="B1482" t="s">
        <v>690</v>
      </c>
      <c r="C1482" t="s">
        <v>248</v>
      </c>
      <c r="D1482" t="s">
        <v>691</v>
      </c>
      <c r="E1482" t="s">
        <v>590</v>
      </c>
      <c r="F1482" t="s">
        <v>591</v>
      </c>
      <c r="G1482" t="s">
        <v>14</v>
      </c>
      <c r="H1482" t="s">
        <v>35</v>
      </c>
      <c r="I1482" s="1">
        <v>1</v>
      </c>
      <c r="J1482" s="2">
        <v>77.59</v>
      </c>
    </row>
    <row r="1483" spans="2:10" x14ac:dyDescent="0.2">
      <c r="B1483" t="s">
        <v>690</v>
      </c>
      <c r="C1483" t="s">
        <v>248</v>
      </c>
      <c r="D1483" t="s">
        <v>691</v>
      </c>
      <c r="E1483" t="s">
        <v>278</v>
      </c>
      <c r="F1483" t="s">
        <v>279</v>
      </c>
      <c r="G1483" t="s">
        <v>1033</v>
      </c>
      <c r="H1483" t="s">
        <v>30</v>
      </c>
      <c r="I1483" s="1">
        <v>1</v>
      </c>
      <c r="J1483" s="2">
        <v>112.07</v>
      </c>
    </row>
    <row r="1484" spans="2:10" x14ac:dyDescent="0.2">
      <c r="B1484" t="s">
        <v>690</v>
      </c>
      <c r="C1484" t="s">
        <v>248</v>
      </c>
      <c r="D1484" t="s">
        <v>691</v>
      </c>
      <c r="E1484" t="s">
        <v>242</v>
      </c>
      <c r="F1484" t="s">
        <v>243</v>
      </c>
      <c r="G1484" t="s">
        <v>14</v>
      </c>
      <c r="H1484" t="s">
        <v>87</v>
      </c>
      <c r="I1484" s="1">
        <v>1</v>
      </c>
      <c r="J1484" s="2">
        <v>120.69</v>
      </c>
    </row>
    <row r="1485" spans="2:10" x14ac:dyDescent="0.2">
      <c r="B1485" t="s">
        <v>690</v>
      </c>
      <c r="C1485" t="s">
        <v>248</v>
      </c>
      <c r="D1485" t="s">
        <v>691</v>
      </c>
      <c r="E1485" t="s">
        <v>221</v>
      </c>
      <c r="F1485" t="s">
        <v>222</v>
      </c>
      <c r="G1485" t="s">
        <v>1034</v>
      </c>
      <c r="H1485" t="s">
        <v>15</v>
      </c>
      <c r="I1485" s="1">
        <v>1</v>
      </c>
      <c r="J1485" s="2">
        <v>431.03</v>
      </c>
    </row>
    <row r="1486" spans="2:10" x14ac:dyDescent="0.2">
      <c r="B1486" t="s">
        <v>690</v>
      </c>
      <c r="C1486" t="s">
        <v>248</v>
      </c>
      <c r="D1486" t="s">
        <v>691</v>
      </c>
      <c r="E1486" t="s">
        <v>738</v>
      </c>
      <c r="F1486" t="s">
        <v>739</v>
      </c>
      <c r="G1486" t="s">
        <v>1033</v>
      </c>
      <c r="H1486" t="s">
        <v>30</v>
      </c>
      <c r="I1486" s="1">
        <v>1</v>
      </c>
      <c r="J1486" s="2">
        <v>1329.11</v>
      </c>
    </row>
    <row r="1487" spans="2:10" x14ac:dyDescent="0.2">
      <c r="B1487" t="s">
        <v>690</v>
      </c>
      <c r="C1487" t="s">
        <v>248</v>
      </c>
      <c r="D1487" t="s">
        <v>691</v>
      </c>
      <c r="E1487" t="s">
        <v>120</v>
      </c>
      <c r="F1487" t="s">
        <v>121</v>
      </c>
      <c r="G1487" t="s">
        <v>1034</v>
      </c>
      <c r="H1487" t="s">
        <v>15</v>
      </c>
      <c r="I1487" s="1">
        <v>2</v>
      </c>
      <c r="J1487" s="2">
        <v>603.44000000000005</v>
      </c>
    </row>
    <row r="1488" spans="2:10" x14ac:dyDescent="0.2">
      <c r="B1488" t="s">
        <v>690</v>
      </c>
      <c r="C1488" t="s">
        <v>248</v>
      </c>
      <c r="D1488" t="s">
        <v>691</v>
      </c>
      <c r="E1488" t="s">
        <v>153</v>
      </c>
      <c r="F1488" t="s">
        <v>154</v>
      </c>
      <c r="G1488" t="s">
        <v>1034</v>
      </c>
      <c r="H1488" t="s">
        <v>15</v>
      </c>
      <c r="I1488" s="1">
        <v>1</v>
      </c>
      <c r="J1488" s="2">
        <v>387.93</v>
      </c>
    </row>
    <row r="1489" spans="2:10" x14ac:dyDescent="0.2">
      <c r="B1489" t="s">
        <v>690</v>
      </c>
      <c r="C1489" t="s">
        <v>248</v>
      </c>
      <c r="D1489" t="s">
        <v>691</v>
      </c>
      <c r="E1489" t="s">
        <v>85</v>
      </c>
      <c r="F1489" t="s">
        <v>86</v>
      </c>
      <c r="G1489" t="s">
        <v>14</v>
      </c>
      <c r="H1489" t="s">
        <v>87</v>
      </c>
      <c r="I1489" s="1">
        <v>1</v>
      </c>
      <c r="J1489" s="2">
        <v>301.72000000000003</v>
      </c>
    </row>
    <row r="1490" spans="2:10" x14ac:dyDescent="0.2">
      <c r="B1490" t="s">
        <v>690</v>
      </c>
      <c r="C1490" t="s">
        <v>248</v>
      </c>
      <c r="D1490" t="s">
        <v>691</v>
      </c>
      <c r="E1490" t="s">
        <v>427</v>
      </c>
      <c r="F1490" t="s">
        <v>428</v>
      </c>
      <c r="G1490" t="s">
        <v>14</v>
      </c>
      <c r="H1490" t="s">
        <v>87</v>
      </c>
      <c r="I1490" s="1">
        <v>1</v>
      </c>
      <c r="J1490" s="2">
        <v>120.69</v>
      </c>
    </row>
    <row r="1491" spans="2:10" x14ac:dyDescent="0.2">
      <c r="B1491" t="s">
        <v>690</v>
      </c>
      <c r="C1491" t="s">
        <v>248</v>
      </c>
      <c r="D1491" t="s">
        <v>691</v>
      </c>
      <c r="E1491" t="s">
        <v>38</v>
      </c>
      <c r="F1491" t="s">
        <v>39</v>
      </c>
      <c r="G1491" t="s">
        <v>1034</v>
      </c>
      <c r="H1491" t="s">
        <v>15</v>
      </c>
      <c r="I1491" s="1">
        <v>1</v>
      </c>
      <c r="J1491" s="2">
        <v>431.03</v>
      </c>
    </row>
    <row r="1492" spans="2:10" x14ac:dyDescent="0.2">
      <c r="B1492" t="s">
        <v>690</v>
      </c>
      <c r="C1492" t="s">
        <v>248</v>
      </c>
      <c r="D1492" t="s">
        <v>691</v>
      </c>
      <c r="E1492" t="s">
        <v>124</v>
      </c>
      <c r="F1492" t="s">
        <v>125</v>
      </c>
      <c r="G1492" t="s">
        <v>1034</v>
      </c>
      <c r="H1492" t="s">
        <v>15</v>
      </c>
      <c r="I1492" s="1">
        <v>1</v>
      </c>
      <c r="J1492" s="2">
        <v>431.03</v>
      </c>
    </row>
    <row r="1493" spans="2:10" x14ac:dyDescent="0.2">
      <c r="B1493" t="s">
        <v>690</v>
      </c>
      <c r="C1493" t="s">
        <v>248</v>
      </c>
      <c r="D1493" t="s">
        <v>691</v>
      </c>
      <c r="E1493" t="s">
        <v>63</v>
      </c>
      <c r="F1493" t="s">
        <v>64</v>
      </c>
      <c r="G1493" t="s">
        <v>1034</v>
      </c>
      <c r="H1493" t="s">
        <v>15</v>
      </c>
      <c r="I1493" s="1">
        <v>1</v>
      </c>
      <c r="J1493" s="2">
        <v>172.41</v>
      </c>
    </row>
    <row r="1494" spans="2:10" hidden="1" x14ac:dyDescent="0.2">
      <c r="B1494" t="s">
        <v>740</v>
      </c>
      <c r="C1494" t="s">
        <v>10</v>
      </c>
      <c r="D1494" t="s">
        <v>130</v>
      </c>
      <c r="E1494" t="s">
        <v>36</v>
      </c>
      <c r="F1494" t="s">
        <v>37</v>
      </c>
      <c r="G1494" t="s">
        <v>1034</v>
      </c>
      <c r="H1494" t="s">
        <v>15</v>
      </c>
      <c r="I1494" s="1">
        <v>2</v>
      </c>
      <c r="J1494" s="2">
        <v>603.44000000000005</v>
      </c>
    </row>
    <row r="1495" spans="2:10" hidden="1" x14ac:dyDescent="0.2">
      <c r="B1495" t="s">
        <v>740</v>
      </c>
      <c r="C1495" t="s">
        <v>10</v>
      </c>
      <c r="D1495" t="s">
        <v>130</v>
      </c>
      <c r="E1495" t="s">
        <v>521</v>
      </c>
      <c r="F1495" t="s">
        <v>522</v>
      </c>
      <c r="G1495" t="s">
        <v>14</v>
      </c>
      <c r="H1495" t="s">
        <v>104</v>
      </c>
      <c r="I1495" s="1">
        <v>4</v>
      </c>
      <c r="J1495" s="2">
        <v>86.2</v>
      </c>
    </row>
    <row r="1496" spans="2:10" hidden="1" x14ac:dyDescent="0.2">
      <c r="B1496" t="s">
        <v>740</v>
      </c>
      <c r="C1496" t="s">
        <v>10</v>
      </c>
      <c r="D1496" t="s">
        <v>130</v>
      </c>
      <c r="E1496" t="s">
        <v>16</v>
      </c>
      <c r="F1496" t="s">
        <v>17</v>
      </c>
      <c r="G1496" t="s">
        <v>1034</v>
      </c>
      <c r="H1496" t="s">
        <v>15</v>
      </c>
      <c r="I1496" s="1">
        <v>1</v>
      </c>
      <c r="J1496" s="2">
        <v>577.59</v>
      </c>
    </row>
    <row r="1497" spans="2:10" hidden="1" x14ac:dyDescent="0.2">
      <c r="B1497" t="s">
        <v>740</v>
      </c>
      <c r="C1497" t="s">
        <v>18</v>
      </c>
      <c r="D1497" t="s">
        <v>741</v>
      </c>
      <c r="E1497" t="s">
        <v>318</v>
      </c>
      <c r="F1497" t="s">
        <v>319</v>
      </c>
      <c r="G1497" t="s">
        <v>1033</v>
      </c>
      <c r="H1497" t="s">
        <v>30</v>
      </c>
      <c r="I1497" s="1">
        <v>2</v>
      </c>
      <c r="J1497" s="2">
        <v>913.8</v>
      </c>
    </row>
    <row r="1498" spans="2:10" hidden="1" x14ac:dyDescent="0.2">
      <c r="B1498" t="s">
        <v>740</v>
      </c>
      <c r="C1498" t="s">
        <v>18</v>
      </c>
      <c r="D1498" t="s">
        <v>741</v>
      </c>
      <c r="E1498" t="s">
        <v>46</v>
      </c>
      <c r="F1498" t="s">
        <v>47</v>
      </c>
      <c r="G1498" t="s">
        <v>1034</v>
      </c>
      <c r="H1498" t="s">
        <v>15</v>
      </c>
      <c r="I1498" s="1">
        <v>1</v>
      </c>
      <c r="J1498" s="2">
        <v>301.72000000000003</v>
      </c>
    </row>
    <row r="1499" spans="2:10" hidden="1" x14ac:dyDescent="0.2">
      <c r="B1499" t="s">
        <v>740</v>
      </c>
      <c r="C1499" t="s">
        <v>18</v>
      </c>
      <c r="D1499" t="s">
        <v>741</v>
      </c>
      <c r="E1499" t="s">
        <v>120</v>
      </c>
      <c r="F1499" t="s">
        <v>121</v>
      </c>
      <c r="G1499" t="s">
        <v>1034</v>
      </c>
      <c r="H1499" t="s">
        <v>15</v>
      </c>
      <c r="I1499" s="1">
        <v>1</v>
      </c>
      <c r="J1499" s="2">
        <v>301.72000000000003</v>
      </c>
    </row>
    <row r="1500" spans="2:10" hidden="1" x14ac:dyDescent="0.2">
      <c r="B1500" t="s">
        <v>740</v>
      </c>
      <c r="C1500" t="s">
        <v>18</v>
      </c>
      <c r="D1500" t="s">
        <v>741</v>
      </c>
      <c r="E1500" t="s">
        <v>214</v>
      </c>
      <c r="F1500" t="s">
        <v>215</v>
      </c>
      <c r="G1500" t="s">
        <v>1034</v>
      </c>
      <c r="H1500" t="s">
        <v>15</v>
      </c>
      <c r="I1500" s="1">
        <v>2</v>
      </c>
      <c r="J1500" s="2">
        <v>603.44000000000005</v>
      </c>
    </row>
    <row r="1501" spans="2:10" hidden="1" x14ac:dyDescent="0.2">
      <c r="B1501" t="s">
        <v>740</v>
      </c>
      <c r="C1501" t="s">
        <v>18</v>
      </c>
      <c r="D1501" t="s">
        <v>741</v>
      </c>
      <c r="E1501" t="s">
        <v>36</v>
      </c>
      <c r="F1501" t="s">
        <v>37</v>
      </c>
      <c r="G1501" t="s">
        <v>1034</v>
      </c>
      <c r="H1501" t="s">
        <v>15</v>
      </c>
      <c r="I1501" s="1">
        <v>1</v>
      </c>
      <c r="J1501" s="2">
        <v>301.72000000000003</v>
      </c>
    </row>
    <row r="1502" spans="2:10" hidden="1" x14ac:dyDescent="0.2">
      <c r="B1502" t="s">
        <v>740</v>
      </c>
      <c r="C1502" t="s">
        <v>18</v>
      </c>
      <c r="D1502" t="s">
        <v>741</v>
      </c>
      <c r="E1502" t="s">
        <v>223</v>
      </c>
      <c r="F1502" t="s">
        <v>224</v>
      </c>
      <c r="G1502" t="s">
        <v>43</v>
      </c>
      <c r="H1502" t="s">
        <v>50</v>
      </c>
      <c r="I1502" s="1">
        <v>1</v>
      </c>
      <c r="J1502" s="2">
        <v>1637.93</v>
      </c>
    </row>
    <row r="1503" spans="2:10" hidden="1" x14ac:dyDescent="0.2">
      <c r="B1503" t="s">
        <v>740</v>
      </c>
      <c r="C1503" t="s">
        <v>18</v>
      </c>
      <c r="D1503" t="s">
        <v>741</v>
      </c>
      <c r="E1503" t="s">
        <v>56</v>
      </c>
      <c r="F1503" t="s">
        <v>57</v>
      </c>
      <c r="G1503" t="s">
        <v>1034</v>
      </c>
      <c r="H1503" t="s">
        <v>15</v>
      </c>
      <c r="I1503" s="1">
        <v>1</v>
      </c>
      <c r="J1503" s="2">
        <v>431.03</v>
      </c>
    </row>
    <row r="1504" spans="2:10" hidden="1" x14ac:dyDescent="0.2">
      <c r="B1504" t="s">
        <v>740</v>
      </c>
      <c r="C1504" t="s">
        <v>18</v>
      </c>
      <c r="D1504" t="s">
        <v>741</v>
      </c>
      <c r="E1504" t="s">
        <v>63</v>
      </c>
      <c r="F1504" t="s">
        <v>64</v>
      </c>
      <c r="G1504" t="s">
        <v>1034</v>
      </c>
      <c r="H1504" t="s">
        <v>15</v>
      </c>
      <c r="I1504" s="1">
        <v>4</v>
      </c>
      <c r="J1504" s="2">
        <v>689.64</v>
      </c>
    </row>
    <row r="1505" spans="2:10" hidden="1" x14ac:dyDescent="0.2">
      <c r="B1505" t="s">
        <v>740</v>
      </c>
      <c r="C1505" t="s">
        <v>18</v>
      </c>
      <c r="D1505" t="s">
        <v>741</v>
      </c>
      <c r="E1505" t="s">
        <v>16</v>
      </c>
      <c r="F1505" t="s">
        <v>17</v>
      </c>
      <c r="G1505" t="s">
        <v>1034</v>
      </c>
      <c r="H1505" t="s">
        <v>15</v>
      </c>
      <c r="I1505" s="1">
        <v>1</v>
      </c>
      <c r="J1505" s="2">
        <v>577.59</v>
      </c>
    </row>
    <row r="1506" spans="2:10" hidden="1" x14ac:dyDescent="0.2">
      <c r="B1506" t="s">
        <v>740</v>
      </c>
      <c r="C1506" t="s">
        <v>18</v>
      </c>
      <c r="D1506" t="s">
        <v>741</v>
      </c>
      <c r="E1506" t="s">
        <v>79</v>
      </c>
      <c r="F1506" t="s">
        <v>80</v>
      </c>
      <c r="G1506" t="s">
        <v>43</v>
      </c>
      <c r="H1506" t="s">
        <v>81</v>
      </c>
      <c r="I1506" s="1">
        <v>1</v>
      </c>
      <c r="J1506" s="2">
        <v>1810.34</v>
      </c>
    </row>
    <row r="1507" spans="2:10" hidden="1" x14ac:dyDescent="0.2">
      <c r="B1507" t="s">
        <v>740</v>
      </c>
      <c r="C1507" t="s">
        <v>18</v>
      </c>
      <c r="D1507" t="s">
        <v>741</v>
      </c>
      <c r="E1507" t="s">
        <v>181</v>
      </c>
      <c r="F1507" t="s">
        <v>182</v>
      </c>
      <c r="G1507" t="s">
        <v>43</v>
      </c>
      <c r="H1507" t="s">
        <v>81</v>
      </c>
      <c r="I1507" s="1">
        <v>1</v>
      </c>
      <c r="J1507" s="2">
        <v>1379.31</v>
      </c>
    </row>
    <row r="1508" spans="2:10" hidden="1" x14ac:dyDescent="0.2">
      <c r="B1508" t="s">
        <v>740</v>
      </c>
      <c r="C1508" t="s">
        <v>31</v>
      </c>
      <c r="D1508" t="s">
        <v>741</v>
      </c>
      <c r="E1508" t="s">
        <v>19</v>
      </c>
      <c r="F1508" t="s">
        <v>20</v>
      </c>
      <c r="G1508" t="s">
        <v>14</v>
      </c>
      <c r="H1508" t="s">
        <v>21</v>
      </c>
      <c r="I1508" s="1">
        <v>1</v>
      </c>
      <c r="J1508" s="2">
        <v>431.04</v>
      </c>
    </row>
    <row r="1509" spans="2:10" hidden="1" x14ac:dyDescent="0.2">
      <c r="B1509" t="s">
        <v>740</v>
      </c>
      <c r="C1509" t="s">
        <v>40</v>
      </c>
      <c r="D1509" t="s">
        <v>741</v>
      </c>
      <c r="E1509" t="s">
        <v>399</v>
      </c>
      <c r="F1509" t="s">
        <v>400</v>
      </c>
      <c r="G1509" t="s">
        <v>1033</v>
      </c>
      <c r="H1509" t="s">
        <v>30</v>
      </c>
      <c r="I1509" s="1">
        <v>1</v>
      </c>
      <c r="J1509" s="2">
        <v>818.97</v>
      </c>
    </row>
    <row r="1510" spans="2:10" hidden="1" x14ac:dyDescent="0.2">
      <c r="B1510" t="s">
        <v>740</v>
      </c>
      <c r="C1510" t="s">
        <v>40</v>
      </c>
      <c r="D1510" t="s">
        <v>741</v>
      </c>
      <c r="E1510" t="s">
        <v>12</v>
      </c>
      <c r="F1510" t="s">
        <v>13</v>
      </c>
      <c r="G1510" t="s">
        <v>1034</v>
      </c>
      <c r="H1510" t="s">
        <v>15</v>
      </c>
      <c r="I1510" s="1">
        <v>1</v>
      </c>
      <c r="J1510" s="2">
        <v>1077.5899999999999</v>
      </c>
    </row>
    <row r="1511" spans="2:10" hidden="1" x14ac:dyDescent="0.2">
      <c r="B1511" t="s">
        <v>740</v>
      </c>
      <c r="C1511" t="s">
        <v>40</v>
      </c>
      <c r="D1511" t="s">
        <v>741</v>
      </c>
      <c r="E1511" t="s">
        <v>36</v>
      </c>
      <c r="F1511" t="s">
        <v>37</v>
      </c>
      <c r="G1511" t="s">
        <v>1034</v>
      </c>
      <c r="H1511" t="s">
        <v>15</v>
      </c>
      <c r="I1511" s="1">
        <v>1</v>
      </c>
      <c r="J1511" s="2">
        <v>301.72000000000003</v>
      </c>
    </row>
    <row r="1512" spans="2:10" hidden="1" x14ac:dyDescent="0.2">
      <c r="B1512" t="s">
        <v>740</v>
      </c>
      <c r="C1512" t="s">
        <v>40</v>
      </c>
      <c r="D1512" t="s">
        <v>741</v>
      </c>
      <c r="E1512" t="s">
        <v>72</v>
      </c>
      <c r="F1512" t="s">
        <v>73</v>
      </c>
      <c r="G1512" t="s">
        <v>1034</v>
      </c>
      <c r="H1512" t="s">
        <v>15</v>
      </c>
      <c r="I1512" s="1">
        <v>1</v>
      </c>
      <c r="J1512" s="2">
        <v>775.86</v>
      </c>
    </row>
    <row r="1513" spans="2:10" hidden="1" x14ac:dyDescent="0.2">
      <c r="B1513" t="s">
        <v>740</v>
      </c>
      <c r="C1513" t="s">
        <v>40</v>
      </c>
      <c r="D1513" t="s">
        <v>741</v>
      </c>
      <c r="E1513" t="s">
        <v>22</v>
      </c>
      <c r="F1513" t="s">
        <v>23</v>
      </c>
      <c r="G1513" t="s">
        <v>14</v>
      </c>
      <c r="H1513" t="s">
        <v>24</v>
      </c>
      <c r="I1513" s="1">
        <v>1</v>
      </c>
      <c r="J1513" s="2">
        <v>215.52</v>
      </c>
    </row>
    <row r="1514" spans="2:10" hidden="1" x14ac:dyDescent="0.2">
      <c r="B1514" t="s">
        <v>740</v>
      </c>
      <c r="C1514" t="s">
        <v>40</v>
      </c>
      <c r="D1514" t="s">
        <v>741</v>
      </c>
      <c r="E1514" t="s">
        <v>124</v>
      </c>
      <c r="F1514" t="s">
        <v>125</v>
      </c>
      <c r="G1514" t="s">
        <v>1034</v>
      </c>
      <c r="H1514" t="s">
        <v>15</v>
      </c>
      <c r="I1514" s="1">
        <v>1</v>
      </c>
      <c r="J1514" s="2">
        <v>431.03</v>
      </c>
    </row>
    <row r="1515" spans="2:10" hidden="1" x14ac:dyDescent="0.2">
      <c r="B1515" t="s">
        <v>740</v>
      </c>
      <c r="C1515" t="s">
        <v>40</v>
      </c>
      <c r="D1515" t="s">
        <v>741</v>
      </c>
      <c r="E1515" t="s">
        <v>61</v>
      </c>
      <c r="F1515" t="s">
        <v>62</v>
      </c>
      <c r="G1515" t="s">
        <v>1034</v>
      </c>
      <c r="H1515" t="s">
        <v>15</v>
      </c>
      <c r="I1515" s="1">
        <v>1</v>
      </c>
      <c r="J1515" s="2">
        <v>172.41</v>
      </c>
    </row>
    <row r="1516" spans="2:10" hidden="1" x14ac:dyDescent="0.2">
      <c r="B1516" t="s">
        <v>740</v>
      </c>
      <c r="C1516" t="s">
        <v>40</v>
      </c>
      <c r="D1516" t="s">
        <v>741</v>
      </c>
      <c r="E1516" t="s">
        <v>63</v>
      </c>
      <c r="F1516" t="s">
        <v>64</v>
      </c>
      <c r="G1516" t="s">
        <v>1034</v>
      </c>
      <c r="H1516" t="s">
        <v>15</v>
      </c>
      <c r="I1516" s="1">
        <v>1</v>
      </c>
      <c r="J1516" s="2">
        <v>172.41</v>
      </c>
    </row>
    <row r="1517" spans="2:10" hidden="1" x14ac:dyDescent="0.2">
      <c r="B1517" t="s">
        <v>740</v>
      </c>
      <c r="C1517" t="s">
        <v>40</v>
      </c>
      <c r="D1517" t="s">
        <v>741</v>
      </c>
      <c r="E1517" t="s">
        <v>16</v>
      </c>
      <c r="F1517" t="s">
        <v>17</v>
      </c>
      <c r="G1517" t="s">
        <v>1034</v>
      </c>
      <c r="H1517" t="s">
        <v>15</v>
      </c>
      <c r="I1517" s="1">
        <v>2</v>
      </c>
      <c r="J1517" s="2">
        <v>1155.18</v>
      </c>
    </row>
    <row r="1518" spans="2:10" hidden="1" x14ac:dyDescent="0.2">
      <c r="B1518" t="s">
        <v>740</v>
      </c>
      <c r="C1518" t="s">
        <v>51</v>
      </c>
      <c r="D1518" t="s">
        <v>130</v>
      </c>
      <c r="E1518" t="s">
        <v>457</v>
      </c>
      <c r="F1518" t="s">
        <v>458</v>
      </c>
      <c r="G1518" t="s">
        <v>14</v>
      </c>
      <c r="H1518" t="s">
        <v>27</v>
      </c>
      <c r="I1518" s="1">
        <v>1</v>
      </c>
      <c r="J1518" s="2">
        <v>413.79</v>
      </c>
    </row>
    <row r="1519" spans="2:10" hidden="1" x14ac:dyDescent="0.2">
      <c r="B1519" t="s">
        <v>740</v>
      </c>
      <c r="C1519" t="s">
        <v>51</v>
      </c>
      <c r="D1519" t="s">
        <v>130</v>
      </c>
      <c r="E1519" t="s">
        <v>505</v>
      </c>
      <c r="F1519" t="s">
        <v>506</v>
      </c>
      <c r="G1519" t="s">
        <v>1033</v>
      </c>
      <c r="H1519" t="s">
        <v>30</v>
      </c>
      <c r="I1519" s="1">
        <v>1</v>
      </c>
      <c r="J1519" s="2">
        <v>775.86</v>
      </c>
    </row>
    <row r="1520" spans="2:10" hidden="1" x14ac:dyDescent="0.2">
      <c r="B1520" t="s">
        <v>740</v>
      </c>
      <c r="C1520" t="s">
        <v>51</v>
      </c>
      <c r="D1520" t="s">
        <v>130</v>
      </c>
      <c r="E1520" t="s">
        <v>153</v>
      </c>
      <c r="F1520" t="s">
        <v>154</v>
      </c>
      <c r="G1520" t="s">
        <v>1034</v>
      </c>
      <c r="H1520" t="s">
        <v>15</v>
      </c>
      <c r="I1520" s="1">
        <v>1</v>
      </c>
      <c r="J1520" s="2">
        <v>387.93</v>
      </c>
    </row>
    <row r="1521" spans="2:10" hidden="1" x14ac:dyDescent="0.2">
      <c r="B1521" t="s">
        <v>740</v>
      </c>
      <c r="C1521" t="s">
        <v>51</v>
      </c>
      <c r="D1521" t="s">
        <v>130</v>
      </c>
      <c r="E1521" t="s">
        <v>22</v>
      </c>
      <c r="F1521" t="s">
        <v>23</v>
      </c>
      <c r="G1521" t="s">
        <v>14</v>
      </c>
      <c r="H1521" t="s">
        <v>24</v>
      </c>
      <c r="I1521" s="1">
        <v>1</v>
      </c>
      <c r="J1521" s="2">
        <v>215.52</v>
      </c>
    </row>
    <row r="1522" spans="2:10" hidden="1" x14ac:dyDescent="0.2">
      <c r="B1522" t="s">
        <v>740</v>
      </c>
      <c r="C1522" t="s">
        <v>51</v>
      </c>
      <c r="D1522" t="s">
        <v>130</v>
      </c>
      <c r="E1522" t="s">
        <v>742</v>
      </c>
      <c r="F1522" t="s">
        <v>743</v>
      </c>
      <c r="G1522" t="s">
        <v>1033</v>
      </c>
      <c r="H1522" t="s">
        <v>30</v>
      </c>
      <c r="I1522" s="1">
        <v>1</v>
      </c>
      <c r="J1522" s="2">
        <v>2672.41</v>
      </c>
    </row>
    <row r="1523" spans="2:10" hidden="1" x14ac:dyDescent="0.2">
      <c r="B1523" t="s">
        <v>740</v>
      </c>
      <c r="C1523" t="s">
        <v>65</v>
      </c>
      <c r="D1523" t="s">
        <v>741</v>
      </c>
      <c r="E1523" t="s">
        <v>744</v>
      </c>
      <c r="F1523" t="s">
        <v>745</v>
      </c>
      <c r="G1523" t="s">
        <v>54</v>
      </c>
      <c r="H1523" t="s">
        <v>138</v>
      </c>
      <c r="I1523" s="1">
        <v>1</v>
      </c>
      <c r="J1523" s="2">
        <v>344.83</v>
      </c>
    </row>
    <row r="1524" spans="2:10" hidden="1" x14ac:dyDescent="0.2">
      <c r="B1524" t="s">
        <v>740</v>
      </c>
      <c r="C1524" t="s">
        <v>65</v>
      </c>
      <c r="D1524" t="s">
        <v>741</v>
      </c>
      <c r="E1524" t="s">
        <v>99</v>
      </c>
      <c r="F1524" t="s">
        <v>100</v>
      </c>
      <c r="G1524" t="s">
        <v>43</v>
      </c>
      <c r="H1524" t="s">
        <v>50</v>
      </c>
      <c r="I1524" s="1">
        <v>1</v>
      </c>
      <c r="J1524" s="2">
        <v>3275.86</v>
      </c>
    </row>
    <row r="1525" spans="2:10" hidden="1" x14ac:dyDescent="0.2">
      <c r="B1525" t="s">
        <v>740</v>
      </c>
      <c r="C1525" t="s">
        <v>65</v>
      </c>
      <c r="D1525" t="s">
        <v>741</v>
      </c>
      <c r="E1525" t="s">
        <v>120</v>
      </c>
      <c r="F1525" t="s">
        <v>121</v>
      </c>
      <c r="G1525" t="s">
        <v>1034</v>
      </c>
      <c r="H1525" t="s">
        <v>15</v>
      </c>
      <c r="I1525" s="1">
        <v>1</v>
      </c>
      <c r="J1525" s="2">
        <v>301.72000000000003</v>
      </c>
    </row>
    <row r="1526" spans="2:10" hidden="1" x14ac:dyDescent="0.2">
      <c r="B1526" t="s">
        <v>740</v>
      </c>
      <c r="C1526" t="s">
        <v>65</v>
      </c>
      <c r="D1526" t="s">
        <v>741</v>
      </c>
      <c r="E1526" t="s">
        <v>36</v>
      </c>
      <c r="F1526" t="s">
        <v>37</v>
      </c>
      <c r="G1526" t="s">
        <v>1034</v>
      </c>
      <c r="H1526" t="s">
        <v>15</v>
      </c>
      <c r="I1526" s="1">
        <v>2</v>
      </c>
      <c r="J1526" s="2">
        <v>603.44000000000005</v>
      </c>
    </row>
    <row r="1527" spans="2:10" hidden="1" x14ac:dyDescent="0.2">
      <c r="B1527" t="s">
        <v>740</v>
      </c>
      <c r="C1527" t="s">
        <v>65</v>
      </c>
      <c r="D1527" t="s">
        <v>741</v>
      </c>
      <c r="E1527" t="s">
        <v>72</v>
      </c>
      <c r="F1527" t="s">
        <v>73</v>
      </c>
      <c r="G1527" t="s">
        <v>1034</v>
      </c>
      <c r="H1527" t="s">
        <v>15</v>
      </c>
      <c r="I1527" s="1">
        <v>1</v>
      </c>
      <c r="J1527" s="2">
        <v>775.86</v>
      </c>
    </row>
    <row r="1528" spans="2:10" hidden="1" x14ac:dyDescent="0.2">
      <c r="B1528" t="s">
        <v>740</v>
      </c>
      <c r="C1528" t="s">
        <v>65</v>
      </c>
      <c r="D1528" t="s">
        <v>741</v>
      </c>
      <c r="E1528" t="s">
        <v>656</v>
      </c>
      <c r="F1528" t="s">
        <v>657</v>
      </c>
      <c r="G1528" t="s">
        <v>43</v>
      </c>
      <c r="H1528" t="s">
        <v>50</v>
      </c>
      <c r="I1528" s="1">
        <v>1</v>
      </c>
      <c r="J1528" s="2">
        <v>181.03</v>
      </c>
    </row>
    <row r="1529" spans="2:10" hidden="1" x14ac:dyDescent="0.2">
      <c r="B1529" t="s">
        <v>740</v>
      </c>
      <c r="C1529" t="s">
        <v>82</v>
      </c>
      <c r="D1529" t="s">
        <v>741</v>
      </c>
      <c r="E1529" t="s">
        <v>41</v>
      </c>
      <c r="F1529" t="s">
        <v>42</v>
      </c>
      <c r="G1529" t="s">
        <v>1033</v>
      </c>
      <c r="H1529" t="s">
        <v>30</v>
      </c>
      <c r="I1529" s="1">
        <v>1</v>
      </c>
      <c r="J1529" s="2">
        <v>34.479999999999997</v>
      </c>
    </row>
    <row r="1530" spans="2:10" hidden="1" x14ac:dyDescent="0.2">
      <c r="B1530" t="s">
        <v>740</v>
      </c>
      <c r="C1530" t="s">
        <v>82</v>
      </c>
      <c r="D1530" t="s">
        <v>741</v>
      </c>
      <c r="E1530" t="s">
        <v>391</v>
      </c>
      <c r="F1530" t="s">
        <v>392</v>
      </c>
      <c r="G1530" t="s">
        <v>14</v>
      </c>
      <c r="H1530" t="s">
        <v>87</v>
      </c>
      <c r="I1530" s="1">
        <v>1</v>
      </c>
      <c r="J1530" s="2">
        <v>482.76</v>
      </c>
    </row>
    <row r="1531" spans="2:10" hidden="1" x14ac:dyDescent="0.2">
      <c r="B1531" t="s">
        <v>740</v>
      </c>
      <c r="C1531" t="s">
        <v>82</v>
      </c>
      <c r="D1531" t="s">
        <v>741</v>
      </c>
      <c r="E1531" t="s">
        <v>36</v>
      </c>
      <c r="F1531" t="s">
        <v>37</v>
      </c>
      <c r="G1531" t="s">
        <v>1034</v>
      </c>
      <c r="H1531" t="s">
        <v>15</v>
      </c>
      <c r="I1531" s="1">
        <v>1</v>
      </c>
      <c r="J1531" s="2">
        <v>301.72000000000003</v>
      </c>
    </row>
    <row r="1532" spans="2:10" hidden="1" x14ac:dyDescent="0.2">
      <c r="B1532" t="s">
        <v>740</v>
      </c>
      <c r="C1532" t="s">
        <v>82</v>
      </c>
      <c r="D1532" t="s">
        <v>741</v>
      </c>
      <c r="E1532" t="s">
        <v>22</v>
      </c>
      <c r="F1532" t="s">
        <v>23</v>
      </c>
      <c r="G1532" t="s">
        <v>14</v>
      </c>
      <c r="H1532" t="s">
        <v>24</v>
      </c>
      <c r="I1532" s="1">
        <v>1</v>
      </c>
      <c r="J1532" s="2">
        <v>215.52</v>
      </c>
    </row>
    <row r="1533" spans="2:10" hidden="1" x14ac:dyDescent="0.2">
      <c r="B1533" t="s">
        <v>740</v>
      </c>
      <c r="C1533" t="s">
        <v>82</v>
      </c>
      <c r="D1533" t="s">
        <v>741</v>
      </c>
      <c r="E1533" t="s">
        <v>273</v>
      </c>
      <c r="F1533" t="s">
        <v>274</v>
      </c>
      <c r="G1533" t="s">
        <v>1033</v>
      </c>
      <c r="H1533" t="s">
        <v>30</v>
      </c>
      <c r="I1533" s="1">
        <v>1</v>
      </c>
      <c r="J1533" s="2">
        <v>1293.0999999999999</v>
      </c>
    </row>
    <row r="1534" spans="2:10" hidden="1" x14ac:dyDescent="0.2">
      <c r="B1534" t="s">
        <v>740</v>
      </c>
      <c r="C1534" t="s">
        <v>82</v>
      </c>
      <c r="D1534" t="s">
        <v>741</v>
      </c>
      <c r="E1534" t="s">
        <v>56</v>
      </c>
      <c r="F1534" t="s">
        <v>57</v>
      </c>
      <c r="G1534" t="s">
        <v>1034</v>
      </c>
      <c r="H1534" t="s">
        <v>15</v>
      </c>
      <c r="I1534" s="1">
        <v>2</v>
      </c>
      <c r="J1534" s="2">
        <v>862.06</v>
      </c>
    </row>
    <row r="1535" spans="2:10" hidden="1" x14ac:dyDescent="0.2">
      <c r="B1535" t="s">
        <v>740</v>
      </c>
      <c r="C1535" t="s">
        <v>82</v>
      </c>
      <c r="D1535" t="s">
        <v>741</v>
      </c>
      <c r="E1535" t="s">
        <v>61</v>
      </c>
      <c r="F1535" t="s">
        <v>62</v>
      </c>
      <c r="G1535" t="s">
        <v>1034</v>
      </c>
      <c r="H1535" t="s">
        <v>15</v>
      </c>
      <c r="I1535" s="1">
        <v>1</v>
      </c>
      <c r="J1535" s="2">
        <v>172.41</v>
      </c>
    </row>
    <row r="1536" spans="2:10" hidden="1" x14ac:dyDescent="0.2">
      <c r="B1536" t="s">
        <v>740</v>
      </c>
      <c r="C1536" t="s">
        <v>82</v>
      </c>
      <c r="D1536" t="s">
        <v>741</v>
      </c>
      <c r="E1536" t="s">
        <v>16</v>
      </c>
      <c r="F1536" t="s">
        <v>17</v>
      </c>
      <c r="G1536" t="s">
        <v>1034</v>
      </c>
      <c r="H1536" t="s">
        <v>15</v>
      </c>
      <c r="I1536" s="1">
        <v>3</v>
      </c>
      <c r="J1536" s="2">
        <v>1732.77</v>
      </c>
    </row>
    <row r="1537" spans="2:10" hidden="1" x14ac:dyDescent="0.2">
      <c r="B1537" t="s">
        <v>740</v>
      </c>
      <c r="C1537" t="s">
        <v>88</v>
      </c>
      <c r="D1537" t="s">
        <v>741</v>
      </c>
      <c r="E1537" t="s">
        <v>46</v>
      </c>
      <c r="F1537" t="s">
        <v>47</v>
      </c>
      <c r="G1537" t="s">
        <v>1034</v>
      </c>
      <c r="H1537" t="s">
        <v>15</v>
      </c>
      <c r="I1537" s="1">
        <v>1</v>
      </c>
      <c r="J1537" s="2">
        <v>301.72000000000003</v>
      </c>
    </row>
    <row r="1538" spans="2:10" hidden="1" x14ac:dyDescent="0.2">
      <c r="B1538" t="s">
        <v>740</v>
      </c>
      <c r="C1538" t="s">
        <v>88</v>
      </c>
      <c r="D1538" t="s">
        <v>741</v>
      </c>
      <c r="E1538" t="s">
        <v>70</v>
      </c>
      <c r="F1538" t="s">
        <v>71</v>
      </c>
      <c r="G1538" t="s">
        <v>1033</v>
      </c>
      <c r="H1538" t="s">
        <v>30</v>
      </c>
      <c r="I1538" s="1">
        <v>1</v>
      </c>
      <c r="J1538" s="2">
        <v>2112.0700000000002</v>
      </c>
    </row>
    <row r="1539" spans="2:10" hidden="1" x14ac:dyDescent="0.2">
      <c r="B1539" t="s">
        <v>740</v>
      </c>
      <c r="C1539" t="s">
        <v>88</v>
      </c>
      <c r="D1539" t="s">
        <v>741</v>
      </c>
      <c r="E1539" t="s">
        <v>505</v>
      </c>
      <c r="F1539" t="s">
        <v>506</v>
      </c>
      <c r="G1539" t="s">
        <v>1033</v>
      </c>
      <c r="H1539" t="s">
        <v>30</v>
      </c>
      <c r="I1539" s="1">
        <v>2</v>
      </c>
      <c r="J1539" s="2">
        <v>1551.72</v>
      </c>
    </row>
    <row r="1540" spans="2:10" hidden="1" x14ac:dyDescent="0.2">
      <c r="B1540" t="s">
        <v>740</v>
      </c>
      <c r="C1540" t="s">
        <v>88</v>
      </c>
      <c r="D1540" t="s">
        <v>741</v>
      </c>
      <c r="E1540" t="s">
        <v>120</v>
      </c>
      <c r="F1540" t="s">
        <v>121</v>
      </c>
      <c r="G1540" t="s">
        <v>1034</v>
      </c>
      <c r="H1540" t="s">
        <v>15</v>
      </c>
      <c r="I1540" s="1">
        <v>1</v>
      </c>
      <c r="J1540" s="2">
        <v>301.72000000000003</v>
      </c>
    </row>
    <row r="1541" spans="2:10" hidden="1" x14ac:dyDescent="0.2">
      <c r="B1541" t="s">
        <v>740</v>
      </c>
      <c r="C1541" t="s">
        <v>88</v>
      </c>
      <c r="D1541" t="s">
        <v>741</v>
      </c>
      <c r="E1541" t="s">
        <v>56</v>
      </c>
      <c r="F1541" t="s">
        <v>57</v>
      </c>
      <c r="G1541" t="s">
        <v>1034</v>
      </c>
      <c r="H1541" t="s">
        <v>15</v>
      </c>
      <c r="I1541" s="1">
        <v>1</v>
      </c>
      <c r="J1541" s="2">
        <v>431.03</v>
      </c>
    </row>
    <row r="1542" spans="2:10" hidden="1" x14ac:dyDescent="0.2">
      <c r="B1542" t="s">
        <v>740</v>
      </c>
      <c r="C1542" t="s">
        <v>88</v>
      </c>
      <c r="D1542" t="s">
        <v>741</v>
      </c>
      <c r="E1542" t="s">
        <v>16</v>
      </c>
      <c r="F1542" t="s">
        <v>17</v>
      </c>
      <c r="G1542" t="s">
        <v>1034</v>
      </c>
      <c r="H1542" t="s">
        <v>15</v>
      </c>
      <c r="I1542" s="1">
        <v>1</v>
      </c>
      <c r="J1542" s="2">
        <v>577.59</v>
      </c>
    </row>
    <row r="1543" spans="2:10" hidden="1" x14ac:dyDescent="0.2">
      <c r="B1543" t="s">
        <v>740</v>
      </c>
      <c r="C1543" t="s">
        <v>117</v>
      </c>
      <c r="D1543" t="s">
        <v>741</v>
      </c>
      <c r="E1543" t="s">
        <v>19</v>
      </c>
      <c r="F1543" t="s">
        <v>20</v>
      </c>
      <c r="G1543" t="s">
        <v>14</v>
      </c>
      <c r="H1543" t="s">
        <v>21</v>
      </c>
      <c r="I1543" s="1">
        <v>2</v>
      </c>
      <c r="J1543" s="2">
        <v>862.08</v>
      </c>
    </row>
    <row r="1544" spans="2:10" hidden="1" x14ac:dyDescent="0.2">
      <c r="B1544" t="s">
        <v>740</v>
      </c>
      <c r="C1544" t="s">
        <v>117</v>
      </c>
      <c r="D1544" t="s">
        <v>741</v>
      </c>
      <c r="E1544" t="s">
        <v>46</v>
      </c>
      <c r="F1544" t="s">
        <v>47</v>
      </c>
      <c r="G1544" t="s">
        <v>1034</v>
      </c>
      <c r="H1544" t="s">
        <v>15</v>
      </c>
      <c r="I1544" s="1">
        <v>1</v>
      </c>
      <c r="J1544" s="2">
        <v>301.72000000000003</v>
      </c>
    </row>
    <row r="1545" spans="2:10" hidden="1" x14ac:dyDescent="0.2">
      <c r="B1545" t="s">
        <v>740</v>
      </c>
      <c r="C1545" t="s">
        <v>117</v>
      </c>
      <c r="D1545" t="s">
        <v>741</v>
      </c>
      <c r="E1545" t="s">
        <v>308</v>
      </c>
      <c r="F1545" t="s">
        <v>309</v>
      </c>
      <c r="G1545" t="s">
        <v>1033</v>
      </c>
      <c r="H1545" t="s">
        <v>30</v>
      </c>
      <c r="I1545" s="1">
        <v>1</v>
      </c>
      <c r="J1545" s="2">
        <v>818.97</v>
      </c>
    </row>
    <row r="1546" spans="2:10" hidden="1" x14ac:dyDescent="0.2">
      <c r="B1546" t="s">
        <v>740</v>
      </c>
      <c r="C1546" t="s">
        <v>117</v>
      </c>
      <c r="D1546" t="s">
        <v>741</v>
      </c>
      <c r="E1546" t="s">
        <v>613</v>
      </c>
      <c r="F1546" t="s">
        <v>614</v>
      </c>
      <c r="G1546" t="s">
        <v>1034</v>
      </c>
      <c r="H1546" t="s">
        <v>15</v>
      </c>
      <c r="I1546" s="1">
        <v>1</v>
      </c>
      <c r="J1546" s="2">
        <v>431.03</v>
      </c>
    </row>
    <row r="1547" spans="2:10" hidden="1" x14ac:dyDescent="0.2">
      <c r="B1547" t="s">
        <v>740</v>
      </c>
      <c r="C1547" t="s">
        <v>117</v>
      </c>
      <c r="D1547" t="s">
        <v>741</v>
      </c>
      <c r="E1547" t="s">
        <v>12</v>
      </c>
      <c r="F1547" t="s">
        <v>13</v>
      </c>
      <c r="G1547" t="s">
        <v>1034</v>
      </c>
      <c r="H1547" t="s">
        <v>15</v>
      </c>
      <c r="I1547" s="1">
        <v>1</v>
      </c>
      <c r="J1547" s="2">
        <v>1077.5899999999999</v>
      </c>
    </row>
    <row r="1548" spans="2:10" hidden="1" x14ac:dyDescent="0.2">
      <c r="B1548" t="s">
        <v>740</v>
      </c>
      <c r="C1548" t="s">
        <v>117</v>
      </c>
      <c r="D1548" t="s">
        <v>741</v>
      </c>
      <c r="E1548" t="s">
        <v>267</v>
      </c>
      <c r="F1548" t="s">
        <v>268</v>
      </c>
      <c r="G1548" t="s">
        <v>1034</v>
      </c>
      <c r="H1548" t="s">
        <v>15</v>
      </c>
      <c r="I1548" s="1">
        <v>1</v>
      </c>
      <c r="J1548" s="2">
        <v>258.62</v>
      </c>
    </row>
    <row r="1549" spans="2:10" hidden="1" x14ac:dyDescent="0.2">
      <c r="B1549" t="s">
        <v>740</v>
      </c>
      <c r="C1549" t="s">
        <v>117</v>
      </c>
      <c r="D1549" t="s">
        <v>741</v>
      </c>
      <c r="E1549" t="s">
        <v>72</v>
      </c>
      <c r="F1549" t="s">
        <v>73</v>
      </c>
      <c r="G1549" t="s">
        <v>1034</v>
      </c>
      <c r="H1549" t="s">
        <v>15</v>
      </c>
      <c r="I1549" s="1">
        <v>2</v>
      </c>
      <c r="J1549" s="2">
        <v>1551.72</v>
      </c>
    </row>
    <row r="1550" spans="2:10" hidden="1" x14ac:dyDescent="0.2">
      <c r="B1550" t="s">
        <v>740</v>
      </c>
      <c r="C1550" t="s">
        <v>117</v>
      </c>
      <c r="D1550" t="s">
        <v>741</v>
      </c>
      <c r="E1550" t="s">
        <v>122</v>
      </c>
      <c r="F1550" t="s">
        <v>123</v>
      </c>
      <c r="G1550" t="s">
        <v>1034</v>
      </c>
      <c r="H1550" t="s">
        <v>15</v>
      </c>
      <c r="I1550" s="1">
        <v>1</v>
      </c>
      <c r="J1550" s="2">
        <v>387.93</v>
      </c>
    </row>
    <row r="1551" spans="2:10" hidden="1" x14ac:dyDescent="0.2">
      <c r="B1551" t="s">
        <v>740</v>
      </c>
      <c r="C1551" t="s">
        <v>117</v>
      </c>
      <c r="D1551" t="s">
        <v>741</v>
      </c>
      <c r="E1551" t="s">
        <v>623</v>
      </c>
      <c r="F1551" t="s">
        <v>624</v>
      </c>
      <c r="G1551" t="s">
        <v>76</v>
      </c>
      <c r="H1551" t="s">
        <v>60</v>
      </c>
      <c r="I1551" s="1">
        <v>1</v>
      </c>
      <c r="J1551" s="2">
        <v>344.83</v>
      </c>
    </row>
    <row r="1552" spans="2:10" hidden="1" x14ac:dyDescent="0.2">
      <c r="B1552" t="s">
        <v>740</v>
      </c>
      <c r="C1552" t="s">
        <v>117</v>
      </c>
      <c r="D1552" t="s">
        <v>741</v>
      </c>
      <c r="E1552" t="s">
        <v>216</v>
      </c>
      <c r="F1552" t="s">
        <v>217</v>
      </c>
      <c r="G1552" t="s">
        <v>14</v>
      </c>
      <c r="H1552" t="s">
        <v>104</v>
      </c>
      <c r="I1552" s="1">
        <v>5</v>
      </c>
      <c r="J1552" s="2">
        <v>86.2</v>
      </c>
    </row>
    <row r="1553" spans="2:10" hidden="1" x14ac:dyDescent="0.2">
      <c r="B1553" t="s">
        <v>740</v>
      </c>
      <c r="C1553" t="s">
        <v>117</v>
      </c>
      <c r="D1553" t="s">
        <v>741</v>
      </c>
      <c r="E1553" t="s">
        <v>22</v>
      </c>
      <c r="F1553" t="s">
        <v>23</v>
      </c>
      <c r="G1553" t="s">
        <v>14</v>
      </c>
      <c r="H1553" t="s">
        <v>24</v>
      </c>
      <c r="I1553" s="1">
        <v>3</v>
      </c>
      <c r="J1553" s="2">
        <v>646.54999999999995</v>
      </c>
    </row>
    <row r="1554" spans="2:10" hidden="1" x14ac:dyDescent="0.2">
      <c r="B1554" t="s">
        <v>740</v>
      </c>
      <c r="C1554" t="s">
        <v>117</v>
      </c>
      <c r="D1554" t="s">
        <v>741</v>
      </c>
      <c r="E1554" t="s">
        <v>521</v>
      </c>
      <c r="F1554" t="s">
        <v>522</v>
      </c>
      <c r="G1554" t="s">
        <v>14</v>
      </c>
      <c r="H1554" t="s">
        <v>104</v>
      </c>
      <c r="I1554" s="1">
        <v>4</v>
      </c>
      <c r="J1554" s="2">
        <v>86.2</v>
      </c>
    </row>
    <row r="1555" spans="2:10" hidden="1" x14ac:dyDescent="0.2">
      <c r="B1555" t="s">
        <v>740</v>
      </c>
      <c r="C1555" t="s">
        <v>117</v>
      </c>
      <c r="D1555" t="s">
        <v>741</v>
      </c>
      <c r="E1555" t="s">
        <v>406</v>
      </c>
      <c r="F1555" t="s">
        <v>407</v>
      </c>
      <c r="G1555" t="s">
        <v>14</v>
      </c>
      <c r="H1555" t="s">
        <v>104</v>
      </c>
      <c r="I1555" s="1">
        <v>2</v>
      </c>
      <c r="J1555" s="2">
        <v>34.479999999999997</v>
      </c>
    </row>
    <row r="1556" spans="2:10" hidden="1" x14ac:dyDescent="0.2">
      <c r="B1556" t="s">
        <v>740</v>
      </c>
      <c r="C1556" t="s">
        <v>117</v>
      </c>
      <c r="D1556" t="s">
        <v>741</v>
      </c>
      <c r="E1556" t="s">
        <v>61</v>
      </c>
      <c r="F1556" t="s">
        <v>62</v>
      </c>
      <c r="G1556" t="s">
        <v>1034</v>
      </c>
      <c r="H1556" t="s">
        <v>15</v>
      </c>
      <c r="I1556" s="1">
        <v>2</v>
      </c>
      <c r="J1556" s="2">
        <v>344.82</v>
      </c>
    </row>
    <row r="1557" spans="2:10" hidden="1" x14ac:dyDescent="0.2">
      <c r="B1557" t="s">
        <v>740</v>
      </c>
      <c r="C1557" t="s">
        <v>117</v>
      </c>
      <c r="D1557" t="s">
        <v>741</v>
      </c>
      <c r="E1557" t="s">
        <v>63</v>
      </c>
      <c r="F1557" t="s">
        <v>64</v>
      </c>
      <c r="G1557" t="s">
        <v>1034</v>
      </c>
      <c r="H1557" t="s">
        <v>15</v>
      </c>
      <c r="I1557" s="1">
        <v>2</v>
      </c>
      <c r="J1557" s="2">
        <v>344.82</v>
      </c>
    </row>
    <row r="1558" spans="2:10" hidden="1" x14ac:dyDescent="0.2">
      <c r="B1558" t="s">
        <v>740</v>
      </c>
      <c r="C1558" t="s">
        <v>117</v>
      </c>
      <c r="D1558" t="s">
        <v>741</v>
      </c>
      <c r="E1558" t="s">
        <v>16</v>
      </c>
      <c r="F1558" t="s">
        <v>17</v>
      </c>
      <c r="G1558" t="s">
        <v>1034</v>
      </c>
      <c r="H1558" t="s">
        <v>15</v>
      </c>
      <c r="I1558" s="1">
        <v>1</v>
      </c>
      <c r="J1558" s="2">
        <v>577.59</v>
      </c>
    </row>
    <row r="1559" spans="2:10" hidden="1" x14ac:dyDescent="0.2">
      <c r="B1559" t="s">
        <v>740</v>
      </c>
      <c r="C1559" t="s">
        <v>117</v>
      </c>
      <c r="D1559" t="s">
        <v>741</v>
      </c>
      <c r="E1559" t="s">
        <v>372</v>
      </c>
      <c r="F1559" t="s">
        <v>373</v>
      </c>
      <c r="G1559" t="s">
        <v>1033</v>
      </c>
      <c r="H1559" t="s">
        <v>30</v>
      </c>
      <c r="I1559" s="1">
        <v>1</v>
      </c>
      <c r="J1559" s="2">
        <v>2465.52</v>
      </c>
    </row>
    <row r="1560" spans="2:10" hidden="1" x14ac:dyDescent="0.2">
      <c r="B1560" t="s">
        <v>740</v>
      </c>
      <c r="C1560" t="s">
        <v>129</v>
      </c>
      <c r="D1560" t="s">
        <v>741</v>
      </c>
      <c r="E1560" t="s">
        <v>467</v>
      </c>
      <c r="F1560" t="s">
        <v>468</v>
      </c>
      <c r="G1560" t="s">
        <v>1033</v>
      </c>
      <c r="H1560" t="s">
        <v>30</v>
      </c>
      <c r="I1560" s="1">
        <v>1</v>
      </c>
      <c r="J1560" s="2">
        <v>775.86</v>
      </c>
    </row>
    <row r="1561" spans="2:10" hidden="1" x14ac:dyDescent="0.2">
      <c r="B1561" t="s">
        <v>740</v>
      </c>
      <c r="C1561" t="s">
        <v>129</v>
      </c>
      <c r="D1561" t="s">
        <v>741</v>
      </c>
      <c r="E1561" t="s">
        <v>36</v>
      </c>
      <c r="F1561" t="s">
        <v>37</v>
      </c>
      <c r="G1561" t="s">
        <v>1034</v>
      </c>
      <c r="H1561" t="s">
        <v>15</v>
      </c>
      <c r="I1561" s="1">
        <v>3</v>
      </c>
      <c r="J1561" s="2">
        <v>905.16000000000008</v>
      </c>
    </row>
    <row r="1562" spans="2:10" hidden="1" x14ac:dyDescent="0.2">
      <c r="B1562" t="s">
        <v>740</v>
      </c>
      <c r="C1562" t="s">
        <v>129</v>
      </c>
      <c r="D1562" t="s">
        <v>741</v>
      </c>
      <c r="E1562" t="s">
        <v>273</v>
      </c>
      <c r="F1562" t="s">
        <v>274</v>
      </c>
      <c r="G1562" t="s">
        <v>1033</v>
      </c>
      <c r="H1562" t="s">
        <v>30</v>
      </c>
      <c r="I1562" s="1">
        <v>1</v>
      </c>
      <c r="J1562" s="2">
        <v>1293.0999999999999</v>
      </c>
    </row>
    <row r="1563" spans="2:10" hidden="1" x14ac:dyDescent="0.2">
      <c r="B1563" t="s">
        <v>740</v>
      </c>
      <c r="C1563" t="s">
        <v>129</v>
      </c>
      <c r="D1563" t="s">
        <v>741</v>
      </c>
      <c r="E1563" t="s">
        <v>61</v>
      </c>
      <c r="F1563" t="s">
        <v>62</v>
      </c>
      <c r="G1563" t="s">
        <v>1034</v>
      </c>
      <c r="H1563" t="s">
        <v>15</v>
      </c>
      <c r="I1563" s="1">
        <v>2</v>
      </c>
      <c r="J1563" s="2">
        <v>344.82</v>
      </c>
    </row>
    <row r="1564" spans="2:10" hidden="1" x14ac:dyDescent="0.2">
      <c r="B1564" t="s">
        <v>740</v>
      </c>
      <c r="C1564" t="s">
        <v>129</v>
      </c>
      <c r="D1564" t="s">
        <v>741</v>
      </c>
      <c r="E1564" t="s">
        <v>63</v>
      </c>
      <c r="F1564" t="s">
        <v>64</v>
      </c>
      <c r="G1564" t="s">
        <v>1034</v>
      </c>
      <c r="H1564" t="s">
        <v>15</v>
      </c>
      <c r="I1564" s="1">
        <v>3</v>
      </c>
      <c r="J1564" s="2">
        <v>517.23</v>
      </c>
    </row>
    <row r="1565" spans="2:10" hidden="1" x14ac:dyDescent="0.2">
      <c r="B1565" t="s">
        <v>740</v>
      </c>
      <c r="C1565" t="s">
        <v>129</v>
      </c>
      <c r="D1565" t="s">
        <v>741</v>
      </c>
      <c r="E1565" t="s">
        <v>16</v>
      </c>
      <c r="F1565" t="s">
        <v>17</v>
      </c>
      <c r="G1565" t="s">
        <v>1034</v>
      </c>
      <c r="H1565" t="s">
        <v>15</v>
      </c>
      <c r="I1565" s="1">
        <v>2</v>
      </c>
      <c r="J1565" s="2">
        <v>1155.18</v>
      </c>
    </row>
    <row r="1566" spans="2:10" hidden="1" x14ac:dyDescent="0.2">
      <c r="B1566" t="s">
        <v>740</v>
      </c>
      <c r="C1566" t="s">
        <v>129</v>
      </c>
      <c r="D1566" t="s">
        <v>741</v>
      </c>
      <c r="E1566" t="s">
        <v>416</v>
      </c>
      <c r="F1566" t="s">
        <v>417</v>
      </c>
      <c r="G1566" t="s">
        <v>1033</v>
      </c>
      <c r="H1566" t="s">
        <v>30</v>
      </c>
      <c r="I1566" s="1">
        <v>1</v>
      </c>
      <c r="J1566" s="2">
        <v>2258.62</v>
      </c>
    </row>
    <row r="1567" spans="2:10" hidden="1" x14ac:dyDescent="0.2">
      <c r="B1567" t="s">
        <v>740</v>
      </c>
      <c r="C1567" t="s">
        <v>129</v>
      </c>
      <c r="D1567" t="s">
        <v>741</v>
      </c>
      <c r="E1567" t="s">
        <v>28</v>
      </c>
      <c r="F1567" t="s">
        <v>29</v>
      </c>
      <c r="G1567" t="s">
        <v>1033</v>
      </c>
      <c r="H1567" t="s">
        <v>30</v>
      </c>
      <c r="I1567" s="1">
        <v>1</v>
      </c>
      <c r="J1567" s="2">
        <v>155.16999999999999</v>
      </c>
    </row>
    <row r="1568" spans="2:10" hidden="1" x14ac:dyDescent="0.2">
      <c r="B1568" t="s">
        <v>740</v>
      </c>
      <c r="C1568" t="s">
        <v>134</v>
      </c>
      <c r="D1568" t="s">
        <v>741</v>
      </c>
      <c r="E1568" t="s">
        <v>391</v>
      </c>
      <c r="F1568" t="s">
        <v>392</v>
      </c>
      <c r="G1568" t="s">
        <v>14</v>
      </c>
      <c r="H1568" t="s">
        <v>87</v>
      </c>
      <c r="I1568" s="1">
        <v>1</v>
      </c>
      <c r="J1568" s="2">
        <v>482.76</v>
      </c>
    </row>
    <row r="1569" spans="2:10" hidden="1" x14ac:dyDescent="0.2">
      <c r="B1569" t="s">
        <v>740</v>
      </c>
      <c r="C1569" t="s">
        <v>134</v>
      </c>
      <c r="D1569" t="s">
        <v>741</v>
      </c>
      <c r="E1569" t="s">
        <v>46</v>
      </c>
      <c r="F1569" t="s">
        <v>47</v>
      </c>
      <c r="G1569" t="s">
        <v>1034</v>
      </c>
      <c r="H1569" t="s">
        <v>15</v>
      </c>
      <c r="I1569" s="1">
        <v>2</v>
      </c>
      <c r="J1569" s="2">
        <v>603.44000000000005</v>
      </c>
    </row>
    <row r="1570" spans="2:10" hidden="1" x14ac:dyDescent="0.2">
      <c r="B1570" t="s">
        <v>740</v>
      </c>
      <c r="C1570" t="s">
        <v>134</v>
      </c>
      <c r="D1570" t="s">
        <v>741</v>
      </c>
      <c r="E1570" t="s">
        <v>97</v>
      </c>
      <c r="F1570" t="s">
        <v>98</v>
      </c>
      <c r="G1570" t="s">
        <v>1033</v>
      </c>
      <c r="H1570" t="s">
        <v>30</v>
      </c>
      <c r="I1570" s="1">
        <v>2</v>
      </c>
      <c r="J1570" s="2">
        <v>5000</v>
      </c>
    </row>
    <row r="1571" spans="2:10" hidden="1" x14ac:dyDescent="0.2">
      <c r="B1571" t="s">
        <v>740</v>
      </c>
      <c r="C1571" t="s">
        <v>134</v>
      </c>
      <c r="D1571" t="s">
        <v>741</v>
      </c>
      <c r="E1571" t="s">
        <v>559</v>
      </c>
      <c r="F1571" t="s">
        <v>560</v>
      </c>
      <c r="G1571" t="s">
        <v>1033</v>
      </c>
      <c r="H1571" t="s">
        <v>30</v>
      </c>
      <c r="I1571" s="1">
        <v>1</v>
      </c>
      <c r="J1571" s="2">
        <v>1706.9</v>
      </c>
    </row>
    <row r="1572" spans="2:10" hidden="1" x14ac:dyDescent="0.2">
      <c r="B1572" t="s">
        <v>740</v>
      </c>
      <c r="C1572" t="s">
        <v>134</v>
      </c>
      <c r="D1572" t="s">
        <v>741</v>
      </c>
      <c r="E1572" t="s">
        <v>36</v>
      </c>
      <c r="F1572" t="s">
        <v>37</v>
      </c>
      <c r="G1572" t="s">
        <v>1034</v>
      </c>
      <c r="H1572" t="s">
        <v>15</v>
      </c>
      <c r="I1572" s="1">
        <v>1</v>
      </c>
      <c r="J1572" s="2">
        <v>301.72000000000003</v>
      </c>
    </row>
    <row r="1573" spans="2:10" hidden="1" x14ac:dyDescent="0.2">
      <c r="B1573" t="s">
        <v>740</v>
      </c>
      <c r="C1573" t="s">
        <v>134</v>
      </c>
      <c r="D1573" t="s">
        <v>741</v>
      </c>
      <c r="E1573" t="s">
        <v>72</v>
      </c>
      <c r="F1573" t="s">
        <v>73</v>
      </c>
      <c r="G1573" t="s">
        <v>1034</v>
      </c>
      <c r="H1573" t="s">
        <v>15</v>
      </c>
      <c r="I1573" s="1">
        <v>1</v>
      </c>
      <c r="J1573" s="2">
        <v>775.86</v>
      </c>
    </row>
    <row r="1574" spans="2:10" hidden="1" x14ac:dyDescent="0.2">
      <c r="B1574" t="s">
        <v>740</v>
      </c>
      <c r="C1574" t="s">
        <v>135</v>
      </c>
      <c r="D1574" t="s">
        <v>741</v>
      </c>
      <c r="E1574" t="s">
        <v>44</v>
      </c>
      <c r="F1574" t="s">
        <v>45</v>
      </c>
      <c r="G1574" t="s">
        <v>1033</v>
      </c>
      <c r="H1574" t="s">
        <v>30</v>
      </c>
      <c r="I1574" s="1">
        <v>2</v>
      </c>
      <c r="J1574" s="2">
        <v>163.80000000000001</v>
      </c>
    </row>
    <row r="1575" spans="2:10" hidden="1" x14ac:dyDescent="0.2">
      <c r="B1575" t="s">
        <v>740</v>
      </c>
      <c r="C1575" t="s">
        <v>135</v>
      </c>
      <c r="D1575" t="s">
        <v>741</v>
      </c>
      <c r="E1575" t="s">
        <v>149</v>
      </c>
      <c r="F1575" t="s">
        <v>150</v>
      </c>
      <c r="G1575" t="s">
        <v>43</v>
      </c>
      <c r="H1575" t="s">
        <v>50</v>
      </c>
      <c r="I1575" s="1">
        <v>1</v>
      </c>
      <c r="J1575" s="2">
        <v>3017.24</v>
      </c>
    </row>
    <row r="1576" spans="2:10" hidden="1" x14ac:dyDescent="0.2">
      <c r="B1576" t="s">
        <v>740</v>
      </c>
      <c r="C1576" t="s">
        <v>135</v>
      </c>
      <c r="D1576" t="s">
        <v>741</v>
      </c>
      <c r="E1576" t="s">
        <v>746</v>
      </c>
      <c r="F1576" t="s">
        <v>747</v>
      </c>
      <c r="G1576" t="s">
        <v>1033</v>
      </c>
      <c r="H1576" t="s">
        <v>30</v>
      </c>
      <c r="I1576" s="1">
        <v>1</v>
      </c>
      <c r="J1576" s="2">
        <v>474.14</v>
      </c>
    </row>
    <row r="1577" spans="2:10" hidden="1" x14ac:dyDescent="0.2">
      <c r="B1577" t="s">
        <v>740</v>
      </c>
      <c r="C1577" t="s">
        <v>135</v>
      </c>
      <c r="D1577" t="s">
        <v>741</v>
      </c>
      <c r="E1577" t="s">
        <v>36</v>
      </c>
      <c r="F1577" t="s">
        <v>37</v>
      </c>
      <c r="G1577" t="s">
        <v>1034</v>
      </c>
      <c r="H1577" t="s">
        <v>15</v>
      </c>
      <c r="I1577" s="1">
        <v>2</v>
      </c>
      <c r="J1577" s="2">
        <v>603.44000000000005</v>
      </c>
    </row>
    <row r="1578" spans="2:10" hidden="1" x14ac:dyDescent="0.2">
      <c r="B1578" t="s">
        <v>740</v>
      </c>
      <c r="C1578" t="s">
        <v>135</v>
      </c>
      <c r="D1578" t="s">
        <v>741</v>
      </c>
      <c r="E1578" t="s">
        <v>656</v>
      </c>
      <c r="F1578" t="s">
        <v>657</v>
      </c>
      <c r="G1578" t="s">
        <v>43</v>
      </c>
      <c r="H1578" t="s">
        <v>50</v>
      </c>
      <c r="I1578" s="1">
        <v>1</v>
      </c>
      <c r="J1578" s="2">
        <v>181.03</v>
      </c>
    </row>
    <row r="1579" spans="2:10" hidden="1" x14ac:dyDescent="0.2">
      <c r="B1579" t="s">
        <v>740</v>
      </c>
      <c r="C1579" t="s">
        <v>141</v>
      </c>
      <c r="D1579" t="s">
        <v>741</v>
      </c>
      <c r="E1579" t="s">
        <v>748</v>
      </c>
      <c r="F1579" t="s">
        <v>749</v>
      </c>
      <c r="G1579" t="s">
        <v>699</v>
      </c>
      <c r="H1579" t="s">
        <v>750</v>
      </c>
      <c r="I1579" s="1">
        <v>1</v>
      </c>
      <c r="J1579" s="2">
        <v>60.34</v>
      </c>
    </row>
    <row r="1580" spans="2:10" hidden="1" x14ac:dyDescent="0.2">
      <c r="B1580" t="s">
        <v>740</v>
      </c>
      <c r="C1580" t="s">
        <v>141</v>
      </c>
      <c r="D1580" t="s">
        <v>741</v>
      </c>
      <c r="E1580" t="s">
        <v>751</v>
      </c>
      <c r="F1580" t="s">
        <v>752</v>
      </c>
      <c r="G1580" t="s">
        <v>699</v>
      </c>
      <c r="H1580" t="s">
        <v>750</v>
      </c>
      <c r="I1580" s="1">
        <v>1</v>
      </c>
      <c r="J1580" s="2">
        <v>68.97</v>
      </c>
    </row>
    <row r="1581" spans="2:10" hidden="1" x14ac:dyDescent="0.2">
      <c r="B1581" t="s">
        <v>740</v>
      </c>
      <c r="C1581" t="s">
        <v>141</v>
      </c>
      <c r="D1581" t="s">
        <v>741</v>
      </c>
      <c r="E1581" t="s">
        <v>559</v>
      </c>
      <c r="F1581" t="s">
        <v>560</v>
      </c>
      <c r="G1581" t="s">
        <v>1033</v>
      </c>
      <c r="H1581" t="s">
        <v>30</v>
      </c>
      <c r="I1581" s="1">
        <v>1</v>
      </c>
      <c r="J1581" s="2">
        <v>1706.9</v>
      </c>
    </row>
    <row r="1582" spans="2:10" hidden="1" x14ac:dyDescent="0.2">
      <c r="B1582" t="s">
        <v>740</v>
      </c>
      <c r="C1582" t="s">
        <v>141</v>
      </c>
      <c r="D1582" t="s">
        <v>741</v>
      </c>
      <c r="E1582" t="s">
        <v>22</v>
      </c>
      <c r="F1582" t="s">
        <v>23</v>
      </c>
      <c r="G1582" t="s">
        <v>14</v>
      </c>
      <c r="H1582" t="s">
        <v>24</v>
      </c>
      <c r="I1582" s="1">
        <v>1</v>
      </c>
      <c r="J1582" s="2">
        <v>215.52</v>
      </c>
    </row>
    <row r="1583" spans="2:10" hidden="1" x14ac:dyDescent="0.2">
      <c r="B1583" t="s">
        <v>740</v>
      </c>
      <c r="C1583" t="s">
        <v>141</v>
      </c>
      <c r="D1583" t="s">
        <v>741</v>
      </c>
      <c r="E1583" t="s">
        <v>56</v>
      </c>
      <c r="F1583" t="s">
        <v>57</v>
      </c>
      <c r="G1583" t="s">
        <v>1034</v>
      </c>
      <c r="H1583" t="s">
        <v>15</v>
      </c>
      <c r="I1583" s="1">
        <v>1</v>
      </c>
      <c r="J1583" s="2">
        <v>431.03</v>
      </c>
    </row>
    <row r="1584" spans="2:10" hidden="1" x14ac:dyDescent="0.2">
      <c r="B1584" t="s">
        <v>740</v>
      </c>
      <c r="C1584" t="s">
        <v>144</v>
      </c>
      <c r="D1584" t="s">
        <v>741</v>
      </c>
      <c r="E1584" t="s">
        <v>19</v>
      </c>
      <c r="F1584" t="s">
        <v>20</v>
      </c>
      <c r="G1584" t="s">
        <v>14</v>
      </c>
      <c r="H1584" t="s">
        <v>21</v>
      </c>
      <c r="I1584" s="1">
        <v>1</v>
      </c>
      <c r="J1584" s="2">
        <v>431.04</v>
      </c>
    </row>
    <row r="1585" spans="2:10" hidden="1" x14ac:dyDescent="0.2">
      <c r="B1585" t="s">
        <v>740</v>
      </c>
      <c r="C1585" t="s">
        <v>144</v>
      </c>
      <c r="D1585" t="s">
        <v>741</v>
      </c>
      <c r="E1585" t="s">
        <v>56</v>
      </c>
      <c r="F1585" t="s">
        <v>57</v>
      </c>
      <c r="G1585" t="s">
        <v>1034</v>
      </c>
      <c r="H1585" t="s">
        <v>15</v>
      </c>
      <c r="I1585" s="1">
        <v>1</v>
      </c>
      <c r="J1585" s="2">
        <v>431.03</v>
      </c>
    </row>
    <row r="1586" spans="2:10" hidden="1" x14ac:dyDescent="0.2">
      <c r="B1586" t="s">
        <v>740</v>
      </c>
      <c r="C1586" t="s">
        <v>144</v>
      </c>
      <c r="D1586" t="s">
        <v>741</v>
      </c>
      <c r="E1586" t="s">
        <v>16</v>
      </c>
      <c r="F1586" t="s">
        <v>17</v>
      </c>
      <c r="G1586" t="s">
        <v>1034</v>
      </c>
      <c r="H1586" t="s">
        <v>15</v>
      </c>
      <c r="I1586" s="1">
        <v>7</v>
      </c>
      <c r="J1586" s="2">
        <v>4043.13</v>
      </c>
    </row>
    <row r="1587" spans="2:10" hidden="1" x14ac:dyDescent="0.2">
      <c r="B1587" t="s">
        <v>740</v>
      </c>
      <c r="C1587" t="s">
        <v>165</v>
      </c>
      <c r="D1587" t="s">
        <v>741</v>
      </c>
      <c r="E1587" t="s">
        <v>167</v>
      </c>
      <c r="F1587" t="s">
        <v>168</v>
      </c>
      <c r="G1587" t="s">
        <v>1033</v>
      </c>
      <c r="H1587" t="s">
        <v>30</v>
      </c>
      <c r="I1587" s="1">
        <v>1</v>
      </c>
      <c r="J1587" s="2">
        <v>1267.24</v>
      </c>
    </row>
    <row r="1588" spans="2:10" hidden="1" x14ac:dyDescent="0.2">
      <c r="B1588" t="s">
        <v>740</v>
      </c>
      <c r="C1588" t="s">
        <v>165</v>
      </c>
      <c r="D1588" t="s">
        <v>741</v>
      </c>
      <c r="E1588" t="s">
        <v>19</v>
      </c>
      <c r="F1588" t="s">
        <v>20</v>
      </c>
      <c r="G1588" t="s">
        <v>14</v>
      </c>
      <c r="H1588" t="s">
        <v>21</v>
      </c>
      <c r="I1588" s="1">
        <v>2</v>
      </c>
      <c r="J1588" s="2">
        <v>862.08</v>
      </c>
    </row>
    <row r="1589" spans="2:10" hidden="1" x14ac:dyDescent="0.2">
      <c r="B1589" t="s">
        <v>740</v>
      </c>
      <c r="C1589" t="s">
        <v>165</v>
      </c>
      <c r="D1589" t="s">
        <v>741</v>
      </c>
      <c r="E1589" t="s">
        <v>267</v>
      </c>
      <c r="F1589" t="s">
        <v>268</v>
      </c>
      <c r="G1589" t="s">
        <v>1034</v>
      </c>
      <c r="H1589" t="s">
        <v>15</v>
      </c>
      <c r="I1589" s="1">
        <v>1</v>
      </c>
      <c r="J1589" s="2">
        <v>258.62</v>
      </c>
    </row>
    <row r="1590" spans="2:10" hidden="1" x14ac:dyDescent="0.2">
      <c r="B1590" t="s">
        <v>740</v>
      </c>
      <c r="C1590" t="s">
        <v>165</v>
      </c>
      <c r="D1590" t="s">
        <v>741</v>
      </c>
      <c r="E1590" t="s">
        <v>36</v>
      </c>
      <c r="F1590" t="s">
        <v>37</v>
      </c>
      <c r="G1590" t="s">
        <v>1034</v>
      </c>
      <c r="H1590" t="s">
        <v>15</v>
      </c>
      <c r="I1590" s="1">
        <v>3</v>
      </c>
      <c r="J1590" s="2">
        <v>905.16000000000008</v>
      </c>
    </row>
    <row r="1591" spans="2:10" hidden="1" x14ac:dyDescent="0.2">
      <c r="B1591" t="s">
        <v>740</v>
      </c>
      <c r="C1591" t="s">
        <v>165</v>
      </c>
      <c r="D1591" t="s">
        <v>741</v>
      </c>
      <c r="E1591" t="s">
        <v>72</v>
      </c>
      <c r="F1591" t="s">
        <v>73</v>
      </c>
      <c r="G1591" t="s">
        <v>1034</v>
      </c>
      <c r="H1591" t="s">
        <v>15</v>
      </c>
      <c r="I1591" s="1">
        <v>1</v>
      </c>
      <c r="J1591" s="2">
        <v>775.86</v>
      </c>
    </row>
    <row r="1592" spans="2:10" hidden="1" x14ac:dyDescent="0.2">
      <c r="B1592" t="s">
        <v>740</v>
      </c>
      <c r="C1592" t="s">
        <v>165</v>
      </c>
      <c r="D1592" t="s">
        <v>741</v>
      </c>
      <c r="E1592" t="s">
        <v>22</v>
      </c>
      <c r="F1592" t="s">
        <v>23</v>
      </c>
      <c r="G1592" t="s">
        <v>14</v>
      </c>
      <c r="H1592" t="s">
        <v>24</v>
      </c>
      <c r="I1592" s="1">
        <v>2</v>
      </c>
      <c r="J1592" s="2">
        <v>431.03</v>
      </c>
    </row>
    <row r="1593" spans="2:10" hidden="1" x14ac:dyDescent="0.2">
      <c r="B1593" t="s">
        <v>740</v>
      </c>
      <c r="C1593" t="s">
        <v>165</v>
      </c>
      <c r="D1593" t="s">
        <v>741</v>
      </c>
      <c r="E1593" t="s">
        <v>255</v>
      </c>
      <c r="F1593" t="s">
        <v>256</v>
      </c>
      <c r="G1593" t="s">
        <v>1033</v>
      </c>
      <c r="H1593" t="s">
        <v>30</v>
      </c>
      <c r="I1593" s="1">
        <v>1</v>
      </c>
      <c r="J1593" s="2">
        <v>517.24</v>
      </c>
    </row>
    <row r="1594" spans="2:10" hidden="1" x14ac:dyDescent="0.2">
      <c r="B1594" t="s">
        <v>740</v>
      </c>
      <c r="C1594" t="s">
        <v>165</v>
      </c>
      <c r="D1594" t="s">
        <v>741</v>
      </c>
      <c r="E1594" t="s">
        <v>61</v>
      </c>
      <c r="F1594" t="s">
        <v>62</v>
      </c>
      <c r="G1594" t="s">
        <v>1034</v>
      </c>
      <c r="H1594" t="s">
        <v>15</v>
      </c>
      <c r="I1594" s="1">
        <v>2</v>
      </c>
      <c r="J1594" s="2">
        <v>344.82</v>
      </c>
    </row>
    <row r="1595" spans="2:10" hidden="1" x14ac:dyDescent="0.2">
      <c r="B1595" t="s">
        <v>740</v>
      </c>
      <c r="C1595" t="s">
        <v>165</v>
      </c>
      <c r="D1595" t="s">
        <v>741</v>
      </c>
      <c r="E1595" t="s">
        <v>63</v>
      </c>
      <c r="F1595" t="s">
        <v>64</v>
      </c>
      <c r="G1595" t="s">
        <v>1034</v>
      </c>
      <c r="H1595" t="s">
        <v>15</v>
      </c>
      <c r="I1595" s="1">
        <v>1</v>
      </c>
      <c r="J1595" s="2">
        <v>172.41</v>
      </c>
    </row>
    <row r="1596" spans="2:10" hidden="1" x14ac:dyDescent="0.2">
      <c r="B1596" t="s">
        <v>740</v>
      </c>
      <c r="C1596" t="s">
        <v>165</v>
      </c>
      <c r="D1596" t="s">
        <v>741</v>
      </c>
      <c r="E1596" t="s">
        <v>16</v>
      </c>
      <c r="F1596" t="s">
        <v>17</v>
      </c>
      <c r="G1596" t="s">
        <v>1034</v>
      </c>
      <c r="H1596" t="s">
        <v>15</v>
      </c>
      <c r="I1596" s="1">
        <v>2</v>
      </c>
      <c r="J1596" s="2">
        <v>1155.18</v>
      </c>
    </row>
    <row r="1597" spans="2:10" hidden="1" x14ac:dyDescent="0.2">
      <c r="B1597" t="s">
        <v>740</v>
      </c>
      <c r="C1597" t="s">
        <v>165</v>
      </c>
      <c r="D1597" t="s">
        <v>741</v>
      </c>
      <c r="E1597" t="s">
        <v>753</v>
      </c>
      <c r="F1597" t="s">
        <v>754</v>
      </c>
      <c r="G1597" t="s">
        <v>43</v>
      </c>
      <c r="H1597" t="s">
        <v>755</v>
      </c>
      <c r="I1597" s="1">
        <v>1</v>
      </c>
      <c r="J1597" s="2">
        <v>3879.31</v>
      </c>
    </row>
    <row r="1598" spans="2:10" hidden="1" x14ac:dyDescent="0.2">
      <c r="B1598" t="s">
        <v>740</v>
      </c>
      <c r="C1598" t="s">
        <v>166</v>
      </c>
      <c r="D1598" t="s">
        <v>741</v>
      </c>
      <c r="E1598" t="s">
        <v>66</v>
      </c>
      <c r="F1598" t="s">
        <v>67</v>
      </c>
      <c r="G1598" t="s">
        <v>1033</v>
      </c>
      <c r="H1598" t="s">
        <v>30</v>
      </c>
      <c r="I1598" s="1">
        <v>1</v>
      </c>
      <c r="J1598" s="2">
        <v>1681.03</v>
      </c>
    </row>
    <row r="1599" spans="2:10" hidden="1" x14ac:dyDescent="0.2">
      <c r="B1599" t="s">
        <v>740</v>
      </c>
      <c r="C1599" t="s">
        <v>166</v>
      </c>
      <c r="D1599" t="s">
        <v>741</v>
      </c>
      <c r="E1599" t="s">
        <v>19</v>
      </c>
      <c r="F1599" t="s">
        <v>20</v>
      </c>
      <c r="G1599" t="s">
        <v>14</v>
      </c>
      <c r="H1599" t="s">
        <v>21</v>
      </c>
      <c r="I1599" s="1">
        <v>1</v>
      </c>
      <c r="J1599" s="2">
        <v>431.04</v>
      </c>
    </row>
    <row r="1600" spans="2:10" hidden="1" x14ac:dyDescent="0.2">
      <c r="B1600" t="s">
        <v>740</v>
      </c>
      <c r="C1600" t="s">
        <v>166</v>
      </c>
      <c r="D1600" t="s">
        <v>741</v>
      </c>
      <c r="E1600" t="s">
        <v>36</v>
      </c>
      <c r="F1600" t="s">
        <v>37</v>
      </c>
      <c r="G1600" t="s">
        <v>1034</v>
      </c>
      <c r="H1600" t="s">
        <v>15</v>
      </c>
      <c r="I1600" s="1">
        <v>1</v>
      </c>
      <c r="J1600" s="2">
        <v>301.72000000000003</v>
      </c>
    </row>
    <row r="1601" spans="2:10" hidden="1" x14ac:dyDescent="0.2">
      <c r="B1601" t="s">
        <v>740</v>
      </c>
      <c r="C1601" t="s">
        <v>166</v>
      </c>
      <c r="D1601" t="s">
        <v>741</v>
      </c>
      <c r="E1601" t="s">
        <v>72</v>
      </c>
      <c r="F1601" t="s">
        <v>73</v>
      </c>
      <c r="G1601" t="s">
        <v>1034</v>
      </c>
      <c r="H1601" t="s">
        <v>15</v>
      </c>
      <c r="I1601" s="1">
        <v>1</v>
      </c>
      <c r="J1601" s="2">
        <v>775.86</v>
      </c>
    </row>
    <row r="1602" spans="2:10" hidden="1" x14ac:dyDescent="0.2">
      <c r="B1602" t="s">
        <v>740</v>
      </c>
      <c r="C1602" t="s">
        <v>166</v>
      </c>
      <c r="D1602" t="s">
        <v>741</v>
      </c>
      <c r="E1602" t="s">
        <v>304</v>
      </c>
      <c r="F1602" t="s">
        <v>305</v>
      </c>
      <c r="G1602" t="s">
        <v>76</v>
      </c>
      <c r="H1602" t="s">
        <v>60</v>
      </c>
      <c r="I1602" s="1">
        <v>1</v>
      </c>
      <c r="J1602" s="2">
        <v>344.83</v>
      </c>
    </row>
    <row r="1603" spans="2:10" hidden="1" x14ac:dyDescent="0.2">
      <c r="B1603" t="s">
        <v>740</v>
      </c>
      <c r="C1603" t="s">
        <v>166</v>
      </c>
      <c r="D1603" t="s">
        <v>741</v>
      </c>
      <c r="E1603" t="s">
        <v>22</v>
      </c>
      <c r="F1603" t="s">
        <v>23</v>
      </c>
      <c r="G1603" t="s">
        <v>14</v>
      </c>
      <c r="H1603" t="s">
        <v>24</v>
      </c>
      <c r="I1603" s="1">
        <v>2</v>
      </c>
      <c r="J1603" s="2">
        <v>431.03</v>
      </c>
    </row>
    <row r="1604" spans="2:10" hidden="1" x14ac:dyDescent="0.2">
      <c r="B1604" t="s">
        <v>740</v>
      </c>
      <c r="C1604" t="s">
        <v>166</v>
      </c>
      <c r="D1604" t="s">
        <v>741</v>
      </c>
      <c r="E1604" t="s">
        <v>273</v>
      </c>
      <c r="F1604" t="s">
        <v>274</v>
      </c>
      <c r="G1604" t="s">
        <v>1033</v>
      </c>
      <c r="H1604" t="s">
        <v>30</v>
      </c>
      <c r="I1604" s="1">
        <v>1</v>
      </c>
      <c r="J1604" s="2">
        <v>1293.0999999999999</v>
      </c>
    </row>
    <row r="1605" spans="2:10" hidden="1" x14ac:dyDescent="0.2">
      <c r="B1605" t="s">
        <v>740</v>
      </c>
      <c r="C1605" t="s">
        <v>166</v>
      </c>
      <c r="D1605" t="s">
        <v>741</v>
      </c>
      <c r="E1605" t="s">
        <v>16</v>
      </c>
      <c r="F1605" t="s">
        <v>17</v>
      </c>
      <c r="G1605" t="s">
        <v>1034</v>
      </c>
      <c r="H1605" t="s">
        <v>15</v>
      </c>
      <c r="I1605" s="1">
        <v>1</v>
      </c>
      <c r="J1605" s="2">
        <v>577.59</v>
      </c>
    </row>
    <row r="1606" spans="2:10" hidden="1" x14ac:dyDescent="0.2">
      <c r="B1606" t="s">
        <v>740</v>
      </c>
      <c r="C1606" t="s">
        <v>166</v>
      </c>
      <c r="D1606" t="s">
        <v>741</v>
      </c>
      <c r="E1606" t="s">
        <v>585</v>
      </c>
      <c r="F1606" t="s">
        <v>586</v>
      </c>
      <c r="G1606" t="s">
        <v>1034</v>
      </c>
      <c r="H1606" t="s">
        <v>15</v>
      </c>
      <c r="I1606" s="1">
        <v>1</v>
      </c>
      <c r="J1606" s="2">
        <v>310.33999999999997</v>
      </c>
    </row>
    <row r="1607" spans="2:10" hidden="1" x14ac:dyDescent="0.2">
      <c r="B1607" t="s">
        <v>740</v>
      </c>
      <c r="C1607" t="s">
        <v>185</v>
      </c>
      <c r="D1607" t="s">
        <v>32</v>
      </c>
      <c r="E1607" t="s">
        <v>214</v>
      </c>
      <c r="F1607" t="s">
        <v>215</v>
      </c>
      <c r="G1607" t="s">
        <v>1034</v>
      </c>
      <c r="H1607" t="s">
        <v>15</v>
      </c>
      <c r="I1607" s="1">
        <v>2</v>
      </c>
      <c r="J1607" s="2">
        <v>603.44000000000005</v>
      </c>
    </row>
    <row r="1608" spans="2:10" hidden="1" x14ac:dyDescent="0.2">
      <c r="B1608" t="s">
        <v>740</v>
      </c>
      <c r="C1608" t="s">
        <v>185</v>
      </c>
      <c r="D1608" t="s">
        <v>32</v>
      </c>
      <c r="E1608" t="s">
        <v>16</v>
      </c>
      <c r="F1608" t="s">
        <v>17</v>
      </c>
      <c r="G1608" t="s">
        <v>1034</v>
      </c>
      <c r="H1608" t="s">
        <v>15</v>
      </c>
      <c r="I1608" s="1">
        <v>2</v>
      </c>
      <c r="J1608" s="2">
        <v>1155.18</v>
      </c>
    </row>
    <row r="1609" spans="2:10" hidden="1" x14ac:dyDescent="0.2">
      <c r="B1609" t="s">
        <v>740</v>
      </c>
      <c r="C1609" t="s">
        <v>335</v>
      </c>
      <c r="D1609" t="s">
        <v>741</v>
      </c>
      <c r="E1609" t="s">
        <v>756</v>
      </c>
      <c r="F1609" t="s">
        <v>757</v>
      </c>
      <c r="G1609" t="s">
        <v>1033</v>
      </c>
      <c r="H1609" t="s">
        <v>30</v>
      </c>
      <c r="I1609" s="1">
        <v>1</v>
      </c>
      <c r="J1609" s="2">
        <v>1956.9</v>
      </c>
    </row>
    <row r="1610" spans="2:10" hidden="1" x14ac:dyDescent="0.2">
      <c r="B1610" t="s">
        <v>740</v>
      </c>
      <c r="C1610" t="s">
        <v>335</v>
      </c>
      <c r="D1610" t="s">
        <v>741</v>
      </c>
      <c r="E1610" t="s">
        <v>36</v>
      </c>
      <c r="F1610" t="s">
        <v>37</v>
      </c>
      <c r="G1610" t="s">
        <v>1034</v>
      </c>
      <c r="H1610" t="s">
        <v>15</v>
      </c>
      <c r="I1610" s="1">
        <v>1</v>
      </c>
      <c r="J1610" s="2">
        <v>301.72000000000003</v>
      </c>
    </row>
    <row r="1611" spans="2:10" hidden="1" x14ac:dyDescent="0.2">
      <c r="B1611" t="s">
        <v>740</v>
      </c>
      <c r="C1611" t="s">
        <v>418</v>
      </c>
      <c r="D1611" t="s">
        <v>741</v>
      </c>
      <c r="E1611" t="s">
        <v>193</v>
      </c>
      <c r="F1611" t="s">
        <v>194</v>
      </c>
      <c r="G1611" t="s">
        <v>1034</v>
      </c>
      <c r="H1611" t="s">
        <v>15</v>
      </c>
      <c r="I1611" s="1">
        <v>1</v>
      </c>
      <c r="J1611" s="2">
        <v>1293.0999999999999</v>
      </c>
    </row>
    <row r="1612" spans="2:10" hidden="1" x14ac:dyDescent="0.2">
      <c r="B1612" t="s">
        <v>740</v>
      </c>
      <c r="C1612" t="s">
        <v>186</v>
      </c>
      <c r="D1612" t="s">
        <v>741</v>
      </c>
      <c r="E1612" t="s">
        <v>671</v>
      </c>
      <c r="F1612" t="s">
        <v>672</v>
      </c>
      <c r="G1612" t="s">
        <v>14</v>
      </c>
      <c r="H1612" t="s">
        <v>35</v>
      </c>
      <c r="I1612" s="1">
        <v>2</v>
      </c>
      <c r="J1612" s="2">
        <v>155.16999999999999</v>
      </c>
    </row>
    <row r="1613" spans="2:10" hidden="1" x14ac:dyDescent="0.2">
      <c r="B1613" t="s">
        <v>740</v>
      </c>
      <c r="C1613" t="s">
        <v>186</v>
      </c>
      <c r="D1613" t="s">
        <v>741</v>
      </c>
      <c r="E1613" t="s">
        <v>214</v>
      </c>
      <c r="F1613" t="s">
        <v>215</v>
      </c>
      <c r="G1613" t="s">
        <v>1034</v>
      </c>
      <c r="H1613" t="s">
        <v>15</v>
      </c>
      <c r="I1613" s="1">
        <v>2</v>
      </c>
      <c r="J1613" s="2">
        <v>603.44000000000005</v>
      </c>
    </row>
    <row r="1614" spans="2:10" hidden="1" x14ac:dyDescent="0.2">
      <c r="B1614" t="s">
        <v>740</v>
      </c>
      <c r="C1614" t="s">
        <v>186</v>
      </c>
      <c r="D1614" t="s">
        <v>741</v>
      </c>
      <c r="E1614" t="s">
        <v>16</v>
      </c>
      <c r="F1614" t="s">
        <v>17</v>
      </c>
      <c r="G1614" t="s">
        <v>1034</v>
      </c>
      <c r="H1614" t="s">
        <v>15</v>
      </c>
      <c r="I1614" s="1">
        <v>1</v>
      </c>
      <c r="J1614" s="2">
        <v>577.59</v>
      </c>
    </row>
    <row r="1615" spans="2:10" hidden="1" x14ac:dyDescent="0.2">
      <c r="B1615" t="s">
        <v>740</v>
      </c>
      <c r="C1615" t="s">
        <v>186</v>
      </c>
      <c r="D1615" t="s">
        <v>741</v>
      </c>
      <c r="E1615" t="s">
        <v>758</v>
      </c>
      <c r="F1615" t="s">
        <v>759</v>
      </c>
      <c r="G1615" t="s">
        <v>1033</v>
      </c>
      <c r="H1615" t="s">
        <v>30</v>
      </c>
      <c r="I1615" s="1">
        <v>1</v>
      </c>
      <c r="J1615" s="2">
        <v>1681.03</v>
      </c>
    </row>
    <row r="1616" spans="2:10" hidden="1" x14ac:dyDescent="0.2">
      <c r="B1616" t="s">
        <v>740</v>
      </c>
      <c r="C1616" t="s">
        <v>197</v>
      </c>
      <c r="D1616" t="s">
        <v>130</v>
      </c>
      <c r="E1616" t="s">
        <v>486</v>
      </c>
      <c r="F1616" t="s">
        <v>487</v>
      </c>
      <c r="G1616" t="s">
        <v>1033</v>
      </c>
      <c r="H1616" t="s">
        <v>30</v>
      </c>
      <c r="I1616" s="1">
        <v>1</v>
      </c>
      <c r="J1616" s="2">
        <v>258.62</v>
      </c>
    </row>
    <row r="1617" spans="2:10" hidden="1" x14ac:dyDescent="0.2">
      <c r="B1617" t="s">
        <v>740</v>
      </c>
      <c r="C1617" t="s">
        <v>197</v>
      </c>
      <c r="D1617" t="s">
        <v>130</v>
      </c>
      <c r="E1617" t="s">
        <v>358</v>
      </c>
      <c r="F1617" t="s">
        <v>359</v>
      </c>
      <c r="G1617" t="s">
        <v>1033</v>
      </c>
      <c r="H1617" t="s">
        <v>30</v>
      </c>
      <c r="I1617" s="1">
        <v>1</v>
      </c>
      <c r="J1617" s="2">
        <v>1500</v>
      </c>
    </row>
    <row r="1618" spans="2:10" hidden="1" x14ac:dyDescent="0.2">
      <c r="B1618" t="s">
        <v>740</v>
      </c>
      <c r="C1618" t="s">
        <v>197</v>
      </c>
      <c r="D1618" t="s">
        <v>130</v>
      </c>
      <c r="E1618" t="s">
        <v>36</v>
      </c>
      <c r="F1618" t="s">
        <v>37</v>
      </c>
      <c r="G1618" t="s">
        <v>1034</v>
      </c>
      <c r="H1618" t="s">
        <v>15</v>
      </c>
      <c r="I1618" s="1">
        <v>1</v>
      </c>
      <c r="J1618" s="2">
        <v>301.72000000000003</v>
      </c>
    </row>
    <row r="1619" spans="2:10" hidden="1" x14ac:dyDescent="0.2">
      <c r="B1619" t="s">
        <v>740</v>
      </c>
      <c r="C1619" t="s">
        <v>197</v>
      </c>
      <c r="D1619" t="s">
        <v>130</v>
      </c>
      <c r="E1619" t="s">
        <v>760</v>
      </c>
      <c r="F1619" t="s">
        <v>761</v>
      </c>
      <c r="G1619" t="s">
        <v>1033</v>
      </c>
      <c r="H1619" t="s">
        <v>30</v>
      </c>
      <c r="I1619" s="1">
        <v>1</v>
      </c>
      <c r="J1619" s="2">
        <v>1896.55</v>
      </c>
    </row>
    <row r="1620" spans="2:10" hidden="1" x14ac:dyDescent="0.2">
      <c r="B1620" t="s">
        <v>740</v>
      </c>
      <c r="C1620" t="s">
        <v>197</v>
      </c>
      <c r="D1620" t="s">
        <v>130</v>
      </c>
      <c r="E1620" t="s">
        <v>191</v>
      </c>
      <c r="F1620" t="s">
        <v>192</v>
      </c>
      <c r="G1620" t="s">
        <v>43</v>
      </c>
      <c r="H1620" t="s">
        <v>50</v>
      </c>
      <c r="I1620" s="1">
        <v>1</v>
      </c>
      <c r="J1620" s="2">
        <v>3534.48</v>
      </c>
    </row>
    <row r="1621" spans="2:10" hidden="1" x14ac:dyDescent="0.2">
      <c r="B1621" t="s">
        <v>740</v>
      </c>
      <c r="C1621" t="s">
        <v>197</v>
      </c>
      <c r="D1621" t="s">
        <v>130</v>
      </c>
      <c r="E1621" t="s">
        <v>163</v>
      </c>
      <c r="F1621" t="s">
        <v>164</v>
      </c>
      <c r="G1621" t="s">
        <v>1034</v>
      </c>
      <c r="H1621" t="s">
        <v>15</v>
      </c>
      <c r="I1621" s="1">
        <v>1</v>
      </c>
      <c r="J1621" s="2">
        <v>431.03</v>
      </c>
    </row>
    <row r="1622" spans="2:10" hidden="1" x14ac:dyDescent="0.2">
      <c r="B1622" t="s">
        <v>740</v>
      </c>
      <c r="C1622" t="s">
        <v>197</v>
      </c>
      <c r="D1622" t="s">
        <v>130</v>
      </c>
      <c r="E1622" t="s">
        <v>16</v>
      </c>
      <c r="F1622" t="s">
        <v>17</v>
      </c>
      <c r="G1622" t="s">
        <v>1034</v>
      </c>
      <c r="H1622" t="s">
        <v>15</v>
      </c>
      <c r="I1622" s="1">
        <v>1</v>
      </c>
      <c r="J1622" s="2">
        <v>577.59</v>
      </c>
    </row>
    <row r="1623" spans="2:10" hidden="1" x14ac:dyDescent="0.2">
      <c r="B1623" t="s">
        <v>740</v>
      </c>
      <c r="C1623" t="s">
        <v>206</v>
      </c>
      <c r="D1623" t="s">
        <v>741</v>
      </c>
      <c r="E1623" t="s">
        <v>41</v>
      </c>
      <c r="F1623" t="s">
        <v>42</v>
      </c>
      <c r="G1623" t="s">
        <v>1033</v>
      </c>
      <c r="H1623" t="s">
        <v>30</v>
      </c>
      <c r="I1623" s="1">
        <v>6</v>
      </c>
      <c r="J1623" s="2">
        <v>206.9</v>
      </c>
    </row>
    <row r="1624" spans="2:10" hidden="1" x14ac:dyDescent="0.2">
      <c r="B1624" t="s">
        <v>740</v>
      </c>
      <c r="C1624" t="s">
        <v>206</v>
      </c>
      <c r="D1624" t="s">
        <v>741</v>
      </c>
      <c r="E1624" t="s">
        <v>167</v>
      </c>
      <c r="F1624" t="s">
        <v>168</v>
      </c>
      <c r="G1624" t="s">
        <v>1033</v>
      </c>
      <c r="H1624" t="s">
        <v>30</v>
      </c>
      <c r="I1624" s="1">
        <v>1</v>
      </c>
      <c r="J1624" s="2">
        <v>1267.24</v>
      </c>
    </row>
    <row r="1625" spans="2:10" hidden="1" x14ac:dyDescent="0.2">
      <c r="B1625" t="s">
        <v>740</v>
      </c>
      <c r="C1625" t="s">
        <v>206</v>
      </c>
      <c r="D1625" t="s">
        <v>741</v>
      </c>
      <c r="E1625" t="s">
        <v>19</v>
      </c>
      <c r="F1625" t="s">
        <v>20</v>
      </c>
      <c r="G1625" t="s">
        <v>14</v>
      </c>
      <c r="H1625" t="s">
        <v>21</v>
      </c>
      <c r="I1625" s="1">
        <v>1</v>
      </c>
      <c r="J1625" s="2">
        <v>431.04</v>
      </c>
    </row>
    <row r="1626" spans="2:10" hidden="1" x14ac:dyDescent="0.2">
      <c r="B1626" t="s">
        <v>740</v>
      </c>
      <c r="C1626" t="s">
        <v>206</v>
      </c>
      <c r="D1626" t="s">
        <v>741</v>
      </c>
      <c r="E1626" t="s">
        <v>566</v>
      </c>
      <c r="F1626" t="s">
        <v>567</v>
      </c>
      <c r="G1626" t="s">
        <v>14</v>
      </c>
      <c r="H1626" t="s">
        <v>35</v>
      </c>
      <c r="I1626" s="1">
        <v>2</v>
      </c>
      <c r="J1626" s="2">
        <v>155.16999999999999</v>
      </c>
    </row>
    <row r="1627" spans="2:10" hidden="1" x14ac:dyDescent="0.2">
      <c r="B1627" t="s">
        <v>740</v>
      </c>
      <c r="C1627" t="s">
        <v>206</v>
      </c>
      <c r="D1627" t="s">
        <v>741</v>
      </c>
      <c r="E1627" t="s">
        <v>201</v>
      </c>
      <c r="F1627" t="s">
        <v>202</v>
      </c>
      <c r="G1627" t="s">
        <v>1033</v>
      </c>
      <c r="H1627" t="s">
        <v>30</v>
      </c>
      <c r="I1627" s="1">
        <v>1</v>
      </c>
      <c r="J1627" s="2">
        <v>948.28</v>
      </c>
    </row>
    <row r="1628" spans="2:10" hidden="1" x14ac:dyDescent="0.2">
      <c r="B1628" t="s">
        <v>740</v>
      </c>
      <c r="C1628" t="s">
        <v>206</v>
      </c>
      <c r="D1628" t="s">
        <v>741</v>
      </c>
      <c r="E1628" t="s">
        <v>214</v>
      </c>
      <c r="F1628" t="s">
        <v>215</v>
      </c>
      <c r="G1628" t="s">
        <v>1034</v>
      </c>
      <c r="H1628" t="s">
        <v>15</v>
      </c>
      <c r="I1628" s="1">
        <v>1</v>
      </c>
      <c r="J1628" s="2">
        <v>301.72000000000003</v>
      </c>
    </row>
    <row r="1629" spans="2:10" hidden="1" x14ac:dyDescent="0.2">
      <c r="B1629" t="s">
        <v>740</v>
      </c>
      <c r="C1629" t="s">
        <v>206</v>
      </c>
      <c r="D1629" t="s">
        <v>741</v>
      </c>
      <c r="E1629" t="s">
        <v>36</v>
      </c>
      <c r="F1629" t="s">
        <v>37</v>
      </c>
      <c r="G1629" t="s">
        <v>1034</v>
      </c>
      <c r="H1629" t="s">
        <v>15</v>
      </c>
      <c r="I1629" s="1">
        <v>1</v>
      </c>
      <c r="J1629" s="2">
        <v>301.72000000000003</v>
      </c>
    </row>
    <row r="1630" spans="2:10" hidden="1" x14ac:dyDescent="0.2">
      <c r="B1630" t="s">
        <v>740</v>
      </c>
      <c r="C1630" t="s">
        <v>206</v>
      </c>
      <c r="D1630" t="s">
        <v>741</v>
      </c>
      <c r="E1630" t="s">
        <v>342</v>
      </c>
      <c r="F1630" t="s">
        <v>343</v>
      </c>
      <c r="G1630" t="s">
        <v>1033</v>
      </c>
      <c r="H1630" t="s">
        <v>30</v>
      </c>
      <c r="I1630" s="1">
        <v>1</v>
      </c>
      <c r="J1630" s="2">
        <v>1681.03</v>
      </c>
    </row>
    <row r="1631" spans="2:10" hidden="1" x14ac:dyDescent="0.2">
      <c r="B1631" t="s">
        <v>740</v>
      </c>
      <c r="C1631" t="s">
        <v>206</v>
      </c>
      <c r="D1631" t="s">
        <v>741</v>
      </c>
      <c r="E1631" t="s">
        <v>61</v>
      </c>
      <c r="F1631" t="s">
        <v>62</v>
      </c>
      <c r="G1631" t="s">
        <v>1034</v>
      </c>
      <c r="H1631" t="s">
        <v>15</v>
      </c>
      <c r="I1631" s="1">
        <v>1</v>
      </c>
      <c r="J1631" s="2">
        <v>172.41</v>
      </c>
    </row>
    <row r="1632" spans="2:10" hidden="1" x14ac:dyDescent="0.2">
      <c r="B1632" t="s">
        <v>740</v>
      </c>
      <c r="C1632" t="s">
        <v>206</v>
      </c>
      <c r="D1632" t="s">
        <v>741</v>
      </c>
      <c r="E1632" t="s">
        <v>63</v>
      </c>
      <c r="F1632" t="s">
        <v>64</v>
      </c>
      <c r="G1632" t="s">
        <v>1034</v>
      </c>
      <c r="H1632" t="s">
        <v>15</v>
      </c>
      <c r="I1632" s="1">
        <v>1</v>
      </c>
      <c r="J1632" s="2">
        <v>172.41</v>
      </c>
    </row>
    <row r="1633" spans="2:10" hidden="1" x14ac:dyDescent="0.2">
      <c r="B1633" t="s">
        <v>740</v>
      </c>
      <c r="C1633" t="s">
        <v>206</v>
      </c>
      <c r="D1633" t="s">
        <v>741</v>
      </c>
      <c r="E1633" t="s">
        <v>16</v>
      </c>
      <c r="F1633" t="s">
        <v>17</v>
      </c>
      <c r="G1633" t="s">
        <v>1034</v>
      </c>
      <c r="H1633" t="s">
        <v>15</v>
      </c>
      <c r="I1633" s="1">
        <v>2</v>
      </c>
      <c r="J1633" s="2">
        <v>1155.18</v>
      </c>
    </row>
    <row r="1634" spans="2:10" hidden="1" x14ac:dyDescent="0.2">
      <c r="B1634" t="s">
        <v>740</v>
      </c>
      <c r="C1634" t="s">
        <v>206</v>
      </c>
      <c r="D1634" t="s">
        <v>741</v>
      </c>
      <c r="E1634" t="s">
        <v>193</v>
      </c>
      <c r="F1634" t="s">
        <v>194</v>
      </c>
      <c r="G1634" t="s">
        <v>1034</v>
      </c>
      <c r="H1634" t="s">
        <v>15</v>
      </c>
      <c r="I1634" s="1">
        <v>1</v>
      </c>
      <c r="J1634" s="2">
        <v>1293.0999999999999</v>
      </c>
    </row>
    <row r="1635" spans="2:10" hidden="1" x14ac:dyDescent="0.2">
      <c r="B1635" t="s">
        <v>740</v>
      </c>
      <c r="C1635" t="s">
        <v>220</v>
      </c>
      <c r="D1635" t="s">
        <v>741</v>
      </c>
      <c r="E1635" t="s">
        <v>214</v>
      </c>
      <c r="F1635" t="s">
        <v>215</v>
      </c>
      <c r="G1635" t="s">
        <v>1034</v>
      </c>
      <c r="H1635" t="s">
        <v>15</v>
      </c>
      <c r="I1635" s="1">
        <v>1</v>
      </c>
      <c r="J1635" s="2">
        <v>301.72000000000003</v>
      </c>
    </row>
    <row r="1636" spans="2:10" hidden="1" x14ac:dyDescent="0.2">
      <c r="B1636" t="s">
        <v>740</v>
      </c>
      <c r="C1636" t="s">
        <v>220</v>
      </c>
      <c r="D1636" t="s">
        <v>741</v>
      </c>
      <c r="E1636" t="s">
        <v>36</v>
      </c>
      <c r="F1636" t="s">
        <v>37</v>
      </c>
      <c r="G1636" t="s">
        <v>1034</v>
      </c>
      <c r="H1636" t="s">
        <v>15</v>
      </c>
      <c r="I1636" s="1">
        <v>1</v>
      </c>
      <c r="J1636" s="2">
        <v>301.72000000000003</v>
      </c>
    </row>
    <row r="1637" spans="2:10" hidden="1" x14ac:dyDescent="0.2">
      <c r="B1637" t="s">
        <v>740</v>
      </c>
      <c r="C1637" t="s">
        <v>220</v>
      </c>
      <c r="D1637" t="s">
        <v>741</v>
      </c>
      <c r="E1637" t="s">
        <v>16</v>
      </c>
      <c r="F1637" t="s">
        <v>17</v>
      </c>
      <c r="G1637" t="s">
        <v>1034</v>
      </c>
      <c r="H1637" t="s">
        <v>15</v>
      </c>
      <c r="I1637" s="1">
        <v>1</v>
      </c>
      <c r="J1637" s="2">
        <v>577.59</v>
      </c>
    </row>
    <row r="1638" spans="2:10" hidden="1" x14ac:dyDescent="0.2">
      <c r="B1638" t="s">
        <v>740</v>
      </c>
      <c r="C1638" t="s">
        <v>220</v>
      </c>
      <c r="D1638" t="s">
        <v>741</v>
      </c>
      <c r="E1638" t="s">
        <v>762</v>
      </c>
      <c r="F1638" t="s">
        <v>763</v>
      </c>
      <c r="G1638" t="s">
        <v>1033</v>
      </c>
      <c r="H1638" t="s">
        <v>30</v>
      </c>
      <c r="I1638" s="1">
        <v>1</v>
      </c>
      <c r="J1638" s="2">
        <v>2396.5500000000002</v>
      </c>
    </row>
    <row r="1639" spans="2:10" x14ac:dyDescent="0.2">
      <c r="B1639" t="s">
        <v>740</v>
      </c>
      <c r="C1639" t="s">
        <v>227</v>
      </c>
      <c r="D1639" t="s">
        <v>741</v>
      </c>
      <c r="E1639" t="s">
        <v>537</v>
      </c>
      <c r="F1639" t="s">
        <v>538</v>
      </c>
      <c r="G1639" t="s">
        <v>14</v>
      </c>
      <c r="H1639" t="s">
        <v>60</v>
      </c>
      <c r="I1639" s="1">
        <v>1</v>
      </c>
      <c r="J1639" s="2">
        <v>327.58999999999997</v>
      </c>
    </row>
    <row r="1640" spans="2:10" x14ac:dyDescent="0.2">
      <c r="B1640" t="s">
        <v>740</v>
      </c>
      <c r="C1640" t="s">
        <v>227</v>
      </c>
      <c r="D1640" t="s">
        <v>741</v>
      </c>
      <c r="E1640" t="s">
        <v>764</v>
      </c>
      <c r="F1640" t="s">
        <v>765</v>
      </c>
      <c r="G1640" t="s">
        <v>14</v>
      </c>
      <c r="H1640" t="s">
        <v>27</v>
      </c>
      <c r="I1640" s="1">
        <v>1</v>
      </c>
      <c r="J1640" s="2">
        <v>413.79</v>
      </c>
    </row>
    <row r="1641" spans="2:10" x14ac:dyDescent="0.2">
      <c r="B1641" t="s">
        <v>740</v>
      </c>
      <c r="C1641" t="s">
        <v>227</v>
      </c>
      <c r="D1641" t="s">
        <v>741</v>
      </c>
      <c r="E1641" t="s">
        <v>295</v>
      </c>
      <c r="F1641" t="s">
        <v>296</v>
      </c>
      <c r="G1641" t="s">
        <v>43</v>
      </c>
      <c r="H1641" t="s">
        <v>297</v>
      </c>
      <c r="I1641" s="1">
        <v>1</v>
      </c>
      <c r="J1641" s="2">
        <v>224.14</v>
      </c>
    </row>
    <row r="1642" spans="2:10" x14ac:dyDescent="0.2">
      <c r="B1642" t="s">
        <v>740</v>
      </c>
      <c r="C1642" t="s">
        <v>227</v>
      </c>
      <c r="D1642" t="s">
        <v>741</v>
      </c>
      <c r="E1642" t="s">
        <v>74</v>
      </c>
      <c r="F1642" t="s">
        <v>75</v>
      </c>
      <c r="G1642" t="s">
        <v>76</v>
      </c>
      <c r="H1642" t="s">
        <v>60</v>
      </c>
      <c r="I1642" s="1">
        <v>1</v>
      </c>
      <c r="J1642" s="2">
        <v>344.83</v>
      </c>
    </row>
    <row r="1643" spans="2:10" x14ac:dyDescent="0.2">
      <c r="B1643" t="s">
        <v>740</v>
      </c>
      <c r="C1643" t="s">
        <v>227</v>
      </c>
      <c r="D1643" t="s">
        <v>741</v>
      </c>
      <c r="E1643" t="s">
        <v>16</v>
      </c>
      <c r="F1643" t="s">
        <v>17</v>
      </c>
      <c r="G1643" t="s">
        <v>1034</v>
      </c>
      <c r="H1643" t="s">
        <v>15</v>
      </c>
      <c r="I1643" s="1">
        <v>1</v>
      </c>
      <c r="J1643" s="2">
        <v>577.59</v>
      </c>
    </row>
    <row r="1644" spans="2:10" x14ac:dyDescent="0.2">
      <c r="B1644" t="s">
        <v>740</v>
      </c>
      <c r="C1644" t="s">
        <v>228</v>
      </c>
      <c r="D1644" t="s">
        <v>741</v>
      </c>
      <c r="E1644" t="s">
        <v>766</v>
      </c>
      <c r="F1644" t="s">
        <v>767</v>
      </c>
      <c r="G1644" t="s">
        <v>14</v>
      </c>
      <c r="H1644" t="s">
        <v>209</v>
      </c>
      <c r="I1644" s="1">
        <v>1</v>
      </c>
      <c r="J1644" s="2">
        <v>926.72</v>
      </c>
    </row>
    <row r="1645" spans="2:10" x14ac:dyDescent="0.2">
      <c r="B1645" t="s">
        <v>740</v>
      </c>
      <c r="C1645" t="s">
        <v>228</v>
      </c>
      <c r="D1645" t="s">
        <v>741</v>
      </c>
      <c r="E1645" t="s">
        <v>768</v>
      </c>
      <c r="F1645" t="s">
        <v>769</v>
      </c>
      <c r="G1645" t="s">
        <v>1033</v>
      </c>
      <c r="H1645" t="s">
        <v>30</v>
      </c>
      <c r="I1645" s="1">
        <v>1</v>
      </c>
      <c r="J1645" s="2">
        <v>344.83</v>
      </c>
    </row>
    <row r="1646" spans="2:10" x14ac:dyDescent="0.2">
      <c r="B1646" t="s">
        <v>740</v>
      </c>
      <c r="C1646" t="s">
        <v>228</v>
      </c>
      <c r="D1646" t="s">
        <v>741</v>
      </c>
      <c r="E1646" t="s">
        <v>201</v>
      </c>
      <c r="F1646" t="s">
        <v>202</v>
      </c>
      <c r="G1646" t="s">
        <v>1033</v>
      </c>
      <c r="H1646" t="s">
        <v>30</v>
      </c>
      <c r="I1646" s="1">
        <v>1</v>
      </c>
      <c r="J1646" s="2">
        <v>948.28</v>
      </c>
    </row>
    <row r="1647" spans="2:10" x14ac:dyDescent="0.2">
      <c r="B1647" t="s">
        <v>740</v>
      </c>
      <c r="C1647" t="s">
        <v>228</v>
      </c>
      <c r="D1647" t="s">
        <v>741</v>
      </c>
      <c r="E1647" t="s">
        <v>482</v>
      </c>
      <c r="F1647" t="s">
        <v>483</v>
      </c>
      <c r="G1647" t="s">
        <v>14</v>
      </c>
      <c r="H1647" t="s">
        <v>27</v>
      </c>
      <c r="I1647" s="1">
        <v>1</v>
      </c>
      <c r="J1647" s="2">
        <v>379.31</v>
      </c>
    </row>
    <row r="1648" spans="2:10" x14ac:dyDescent="0.2">
      <c r="B1648" t="s">
        <v>740</v>
      </c>
      <c r="C1648" t="s">
        <v>228</v>
      </c>
      <c r="D1648" t="s">
        <v>741</v>
      </c>
      <c r="E1648" t="s">
        <v>770</v>
      </c>
      <c r="F1648" t="s">
        <v>771</v>
      </c>
      <c r="G1648" t="s">
        <v>43</v>
      </c>
      <c r="H1648" t="s">
        <v>91</v>
      </c>
      <c r="I1648" s="1">
        <v>1</v>
      </c>
      <c r="J1648" s="2">
        <v>1077.5899999999999</v>
      </c>
    </row>
    <row r="1649" spans="2:10" x14ac:dyDescent="0.2">
      <c r="B1649" t="s">
        <v>740</v>
      </c>
      <c r="C1649" t="s">
        <v>228</v>
      </c>
      <c r="D1649" t="s">
        <v>741</v>
      </c>
      <c r="E1649" t="s">
        <v>72</v>
      </c>
      <c r="F1649" t="s">
        <v>73</v>
      </c>
      <c r="G1649" t="s">
        <v>1034</v>
      </c>
      <c r="H1649" t="s">
        <v>15</v>
      </c>
      <c r="I1649" s="1">
        <v>2</v>
      </c>
      <c r="J1649" s="2">
        <v>1551.72</v>
      </c>
    </row>
    <row r="1650" spans="2:10" x14ac:dyDescent="0.2">
      <c r="B1650" t="s">
        <v>740</v>
      </c>
      <c r="C1650" t="s">
        <v>228</v>
      </c>
      <c r="D1650" t="s">
        <v>741</v>
      </c>
      <c r="E1650" t="s">
        <v>16</v>
      </c>
      <c r="F1650" t="s">
        <v>17</v>
      </c>
      <c r="G1650" t="s">
        <v>1034</v>
      </c>
      <c r="H1650" t="s">
        <v>15</v>
      </c>
      <c r="I1650" s="1">
        <v>1</v>
      </c>
      <c r="J1650" s="2">
        <v>577.59</v>
      </c>
    </row>
    <row r="1651" spans="2:10" x14ac:dyDescent="0.2">
      <c r="B1651" t="s">
        <v>740</v>
      </c>
      <c r="C1651" t="s">
        <v>233</v>
      </c>
      <c r="D1651" t="s">
        <v>32</v>
      </c>
      <c r="E1651" t="s">
        <v>324</v>
      </c>
      <c r="F1651" t="s">
        <v>325</v>
      </c>
      <c r="G1651" t="s">
        <v>1033</v>
      </c>
      <c r="H1651" t="s">
        <v>30</v>
      </c>
      <c r="I1651" s="1">
        <v>1</v>
      </c>
      <c r="J1651" s="2">
        <v>2000</v>
      </c>
    </row>
    <row r="1652" spans="2:10" x14ac:dyDescent="0.2">
      <c r="B1652" t="s">
        <v>740</v>
      </c>
      <c r="C1652" t="s">
        <v>233</v>
      </c>
      <c r="D1652" t="s">
        <v>32</v>
      </c>
      <c r="E1652" t="s">
        <v>772</v>
      </c>
      <c r="F1652" t="s">
        <v>773</v>
      </c>
      <c r="G1652" t="s">
        <v>43</v>
      </c>
      <c r="H1652" t="s">
        <v>94</v>
      </c>
      <c r="I1652" s="1">
        <v>1</v>
      </c>
      <c r="J1652" s="2">
        <v>1198.28</v>
      </c>
    </row>
    <row r="1653" spans="2:10" x14ac:dyDescent="0.2">
      <c r="B1653" t="s">
        <v>740</v>
      </c>
      <c r="C1653" t="s">
        <v>233</v>
      </c>
      <c r="D1653" t="s">
        <v>32</v>
      </c>
      <c r="E1653" t="s">
        <v>72</v>
      </c>
      <c r="F1653" t="s">
        <v>73</v>
      </c>
      <c r="G1653" t="s">
        <v>1034</v>
      </c>
      <c r="H1653" t="s">
        <v>15</v>
      </c>
      <c r="I1653" s="1">
        <v>1</v>
      </c>
      <c r="J1653" s="2">
        <v>775.86</v>
      </c>
    </row>
    <row r="1654" spans="2:10" x14ac:dyDescent="0.2">
      <c r="B1654" t="s">
        <v>740</v>
      </c>
      <c r="C1654" t="s">
        <v>233</v>
      </c>
      <c r="D1654" t="s">
        <v>32</v>
      </c>
      <c r="E1654" t="s">
        <v>157</v>
      </c>
      <c r="F1654" t="s">
        <v>158</v>
      </c>
      <c r="G1654" t="s">
        <v>14</v>
      </c>
      <c r="H1654" t="s">
        <v>87</v>
      </c>
      <c r="I1654" s="1">
        <v>1</v>
      </c>
      <c r="J1654" s="2">
        <v>284.48</v>
      </c>
    </row>
    <row r="1655" spans="2:10" x14ac:dyDescent="0.2">
      <c r="B1655" t="s">
        <v>740</v>
      </c>
      <c r="C1655" t="s">
        <v>233</v>
      </c>
      <c r="D1655" t="s">
        <v>32</v>
      </c>
      <c r="E1655" t="s">
        <v>159</v>
      </c>
      <c r="F1655" t="s">
        <v>160</v>
      </c>
      <c r="G1655" t="s">
        <v>14</v>
      </c>
      <c r="H1655" t="s">
        <v>87</v>
      </c>
      <c r="I1655" s="1">
        <v>1</v>
      </c>
      <c r="J1655" s="2">
        <v>284.48</v>
      </c>
    </row>
    <row r="1656" spans="2:10" x14ac:dyDescent="0.2">
      <c r="B1656" t="s">
        <v>740</v>
      </c>
      <c r="C1656" t="s">
        <v>233</v>
      </c>
      <c r="D1656" t="s">
        <v>32</v>
      </c>
      <c r="E1656" t="s">
        <v>774</v>
      </c>
      <c r="F1656" t="s">
        <v>775</v>
      </c>
      <c r="G1656" t="s">
        <v>1033</v>
      </c>
      <c r="H1656" t="s">
        <v>30</v>
      </c>
      <c r="I1656" s="1">
        <v>1</v>
      </c>
      <c r="J1656" s="2">
        <v>853.45</v>
      </c>
    </row>
    <row r="1657" spans="2:10" x14ac:dyDescent="0.2">
      <c r="B1657" t="s">
        <v>740</v>
      </c>
      <c r="C1657" t="s">
        <v>233</v>
      </c>
      <c r="D1657" t="s">
        <v>32</v>
      </c>
      <c r="E1657" t="s">
        <v>16</v>
      </c>
      <c r="F1657" t="s">
        <v>17</v>
      </c>
      <c r="G1657" t="s">
        <v>1034</v>
      </c>
      <c r="H1657" t="s">
        <v>15</v>
      </c>
      <c r="I1657" s="1">
        <v>2</v>
      </c>
      <c r="J1657" s="2">
        <v>1155.18</v>
      </c>
    </row>
    <row r="1658" spans="2:10" x14ac:dyDescent="0.2">
      <c r="B1658" t="s">
        <v>740</v>
      </c>
      <c r="C1658" t="s">
        <v>236</v>
      </c>
      <c r="D1658" t="s">
        <v>741</v>
      </c>
      <c r="E1658" t="s">
        <v>535</v>
      </c>
      <c r="F1658" t="s">
        <v>536</v>
      </c>
      <c r="G1658" t="s">
        <v>14</v>
      </c>
      <c r="H1658" t="s">
        <v>60</v>
      </c>
      <c r="I1658" s="1">
        <v>1</v>
      </c>
      <c r="J1658" s="2">
        <v>327.58999999999997</v>
      </c>
    </row>
    <row r="1659" spans="2:10" x14ac:dyDescent="0.2">
      <c r="B1659" t="s">
        <v>740</v>
      </c>
      <c r="C1659" t="s">
        <v>236</v>
      </c>
      <c r="D1659" t="s">
        <v>741</v>
      </c>
      <c r="E1659" t="s">
        <v>318</v>
      </c>
      <c r="F1659" t="s">
        <v>319</v>
      </c>
      <c r="G1659" t="s">
        <v>1033</v>
      </c>
      <c r="H1659" t="s">
        <v>30</v>
      </c>
      <c r="I1659" s="1">
        <v>1</v>
      </c>
      <c r="J1659" s="2">
        <v>456.9</v>
      </c>
    </row>
    <row r="1660" spans="2:10" x14ac:dyDescent="0.2">
      <c r="B1660" t="s">
        <v>740</v>
      </c>
      <c r="C1660" t="s">
        <v>236</v>
      </c>
      <c r="D1660" t="s">
        <v>741</v>
      </c>
      <c r="E1660" t="s">
        <v>326</v>
      </c>
      <c r="F1660" t="s">
        <v>327</v>
      </c>
      <c r="G1660" t="s">
        <v>1033</v>
      </c>
      <c r="H1660" t="s">
        <v>30</v>
      </c>
      <c r="I1660" s="1">
        <v>1</v>
      </c>
      <c r="J1660" s="2">
        <v>1862.07</v>
      </c>
    </row>
    <row r="1661" spans="2:10" x14ac:dyDescent="0.2">
      <c r="B1661" t="s">
        <v>740</v>
      </c>
      <c r="C1661" t="s">
        <v>236</v>
      </c>
      <c r="D1661" t="s">
        <v>741</v>
      </c>
      <c r="E1661" t="s">
        <v>746</v>
      </c>
      <c r="F1661" t="s">
        <v>747</v>
      </c>
      <c r="G1661" t="s">
        <v>1033</v>
      </c>
      <c r="H1661" t="s">
        <v>30</v>
      </c>
      <c r="I1661" s="1">
        <v>1</v>
      </c>
      <c r="J1661" s="2">
        <v>474.14</v>
      </c>
    </row>
    <row r="1662" spans="2:10" x14ac:dyDescent="0.2">
      <c r="B1662" t="s">
        <v>740</v>
      </c>
      <c r="C1662" t="s">
        <v>236</v>
      </c>
      <c r="D1662" t="s">
        <v>741</v>
      </c>
      <c r="E1662" t="s">
        <v>354</v>
      </c>
      <c r="F1662" t="s">
        <v>355</v>
      </c>
      <c r="G1662" t="s">
        <v>1033</v>
      </c>
      <c r="H1662" t="s">
        <v>30</v>
      </c>
      <c r="I1662" s="1">
        <v>1</v>
      </c>
      <c r="J1662" s="2">
        <v>2543.1</v>
      </c>
    </row>
    <row r="1663" spans="2:10" x14ac:dyDescent="0.2">
      <c r="B1663" t="s">
        <v>740</v>
      </c>
      <c r="C1663" t="s">
        <v>236</v>
      </c>
      <c r="D1663" t="s">
        <v>741</v>
      </c>
      <c r="E1663" t="s">
        <v>342</v>
      </c>
      <c r="F1663" t="s">
        <v>343</v>
      </c>
      <c r="G1663" t="s">
        <v>1033</v>
      </c>
      <c r="H1663" t="s">
        <v>30</v>
      </c>
      <c r="I1663" s="1">
        <v>1</v>
      </c>
      <c r="J1663" s="2">
        <v>1681.03</v>
      </c>
    </row>
    <row r="1664" spans="2:10" x14ac:dyDescent="0.2">
      <c r="B1664" t="s">
        <v>740</v>
      </c>
      <c r="C1664" t="s">
        <v>236</v>
      </c>
      <c r="D1664" t="s">
        <v>741</v>
      </c>
      <c r="E1664" t="s">
        <v>56</v>
      </c>
      <c r="F1664" t="s">
        <v>57</v>
      </c>
      <c r="G1664" t="s">
        <v>1034</v>
      </c>
      <c r="H1664" t="s">
        <v>15</v>
      </c>
      <c r="I1664" s="1">
        <v>1</v>
      </c>
      <c r="J1664" s="2">
        <v>431.03</v>
      </c>
    </row>
    <row r="1665" spans="2:10" x14ac:dyDescent="0.2">
      <c r="B1665" t="s">
        <v>740</v>
      </c>
      <c r="C1665" t="s">
        <v>236</v>
      </c>
      <c r="D1665" t="s">
        <v>741</v>
      </c>
      <c r="E1665" t="s">
        <v>163</v>
      </c>
      <c r="F1665" t="s">
        <v>164</v>
      </c>
      <c r="G1665" t="s">
        <v>1034</v>
      </c>
      <c r="H1665" t="s">
        <v>15</v>
      </c>
      <c r="I1665" s="1">
        <v>1</v>
      </c>
      <c r="J1665" s="2">
        <v>431.03</v>
      </c>
    </row>
    <row r="1666" spans="2:10" x14ac:dyDescent="0.2">
      <c r="B1666" t="s">
        <v>740</v>
      </c>
      <c r="C1666" t="s">
        <v>237</v>
      </c>
      <c r="D1666" t="s">
        <v>741</v>
      </c>
      <c r="E1666" t="s">
        <v>19</v>
      </c>
      <c r="F1666" t="s">
        <v>20</v>
      </c>
      <c r="G1666" t="s">
        <v>14</v>
      </c>
      <c r="H1666" t="s">
        <v>21</v>
      </c>
      <c r="I1666" s="1">
        <v>1</v>
      </c>
      <c r="J1666" s="2">
        <v>431.04</v>
      </c>
    </row>
    <row r="1667" spans="2:10" x14ac:dyDescent="0.2">
      <c r="B1667" t="s">
        <v>740</v>
      </c>
      <c r="C1667" t="s">
        <v>237</v>
      </c>
      <c r="D1667" t="s">
        <v>741</v>
      </c>
      <c r="E1667" t="s">
        <v>221</v>
      </c>
      <c r="F1667" t="s">
        <v>222</v>
      </c>
      <c r="G1667" t="s">
        <v>1034</v>
      </c>
      <c r="H1667" t="s">
        <v>15</v>
      </c>
      <c r="I1667" s="1">
        <v>1</v>
      </c>
      <c r="J1667" s="2">
        <v>431.03</v>
      </c>
    </row>
    <row r="1668" spans="2:10" x14ac:dyDescent="0.2">
      <c r="B1668" t="s">
        <v>740</v>
      </c>
      <c r="C1668" t="s">
        <v>237</v>
      </c>
      <c r="D1668" t="s">
        <v>741</v>
      </c>
      <c r="E1668" t="s">
        <v>120</v>
      </c>
      <c r="F1668" t="s">
        <v>121</v>
      </c>
      <c r="G1668" t="s">
        <v>1034</v>
      </c>
      <c r="H1668" t="s">
        <v>15</v>
      </c>
      <c r="I1668" s="1">
        <v>1</v>
      </c>
      <c r="J1668" s="2">
        <v>301.72000000000003</v>
      </c>
    </row>
    <row r="1669" spans="2:10" x14ac:dyDescent="0.2">
      <c r="B1669" t="s">
        <v>740</v>
      </c>
      <c r="C1669" t="s">
        <v>237</v>
      </c>
      <c r="D1669" t="s">
        <v>741</v>
      </c>
      <c r="E1669" t="s">
        <v>214</v>
      </c>
      <c r="F1669" t="s">
        <v>215</v>
      </c>
      <c r="G1669" t="s">
        <v>1034</v>
      </c>
      <c r="H1669" t="s">
        <v>15</v>
      </c>
      <c r="I1669" s="1">
        <v>1</v>
      </c>
      <c r="J1669" s="2">
        <v>301.72000000000003</v>
      </c>
    </row>
    <row r="1670" spans="2:10" x14ac:dyDescent="0.2">
      <c r="B1670" t="s">
        <v>740</v>
      </c>
      <c r="C1670" t="s">
        <v>237</v>
      </c>
      <c r="D1670" t="s">
        <v>741</v>
      </c>
      <c r="E1670" t="s">
        <v>776</v>
      </c>
      <c r="F1670" t="s">
        <v>777</v>
      </c>
      <c r="G1670" t="s">
        <v>1033</v>
      </c>
      <c r="H1670" t="s">
        <v>30</v>
      </c>
      <c r="I1670" s="1">
        <v>1</v>
      </c>
      <c r="J1670" s="2">
        <v>818.97</v>
      </c>
    </row>
    <row r="1671" spans="2:10" x14ac:dyDescent="0.2">
      <c r="B1671" t="s">
        <v>740</v>
      </c>
      <c r="C1671" t="s">
        <v>237</v>
      </c>
      <c r="D1671" t="s">
        <v>741</v>
      </c>
      <c r="E1671" t="s">
        <v>273</v>
      </c>
      <c r="F1671" t="s">
        <v>274</v>
      </c>
      <c r="G1671" t="s">
        <v>1033</v>
      </c>
      <c r="H1671" t="s">
        <v>30</v>
      </c>
      <c r="I1671" s="1">
        <v>1</v>
      </c>
      <c r="J1671" s="2">
        <v>1293.0999999999999</v>
      </c>
    </row>
    <row r="1672" spans="2:10" x14ac:dyDescent="0.2">
      <c r="B1672" t="s">
        <v>740</v>
      </c>
      <c r="C1672" t="s">
        <v>237</v>
      </c>
      <c r="D1672" t="s">
        <v>741</v>
      </c>
      <c r="E1672" t="s">
        <v>58</v>
      </c>
      <c r="F1672" t="s">
        <v>59</v>
      </c>
      <c r="G1672" t="s">
        <v>14</v>
      </c>
      <c r="H1672" t="s">
        <v>60</v>
      </c>
      <c r="I1672" s="1">
        <v>1</v>
      </c>
      <c r="J1672" s="2">
        <v>172.41</v>
      </c>
    </row>
    <row r="1673" spans="2:10" x14ac:dyDescent="0.2">
      <c r="B1673" t="s">
        <v>740</v>
      </c>
      <c r="C1673" t="s">
        <v>237</v>
      </c>
      <c r="D1673" t="s">
        <v>741</v>
      </c>
      <c r="E1673" t="s">
        <v>61</v>
      </c>
      <c r="F1673" t="s">
        <v>62</v>
      </c>
      <c r="G1673" t="s">
        <v>1034</v>
      </c>
      <c r="H1673" t="s">
        <v>15</v>
      </c>
      <c r="I1673" s="1">
        <v>2</v>
      </c>
      <c r="J1673" s="2">
        <v>344.82</v>
      </c>
    </row>
    <row r="1674" spans="2:10" x14ac:dyDescent="0.2">
      <c r="B1674" t="s">
        <v>740</v>
      </c>
      <c r="C1674" t="s">
        <v>237</v>
      </c>
      <c r="D1674" t="s">
        <v>741</v>
      </c>
      <c r="E1674" t="s">
        <v>63</v>
      </c>
      <c r="F1674" t="s">
        <v>64</v>
      </c>
      <c r="G1674" t="s">
        <v>1034</v>
      </c>
      <c r="H1674" t="s">
        <v>15</v>
      </c>
      <c r="I1674" s="1">
        <v>2</v>
      </c>
      <c r="J1674" s="2">
        <v>344.82</v>
      </c>
    </row>
    <row r="1675" spans="2:10" x14ac:dyDescent="0.2">
      <c r="B1675" t="s">
        <v>740</v>
      </c>
      <c r="C1675" t="s">
        <v>237</v>
      </c>
      <c r="D1675" t="s">
        <v>741</v>
      </c>
      <c r="E1675" t="s">
        <v>16</v>
      </c>
      <c r="F1675" t="s">
        <v>17</v>
      </c>
      <c r="G1675" t="s">
        <v>1034</v>
      </c>
      <c r="H1675" t="s">
        <v>15</v>
      </c>
      <c r="I1675" s="1">
        <v>1</v>
      </c>
      <c r="J1675" s="2">
        <v>577.59</v>
      </c>
    </row>
    <row r="1676" spans="2:10" x14ac:dyDescent="0.2">
      <c r="B1676" t="s">
        <v>740</v>
      </c>
      <c r="C1676" t="s">
        <v>248</v>
      </c>
      <c r="D1676" t="s">
        <v>741</v>
      </c>
      <c r="E1676" t="s">
        <v>41</v>
      </c>
      <c r="F1676" t="s">
        <v>42</v>
      </c>
      <c r="G1676" t="s">
        <v>1033</v>
      </c>
      <c r="H1676" t="s">
        <v>30</v>
      </c>
      <c r="I1676" s="1">
        <v>2</v>
      </c>
      <c r="J1676" s="2">
        <v>68.959999999999994</v>
      </c>
    </row>
    <row r="1677" spans="2:10" x14ac:dyDescent="0.2">
      <c r="B1677" t="s">
        <v>740</v>
      </c>
      <c r="C1677" t="s">
        <v>248</v>
      </c>
      <c r="D1677" t="s">
        <v>741</v>
      </c>
      <c r="E1677" t="s">
        <v>44</v>
      </c>
      <c r="F1677" t="s">
        <v>45</v>
      </c>
      <c r="G1677" t="s">
        <v>1033</v>
      </c>
      <c r="H1677" t="s">
        <v>30</v>
      </c>
      <c r="I1677" s="1">
        <v>1</v>
      </c>
      <c r="J1677" s="2">
        <v>81.900000000000006</v>
      </c>
    </row>
    <row r="1678" spans="2:10" x14ac:dyDescent="0.2">
      <c r="B1678" t="s">
        <v>740</v>
      </c>
      <c r="C1678" t="s">
        <v>248</v>
      </c>
      <c r="D1678" t="s">
        <v>741</v>
      </c>
      <c r="E1678" t="s">
        <v>19</v>
      </c>
      <c r="F1678" t="s">
        <v>20</v>
      </c>
      <c r="G1678" t="s">
        <v>14</v>
      </c>
      <c r="H1678" t="s">
        <v>21</v>
      </c>
      <c r="I1678" s="1">
        <v>1</v>
      </c>
      <c r="J1678" s="2">
        <v>431.04</v>
      </c>
    </row>
    <row r="1679" spans="2:10" x14ac:dyDescent="0.2">
      <c r="B1679" t="s">
        <v>740</v>
      </c>
      <c r="C1679" t="s">
        <v>248</v>
      </c>
      <c r="D1679" t="s">
        <v>741</v>
      </c>
      <c r="E1679" t="s">
        <v>46</v>
      </c>
      <c r="F1679" t="s">
        <v>47</v>
      </c>
      <c r="G1679" t="s">
        <v>1034</v>
      </c>
      <c r="H1679" t="s">
        <v>15</v>
      </c>
      <c r="I1679" s="1">
        <v>1</v>
      </c>
      <c r="J1679" s="2">
        <v>301.72000000000003</v>
      </c>
    </row>
    <row r="1680" spans="2:10" x14ac:dyDescent="0.2">
      <c r="B1680" t="s">
        <v>740</v>
      </c>
      <c r="C1680" t="s">
        <v>248</v>
      </c>
      <c r="D1680" t="s">
        <v>741</v>
      </c>
      <c r="E1680" t="s">
        <v>600</v>
      </c>
      <c r="F1680" t="s">
        <v>601</v>
      </c>
      <c r="G1680" t="s">
        <v>1033</v>
      </c>
      <c r="H1680" t="s">
        <v>30</v>
      </c>
      <c r="I1680" s="1">
        <v>1</v>
      </c>
      <c r="J1680" s="2">
        <v>301.72000000000003</v>
      </c>
    </row>
    <row r="1681" spans="2:10" x14ac:dyDescent="0.2">
      <c r="B1681" t="s">
        <v>740</v>
      </c>
      <c r="C1681" t="s">
        <v>248</v>
      </c>
      <c r="D1681" t="s">
        <v>741</v>
      </c>
      <c r="E1681" t="s">
        <v>778</v>
      </c>
      <c r="F1681" t="s">
        <v>779</v>
      </c>
      <c r="G1681" t="s">
        <v>54</v>
      </c>
      <c r="H1681" t="s">
        <v>138</v>
      </c>
      <c r="I1681" s="1">
        <v>1</v>
      </c>
      <c r="J1681" s="2">
        <v>599.14</v>
      </c>
    </row>
    <row r="1682" spans="2:10" x14ac:dyDescent="0.2">
      <c r="B1682" t="s">
        <v>740</v>
      </c>
      <c r="C1682" t="s">
        <v>248</v>
      </c>
      <c r="D1682" t="s">
        <v>741</v>
      </c>
      <c r="E1682" t="s">
        <v>242</v>
      </c>
      <c r="F1682" t="s">
        <v>243</v>
      </c>
      <c r="G1682" t="s">
        <v>14</v>
      </c>
      <c r="H1682" t="s">
        <v>87</v>
      </c>
      <c r="I1682" s="1">
        <v>1</v>
      </c>
      <c r="J1682" s="2">
        <v>120.69</v>
      </c>
    </row>
    <row r="1683" spans="2:10" x14ac:dyDescent="0.2">
      <c r="B1683" t="s">
        <v>740</v>
      </c>
      <c r="C1683" t="s">
        <v>248</v>
      </c>
      <c r="D1683" t="s">
        <v>741</v>
      </c>
      <c r="E1683" t="s">
        <v>336</v>
      </c>
      <c r="F1683" t="s">
        <v>337</v>
      </c>
      <c r="G1683" t="s">
        <v>1034</v>
      </c>
      <c r="H1683" t="s">
        <v>15</v>
      </c>
      <c r="I1683" s="1">
        <v>1</v>
      </c>
      <c r="J1683" s="2">
        <v>387.93</v>
      </c>
    </row>
    <row r="1684" spans="2:10" x14ac:dyDescent="0.2">
      <c r="B1684" t="s">
        <v>740</v>
      </c>
      <c r="C1684" t="s">
        <v>248</v>
      </c>
      <c r="D1684" t="s">
        <v>741</v>
      </c>
      <c r="E1684" t="s">
        <v>74</v>
      </c>
      <c r="F1684" t="s">
        <v>75</v>
      </c>
      <c r="G1684" t="s">
        <v>76</v>
      </c>
      <c r="H1684" t="s">
        <v>60</v>
      </c>
      <c r="I1684" s="1">
        <v>1</v>
      </c>
      <c r="J1684" s="2">
        <v>344.83</v>
      </c>
    </row>
    <row r="1685" spans="2:10" x14ac:dyDescent="0.2">
      <c r="B1685" t="s">
        <v>740</v>
      </c>
      <c r="C1685" t="s">
        <v>248</v>
      </c>
      <c r="D1685" t="s">
        <v>741</v>
      </c>
      <c r="E1685" t="s">
        <v>507</v>
      </c>
      <c r="F1685" t="s">
        <v>508</v>
      </c>
      <c r="G1685" t="s">
        <v>14</v>
      </c>
      <c r="H1685" t="s">
        <v>509</v>
      </c>
      <c r="I1685" s="1">
        <v>1</v>
      </c>
      <c r="J1685" s="2">
        <v>775.86</v>
      </c>
    </row>
    <row r="1686" spans="2:10" x14ac:dyDescent="0.2">
      <c r="B1686" t="s">
        <v>740</v>
      </c>
      <c r="C1686" t="s">
        <v>248</v>
      </c>
      <c r="D1686" t="s">
        <v>741</v>
      </c>
      <c r="E1686" t="s">
        <v>216</v>
      </c>
      <c r="F1686" t="s">
        <v>217</v>
      </c>
      <c r="G1686" t="s">
        <v>14</v>
      </c>
      <c r="H1686" t="s">
        <v>104</v>
      </c>
      <c r="I1686" s="1">
        <v>4</v>
      </c>
      <c r="J1686" s="2">
        <v>68.959999999999994</v>
      </c>
    </row>
    <row r="1687" spans="2:10" x14ac:dyDescent="0.2">
      <c r="B1687" t="s">
        <v>740</v>
      </c>
      <c r="C1687" t="s">
        <v>248</v>
      </c>
      <c r="D1687" t="s">
        <v>741</v>
      </c>
      <c r="E1687" t="s">
        <v>687</v>
      </c>
      <c r="F1687" t="s">
        <v>688</v>
      </c>
      <c r="G1687" t="s">
        <v>43</v>
      </c>
      <c r="H1687" t="s">
        <v>50</v>
      </c>
      <c r="I1687" s="1">
        <v>1</v>
      </c>
      <c r="J1687" s="2">
        <v>181.03</v>
      </c>
    </row>
    <row r="1688" spans="2:10" x14ac:dyDescent="0.2">
      <c r="B1688" t="s">
        <v>740</v>
      </c>
      <c r="C1688" t="s">
        <v>248</v>
      </c>
      <c r="D1688" t="s">
        <v>741</v>
      </c>
      <c r="E1688" t="s">
        <v>38</v>
      </c>
      <c r="F1688" t="s">
        <v>39</v>
      </c>
      <c r="G1688" t="s">
        <v>1034</v>
      </c>
      <c r="H1688" t="s">
        <v>15</v>
      </c>
      <c r="I1688" s="1">
        <v>1</v>
      </c>
      <c r="J1688" s="2">
        <v>431.03</v>
      </c>
    </row>
    <row r="1689" spans="2:10" x14ac:dyDescent="0.2">
      <c r="B1689" t="s">
        <v>740</v>
      </c>
      <c r="C1689" t="s">
        <v>248</v>
      </c>
      <c r="D1689" t="s">
        <v>741</v>
      </c>
      <c r="E1689" t="s">
        <v>16</v>
      </c>
      <c r="F1689" t="s">
        <v>17</v>
      </c>
      <c r="G1689" t="s">
        <v>1034</v>
      </c>
      <c r="H1689" t="s">
        <v>15</v>
      </c>
      <c r="I1689" s="1">
        <v>2</v>
      </c>
      <c r="J1689" s="2">
        <v>1155.18</v>
      </c>
    </row>
    <row r="1690" spans="2:10" x14ac:dyDescent="0.2">
      <c r="B1690" t="s">
        <v>740</v>
      </c>
      <c r="C1690" t="s">
        <v>248</v>
      </c>
      <c r="D1690" t="s">
        <v>741</v>
      </c>
      <c r="E1690" t="s">
        <v>333</v>
      </c>
      <c r="F1690" t="s">
        <v>334</v>
      </c>
      <c r="G1690" t="s">
        <v>1033</v>
      </c>
      <c r="H1690" t="s">
        <v>30</v>
      </c>
      <c r="I1690" s="1">
        <v>1</v>
      </c>
      <c r="J1690" s="2">
        <v>2413.79</v>
      </c>
    </row>
    <row r="1691" spans="2:10" x14ac:dyDescent="0.2">
      <c r="B1691" t="s">
        <v>740</v>
      </c>
      <c r="C1691" t="s">
        <v>248</v>
      </c>
      <c r="D1691" t="s">
        <v>741</v>
      </c>
      <c r="E1691" t="s">
        <v>28</v>
      </c>
      <c r="F1691" t="s">
        <v>29</v>
      </c>
      <c r="G1691" t="s">
        <v>1033</v>
      </c>
      <c r="H1691" t="s">
        <v>30</v>
      </c>
      <c r="I1691" s="1">
        <v>1</v>
      </c>
      <c r="J1691" s="2">
        <v>155.16999999999999</v>
      </c>
    </row>
    <row r="1692" spans="2:10" hidden="1" x14ac:dyDescent="0.2">
      <c r="B1692" t="s">
        <v>780</v>
      </c>
      <c r="C1692" t="s">
        <v>10</v>
      </c>
      <c r="D1692" t="s">
        <v>781</v>
      </c>
      <c r="E1692" t="s">
        <v>44</v>
      </c>
      <c r="F1692" t="s">
        <v>45</v>
      </c>
      <c r="G1692" t="s">
        <v>1033</v>
      </c>
      <c r="H1692" t="s">
        <v>30</v>
      </c>
      <c r="I1692" s="1">
        <v>1</v>
      </c>
      <c r="J1692" s="2">
        <v>81.900000000000006</v>
      </c>
    </row>
    <row r="1693" spans="2:10" hidden="1" x14ac:dyDescent="0.2">
      <c r="B1693" t="s">
        <v>780</v>
      </c>
      <c r="C1693" t="s">
        <v>10</v>
      </c>
      <c r="D1693" t="s">
        <v>781</v>
      </c>
      <c r="E1693" t="s">
        <v>46</v>
      </c>
      <c r="F1693" t="s">
        <v>47</v>
      </c>
      <c r="G1693" t="s">
        <v>1034</v>
      </c>
      <c r="H1693" t="s">
        <v>15</v>
      </c>
      <c r="I1693" s="1">
        <v>1</v>
      </c>
      <c r="J1693" s="2">
        <v>301.72000000000003</v>
      </c>
    </row>
    <row r="1694" spans="2:10" hidden="1" x14ac:dyDescent="0.2">
      <c r="B1694" t="s">
        <v>780</v>
      </c>
      <c r="C1694" t="s">
        <v>10</v>
      </c>
      <c r="D1694" t="s">
        <v>781</v>
      </c>
      <c r="E1694" t="s">
        <v>149</v>
      </c>
      <c r="F1694" t="s">
        <v>150</v>
      </c>
      <c r="G1694" t="s">
        <v>43</v>
      </c>
      <c r="H1694" t="s">
        <v>50</v>
      </c>
      <c r="I1694" s="1">
        <v>1</v>
      </c>
      <c r="J1694" s="2">
        <v>3017.24</v>
      </c>
    </row>
    <row r="1695" spans="2:10" hidden="1" x14ac:dyDescent="0.2">
      <c r="B1695" t="s">
        <v>780</v>
      </c>
      <c r="C1695" t="s">
        <v>10</v>
      </c>
      <c r="D1695" t="s">
        <v>781</v>
      </c>
      <c r="E1695" t="s">
        <v>36</v>
      </c>
      <c r="F1695" t="s">
        <v>37</v>
      </c>
      <c r="G1695" t="s">
        <v>1034</v>
      </c>
      <c r="H1695" t="s">
        <v>15</v>
      </c>
      <c r="I1695" s="1">
        <v>1</v>
      </c>
      <c r="J1695" s="2">
        <v>301.72000000000003</v>
      </c>
    </row>
    <row r="1696" spans="2:10" hidden="1" x14ac:dyDescent="0.2">
      <c r="B1696" t="s">
        <v>780</v>
      </c>
      <c r="C1696" t="s">
        <v>10</v>
      </c>
      <c r="D1696" t="s">
        <v>781</v>
      </c>
      <c r="E1696" t="s">
        <v>72</v>
      </c>
      <c r="F1696" t="s">
        <v>73</v>
      </c>
      <c r="G1696" t="s">
        <v>1034</v>
      </c>
      <c r="H1696" t="s">
        <v>15</v>
      </c>
      <c r="I1696" s="1">
        <v>1</v>
      </c>
      <c r="J1696" s="2">
        <v>775.86</v>
      </c>
    </row>
    <row r="1697" spans="2:10" hidden="1" x14ac:dyDescent="0.2">
      <c r="B1697" t="s">
        <v>780</v>
      </c>
      <c r="C1697" t="s">
        <v>10</v>
      </c>
      <c r="D1697" t="s">
        <v>781</v>
      </c>
      <c r="E1697" t="s">
        <v>406</v>
      </c>
      <c r="F1697" t="s">
        <v>407</v>
      </c>
      <c r="G1697" t="s">
        <v>14</v>
      </c>
      <c r="H1697" t="s">
        <v>104</v>
      </c>
      <c r="I1697" s="1">
        <v>5</v>
      </c>
      <c r="J1697" s="2">
        <v>86.2</v>
      </c>
    </row>
    <row r="1698" spans="2:10" hidden="1" x14ac:dyDescent="0.2">
      <c r="B1698" t="s">
        <v>780</v>
      </c>
      <c r="C1698" t="s">
        <v>10</v>
      </c>
      <c r="D1698" t="s">
        <v>781</v>
      </c>
      <c r="E1698" t="s">
        <v>163</v>
      </c>
      <c r="F1698" t="s">
        <v>164</v>
      </c>
      <c r="G1698" t="s">
        <v>1034</v>
      </c>
      <c r="H1698" t="s">
        <v>15</v>
      </c>
      <c r="I1698" s="1">
        <v>1</v>
      </c>
      <c r="J1698" s="2">
        <v>431.03</v>
      </c>
    </row>
    <row r="1699" spans="2:10" hidden="1" x14ac:dyDescent="0.2">
      <c r="B1699" t="s">
        <v>780</v>
      </c>
      <c r="C1699" t="s">
        <v>10</v>
      </c>
      <c r="D1699" t="s">
        <v>781</v>
      </c>
      <c r="E1699" t="s">
        <v>61</v>
      </c>
      <c r="F1699" t="s">
        <v>62</v>
      </c>
      <c r="G1699" t="s">
        <v>1034</v>
      </c>
      <c r="H1699" t="s">
        <v>15</v>
      </c>
      <c r="I1699" s="1">
        <v>1</v>
      </c>
      <c r="J1699" s="2">
        <v>172.41</v>
      </c>
    </row>
    <row r="1700" spans="2:10" hidden="1" x14ac:dyDescent="0.2">
      <c r="B1700" t="s">
        <v>780</v>
      </c>
      <c r="C1700" t="s">
        <v>10</v>
      </c>
      <c r="D1700" t="s">
        <v>781</v>
      </c>
      <c r="E1700" t="s">
        <v>408</v>
      </c>
      <c r="F1700" t="s">
        <v>409</v>
      </c>
      <c r="G1700" t="s">
        <v>43</v>
      </c>
      <c r="H1700" t="s">
        <v>81</v>
      </c>
      <c r="I1700" s="1">
        <v>1</v>
      </c>
      <c r="J1700" s="2">
        <v>1465.52</v>
      </c>
    </row>
    <row r="1701" spans="2:10" hidden="1" x14ac:dyDescent="0.2">
      <c r="B1701" t="s">
        <v>780</v>
      </c>
      <c r="C1701" t="s">
        <v>10</v>
      </c>
      <c r="D1701" t="s">
        <v>781</v>
      </c>
      <c r="E1701" t="s">
        <v>246</v>
      </c>
      <c r="F1701" t="s">
        <v>247</v>
      </c>
      <c r="G1701" t="s">
        <v>1033</v>
      </c>
      <c r="H1701" t="s">
        <v>30</v>
      </c>
      <c r="I1701" s="1">
        <v>1</v>
      </c>
      <c r="J1701" s="2">
        <v>2008.62</v>
      </c>
    </row>
    <row r="1702" spans="2:10" hidden="1" x14ac:dyDescent="0.2">
      <c r="B1702" t="s">
        <v>780</v>
      </c>
      <c r="C1702" t="s">
        <v>18</v>
      </c>
      <c r="D1702" t="s">
        <v>781</v>
      </c>
      <c r="E1702" t="s">
        <v>660</v>
      </c>
      <c r="F1702" t="s">
        <v>661</v>
      </c>
      <c r="G1702" t="s">
        <v>14</v>
      </c>
      <c r="H1702" t="s">
        <v>27</v>
      </c>
      <c r="I1702" s="1">
        <v>1</v>
      </c>
      <c r="J1702" s="2">
        <v>448.28</v>
      </c>
    </row>
    <row r="1703" spans="2:10" hidden="1" x14ac:dyDescent="0.2">
      <c r="B1703" t="s">
        <v>780</v>
      </c>
      <c r="C1703" t="s">
        <v>18</v>
      </c>
      <c r="D1703" t="s">
        <v>781</v>
      </c>
      <c r="E1703" t="s">
        <v>44</v>
      </c>
      <c r="F1703" t="s">
        <v>45</v>
      </c>
      <c r="G1703" t="s">
        <v>1033</v>
      </c>
      <c r="H1703" t="s">
        <v>30</v>
      </c>
      <c r="I1703" s="1">
        <v>1</v>
      </c>
      <c r="J1703" s="2">
        <v>81.900000000000006</v>
      </c>
    </row>
    <row r="1704" spans="2:10" hidden="1" x14ac:dyDescent="0.2">
      <c r="B1704" t="s">
        <v>780</v>
      </c>
      <c r="C1704" t="s">
        <v>18</v>
      </c>
      <c r="D1704" t="s">
        <v>781</v>
      </c>
      <c r="E1704" t="s">
        <v>782</v>
      </c>
      <c r="F1704" t="s">
        <v>783</v>
      </c>
      <c r="G1704" t="s">
        <v>54</v>
      </c>
      <c r="H1704" t="s">
        <v>138</v>
      </c>
      <c r="I1704" s="1">
        <v>1</v>
      </c>
      <c r="J1704" s="2">
        <v>387.93</v>
      </c>
    </row>
    <row r="1705" spans="2:10" hidden="1" x14ac:dyDescent="0.2">
      <c r="B1705" t="s">
        <v>780</v>
      </c>
      <c r="C1705" t="s">
        <v>18</v>
      </c>
      <c r="D1705" t="s">
        <v>781</v>
      </c>
      <c r="E1705" t="s">
        <v>70</v>
      </c>
      <c r="F1705" t="s">
        <v>71</v>
      </c>
      <c r="G1705" t="s">
        <v>1033</v>
      </c>
      <c r="H1705" t="s">
        <v>30</v>
      </c>
      <c r="I1705" s="1">
        <v>1</v>
      </c>
      <c r="J1705" s="2">
        <v>2112.0700000000002</v>
      </c>
    </row>
    <row r="1706" spans="2:10" hidden="1" x14ac:dyDescent="0.2">
      <c r="B1706" t="s">
        <v>780</v>
      </c>
      <c r="C1706" t="s">
        <v>18</v>
      </c>
      <c r="D1706" t="s">
        <v>781</v>
      </c>
      <c r="E1706" t="s">
        <v>242</v>
      </c>
      <c r="F1706" t="s">
        <v>243</v>
      </c>
      <c r="G1706" t="s">
        <v>14</v>
      </c>
      <c r="H1706" t="s">
        <v>87</v>
      </c>
      <c r="I1706" s="1">
        <v>1</v>
      </c>
      <c r="J1706" s="2">
        <v>120.69</v>
      </c>
    </row>
    <row r="1707" spans="2:10" hidden="1" x14ac:dyDescent="0.2">
      <c r="B1707" t="s">
        <v>780</v>
      </c>
      <c r="C1707" t="s">
        <v>18</v>
      </c>
      <c r="D1707" t="s">
        <v>781</v>
      </c>
      <c r="E1707" t="s">
        <v>221</v>
      </c>
      <c r="F1707" t="s">
        <v>222</v>
      </c>
      <c r="G1707" t="s">
        <v>1034</v>
      </c>
      <c r="H1707" t="s">
        <v>15</v>
      </c>
      <c r="I1707" s="1">
        <v>2</v>
      </c>
      <c r="J1707" s="2">
        <v>862.06</v>
      </c>
    </row>
    <row r="1708" spans="2:10" hidden="1" x14ac:dyDescent="0.2">
      <c r="B1708" t="s">
        <v>780</v>
      </c>
      <c r="C1708" t="s">
        <v>18</v>
      </c>
      <c r="D1708" t="s">
        <v>781</v>
      </c>
      <c r="E1708" t="s">
        <v>36</v>
      </c>
      <c r="F1708" t="s">
        <v>37</v>
      </c>
      <c r="G1708" t="s">
        <v>1034</v>
      </c>
      <c r="H1708" t="s">
        <v>15</v>
      </c>
      <c r="I1708" s="1">
        <v>2</v>
      </c>
      <c r="J1708" s="2">
        <v>603.44000000000005</v>
      </c>
    </row>
    <row r="1709" spans="2:10" hidden="1" x14ac:dyDescent="0.2">
      <c r="B1709" t="s">
        <v>780</v>
      </c>
      <c r="C1709" t="s">
        <v>18</v>
      </c>
      <c r="D1709" t="s">
        <v>781</v>
      </c>
      <c r="E1709" t="s">
        <v>56</v>
      </c>
      <c r="F1709" t="s">
        <v>57</v>
      </c>
      <c r="G1709" t="s">
        <v>1034</v>
      </c>
      <c r="H1709" t="s">
        <v>15</v>
      </c>
      <c r="I1709" s="1">
        <v>1</v>
      </c>
      <c r="J1709" s="2">
        <v>431.03</v>
      </c>
    </row>
    <row r="1710" spans="2:10" hidden="1" x14ac:dyDescent="0.2">
      <c r="B1710" t="s">
        <v>780</v>
      </c>
      <c r="C1710" t="s">
        <v>18</v>
      </c>
      <c r="D1710" t="s">
        <v>781</v>
      </c>
      <c r="E1710" t="s">
        <v>16</v>
      </c>
      <c r="F1710" t="s">
        <v>17</v>
      </c>
      <c r="G1710" t="s">
        <v>1034</v>
      </c>
      <c r="H1710" t="s">
        <v>15</v>
      </c>
      <c r="I1710" s="1">
        <v>1</v>
      </c>
      <c r="J1710" s="2">
        <v>577.59</v>
      </c>
    </row>
    <row r="1711" spans="2:10" hidden="1" x14ac:dyDescent="0.2">
      <c r="B1711" t="s">
        <v>780</v>
      </c>
      <c r="C1711" t="s">
        <v>18</v>
      </c>
      <c r="D1711" t="s">
        <v>781</v>
      </c>
      <c r="E1711" t="s">
        <v>28</v>
      </c>
      <c r="F1711" t="s">
        <v>29</v>
      </c>
      <c r="G1711" t="s">
        <v>1033</v>
      </c>
      <c r="H1711" t="s">
        <v>30</v>
      </c>
      <c r="I1711" s="1">
        <v>1</v>
      </c>
      <c r="J1711" s="2">
        <v>155.16999999999999</v>
      </c>
    </row>
    <row r="1712" spans="2:10" hidden="1" x14ac:dyDescent="0.2">
      <c r="B1712" t="s">
        <v>780</v>
      </c>
      <c r="C1712" t="s">
        <v>31</v>
      </c>
      <c r="D1712" t="s">
        <v>781</v>
      </c>
      <c r="E1712" t="s">
        <v>784</v>
      </c>
      <c r="F1712" t="s">
        <v>785</v>
      </c>
      <c r="G1712" t="s">
        <v>14</v>
      </c>
      <c r="H1712" t="s">
        <v>60</v>
      </c>
      <c r="I1712" s="1">
        <v>1</v>
      </c>
      <c r="J1712" s="2">
        <v>284.48</v>
      </c>
    </row>
    <row r="1713" spans="2:10" hidden="1" x14ac:dyDescent="0.2">
      <c r="B1713" t="s">
        <v>780</v>
      </c>
      <c r="C1713" t="s">
        <v>31</v>
      </c>
      <c r="D1713" t="s">
        <v>781</v>
      </c>
      <c r="E1713" t="s">
        <v>44</v>
      </c>
      <c r="F1713" t="s">
        <v>45</v>
      </c>
      <c r="G1713" t="s">
        <v>1033</v>
      </c>
      <c r="H1713" t="s">
        <v>30</v>
      </c>
      <c r="I1713" s="1">
        <v>3</v>
      </c>
      <c r="J1713" s="2">
        <v>245.70000000000002</v>
      </c>
    </row>
    <row r="1714" spans="2:10" hidden="1" x14ac:dyDescent="0.2">
      <c r="B1714" t="s">
        <v>780</v>
      </c>
      <c r="C1714" t="s">
        <v>31</v>
      </c>
      <c r="D1714" t="s">
        <v>781</v>
      </c>
      <c r="E1714" t="s">
        <v>399</v>
      </c>
      <c r="F1714" t="s">
        <v>400</v>
      </c>
      <c r="G1714" t="s">
        <v>1033</v>
      </c>
      <c r="H1714" t="s">
        <v>30</v>
      </c>
      <c r="I1714" s="1">
        <v>1</v>
      </c>
      <c r="J1714" s="2">
        <v>818.97</v>
      </c>
    </row>
    <row r="1715" spans="2:10" hidden="1" x14ac:dyDescent="0.2">
      <c r="B1715" t="s">
        <v>780</v>
      </c>
      <c r="C1715" t="s">
        <v>31</v>
      </c>
      <c r="D1715" t="s">
        <v>781</v>
      </c>
      <c r="E1715" t="s">
        <v>406</v>
      </c>
      <c r="F1715" t="s">
        <v>407</v>
      </c>
      <c r="G1715" t="s">
        <v>14</v>
      </c>
      <c r="H1715" t="s">
        <v>104</v>
      </c>
      <c r="I1715" s="1">
        <v>5</v>
      </c>
      <c r="J1715" s="2">
        <v>86.2</v>
      </c>
    </row>
    <row r="1716" spans="2:10" hidden="1" x14ac:dyDescent="0.2">
      <c r="B1716" t="s">
        <v>780</v>
      </c>
      <c r="C1716" t="s">
        <v>31</v>
      </c>
      <c r="D1716" t="s">
        <v>781</v>
      </c>
      <c r="E1716" t="s">
        <v>163</v>
      </c>
      <c r="F1716" t="s">
        <v>164</v>
      </c>
      <c r="G1716" t="s">
        <v>1034</v>
      </c>
      <c r="H1716" t="s">
        <v>15</v>
      </c>
      <c r="I1716" s="1">
        <v>1</v>
      </c>
      <c r="J1716" s="2">
        <v>431.03</v>
      </c>
    </row>
    <row r="1717" spans="2:10" hidden="1" x14ac:dyDescent="0.2">
      <c r="B1717" t="s">
        <v>780</v>
      </c>
      <c r="C1717" t="s">
        <v>31</v>
      </c>
      <c r="D1717" t="s">
        <v>781</v>
      </c>
      <c r="E1717" t="s">
        <v>63</v>
      </c>
      <c r="F1717" t="s">
        <v>64</v>
      </c>
      <c r="G1717" t="s">
        <v>1034</v>
      </c>
      <c r="H1717" t="s">
        <v>15</v>
      </c>
      <c r="I1717" s="1">
        <v>1</v>
      </c>
      <c r="J1717" s="2">
        <v>172.41</v>
      </c>
    </row>
    <row r="1718" spans="2:10" hidden="1" x14ac:dyDescent="0.2">
      <c r="B1718" t="s">
        <v>780</v>
      </c>
      <c r="C1718" t="s">
        <v>40</v>
      </c>
      <c r="D1718" t="s">
        <v>32</v>
      </c>
      <c r="E1718" t="s">
        <v>16</v>
      </c>
      <c r="F1718" t="s">
        <v>17</v>
      </c>
      <c r="G1718" t="s">
        <v>1034</v>
      </c>
      <c r="H1718" t="s">
        <v>15</v>
      </c>
      <c r="I1718" s="1">
        <v>1</v>
      </c>
      <c r="J1718" s="2">
        <v>577.59</v>
      </c>
    </row>
    <row r="1719" spans="2:10" hidden="1" x14ac:dyDescent="0.2">
      <c r="B1719" t="s">
        <v>780</v>
      </c>
      <c r="C1719" t="s">
        <v>51</v>
      </c>
      <c r="D1719" t="s">
        <v>781</v>
      </c>
      <c r="E1719" t="s">
        <v>44</v>
      </c>
      <c r="F1719" t="s">
        <v>45</v>
      </c>
      <c r="G1719" t="s">
        <v>1033</v>
      </c>
      <c r="H1719" t="s">
        <v>30</v>
      </c>
      <c r="I1719" s="1">
        <v>2</v>
      </c>
      <c r="J1719" s="2">
        <v>163.80000000000001</v>
      </c>
    </row>
    <row r="1720" spans="2:10" hidden="1" x14ac:dyDescent="0.2">
      <c r="B1720" t="s">
        <v>780</v>
      </c>
      <c r="C1720" t="s">
        <v>51</v>
      </c>
      <c r="D1720" t="s">
        <v>781</v>
      </c>
      <c r="E1720" t="s">
        <v>214</v>
      </c>
      <c r="F1720" t="s">
        <v>215</v>
      </c>
      <c r="G1720" t="s">
        <v>1034</v>
      </c>
      <c r="H1720" t="s">
        <v>15</v>
      </c>
      <c r="I1720" s="1">
        <v>2</v>
      </c>
      <c r="J1720" s="2">
        <v>603.44000000000005</v>
      </c>
    </row>
    <row r="1721" spans="2:10" hidden="1" x14ac:dyDescent="0.2">
      <c r="B1721" t="s">
        <v>780</v>
      </c>
      <c r="C1721" t="s">
        <v>51</v>
      </c>
      <c r="D1721" t="s">
        <v>781</v>
      </c>
      <c r="E1721" t="s">
        <v>786</v>
      </c>
      <c r="F1721" t="s">
        <v>787</v>
      </c>
      <c r="G1721" t="s">
        <v>43</v>
      </c>
      <c r="H1721" t="s">
        <v>383</v>
      </c>
      <c r="I1721" s="1">
        <v>1</v>
      </c>
      <c r="J1721" s="2">
        <v>301.72000000000003</v>
      </c>
    </row>
    <row r="1722" spans="2:10" hidden="1" x14ac:dyDescent="0.2">
      <c r="B1722" t="s">
        <v>780</v>
      </c>
      <c r="C1722" t="s">
        <v>51</v>
      </c>
      <c r="D1722" t="s">
        <v>781</v>
      </c>
      <c r="E1722" t="s">
        <v>191</v>
      </c>
      <c r="F1722" t="s">
        <v>192</v>
      </c>
      <c r="G1722" t="s">
        <v>43</v>
      </c>
      <c r="H1722" t="s">
        <v>50</v>
      </c>
      <c r="I1722" s="1">
        <v>1</v>
      </c>
      <c r="J1722" s="2">
        <v>3534.48</v>
      </c>
    </row>
    <row r="1723" spans="2:10" hidden="1" x14ac:dyDescent="0.2">
      <c r="B1723" t="s">
        <v>780</v>
      </c>
      <c r="C1723" t="s">
        <v>51</v>
      </c>
      <c r="D1723" t="s">
        <v>781</v>
      </c>
      <c r="E1723" t="s">
        <v>406</v>
      </c>
      <c r="F1723" t="s">
        <v>407</v>
      </c>
      <c r="G1723" t="s">
        <v>14</v>
      </c>
      <c r="H1723" t="s">
        <v>104</v>
      </c>
      <c r="I1723" s="1">
        <v>5</v>
      </c>
      <c r="J1723" s="2">
        <v>86.2</v>
      </c>
    </row>
    <row r="1724" spans="2:10" hidden="1" x14ac:dyDescent="0.2">
      <c r="B1724" t="s">
        <v>780</v>
      </c>
      <c r="C1724" t="s">
        <v>51</v>
      </c>
      <c r="D1724" t="s">
        <v>781</v>
      </c>
      <c r="E1724" t="s">
        <v>163</v>
      </c>
      <c r="F1724" t="s">
        <v>164</v>
      </c>
      <c r="G1724" t="s">
        <v>1034</v>
      </c>
      <c r="H1724" t="s">
        <v>15</v>
      </c>
      <c r="I1724" s="1">
        <v>1</v>
      </c>
      <c r="J1724" s="2">
        <v>431.03</v>
      </c>
    </row>
    <row r="1725" spans="2:10" hidden="1" x14ac:dyDescent="0.2">
      <c r="B1725" t="s">
        <v>780</v>
      </c>
      <c r="C1725" t="s">
        <v>51</v>
      </c>
      <c r="D1725" t="s">
        <v>781</v>
      </c>
      <c r="E1725" t="s">
        <v>61</v>
      </c>
      <c r="F1725" t="s">
        <v>62</v>
      </c>
      <c r="G1725" t="s">
        <v>1034</v>
      </c>
      <c r="H1725" t="s">
        <v>15</v>
      </c>
      <c r="I1725" s="1">
        <v>2</v>
      </c>
      <c r="J1725" s="2">
        <v>344.82</v>
      </c>
    </row>
    <row r="1726" spans="2:10" hidden="1" x14ac:dyDescent="0.2">
      <c r="B1726" t="s">
        <v>780</v>
      </c>
      <c r="C1726" t="s">
        <v>65</v>
      </c>
      <c r="D1726" t="s">
        <v>781</v>
      </c>
      <c r="E1726" t="s">
        <v>36</v>
      </c>
      <c r="F1726" t="s">
        <v>37</v>
      </c>
      <c r="G1726" t="s">
        <v>1034</v>
      </c>
      <c r="H1726" t="s">
        <v>15</v>
      </c>
      <c r="I1726" s="1">
        <v>1</v>
      </c>
      <c r="J1726" s="2">
        <v>301.72000000000003</v>
      </c>
    </row>
    <row r="1727" spans="2:10" hidden="1" x14ac:dyDescent="0.2">
      <c r="B1727" t="s">
        <v>780</v>
      </c>
      <c r="C1727" t="s">
        <v>65</v>
      </c>
      <c r="D1727" t="s">
        <v>781</v>
      </c>
      <c r="E1727" t="s">
        <v>56</v>
      </c>
      <c r="F1727" t="s">
        <v>57</v>
      </c>
      <c r="G1727" t="s">
        <v>1034</v>
      </c>
      <c r="H1727" t="s">
        <v>15</v>
      </c>
      <c r="I1727" s="1">
        <v>1</v>
      </c>
      <c r="J1727" s="2">
        <v>431.03</v>
      </c>
    </row>
    <row r="1728" spans="2:10" hidden="1" x14ac:dyDescent="0.2">
      <c r="B1728" t="s">
        <v>780</v>
      </c>
      <c r="C1728" t="s">
        <v>65</v>
      </c>
      <c r="D1728" t="s">
        <v>781</v>
      </c>
      <c r="E1728" t="s">
        <v>16</v>
      </c>
      <c r="F1728" t="s">
        <v>17</v>
      </c>
      <c r="G1728" t="s">
        <v>1034</v>
      </c>
      <c r="H1728" t="s">
        <v>15</v>
      </c>
      <c r="I1728" s="1">
        <v>1</v>
      </c>
      <c r="J1728" s="2">
        <v>577.59</v>
      </c>
    </row>
    <row r="1729" spans="2:10" hidden="1" x14ac:dyDescent="0.2">
      <c r="B1729" t="s">
        <v>780</v>
      </c>
      <c r="C1729" t="s">
        <v>82</v>
      </c>
      <c r="D1729" t="s">
        <v>781</v>
      </c>
      <c r="E1729" t="s">
        <v>44</v>
      </c>
      <c r="F1729" t="s">
        <v>45</v>
      </c>
      <c r="G1729" t="s">
        <v>1033</v>
      </c>
      <c r="H1729" t="s">
        <v>30</v>
      </c>
      <c r="I1729" s="1">
        <v>2</v>
      </c>
      <c r="J1729" s="2">
        <v>163.80000000000001</v>
      </c>
    </row>
    <row r="1730" spans="2:10" hidden="1" x14ac:dyDescent="0.2">
      <c r="B1730" t="s">
        <v>780</v>
      </c>
      <c r="C1730" t="s">
        <v>82</v>
      </c>
      <c r="D1730" t="s">
        <v>781</v>
      </c>
      <c r="E1730" t="s">
        <v>19</v>
      </c>
      <c r="F1730" t="s">
        <v>20</v>
      </c>
      <c r="G1730" t="s">
        <v>14</v>
      </c>
      <c r="H1730" t="s">
        <v>21</v>
      </c>
      <c r="I1730" s="1">
        <v>1</v>
      </c>
      <c r="J1730" s="2">
        <v>431.04</v>
      </c>
    </row>
    <row r="1731" spans="2:10" hidden="1" x14ac:dyDescent="0.2">
      <c r="B1731" t="s">
        <v>780</v>
      </c>
      <c r="C1731" t="s">
        <v>82</v>
      </c>
      <c r="D1731" t="s">
        <v>781</v>
      </c>
      <c r="E1731" t="s">
        <v>221</v>
      </c>
      <c r="F1731" t="s">
        <v>222</v>
      </c>
      <c r="G1731" t="s">
        <v>1034</v>
      </c>
      <c r="H1731" t="s">
        <v>15</v>
      </c>
      <c r="I1731" s="1">
        <v>1</v>
      </c>
      <c r="J1731" s="2">
        <v>431.03</v>
      </c>
    </row>
    <row r="1732" spans="2:10" hidden="1" x14ac:dyDescent="0.2">
      <c r="B1732" t="s">
        <v>780</v>
      </c>
      <c r="C1732" t="s">
        <v>82</v>
      </c>
      <c r="D1732" t="s">
        <v>781</v>
      </c>
      <c r="E1732" t="s">
        <v>36</v>
      </c>
      <c r="F1732" t="s">
        <v>37</v>
      </c>
      <c r="G1732" t="s">
        <v>1034</v>
      </c>
      <c r="H1732" t="s">
        <v>15</v>
      </c>
      <c r="I1732" s="1">
        <v>1</v>
      </c>
      <c r="J1732" s="2">
        <v>301.72000000000003</v>
      </c>
    </row>
    <row r="1733" spans="2:10" hidden="1" x14ac:dyDescent="0.2">
      <c r="B1733" t="s">
        <v>780</v>
      </c>
      <c r="C1733" t="s">
        <v>82</v>
      </c>
      <c r="D1733" t="s">
        <v>781</v>
      </c>
      <c r="E1733" t="s">
        <v>786</v>
      </c>
      <c r="F1733" t="s">
        <v>787</v>
      </c>
      <c r="G1733" t="s">
        <v>43</v>
      </c>
      <c r="H1733" t="s">
        <v>383</v>
      </c>
      <c r="I1733" s="1">
        <v>1</v>
      </c>
      <c r="J1733" s="2">
        <v>301.72000000000003</v>
      </c>
    </row>
    <row r="1734" spans="2:10" hidden="1" x14ac:dyDescent="0.2">
      <c r="B1734" t="s">
        <v>780</v>
      </c>
      <c r="C1734" t="s">
        <v>82</v>
      </c>
      <c r="D1734" t="s">
        <v>781</v>
      </c>
      <c r="E1734" t="s">
        <v>56</v>
      </c>
      <c r="F1734" t="s">
        <v>57</v>
      </c>
      <c r="G1734" t="s">
        <v>1034</v>
      </c>
      <c r="H1734" t="s">
        <v>15</v>
      </c>
      <c r="I1734" s="1">
        <v>1</v>
      </c>
      <c r="J1734" s="2">
        <v>431.03</v>
      </c>
    </row>
    <row r="1735" spans="2:10" hidden="1" x14ac:dyDescent="0.2">
      <c r="B1735" t="s">
        <v>780</v>
      </c>
      <c r="C1735" t="s">
        <v>82</v>
      </c>
      <c r="D1735" t="s">
        <v>781</v>
      </c>
      <c r="E1735" t="s">
        <v>521</v>
      </c>
      <c r="F1735" t="s">
        <v>522</v>
      </c>
      <c r="G1735" t="s">
        <v>14</v>
      </c>
      <c r="H1735" t="s">
        <v>104</v>
      </c>
      <c r="I1735" s="1">
        <v>2</v>
      </c>
      <c r="J1735" s="2">
        <v>43.1</v>
      </c>
    </row>
    <row r="1736" spans="2:10" hidden="1" x14ac:dyDescent="0.2">
      <c r="B1736" t="s">
        <v>780</v>
      </c>
      <c r="C1736" t="s">
        <v>82</v>
      </c>
      <c r="D1736" t="s">
        <v>781</v>
      </c>
      <c r="E1736" t="s">
        <v>406</v>
      </c>
      <c r="F1736" t="s">
        <v>407</v>
      </c>
      <c r="G1736" t="s">
        <v>14</v>
      </c>
      <c r="H1736" t="s">
        <v>104</v>
      </c>
      <c r="I1736" s="1">
        <v>5</v>
      </c>
      <c r="J1736" s="2">
        <v>86.2</v>
      </c>
    </row>
    <row r="1737" spans="2:10" hidden="1" x14ac:dyDescent="0.2">
      <c r="B1737" t="s">
        <v>780</v>
      </c>
      <c r="C1737" t="s">
        <v>82</v>
      </c>
      <c r="D1737" t="s">
        <v>781</v>
      </c>
      <c r="E1737" t="s">
        <v>28</v>
      </c>
      <c r="F1737" t="s">
        <v>29</v>
      </c>
      <c r="G1737" t="s">
        <v>1033</v>
      </c>
      <c r="H1737" t="s">
        <v>30</v>
      </c>
      <c r="I1737" s="1">
        <v>1</v>
      </c>
      <c r="J1737" s="2">
        <v>155.16999999999999</v>
      </c>
    </row>
    <row r="1738" spans="2:10" hidden="1" x14ac:dyDescent="0.2">
      <c r="B1738" t="s">
        <v>780</v>
      </c>
      <c r="C1738" t="s">
        <v>88</v>
      </c>
      <c r="D1738" t="s">
        <v>781</v>
      </c>
      <c r="E1738" t="s">
        <v>44</v>
      </c>
      <c r="F1738" t="s">
        <v>45</v>
      </c>
      <c r="G1738" t="s">
        <v>1033</v>
      </c>
      <c r="H1738" t="s">
        <v>30</v>
      </c>
      <c r="I1738" s="1">
        <v>4</v>
      </c>
      <c r="J1738" s="2">
        <v>327.60000000000002</v>
      </c>
    </row>
    <row r="1739" spans="2:10" hidden="1" x14ac:dyDescent="0.2">
      <c r="B1739" t="s">
        <v>780</v>
      </c>
      <c r="C1739" t="s">
        <v>88</v>
      </c>
      <c r="D1739" t="s">
        <v>781</v>
      </c>
      <c r="E1739" t="s">
        <v>788</v>
      </c>
      <c r="F1739" t="s">
        <v>789</v>
      </c>
      <c r="G1739" t="s">
        <v>43</v>
      </c>
      <c r="H1739" t="s">
        <v>91</v>
      </c>
      <c r="I1739" s="1">
        <v>1</v>
      </c>
      <c r="J1739" s="2">
        <v>706.9</v>
      </c>
    </row>
    <row r="1740" spans="2:10" hidden="1" x14ac:dyDescent="0.2">
      <c r="B1740" t="s">
        <v>780</v>
      </c>
      <c r="C1740" t="s">
        <v>88</v>
      </c>
      <c r="D1740" t="s">
        <v>781</v>
      </c>
      <c r="E1740" t="s">
        <v>316</v>
      </c>
      <c r="F1740" t="s">
        <v>317</v>
      </c>
      <c r="G1740" t="s">
        <v>14</v>
      </c>
      <c r="H1740" t="s">
        <v>27</v>
      </c>
      <c r="I1740" s="1">
        <v>1</v>
      </c>
      <c r="J1740" s="2">
        <v>413.79</v>
      </c>
    </row>
    <row r="1741" spans="2:10" hidden="1" x14ac:dyDescent="0.2">
      <c r="B1741" t="s">
        <v>780</v>
      </c>
      <c r="C1741" t="s">
        <v>88</v>
      </c>
      <c r="D1741" t="s">
        <v>781</v>
      </c>
      <c r="E1741" t="s">
        <v>605</v>
      </c>
      <c r="F1741" t="s">
        <v>606</v>
      </c>
      <c r="G1741" t="s">
        <v>1033</v>
      </c>
      <c r="H1741" t="s">
        <v>30</v>
      </c>
      <c r="I1741" s="1">
        <v>1</v>
      </c>
      <c r="J1741" s="2">
        <v>465.52</v>
      </c>
    </row>
    <row r="1742" spans="2:10" hidden="1" x14ac:dyDescent="0.2">
      <c r="B1742" t="s">
        <v>780</v>
      </c>
      <c r="C1742" t="s">
        <v>88</v>
      </c>
      <c r="D1742" t="s">
        <v>781</v>
      </c>
      <c r="E1742" t="s">
        <v>83</v>
      </c>
      <c r="F1742" t="s">
        <v>84</v>
      </c>
      <c r="G1742" t="s">
        <v>1034</v>
      </c>
      <c r="H1742" t="s">
        <v>15</v>
      </c>
      <c r="I1742" s="1">
        <v>1</v>
      </c>
      <c r="J1742" s="2">
        <v>387.93</v>
      </c>
    </row>
    <row r="1743" spans="2:10" hidden="1" x14ac:dyDescent="0.2">
      <c r="B1743" t="s">
        <v>780</v>
      </c>
      <c r="C1743" t="s">
        <v>88</v>
      </c>
      <c r="D1743" t="s">
        <v>781</v>
      </c>
      <c r="E1743" t="s">
        <v>74</v>
      </c>
      <c r="F1743" t="s">
        <v>75</v>
      </c>
      <c r="G1743" t="s">
        <v>76</v>
      </c>
      <c r="H1743" t="s">
        <v>60</v>
      </c>
      <c r="I1743" s="1">
        <v>1</v>
      </c>
      <c r="J1743" s="2">
        <v>344.83</v>
      </c>
    </row>
    <row r="1744" spans="2:10" hidden="1" x14ac:dyDescent="0.2">
      <c r="B1744" t="s">
        <v>780</v>
      </c>
      <c r="C1744" t="s">
        <v>88</v>
      </c>
      <c r="D1744" t="s">
        <v>781</v>
      </c>
      <c r="E1744" t="s">
        <v>56</v>
      </c>
      <c r="F1744" t="s">
        <v>57</v>
      </c>
      <c r="G1744" t="s">
        <v>1034</v>
      </c>
      <c r="H1744" t="s">
        <v>15</v>
      </c>
      <c r="I1744" s="1">
        <v>1</v>
      </c>
      <c r="J1744" s="2">
        <v>431.03</v>
      </c>
    </row>
    <row r="1745" spans="2:10" hidden="1" x14ac:dyDescent="0.2">
      <c r="B1745" t="s">
        <v>780</v>
      </c>
      <c r="C1745" t="s">
        <v>88</v>
      </c>
      <c r="D1745" t="s">
        <v>781</v>
      </c>
      <c r="E1745" t="s">
        <v>63</v>
      </c>
      <c r="F1745" t="s">
        <v>64</v>
      </c>
      <c r="G1745" t="s">
        <v>1034</v>
      </c>
      <c r="H1745" t="s">
        <v>15</v>
      </c>
      <c r="I1745" s="1">
        <v>1</v>
      </c>
      <c r="J1745" s="2">
        <v>172.41</v>
      </c>
    </row>
    <row r="1746" spans="2:10" hidden="1" x14ac:dyDescent="0.2">
      <c r="B1746" t="s">
        <v>780</v>
      </c>
      <c r="C1746" t="s">
        <v>88</v>
      </c>
      <c r="D1746" t="s">
        <v>781</v>
      </c>
      <c r="E1746" t="s">
        <v>28</v>
      </c>
      <c r="F1746" t="s">
        <v>29</v>
      </c>
      <c r="G1746" t="s">
        <v>1033</v>
      </c>
      <c r="H1746" t="s">
        <v>30</v>
      </c>
      <c r="I1746" s="1">
        <v>1</v>
      </c>
      <c r="J1746" s="2">
        <v>155.16999999999999</v>
      </c>
    </row>
    <row r="1747" spans="2:10" hidden="1" x14ac:dyDescent="0.2">
      <c r="B1747" t="s">
        <v>780</v>
      </c>
      <c r="C1747" t="s">
        <v>117</v>
      </c>
      <c r="D1747" t="s">
        <v>781</v>
      </c>
      <c r="E1747" t="s">
        <v>41</v>
      </c>
      <c r="F1747" t="s">
        <v>42</v>
      </c>
      <c r="G1747" t="s">
        <v>1033</v>
      </c>
      <c r="H1747" t="s">
        <v>30</v>
      </c>
      <c r="I1747" s="1">
        <v>1</v>
      </c>
      <c r="J1747" s="2">
        <v>34.479999999999997</v>
      </c>
    </row>
    <row r="1748" spans="2:10" hidden="1" x14ac:dyDescent="0.2">
      <c r="B1748" t="s">
        <v>780</v>
      </c>
      <c r="C1748" t="s">
        <v>117</v>
      </c>
      <c r="D1748" t="s">
        <v>781</v>
      </c>
      <c r="E1748" t="s">
        <v>44</v>
      </c>
      <c r="F1748" t="s">
        <v>45</v>
      </c>
      <c r="G1748" t="s">
        <v>1033</v>
      </c>
      <c r="H1748" t="s">
        <v>30</v>
      </c>
      <c r="I1748" s="1">
        <v>3</v>
      </c>
      <c r="J1748" s="2">
        <v>245.70000000000002</v>
      </c>
    </row>
    <row r="1749" spans="2:10" hidden="1" x14ac:dyDescent="0.2">
      <c r="B1749" t="s">
        <v>780</v>
      </c>
      <c r="C1749" t="s">
        <v>117</v>
      </c>
      <c r="D1749" t="s">
        <v>781</v>
      </c>
      <c r="E1749" t="s">
        <v>675</v>
      </c>
      <c r="F1749" t="s">
        <v>676</v>
      </c>
      <c r="G1749" t="s">
        <v>1033</v>
      </c>
      <c r="H1749" t="s">
        <v>30</v>
      </c>
      <c r="I1749" s="1">
        <v>1</v>
      </c>
      <c r="J1749" s="2">
        <v>1508.62</v>
      </c>
    </row>
    <row r="1750" spans="2:10" hidden="1" x14ac:dyDescent="0.2">
      <c r="B1750" t="s">
        <v>780</v>
      </c>
      <c r="C1750" t="s">
        <v>117</v>
      </c>
      <c r="D1750" t="s">
        <v>781</v>
      </c>
      <c r="E1750" t="s">
        <v>19</v>
      </c>
      <c r="F1750" t="s">
        <v>20</v>
      </c>
      <c r="G1750" t="s">
        <v>14</v>
      </c>
      <c r="H1750" t="s">
        <v>21</v>
      </c>
      <c r="I1750" s="1">
        <v>1</v>
      </c>
      <c r="J1750" s="2">
        <v>431.04</v>
      </c>
    </row>
    <row r="1751" spans="2:10" hidden="1" x14ac:dyDescent="0.2">
      <c r="B1751" t="s">
        <v>780</v>
      </c>
      <c r="C1751" t="s">
        <v>117</v>
      </c>
      <c r="D1751" t="s">
        <v>781</v>
      </c>
      <c r="E1751" t="s">
        <v>33</v>
      </c>
      <c r="F1751" t="s">
        <v>34</v>
      </c>
      <c r="G1751" t="s">
        <v>14</v>
      </c>
      <c r="H1751" t="s">
        <v>35</v>
      </c>
      <c r="I1751" s="1">
        <v>1</v>
      </c>
      <c r="J1751" s="2">
        <v>60.34</v>
      </c>
    </row>
    <row r="1752" spans="2:10" hidden="1" x14ac:dyDescent="0.2">
      <c r="B1752" t="s">
        <v>780</v>
      </c>
      <c r="C1752" t="s">
        <v>117</v>
      </c>
      <c r="D1752" t="s">
        <v>781</v>
      </c>
      <c r="E1752" t="s">
        <v>590</v>
      </c>
      <c r="F1752" t="s">
        <v>591</v>
      </c>
      <c r="G1752" t="s">
        <v>14</v>
      </c>
      <c r="H1752" t="s">
        <v>35</v>
      </c>
      <c r="I1752" s="1">
        <v>1</v>
      </c>
      <c r="J1752" s="2">
        <v>77.59</v>
      </c>
    </row>
    <row r="1753" spans="2:10" hidden="1" x14ac:dyDescent="0.2">
      <c r="B1753" t="s">
        <v>780</v>
      </c>
      <c r="C1753" t="s">
        <v>117</v>
      </c>
      <c r="D1753" t="s">
        <v>781</v>
      </c>
      <c r="E1753" t="s">
        <v>278</v>
      </c>
      <c r="F1753" t="s">
        <v>279</v>
      </c>
      <c r="G1753" t="s">
        <v>1033</v>
      </c>
      <c r="H1753" t="s">
        <v>30</v>
      </c>
      <c r="I1753" s="1">
        <v>1</v>
      </c>
      <c r="J1753" s="2">
        <v>112.07</v>
      </c>
    </row>
    <row r="1754" spans="2:10" hidden="1" x14ac:dyDescent="0.2">
      <c r="B1754" t="s">
        <v>780</v>
      </c>
      <c r="C1754" t="s">
        <v>117</v>
      </c>
      <c r="D1754" t="s">
        <v>781</v>
      </c>
      <c r="E1754" t="s">
        <v>399</v>
      </c>
      <c r="F1754" t="s">
        <v>400</v>
      </c>
      <c r="G1754" t="s">
        <v>1033</v>
      </c>
      <c r="H1754" t="s">
        <v>30</v>
      </c>
      <c r="I1754" s="1">
        <v>1</v>
      </c>
      <c r="J1754" s="2">
        <v>818.97</v>
      </c>
    </row>
    <row r="1755" spans="2:10" hidden="1" x14ac:dyDescent="0.2">
      <c r="B1755" t="s">
        <v>780</v>
      </c>
      <c r="C1755" t="s">
        <v>117</v>
      </c>
      <c r="D1755" t="s">
        <v>781</v>
      </c>
      <c r="E1755" t="s">
        <v>70</v>
      </c>
      <c r="F1755" t="s">
        <v>71</v>
      </c>
      <c r="G1755" t="s">
        <v>1033</v>
      </c>
      <c r="H1755" t="s">
        <v>30</v>
      </c>
      <c r="I1755" s="1">
        <v>1</v>
      </c>
      <c r="J1755" s="2">
        <v>2112.0700000000002</v>
      </c>
    </row>
    <row r="1756" spans="2:10" hidden="1" x14ac:dyDescent="0.2">
      <c r="B1756" t="s">
        <v>780</v>
      </c>
      <c r="C1756" t="s">
        <v>117</v>
      </c>
      <c r="D1756" t="s">
        <v>781</v>
      </c>
      <c r="E1756" t="s">
        <v>242</v>
      </c>
      <c r="F1756" t="s">
        <v>243</v>
      </c>
      <c r="G1756" t="s">
        <v>14</v>
      </c>
      <c r="H1756" t="s">
        <v>87</v>
      </c>
      <c r="I1756" s="1">
        <v>1</v>
      </c>
      <c r="J1756" s="2">
        <v>120.69</v>
      </c>
    </row>
    <row r="1757" spans="2:10" hidden="1" x14ac:dyDescent="0.2">
      <c r="B1757" t="s">
        <v>780</v>
      </c>
      <c r="C1757" t="s">
        <v>117</v>
      </c>
      <c r="D1757" t="s">
        <v>781</v>
      </c>
      <c r="E1757" t="s">
        <v>505</v>
      </c>
      <c r="F1757" t="s">
        <v>506</v>
      </c>
      <c r="G1757" t="s">
        <v>1033</v>
      </c>
      <c r="H1757" t="s">
        <v>30</v>
      </c>
      <c r="I1757" s="1">
        <v>1</v>
      </c>
      <c r="J1757" s="2">
        <v>775.86</v>
      </c>
    </row>
    <row r="1758" spans="2:10" hidden="1" x14ac:dyDescent="0.2">
      <c r="B1758" t="s">
        <v>780</v>
      </c>
      <c r="C1758" t="s">
        <v>117</v>
      </c>
      <c r="D1758" t="s">
        <v>781</v>
      </c>
      <c r="E1758" t="s">
        <v>214</v>
      </c>
      <c r="F1758" t="s">
        <v>215</v>
      </c>
      <c r="G1758" t="s">
        <v>1034</v>
      </c>
      <c r="H1758" t="s">
        <v>15</v>
      </c>
      <c r="I1758" s="1">
        <v>1</v>
      </c>
      <c r="J1758" s="2">
        <v>301.72000000000003</v>
      </c>
    </row>
    <row r="1759" spans="2:10" hidden="1" x14ac:dyDescent="0.2">
      <c r="B1759" t="s">
        <v>780</v>
      </c>
      <c r="C1759" t="s">
        <v>117</v>
      </c>
      <c r="D1759" t="s">
        <v>781</v>
      </c>
      <c r="E1759" t="s">
        <v>36</v>
      </c>
      <c r="F1759" t="s">
        <v>37</v>
      </c>
      <c r="G1759" t="s">
        <v>1034</v>
      </c>
      <c r="H1759" t="s">
        <v>15</v>
      </c>
      <c r="I1759" s="1">
        <v>2</v>
      </c>
      <c r="J1759" s="2">
        <v>603.44000000000005</v>
      </c>
    </row>
    <row r="1760" spans="2:10" hidden="1" x14ac:dyDescent="0.2">
      <c r="B1760" t="s">
        <v>780</v>
      </c>
      <c r="C1760" t="s">
        <v>117</v>
      </c>
      <c r="D1760" t="s">
        <v>781</v>
      </c>
      <c r="E1760" t="s">
        <v>285</v>
      </c>
      <c r="F1760" t="s">
        <v>286</v>
      </c>
      <c r="G1760" t="s">
        <v>1033</v>
      </c>
      <c r="H1760" t="s">
        <v>30</v>
      </c>
      <c r="I1760" s="1">
        <v>1</v>
      </c>
      <c r="J1760" s="2">
        <v>1034.48</v>
      </c>
    </row>
    <row r="1761" spans="2:10" hidden="1" x14ac:dyDescent="0.2">
      <c r="B1761" t="s">
        <v>780</v>
      </c>
      <c r="C1761" t="s">
        <v>117</v>
      </c>
      <c r="D1761" t="s">
        <v>781</v>
      </c>
      <c r="E1761" t="s">
        <v>790</v>
      </c>
      <c r="F1761" t="s">
        <v>791</v>
      </c>
      <c r="G1761" t="s">
        <v>54</v>
      </c>
      <c r="H1761" t="s">
        <v>792</v>
      </c>
      <c r="I1761" s="1">
        <v>1</v>
      </c>
      <c r="J1761" s="2">
        <v>86.21</v>
      </c>
    </row>
    <row r="1762" spans="2:10" hidden="1" x14ac:dyDescent="0.2">
      <c r="B1762" t="s">
        <v>780</v>
      </c>
      <c r="C1762" t="s">
        <v>117</v>
      </c>
      <c r="D1762" t="s">
        <v>781</v>
      </c>
      <c r="E1762" t="s">
        <v>16</v>
      </c>
      <c r="F1762" t="s">
        <v>17</v>
      </c>
      <c r="G1762" t="s">
        <v>1034</v>
      </c>
      <c r="H1762" t="s">
        <v>15</v>
      </c>
      <c r="I1762" s="1">
        <v>1</v>
      </c>
      <c r="J1762" s="2">
        <v>577.59</v>
      </c>
    </row>
    <row r="1763" spans="2:10" hidden="1" x14ac:dyDescent="0.2">
      <c r="B1763" t="s">
        <v>780</v>
      </c>
      <c r="C1763" t="s">
        <v>129</v>
      </c>
      <c r="D1763" t="s">
        <v>781</v>
      </c>
      <c r="E1763" t="s">
        <v>44</v>
      </c>
      <c r="F1763" t="s">
        <v>45</v>
      </c>
      <c r="G1763" t="s">
        <v>1033</v>
      </c>
      <c r="H1763" t="s">
        <v>30</v>
      </c>
      <c r="I1763" s="1">
        <v>1</v>
      </c>
      <c r="J1763" s="2">
        <v>81.900000000000006</v>
      </c>
    </row>
    <row r="1764" spans="2:10" hidden="1" x14ac:dyDescent="0.2">
      <c r="B1764" t="s">
        <v>780</v>
      </c>
      <c r="C1764" t="s">
        <v>129</v>
      </c>
      <c r="D1764" t="s">
        <v>781</v>
      </c>
      <c r="E1764" t="s">
        <v>19</v>
      </c>
      <c r="F1764" t="s">
        <v>20</v>
      </c>
      <c r="G1764" t="s">
        <v>14</v>
      </c>
      <c r="H1764" t="s">
        <v>21</v>
      </c>
      <c r="I1764" s="1">
        <v>1</v>
      </c>
      <c r="J1764" s="2">
        <v>431.04</v>
      </c>
    </row>
    <row r="1765" spans="2:10" hidden="1" x14ac:dyDescent="0.2">
      <c r="B1765" t="s">
        <v>780</v>
      </c>
      <c r="C1765" t="s">
        <v>129</v>
      </c>
      <c r="D1765" t="s">
        <v>781</v>
      </c>
      <c r="E1765" t="s">
        <v>36</v>
      </c>
      <c r="F1765" t="s">
        <v>37</v>
      </c>
      <c r="G1765" t="s">
        <v>1034</v>
      </c>
      <c r="H1765" t="s">
        <v>15</v>
      </c>
      <c r="I1765" s="1">
        <v>1</v>
      </c>
      <c r="J1765" s="2">
        <v>301.72000000000003</v>
      </c>
    </row>
    <row r="1766" spans="2:10" hidden="1" x14ac:dyDescent="0.2">
      <c r="B1766" t="s">
        <v>780</v>
      </c>
      <c r="C1766" t="s">
        <v>129</v>
      </c>
      <c r="D1766" t="s">
        <v>781</v>
      </c>
      <c r="E1766" t="s">
        <v>105</v>
      </c>
      <c r="F1766" t="s">
        <v>106</v>
      </c>
      <c r="G1766" t="s">
        <v>107</v>
      </c>
      <c r="H1766" t="s">
        <v>50</v>
      </c>
      <c r="I1766" s="1">
        <v>1</v>
      </c>
      <c r="J1766" s="2">
        <v>2586.21</v>
      </c>
    </row>
    <row r="1767" spans="2:10" hidden="1" x14ac:dyDescent="0.2">
      <c r="B1767" t="s">
        <v>780</v>
      </c>
      <c r="C1767" t="s">
        <v>129</v>
      </c>
      <c r="D1767" t="s">
        <v>781</v>
      </c>
      <c r="E1767" t="s">
        <v>793</v>
      </c>
      <c r="F1767" t="s">
        <v>794</v>
      </c>
      <c r="G1767" t="s">
        <v>54</v>
      </c>
      <c r="H1767" t="s">
        <v>795</v>
      </c>
      <c r="I1767" s="1">
        <v>1</v>
      </c>
      <c r="J1767" s="2">
        <v>172.41</v>
      </c>
    </row>
    <row r="1768" spans="2:10" hidden="1" x14ac:dyDescent="0.2">
      <c r="B1768" t="s">
        <v>780</v>
      </c>
      <c r="C1768" t="s">
        <v>129</v>
      </c>
      <c r="D1768" t="s">
        <v>781</v>
      </c>
      <c r="E1768" t="s">
        <v>406</v>
      </c>
      <c r="F1768" t="s">
        <v>407</v>
      </c>
      <c r="G1768" t="s">
        <v>14</v>
      </c>
      <c r="H1768" t="s">
        <v>104</v>
      </c>
      <c r="I1768" s="1">
        <v>1</v>
      </c>
      <c r="J1768" s="2">
        <v>17.239999999999998</v>
      </c>
    </row>
    <row r="1769" spans="2:10" hidden="1" x14ac:dyDescent="0.2">
      <c r="B1769" t="s">
        <v>780</v>
      </c>
      <c r="C1769" t="s">
        <v>129</v>
      </c>
      <c r="D1769" t="s">
        <v>781</v>
      </c>
      <c r="E1769" t="s">
        <v>61</v>
      </c>
      <c r="F1769" t="s">
        <v>62</v>
      </c>
      <c r="G1769" t="s">
        <v>1034</v>
      </c>
      <c r="H1769" t="s">
        <v>15</v>
      </c>
      <c r="I1769" s="1">
        <v>1</v>
      </c>
      <c r="J1769" s="2">
        <v>172.41</v>
      </c>
    </row>
    <row r="1770" spans="2:10" hidden="1" x14ac:dyDescent="0.2">
      <c r="B1770" t="s">
        <v>780</v>
      </c>
      <c r="C1770" t="s">
        <v>129</v>
      </c>
      <c r="D1770" t="s">
        <v>781</v>
      </c>
      <c r="E1770" t="s">
        <v>63</v>
      </c>
      <c r="F1770" t="s">
        <v>64</v>
      </c>
      <c r="G1770" t="s">
        <v>1034</v>
      </c>
      <c r="H1770" t="s">
        <v>15</v>
      </c>
      <c r="I1770" s="1">
        <v>1</v>
      </c>
      <c r="J1770" s="2">
        <v>172.41</v>
      </c>
    </row>
    <row r="1771" spans="2:10" hidden="1" x14ac:dyDescent="0.2">
      <c r="B1771" t="s">
        <v>780</v>
      </c>
      <c r="C1771" t="s">
        <v>129</v>
      </c>
      <c r="D1771" t="s">
        <v>781</v>
      </c>
      <c r="E1771" t="s">
        <v>796</v>
      </c>
      <c r="F1771" t="s">
        <v>797</v>
      </c>
      <c r="G1771" t="s">
        <v>54</v>
      </c>
      <c r="H1771" t="s">
        <v>565</v>
      </c>
      <c r="I1771" s="1">
        <v>1</v>
      </c>
      <c r="J1771" s="2">
        <v>258.62</v>
      </c>
    </row>
    <row r="1772" spans="2:10" hidden="1" x14ac:dyDescent="0.2">
      <c r="B1772" t="s">
        <v>780</v>
      </c>
      <c r="C1772" t="s">
        <v>134</v>
      </c>
      <c r="D1772" t="s">
        <v>781</v>
      </c>
      <c r="E1772" t="s">
        <v>302</v>
      </c>
      <c r="F1772" t="s">
        <v>303</v>
      </c>
      <c r="G1772" t="s">
        <v>1033</v>
      </c>
      <c r="H1772" t="s">
        <v>30</v>
      </c>
      <c r="I1772" s="1">
        <v>1</v>
      </c>
      <c r="J1772" s="2">
        <v>474.14</v>
      </c>
    </row>
    <row r="1773" spans="2:10" hidden="1" x14ac:dyDescent="0.2">
      <c r="B1773" t="s">
        <v>780</v>
      </c>
      <c r="C1773" t="s">
        <v>134</v>
      </c>
      <c r="D1773" t="s">
        <v>781</v>
      </c>
      <c r="E1773" t="s">
        <v>523</v>
      </c>
      <c r="F1773" t="s">
        <v>524</v>
      </c>
      <c r="G1773" t="s">
        <v>14</v>
      </c>
      <c r="H1773" t="s">
        <v>35</v>
      </c>
      <c r="I1773" s="1">
        <v>1</v>
      </c>
      <c r="J1773" s="2">
        <v>60.34</v>
      </c>
    </row>
    <row r="1774" spans="2:10" hidden="1" x14ac:dyDescent="0.2">
      <c r="B1774" t="s">
        <v>780</v>
      </c>
      <c r="C1774" t="s">
        <v>134</v>
      </c>
      <c r="D1774" t="s">
        <v>781</v>
      </c>
      <c r="E1774" t="s">
        <v>214</v>
      </c>
      <c r="F1774" t="s">
        <v>215</v>
      </c>
      <c r="G1774" t="s">
        <v>1034</v>
      </c>
      <c r="H1774" t="s">
        <v>15</v>
      </c>
      <c r="I1774" s="1">
        <v>1</v>
      </c>
      <c r="J1774" s="2">
        <v>301.72000000000003</v>
      </c>
    </row>
    <row r="1775" spans="2:10" hidden="1" x14ac:dyDescent="0.2">
      <c r="B1775" t="s">
        <v>780</v>
      </c>
      <c r="C1775" t="s">
        <v>134</v>
      </c>
      <c r="D1775" t="s">
        <v>781</v>
      </c>
      <c r="E1775" t="s">
        <v>36</v>
      </c>
      <c r="F1775" t="s">
        <v>37</v>
      </c>
      <c r="G1775" t="s">
        <v>1034</v>
      </c>
      <c r="H1775" t="s">
        <v>15</v>
      </c>
      <c r="I1775" s="1">
        <v>1</v>
      </c>
      <c r="J1775" s="2">
        <v>301.72000000000003</v>
      </c>
    </row>
    <row r="1776" spans="2:10" hidden="1" x14ac:dyDescent="0.2">
      <c r="B1776" t="s">
        <v>780</v>
      </c>
      <c r="C1776" t="s">
        <v>134</v>
      </c>
      <c r="D1776" t="s">
        <v>781</v>
      </c>
      <c r="E1776" t="s">
        <v>74</v>
      </c>
      <c r="F1776" t="s">
        <v>75</v>
      </c>
      <c r="G1776" t="s">
        <v>76</v>
      </c>
      <c r="H1776" t="s">
        <v>60</v>
      </c>
      <c r="I1776" s="1">
        <v>1</v>
      </c>
      <c r="J1776" s="2">
        <v>344.83</v>
      </c>
    </row>
    <row r="1777" spans="2:10" hidden="1" x14ac:dyDescent="0.2">
      <c r="B1777" t="s">
        <v>780</v>
      </c>
      <c r="C1777" t="s">
        <v>134</v>
      </c>
      <c r="D1777" t="s">
        <v>781</v>
      </c>
      <c r="E1777" t="s">
        <v>77</v>
      </c>
      <c r="F1777" t="s">
        <v>78</v>
      </c>
      <c r="G1777" t="s">
        <v>14</v>
      </c>
      <c r="H1777" t="s">
        <v>27</v>
      </c>
      <c r="I1777" s="1">
        <v>1</v>
      </c>
      <c r="J1777" s="2">
        <v>51.72</v>
      </c>
    </row>
    <row r="1778" spans="2:10" hidden="1" x14ac:dyDescent="0.2">
      <c r="B1778" t="s">
        <v>780</v>
      </c>
      <c r="C1778" t="s">
        <v>134</v>
      </c>
      <c r="D1778" t="s">
        <v>781</v>
      </c>
      <c r="E1778" t="s">
        <v>79</v>
      </c>
      <c r="F1778" t="s">
        <v>80</v>
      </c>
      <c r="G1778" t="s">
        <v>43</v>
      </c>
      <c r="H1778" t="s">
        <v>81</v>
      </c>
      <c r="I1778" s="1">
        <v>1</v>
      </c>
      <c r="J1778" s="2">
        <v>1810.34</v>
      </c>
    </row>
    <row r="1779" spans="2:10" hidden="1" x14ac:dyDescent="0.2">
      <c r="B1779" t="s">
        <v>780</v>
      </c>
      <c r="C1779" t="s">
        <v>135</v>
      </c>
      <c r="D1779" t="s">
        <v>781</v>
      </c>
      <c r="E1779" t="s">
        <v>798</v>
      </c>
      <c r="F1779" t="s">
        <v>799</v>
      </c>
      <c r="G1779" t="s">
        <v>14</v>
      </c>
      <c r="H1779" t="s">
        <v>60</v>
      </c>
      <c r="I1779" s="1">
        <v>1</v>
      </c>
      <c r="J1779" s="2">
        <v>327.58999999999997</v>
      </c>
    </row>
    <row r="1780" spans="2:10" hidden="1" x14ac:dyDescent="0.2">
      <c r="B1780" t="s">
        <v>780</v>
      </c>
      <c r="C1780" t="s">
        <v>135</v>
      </c>
      <c r="D1780" t="s">
        <v>781</v>
      </c>
      <c r="E1780" t="s">
        <v>44</v>
      </c>
      <c r="F1780" t="s">
        <v>45</v>
      </c>
      <c r="G1780" t="s">
        <v>1033</v>
      </c>
      <c r="H1780" t="s">
        <v>30</v>
      </c>
      <c r="I1780" s="1">
        <v>1</v>
      </c>
      <c r="J1780" s="2">
        <v>81.900000000000006</v>
      </c>
    </row>
    <row r="1781" spans="2:10" hidden="1" x14ac:dyDescent="0.2">
      <c r="B1781" t="s">
        <v>780</v>
      </c>
      <c r="C1781" t="s">
        <v>135</v>
      </c>
      <c r="D1781" t="s">
        <v>781</v>
      </c>
      <c r="E1781" t="s">
        <v>310</v>
      </c>
      <c r="F1781" t="s">
        <v>311</v>
      </c>
      <c r="G1781" t="s">
        <v>1033</v>
      </c>
      <c r="H1781" t="s">
        <v>30</v>
      </c>
      <c r="I1781" s="1">
        <v>1</v>
      </c>
      <c r="J1781" s="2">
        <v>474.14</v>
      </c>
    </row>
    <row r="1782" spans="2:10" hidden="1" x14ac:dyDescent="0.2">
      <c r="B1782" t="s">
        <v>780</v>
      </c>
      <c r="C1782" t="s">
        <v>135</v>
      </c>
      <c r="D1782" t="s">
        <v>781</v>
      </c>
      <c r="E1782" t="s">
        <v>16</v>
      </c>
      <c r="F1782" t="s">
        <v>17</v>
      </c>
      <c r="G1782" t="s">
        <v>1034</v>
      </c>
      <c r="H1782" t="s">
        <v>15</v>
      </c>
      <c r="I1782" s="1">
        <v>1</v>
      </c>
      <c r="J1782" s="2">
        <v>577.59</v>
      </c>
    </row>
    <row r="1783" spans="2:10" hidden="1" x14ac:dyDescent="0.2">
      <c r="B1783" t="s">
        <v>780</v>
      </c>
      <c r="C1783" t="s">
        <v>135</v>
      </c>
      <c r="D1783" t="s">
        <v>781</v>
      </c>
      <c r="E1783" t="s">
        <v>800</v>
      </c>
      <c r="F1783" t="s">
        <v>801</v>
      </c>
      <c r="G1783" t="s">
        <v>1033</v>
      </c>
      <c r="H1783" t="s">
        <v>30</v>
      </c>
      <c r="I1783" s="1">
        <v>1</v>
      </c>
      <c r="J1783" s="2">
        <v>1715.52</v>
      </c>
    </row>
    <row r="1784" spans="2:10" hidden="1" x14ac:dyDescent="0.2">
      <c r="B1784" t="s">
        <v>780</v>
      </c>
      <c r="C1784" t="s">
        <v>141</v>
      </c>
      <c r="D1784" t="s">
        <v>32</v>
      </c>
      <c r="E1784" t="s">
        <v>79</v>
      </c>
      <c r="F1784" t="s">
        <v>80</v>
      </c>
      <c r="G1784" t="s">
        <v>43</v>
      </c>
      <c r="H1784" t="s">
        <v>81</v>
      </c>
      <c r="I1784" s="1">
        <v>1</v>
      </c>
      <c r="J1784" s="2">
        <v>1810.34</v>
      </c>
    </row>
    <row r="1785" spans="2:10" hidden="1" x14ac:dyDescent="0.2">
      <c r="B1785" t="s">
        <v>780</v>
      </c>
      <c r="C1785" t="s">
        <v>144</v>
      </c>
      <c r="D1785" t="s">
        <v>781</v>
      </c>
      <c r="E1785" t="s">
        <v>312</v>
      </c>
      <c r="F1785" t="s">
        <v>313</v>
      </c>
      <c r="G1785" t="s">
        <v>1033</v>
      </c>
      <c r="H1785" t="s">
        <v>30</v>
      </c>
      <c r="I1785" s="1">
        <v>1</v>
      </c>
      <c r="J1785" s="2">
        <v>603.45000000000005</v>
      </c>
    </row>
    <row r="1786" spans="2:10" hidden="1" x14ac:dyDescent="0.2">
      <c r="B1786" t="s">
        <v>780</v>
      </c>
      <c r="C1786" t="s">
        <v>144</v>
      </c>
      <c r="D1786" t="s">
        <v>781</v>
      </c>
      <c r="E1786" t="s">
        <v>61</v>
      </c>
      <c r="F1786" t="s">
        <v>62</v>
      </c>
      <c r="G1786" t="s">
        <v>1034</v>
      </c>
      <c r="H1786" t="s">
        <v>15</v>
      </c>
      <c r="I1786" s="1">
        <v>1</v>
      </c>
      <c r="J1786" s="2">
        <v>172.41</v>
      </c>
    </row>
    <row r="1787" spans="2:10" hidden="1" x14ac:dyDescent="0.2">
      <c r="B1787" t="s">
        <v>780</v>
      </c>
      <c r="C1787" t="s">
        <v>165</v>
      </c>
      <c r="D1787" t="s">
        <v>781</v>
      </c>
      <c r="E1787" t="s">
        <v>802</v>
      </c>
      <c r="F1787" t="s">
        <v>803</v>
      </c>
      <c r="G1787" t="s">
        <v>1033</v>
      </c>
      <c r="H1787" t="s">
        <v>30</v>
      </c>
      <c r="I1787" s="1">
        <v>1</v>
      </c>
      <c r="J1787" s="2">
        <v>366.38</v>
      </c>
    </row>
    <row r="1788" spans="2:10" hidden="1" x14ac:dyDescent="0.2">
      <c r="B1788" t="s">
        <v>780</v>
      </c>
      <c r="C1788" t="s">
        <v>165</v>
      </c>
      <c r="D1788" t="s">
        <v>781</v>
      </c>
      <c r="E1788" t="s">
        <v>804</v>
      </c>
      <c r="F1788" t="s">
        <v>805</v>
      </c>
      <c r="G1788" t="s">
        <v>1033</v>
      </c>
      <c r="H1788" t="s">
        <v>30</v>
      </c>
      <c r="I1788" s="1">
        <v>1</v>
      </c>
      <c r="J1788" s="2">
        <v>137.93</v>
      </c>
    </row>
    <row r="1789" spans="2:10" hidden="1" x14ac:dyDescent="0.2">
      <c r="B1789" t="s">
        <v>780</v>
      </c>
      <c r="C1789" t="s">
        <v>165</v>
      </c>
      <c r="D1789" t="s">
        <v>781</v>
      </c>
      <c r="E1789" t="s">
        <v>44</v>
      </c>
      <c r="F1789" t="s">
        <v>45</v>
      </c>
      <c r="G1789" t="s">
        <v>1033</v>
      </c>
      <c r="H1789" t="s">
        <v>30</v>
      </c>
      <c r="I1789" s="1">
        <v>2</v>
      </c>
      <c r="J1789" s="2">
        <v>163.80000000000001</v>
      </c>
    </row>
    <row r="1790" spans="2:10" hidden="1" x14ac:dyDescent="0.2">
      <c r="B1790" t="s">
        <v>780</v>
      </c>
      <c r="C1790" t="s">
        <v>165</v>
      </c>
      <c r="D1790" t="s">
        <v>781</v>
      </c>
      <c r="E1790" t="s">
        <v>19</v>
      </c>
      <c r="F1790" t="s">
        <v>20</v>
      </c>
      <c r="G1790" t="s">
        <v>14</v>
      </c>
      <c r="H1790" t="s">
        <v>21</v>
      </c>
      <c r="I1790" s="1">
        <v>1</v>
      </c>
      <c r="J1790" s="2">
        <v>431.04</v>
      </c>
    </row>
    <row r="1791" spans="2:10" hidden="1" x14ac:dyDescent="0.2">
      <c r="B1791" t="s">
        <v>780</v>
      </c>
      <c r="C1791" t="s">
        <v>165</v>
      </c>
      <c r="D1791" t="s">
        <v>781</v>
      </c>
      <c r="E1791" t="s">
        <v>46</v>
      </c>
      <c r="F1791" t="s">
        <v>47</v>
      </c>
      <c r="G1791" t="s">
        <v>1034</v>
      </c>
      <c r="H1791" t="s">
        <v>15</v>
      </c>
      <c r="I1791" s="1">
        <v>1</v>
      </c>
      <c r="J1791" s="2">
        <v>301.72000000000003</v>
      </c>
    </row>
    <row r="1792" spans="2:10" hidden="1" x14ac:dyDescent="0.2">
      <c r="B1792" t="s">
        <v>780</v>
      </c>
      <c r="C1792" t="s">
        <v>165</v>
      </c>
      <c r="D1792" t="s">
        <v>781</v>
      </c>
      <c r="E1792" t="s">
        <v>221</v>
      </c>
      <c r="F1792" t="s">
        <v>222</v>
      </c>
      <c r="G1792" t="s">
        <v>1034</v>
      </c>
      <c r="H1792" t="s">
        <v>15</v>
      </c>
      <c r="I1792" s="1">
        <v>2</v>
      </c>
      <c r="J1792" s="2">
        <v>862.06</v>
      </c>
    </row>
    <row r="1793" spans="2:10" hidden="1" x14ac:dyDescent="0.2">
      <c r="B1793" t="s">
        <v>780</v>
      </c>
      <c r="C1793" t="s">
        <v>165</v>
      </c>
      <c r="D1793" t="s">
        <v>781</v>
      </c>
      <c r="E1793" t="s">
        <v>120</v>
      </c>
      <c r="F1793" t="s">
        <v>121</v>
      </c>
      <c r="G1793" t="s">
        <v>1034</v>
      </c>
      <c r="H1793" t="s">
        <v>15</v>
      </c>
      <c r="I1793" s="1">
        <v>1</v>
      </c>
      <c r="J1793" s="2">
        <v>301.72000000000003</v>
      </c>
    </row>
    <row r="1794" spans="2:10" hidden="1" x14ac:dyDescent="0.2">
      <c r="B1794" t="s">
        <v>780</v>
      </c>
      <c r="C1794" t="s">
        <v>165</v>
      </c>
      <c r="D1794" t="s">
        <v>781</v>
      </c>
      <c r="E1794" t="s">
        <v>223</v>
      </c>
      <c r="F1794" t="s">
        <v>224</v>
      </c>
      <c r="G1794" t="s">
        <v>43</v>
      </c>
      <c r="H1794" t="s">
        <v>50</v>
      </c>
      <c r="I1794" s="1">
        <v>1</v>
      </c>
      <c r="J1794" s="2">
        <v>1637.93</v>
      </c>
    </row>
    <row r="1795" spans="2:10" hidden="1" x14ac:dyDescent="0.2">
      <c r="B1795" t="s">
        <v>780</v>
      </c>
      <c r="C1795" t="s">
        <v>165</v>
      </c>
      <c r="D1795" t="s">
        <v>781</v>
      </c>
      <c r="E1795" t="s">
        <v>490</v>
      </c>
      <c r="F1795" t="s">
        <v>491</v>
      </c>
      <c r="G1795" t="s">
        <v>1033</v>
      </c>
      <c r="H1795" t="s">
        <v>30</v>
      </c>
      <c r="I1795" s="1">
        <v>1</v>
      </c>
      <c r="J1795" s="2">
        <v>1982.76</v>
      </c>
    </row>
    <row r="1796" spans="2:10" hidden="1" x14ac:dyDescent="0.2">
      <c r="B1796" t="s">
        <v>780</v>
      </c>
      <c r="C1796" t="s">
        <v>165</v>
      </c>
      <c r="D1796" t="s">
        <v>781</v>
      </c>
      <c r="E1796" t="s">
        <v>38</v>
      </c>
      <c r="F1796" t="s">
        <v>39</v>
      </c>
      <c r="G1796" t="s">
        <v>1034</v>
      </c>
      <c r="H1796" t="s">
        <v>15</v>
      </c>
      <c r="I1796" s="1">
        <v>1</v>
      </c>
      <c r="J1796" s="2">
        <v>431.03</v>
      </c>
    </row>
    <row r="1797" spans="2:10" hidden="1" x14ac:dyDescent="0.2">
      <c r="B1797" t="s">
        <v>780</v>
      </c>
      <c r="C1797" t="s">
        <v>165</v>
      </c>
      <c r="D1797" t="s">
        <v>781</v>
      </c>
      <c r="E1797" t="s">
        <v>273</v>
      </c>
      <c r="F1797" t="s">
        <v>274</v>
      </c>
      <c r="G1797" t="s">
        <v>1033</v>
      </c>
      <c r="H1797" t="s">
        <v>30</v>
      </c>
      <c r="I1797" s="1">
        <v>1</v>
      </c>
      <c r="J1797" s="2">
        <v>1293.0999999999999</v>
      </c>
    </row>
    <row r="1798" spans="2:10" hidden="1" x14ac:dyDescent="0.2">
      <c r="B1798" t="s">
        <v>780</v>
      </c>
      <c r="C1798" t="s">
        <v>165</v>
      </c>
      <c r="D1798" t="s">
        <v>781</v>
      </c>
      <c r="E1798" t="s">
        <v>56</v>
      </c>
      <c r="F1798" t="s">
        <v>57</v>
      </c>
      <c r="G1798" t="s">
        <v>1034</v>
      </c>
      <c r="H1798" t="s">
        <v>15</v>
      </c>
      <c r="I1798" s="1">
        <v>1</v>
      </c>
      <c r="J1798" s="2">
        <v>431.03</v>
      </c>
    </row>
    <row r="1799" spans="2:10" hidden="1" x14ac:dyDescent="0.2">
      <c r="B1799" t="s">
        <v>780</v>
      </c>
      <c r="C1799" t="s">
        <v>165</v>
      </c>
      <c r="D1799" t="s">
        <v>781</v>
      </c>
      <c r="E1799" t="s">
        <v>406</v>
      </c>
      <c r="F1799" t="s">
        <v>407</v>
      </c>
      <c r="G1799" t="s">
        <v>14</v>
      </c>
      <c r="H1799" t="s">
        <v>104</v>
      </c>
      <c r="I1799" s="1">
        <v>15</v>
      </c>
      <c r="J1799" s="2">
        <v>258.60000000000002</v>
      </c>
    </row>
    <row r="1800" spans="2:10" hidden="1" x14ac:dyDescent="0.2">
      <c r="B1800" t="s">
        <v>780</v>
      </c>
      <c r="C1800" t="s">
        <v>165</v>
      </c>
      <c r="D1800" t="s">
        <v>781</v>
      </c>
      <c r="E1800" t="s">
        <v>16</v>
      </c>
      <c r="F1800" t="s">
        <v>17</v>
      </c>
      <c r="G1800" t="s">
        <v>1034</v>
      </c>
      <c r="H1800" t="s">
        <v>15</v>
      </c>
      <c r="I1800" s="1">
        <v>1</v>
      </c>
      <c r="J1800" s="2">
        <v>577.59</v>
      </c>
    </row>
    <row r="1801" spans="2:10" hidden="1" x14ac:dyDescent="0.2">
      <c r="B1801" t="s">
        <v>780</v>
      </c>
      <c r="C1801" t="s">
        <v>165</v>
      </c>
      <c r="D1801" t="s">
        <v>781</v>
      </c>
      <c r="E1801" t="s">
        <v>806</v>
      </c>
      <c r="F1801" t="s">
        <v>807</v>
      </c>
      <c r="G1801" t="s">
        <v>1033</v>
      </c>
      <c r="H1801" t="s">
        <v>30</v>
      </c>
      <c r="I1801" s="1">
        <v>1</v>
      </c>
      <c r="J1801" s="2">
        <v>2232.7600000000002</v>
      </c>
    </row>
    <row r="1802" spans="2:10" hidden="1" x14ac:dyDescent="0.2">
      <c r="B1802" t="s">
        <v>780</v>
      </c>
      <c r="C1802" t="s">
        <v>165</v>
      </c>
      <c r="D1802" t="s">
        <v>781</v>
      </c>
      <c r="E1802" t="s">
        <v>28</v>
      </c>
      <c r="F1802" t="s">
        <v>29</v>
      </c>
      <c r="G1802" t="s">
        <v>1033</v>
      </c>
      <c r="H1802" t="s">
        <v>30</v>
      </c>
      <c r="I1802" s="1">
        <v>1</v>
      </c>
      <c r="J1802" s="2">
        <v>155.16999999999999</v>
      </c>
    </row>
    <row r="1803" spans="2:10" hidden="1" x14ac:dyDescent="0.2">
      <c r="B1803" t="s">
        <v>780</v>
      </c>
      <c r="C1803" t="s">
        <v>166</v>
      </c>
      <c r="D1803" t="s">
        <v>781</v>
      </c>
      <c r="E1803" t="s">
        <v>611</v>
      </c>
      <c r="F1803" t="s">
        <v>612</v>
      </c>
      <c r="G1803" t="s">
        <v>1033</v>
      </c>
      <c r="H1803" t="s">
        <v>30</v>
      </c>
      <c r="I1803" s="1">
        <v>1</v>
      </c>
      <c r="J1803" s="2">
        <v>793.1</v>
      </c>
    </row>
    <row r="1804" spans="2:10" hidden="1" x14ac:dyDescent="0.2">
      <c r="B1804" t="s">
        <v>780</v>
      </c>
      <c r="C1804" t="s">
        <v>166</v>
      </c>
      <c r="D1804" t="s">
        <v>781</v>
      </c>
      <c r="E1804" t="s">
        <v>671</v>
      </c>
      <c r="F1804" t="s">
        <v>672</v>
      </c>
      <c r="G1804" t="s">
        <v>14</v>
      </c>
      <c r="H1804" t="s">
        <v>35</v>
      </c>
      <c r="I1804" s="1">
        <v>1</v>
      </c>
      <c r="J1804" s="2">
        <v>77.59</v>
      </c>
    </row>
    <row r="1805" spans="2:10" hidden="1" x14ac:dyDescent="0.2">
      <c r="B1805" t="s">
        <v>780</v>
      </c>
      <c r="C1805" t="s">
        <v>166</v>
      </c>
      <c r="D1805" t="s">
        <v>781</v>
      </c>
      <c r="E1805" t="s">
        <v>731</v>
      </c>
      <c r="F1805" t="s">
        <v>732</v>
      </c>
      <c r="G1805" t="s">
        <v>14</v>
      </c>
      <c r="H1805" t="s">
        <v>27</v>
      </c>
      <c r="I1805" s="1">
        <v>2</v>
      </c>
      <c r="J1805" s="2">
        <v>827.58</v>
      </c>
    </row>
    <row r="1806" spans="2:10" hidden="1" x14ac:dyDescent="0.2">
      <c r="B1806" t="s">
        <v>780</v>
      </c>
      <c r="C1806" t="s">
        <v>166</v>
      </c>
      <c r="D1806" t="s">
        <v>781</v>
      </c>
      <c r="E1806" t="s">
        <v>56</v>
      </c>
      <c r="F1806" t="s">
        <v>57</v>
      </c>
      <c r="G1806" t="s">
        <v>1034</v>
      </c>
      <c r="H1806" t="s">
        <v>15</v>
      </c>
      <c r="I1806" s="1">
        <v>1</v>
      </c>
      <c r="J1806" s="2">
        <v>431.03</v>
      </c>
    </row>
    <row r="1807" spans="2:10" hidden="1" x14ac:dyDescent="0.2">
      <c r="B1807" t="s">
        <v>780</v>
      </c>
      <c r="C1807" t="s">
        <v>166</v>
      </c>
      <c r="D1807" t="s">
        <v>781</v>
      </c>
      <c r="E1807" t="s">
        <v>406</v>
      </c>
      <c r="F1807" t="s">
        <v>407</v>
      </c>
      <c r="G1807" t="s">
        <v>14</v>
      </c>
      <c r="H1807" t="s">
        <v>104</v>
      </c>
      <c r="I1807" s="1">
        <v>5</v>
      </c>
      <c r="J1807" s="2">
        <v>86.2</v>
      </c>
    </row>
    <row r="1808" spans="2:10" hidden="1" x14ac:dyDescent="0.2">
      <c r="B1808" t="s">
        <v>780</v>
      </c>
      <c r="C1808" t="s">
        <v>166</v>
      </c>
      <c r="D1808" t="s">
        <v>781</v>
      </c>
      <c r="E1808" t="s">
        <v>16</v>
      </c>
      <c r="F1808" t="s">
        <v>17</v>
      </c>
      <c r="G1808" t="s">
        <v>1034</v>
      </c>
      <c r="H1808" t="s">
        <v>15</v>
      </c>
      <c r="I1808" s="1">
        <v>1</v>
      </c>
      <c r="J1808" s="2">
        <v>577.59</v>
      </c>
    </row>
    <row r="1809" spans="2:10" hidden="1" x14ac:dyDescent="0.2">
      <c r="B1809" t="s">
        <v>780</v>
      </c>
      <c r="C1809" t="s">
        <v>185</v>
      </c>
      <c r="D1809" t="s">
        <v>781</v>
      </c>
      <c r="E1809" t="s">
        <v>44</v>
      </c>
      <c r="F1809" t="s">
        <v>45</v>
      </c>
      <c r="G1809" t="s">
        <v>1033</v>
      </c>
      <c r="H1809" t="s">
        <v>30</v>
      </c>
      <c r="I1809" s="1">
        <v>1</v>
      </c>
      <c r="J1809" s="2">
        <v>81.900000000000006</v>
      </c>
    </row>
    <row r="1810" spans="2:10" hidden="1" x14ac:dyDescent="0.2">
      <c r="B1810" t="s">
        <v>780</v>
      </c>
      <c r="C1810" t="s">
        <v>185</v>
      </c>
      <c r="D1810" t="s">
        <v>781</v>
      </c>
      <c r="E1810" t="s">
        <v>808</v>
      </c>
      <c r="F1810" t="s">
        <v>809</v>
      </c>
      <c r="G1810" t="s">
        <v>1033</v>
      </c>
      <c r="H1810" t="s">
        <v>30</v>
      </c>
      <c r="I1810" s="1">
        <v>1</v>
      </c>
      <c r="J1810" s="2">
        <v>806.03</v>
      </c>
    </row>
    <row r="1811" spans="2:10" hidden="1" x14ac:dyDescent="0.2">
      <c r="B1811" t="s">
        <v>780</v>
      </c>
      <c r="C1811" t="s">
        <v>185</v>
      </c>
      <c r="D1811" t="s">
        <v>781</v>
      </c>
      <c r="E1811" t="s">
        <v>249</v>
      </c>
      <c r="F1811" t="s">
        <v>250</v>
      </c>
      <c r="G1811" t="s">
        <v>1033</v>
      </c>
      <c r="H1811" t="s">
        <v>30</v>
      </c>
      <c r="I1811" s="1">
        <v>1</v>
      </c>
      <c r="J1811" s="2">
        <v>517.24</v>
      </c>
    </row>
    <row r="1812" spans="2:10" hidden="1" x14ac:dyDescent="0.2">
      <c r="B1812" t="s">
        <v>780</v>
      </c>
      <c r="C1812" t="s">
        <v>185</v>
      </c>
      <c r="D1812" t="s">
        <v>781</v>
      </c>
      <c r="E1812" t="s">
        <v>149</v>
      </c>
      <c r="F1812" t="s">
        <v>150</v>
      </c>
      <c r="G1812" t="s">
        <v>43</v>
      </c>
      <c r="H1812" t="s">
        <v>50</v>
      </c>
      <c r="I1812" s="1">
        <v>1</v>
      </c>
      <c r="J1812" s="2">
        <v>3017.24</v>
      </c>
    </row>
    <row r="1813" spans="2:10" hidden="1" x14ac:dyDescent="0.2">
      <c r="B1813" t="s">
        <v>780</v>
      </c>
      <c r="C1813" t="s">
        <v>185</v>
      </c>
      <c r="D1813" t="s">
        <v>781</v>
      </c>
      <c r="E1813" t="s">
        <v>221</v>
      </c>
      <c r="F1813" t="s">
        <v>222</v>
      </c>
      <c r="G1813" t="s">
        <v>1034</v>
      </c>
      <c r="H1813" t="s">
        <v>15</v>
      </c>
      <c r="I1813" s="1">
        <v>1</v>
      </c>
      <c r="J1813" s="2">
        <v>431.03</v>
      </c>
    </row>
    <row r="1814" spans="2:10" hidden="1" x14ac:dyDescent="0.2">
      <c r="B1814" t="s">
        <v>780</v>
      </c>
      <c r="C1814" t="s">
        <v>185</v>
      </c>
      <c r="D1814" t="s">
        <v>781</v>
      </c>
      <c r="E1814" t="s">
        <v>177</v>
      </c>
      <c r="F1814" t="s">
        <v>178</v>
      </c>
      <c r="G1814" t="s">
        <v>1033</v>
      </c>
      <c r="H1814" t="s">
        <v>30</v>
      </c>
      <c r="I1814" s="1">
        <v>1</v>
      </c>
      <c r="J1814" s="2">
        <v>637.92999999999995</v>
      </c>
    </row>
    <row r="1815" spans="2:10" hidden="1" x14ac:dyDescent="0.2">
      <c r="B1815" t="s">
        <v>780</v>
      </c>
      <c r="C1815" t="s">
        <v>185</v>
      </c>
      <c r="D1815" t="s">
        <v>781</v>
      </c>
      <c r="E1815" t="s">
        <v>746</v>
      </c>
      <c r="F1815" t="s">
        <v>747</v>
      </c>
      <c r="G1815" t="s">
        <v>1033</v>
      </c>
      <c r="H1815" t="s">
        <v>30</v>
      </c>
      <c r="I1815" s="1">
        <v>1</v>
      </c>
      <c r="J1815" s="2">
        <v>474.14</v>
      </c>
    </row>
    <row r="1816" spans="2:10" hidden="1" x14ac:dyDescent="0.2">
      <c r="B1816" t="s">
        <v>780</v>
      </c>
      <c r="C1816" t="s">
        <v>185</v>
      </c>
      <c r="D1816" t="s">
        <v>781</v>
      </c>
      <c r="E1816" t="s">
        <v>72</v>
      </c>
      <c r="F1816" t="s">
        <v>73</v>
      </c>
      <c r="G1816" t="s">
        <v>1034</v>
      </c>
      <c r="H1816" t="s">
        <v>15</v>
      </c>
      <c r="I1816" s="1">
        <v>1</v>
      </c>
      <c r="J1816" s="2">
        <v>775.86</v>
      </c>
    </row>
    <row r="1817" spans="2:10" hidden="1" x14ac:dyDescent="0.2">
      <c r="B1817" t="s">
        <v>780</v>
      </c>
      <c r="C1817" t="s">
        <v>185</v>
      </c>
      <c r="D1817" t="s">
        <v>781</v>
      </c>
      <c r="E1817" t="s">
        <v>122</v>
      </c>
      <c r="F1817" t="s">
        <v>123</v>
      </c>
      <c r="G1817" t="s">
        <v>1034</v>
      </c>
      <c r="H1817" t="s">
        <v>15</v>
      </c>
      <c r="I1817" s="1">
        <v>1</v>
      </c>
      <c r="J1817" s="2">
        <v>387.93</v>
      </c>
    </row>
    <row r="1818" spans="2:10" hidden="1" x14ac:dyDescent="0.2">
      <c r="B1818" t="s">
        <v>780</v>
      </c>
      <c r="C1818" t="s">
        <v>185</v>
      </c>
      <c r="D1818" t="s">
        <v>781</v>
      </c>
      <c r="E1818" t="s">
        <v>255</v>
      </c>
      <c r="F1818" t="s">
        <v>256</v>
      </c>
      <c r="G1818" t="s">
        <v>1033</v>
      </c>
      <c r="H1818" t="s">
        <v>30</v>
      </c>
      <c r="I1818" s="1">
        <v>1</v>
      </c>
      <c r="J1818" s="2">
        <v>517.24</v>
      </c>
    </row>
    <row r="1819" spans="2:10" hidden="1" x14ac:dyDescent="0.2">
      <c r="B1819" t="s">
        <v>780</v>
      </c>
      <c r="C1819" t="s">
        <v>185</v>
      </c>
      <c r="D1819" t="s">
        <v>781</v>
      </c>
      <c r="E1819" t="s">
        <v>257</v>
      </c>
      <c r="F1819" t="s">
        <v>258</v>
      </c>
      <c r="G1819" t="s">
        <v>1033</v>
      </c>
      <c r="H1819" t="s">
        <v>30</v>
      </c>
      <c r="I1819" s="1">
        <v>1</v>
      </c>
      <c r="J1819" s="2">
        <v>1577.59</v>
      </c>
    </row>
    <row r="1820" spans="2:10" hidden="1" x14ac:dyDescent="0.2">
      <c r="B1820" t="s">
        <v>780</v>
      </c>
      <c r="C1820" t="s">
        <v>335</v>
      </c>
      <c r="D1820" t="s">
        <v>781</v>
      </c>
      <c r="E1820" t="s">
        <v>810</v>
      </c>
      <c r="F1820" t="s">
        <v>811</v>
      </c>
      <c r="G1820" t="s">
        <v>1033</v>
      </c>
      <c r="H1820" t="s">
        <v>30</v>
      </c>
      <c r="I1820" s="1">
        <v>1</v>
      </c>
      <c r="J1820" s="2">
        <v>318.97000000000003</v>
      </c>
    </row>
    <row r="1821" spans="2:10" hidden="1" x14ac:dyDescent="0.2">
      <c r="B1821" t="s">
        <v>780</v>
      </c>
      <c r="C1821" t="s">
        <v>335</v>
      </c>
      <c r="D1821" t="s">
        <v>781</v>
      </c>
      <c r="E1821" t="s">
        <v>251</v>
      </c>
      <c r="F1821" t="s">
        <v>252</v>
      </c>
      <c r="G1821" t="s">
        <v>1033</v>
      </c>
      <c r="H1821" t="s">
        <v>30</v>
      </c>
      <c r="I1821" s="1">
        <v>1</v>
      </c>
      <c r="J1821" s="2">
        <v>1500</v>
      </c>
    </row>
    <row r="1822" spans="2:10" hidden="1" x14ac:dyDescent="0.2">
      <c r="B1822" t="s">
        <v>780</v>
      </c>
      <c r="C1822" t="s">
        <v>335</v>
      </c>
      <c r="D1822" t="s">
        <v>781</v>
      </c>
      <c r="E1822" t="s">
        <v>505</v>
      </c>
      <c r="F1822" t="s">
        <v>506</v>
      </c>
      <c r="G1822" t="s">
        <v>1033</v>
      </c>
      <c r="H1822" t="s">
        <v>30</v>
      </c>
      <c r="I1822" s="1">
        <v>1</v>
      </c>
      <c r="J1822" s="2">
        <v>775.86</v>
      </c>
    </row>
    <row r="1823" spans="2:10" hidden="1" x14ac:dyDescent="0.2">
      <c r="B1823" t="s">
        <v>780</v>
      </c>
      <c r="C1823" t="s">
        <v>335</v>
      </c>
      <c r="D1823" t="s">
        <v>781</v>
      </c>
      <c r="E1823" t="s">
        <v>120</v>
      </c>
      <c r="F1823" t="s">
        <v>121</v>
      </c>
      <c r="G1823" t="s">
        <v>1034</v>
      </c>
      <c r="H1823" t="s">
        <v>15</v>
      </c>
      <c r="I1823" s="1">
        <v>1</v>
      </c>
      <c r="J1823" s="2">
        <v>301.72000000000003</v>
      </c>
    </row>
    <row r="1824" spans="2:10" hidden="1" x14ac:dyDescent="0.2">
      <c r="B1824" t="s">
        <v>780</v>
      </c>
      <c r="C1824" t="s">
        <v>335</v>
      </c>
      <c r="D1824" t="s">
        <v>781</v>
      </c>
      <c r="E1824" t="s">
        <v>122</v>
      </c>
      <c r="F1824" t="s">
        <v>123</v>
      </c>
      <c r="G1824" t="s">
        <v>1034</v>
      </c>
      <c r="H1824" t="s">
        <v>15</v>
      </c>
      <c r="I1824" s="1">
        <v>1</v>
      </c>
      <c r="J1824" s="2">
        <v>387.93</v>
      </c>
    </row>
    <row r="1825" spans="2:10" hidden="1" x14ac:dyDescent="0.2">
      <c r="B1825" t="s">
        <v>780</v>
      </c>
      <c r="C1825" t="s">
        <v>335</v>
      </c>
      <c r="D1825" t="s">
        <v>781</v>
      </c>
      <c r="E1825" t="s">
        <v>255</v>
      </c>
      <c r="F1825" t="s">
        <v>256</v>
      </c>
      <c r="G1825" t="s">
        <v>1033</v>
      </c>
      <c r="H1825" t="s">
        <v>30</v>
      </c>
      <c r="I1825" s="1">
        <v>1</v>
      </c>
      <c r="J1825" s="2">
        <v>517.24</v>
      </c>
    </row>
    <row r="1826" spans="2:10" hidden="1" x14ac:dyDescent="0.2">
      <c r="B1826" t="s">
        <v>780</v>
      </c>
      <c r="C1826" t="s">
        <v>335</v>
      </c>
      <c r="D1826" t="s">
        <v>781</v>
      </c>
      <c r="E1826" t="s">
        <v>223</v>
      </c>
      <c r="F1826" t="s">
        <v>224</v>
      </c>
      <c r="G1826" t="s">
        <v>43</v>
      </c>
      <c r="H1826" t="s">
        <v>50</v>
      </c>
      <c r="I1826" s="1">
        <v>1</v>
      </c>
      <c r="J1826" s="2">
        <v>1637.93</v>
      </c>
    </row>
    <row r="1827" spans="2:10" hidden="1" x14ac:dyDescent="0.2">
      <c r="B1827" t="s">
        <v>780</v>
      </c>
      <c r="C1827" t="s">
        <v>335</v>
      </c>
      <c r="D1827" t="s">
        <v>781</v>
      </c>
      <c r="E1827" t="s">
        <v>273</v>
      </c>
      <c r="F1827" t="s">
        <v>274</v>
      </c>
      <c r="G1827" t="s">
        <v>1033</v>
      </c>
      <c r="H1827" t="s">
        <v>30</v>
      </c>
      <c r="I1827" s="1">
        <v>1</v>
      </c>
      <c r="J1827" s="2">
        <v>1293.0999999999999</v>
      </c>
    </row>
    <row r="1828" spans="2:10" hidden="1" x14ac:dyDescent="0.2">
      <c r="B1828" t="s">
        <v>780</v>
      </c>
      <c r="C1828" t="s">
        <v>335</v>
      </c>
      <c r="D1828" t="s">
        <v>781</v>
      </c>
      <c r="E1828" t="s">
        <v>521</v>
      </c>
      <c r="F1828" t="s">
        <v>522</v>
      </c>
      <c r="G1828" t="s">
        <v>14</v>
      </c>
      <c r="H1828" t="s">
        <v>104</v>
      </c>
      <c r="I1828" s="1">
        <v>12</v>
      </c>
      <c r="J1828" s="2">
        <v>258.60000000000002</v>
      </c>
    </row>
    <row r="1829" spans="2:10" hidden="1" x14ac:dyDescent="0.2">
      <c r="B1829" t="s">
        <v>780</v>
      </c>
      <c r="C1829" t="s">
        <v>335</v>
      </c>
      <c r="D1829" t="s">
        <v>781</v>
      </c>
      <c r="E1829" t="s">
        <v>762</v>
      </c>
      <c r="F1829" t="s">
        <v>763</v>
      </c>
      <c r="G1829" t="s">
        <v>1033</v>
      </c>
      <c r="H1829" t="s">
        <v>30</v>
      </c>
      <c r="I1829" s="1">
        <v>1</v>
      </c>
      <c r="J1829" s="2">
        <v>2396.5500000000002</v>
      </c>
    </row>
    <row r="1830" spans="2:10" hidden="1" x14ac:dyDescent="0.2">
      <c r="B1830" t="s">
        <v>780</v>
      </c>
      <c r="C1830" t="s">
        <v>335</v>
      </c>
      <c r="D1830" t="s">
        <v>781</v>
      </c>
      <c r="E1830" t="s">
        <v>115</v>
      </c>
      <c r="F1830" t="s">
        <v>116</v>
      </c>
      <c r="G1830" t="s">
        <v>1033</v>
      </c>
      <c r="H1830" t="s">
        <v>30</v>
      </c>
      <c r="I1830" s="1">
        <v>1</v>
      </c>
      <c r="J1830" s="2">
        <v>2465.52</v>
      </c>
    </row>
    <row r="1831" spans="2:10" hidden="1" x14ac:dyDescent="0.2">
      <c r="B1831" t="s">
        <v>780</v>
      </c>
      <c r="C1831" t="s">
        <v>418</v>
      </c>
      <c r="D1831" t="s">
        <v>781</v>
      </c>
      <c r="E1831" t="s">
        <v>498</v>
      </c>
      <c r="F1831" t="s">
        <v>499</v>
      </c>
      <c r="G1831" t="s">
        <v>1033</v>
      </c>
      <c r="H1831" t="s">
        <v>30</v>
      </c>
      <c r="I1831" s="1">
        <v>1</v>
      </c>
      <c r="J1831" s="2">
        <v>2672.41</v>
      </c>
    </row>
    <row r="1832" spans="2:10" hidden="1" x14ac:dyDescent="0.2">
      <c r="B1832" t="s">
        <v>780</v>
      </c>
      <c r="C1832" t="s">
        <v>418</v>
      </c>
      <c r="D1832" t="s">
        <v>781</v>
      </c>
      <c r="E1832" t="s">
        <v>56</v>
      </c>
      <c r="F1832" t="s">
        <v>57</v>
      </c>
      <c r="G1832" t="s">
        <v>1034</v>
      </c>
      <c r="H1832" t="s">
        <v>15</v>
      </c>
      <c r="I1832" s="1">
        <v>1</v>
      </c>
      <c r="J1832" s="2">
        <v>431.03</v>
      </c>
    </row>
    <row r="1833" spans="2:10" hidden="1" x14ac:dyDescent="0.2">
      <c r="B1833" t="s">
        <v>780</v>
      </c>
      <c r="C1833" t="s">
        <v>418</v>
      </c>
      <c r="D1833" t="s">
        <v>781</v>
      </c>
      <c r="E1833" t="s">
        <v>16</v>
      </c>
      <c r="F1833" t="s">
        <v>17</v>
      </c>
      <c r="G1833" t="s">
        <v>1034</v>
      </c>
      <c r="H1833" t="s">
        <v>15</v>
      </c>
      <c r="I1833" s="1">
        <v>1</v>
      </c>
      <c r="J1833" s="2">
        <v>577.59</v>
      </c>
    </row>
    <row r="1834" spans="2:10" hidden="1" x14ac:dyDescent="0.2">
      <c r="B1834" t="s">
        <v>780</v>
      </c>
      <c r="C1834" t="s">
        <v>418</v>
      </c>
      <c r="D1834" t="s">
        <v>781</v>
      </c>
      <c r="E1834" t="s">
        <v>195</v>
      </c>
      <c r="F1834" t="s">
        <v>196</v>
      </c>
      <c r="G1834" t="s">
        <v>1033</v>
      </c>
      <c r="H1834" t="s">
        <v>30</v>
      </c>
      <c r="I1834" s="1">
        <v>1</v>
      </c>
      <c r="J1834" s="2">
        <v>2120.69</v>
      </c>
    </row>
    <row r="1835" spans="2:10" hidden="1" x14ac:dyDescent="0.2">
      <c r="B1835" t="s">
        <v>780</v>
      </c>
      <c r="C1835" t="s">
        <v>186</v>
      </c>
      <c r="D1835" t="s">
        <v>226</v>
      </c>
      <c r="E1835" t="s">
        <v>198</v>
      </c>
      <c r="F1835" t="s">
        <v>199</v>
      </c>
      <c r="G1835" t="s">
        <v>14</v>
      </c>
      <c r="H1835" t="s">
        <v>200</v>
      </c>
      <c r="I1835" s="1">
        <v>1</v>
      </c>
      <c r="J1835" s="2">
        <v>594.83000000000004</v>
      </c>
    </row>
    <row r="1836" spans="2:10" hidden="1" x14ac:dyDescent="0.2">
      <c r="B1836" t="s">
        <v>780</v>
      </c>
      <c r="C1836" t="s">
        <v>186</v>
      </c>
      <c r="D1836" t="s">
        <v>226</v>
      </c>
      <c r="E1836" t="s">
        <v>611</v>
      </c>
      <c r="F1836" t="s">
        <v>612</v>
      </c>
      <c r="G1836" t="s">
        <v>1033</v>
      </c>
      <c r="H1836" t="s">
        <v>30</v>
      </c>
      <c r="I1836" s="1">
        <v>1</v>
      </c>
      <c r="J1836" s="2">
        <v>793.1</v>
      </c>
    </row>
    <row r="1837" spans="2:10" hidden="1" x14ac:dyDescent="0.2">
      <c r="B1837" t="s">
        <v>780</v>
      </c>
      <c r="C1837" t="s">
        <v>186</v>
      </c>
      <c r="D1837" t="s">
        <v>226</v>
      </c>
      <c r="E1837" t="s">
        <v>169</v>
      </c>
      <c r="F1837" t="s">
        <v>170</v>
      </c>
      <c r="G1837" t="s">
        <v>1033</v>
      </c>
      <c r="H1837" t="s">
        <v>30</v>
      </c>
      <c r="I1837" s="1">
        <v>1</v>
      </c>
      <c r="J1837" s="2">
        <v>258.62</v>
      </c>
    </row>
    <row r="1838" spans="2:10" hidden="1" x14ac:dyDescent="0.2">
      <c r="B1838" t="s">
        <v>780</v>
      </c>
      <c r="C1838" t="s">
        <v>186</v>
      </c>
      <c r="D1838" t="s">
        <v>226</v>
      </c>
      <c r="E1838" t="s">
        <v>419</v>
      </c>
      <c r="F1838" t="s">
        <v>420</v>
      </c>
      <c r="G1838" t="s">
        <v>14</v>
      </c>
      <c r="H1838" t="s">
        <v>35</v>
      </c>
      <c r="I1838" s="1">
        <v>1</v>
      </c>
      <c r="J1838" s="2">
        <v>77.59</v>
      </c>
    </row>
    <row r="1839" spans="2:10" hidden="1" x14ac:dyDescent="0.2">
      <c r="B1839" t="s">
        <v>780</v>
      </c>
      <c r="C1839" t="s">
        <v>186</v>
      </c>
      <c r="D1839" t="s">
        <v>226</v>
      </c>
      <c r="E1839" t="s">
        <v>214</v>
      </c>
      <c r="F1839" t="s">
        <v>215</v>
      </c>
      <c r="G1839" t="s">
        <v>1034</v>
      </c>
      <c r="H1839" t="s">
        <v>15</v>
      </c>
      <c r="I1839" s="1">
        <v>1</v>
      </c>
      <c r="J1839" s="2">
        <v>301.72000000000003</v>
      </c>
    </row>
    <row r="1840" spans="2:10" hidden="1" x14ac:dyDescent="0.2">
      <c r="B1840" t="s">
        <v>780</v>
      </c>
      <c r="C1840" t="s">
        <v>186</v>
      </c>
      <c r="D1840" t="s">
        <v>226</v>
      </c>
      <c r="E1840" t="s">
        <v>16</v>
      </c>
      <c r="F1840" t="s">
        <v>17</v>
      </c>
      <c r="G1840" t="s">
        <v>1034</v>
      </c>
      <c r="H1840" t="s">
        <v>15</v>
      </c>
      <c r="I1840" s="1">
        <v>1</v>
      </c>
      <c r="J1840" s="2">
        <v>577.59</v>
      </c>
    </row>
    <row r="1841" spans="2:10" hidden="1" x14ac:dyDescent="0.2">
      <c r="B1841" t="s">
        <v>780</v>
      </c>
      <c r="C1841" t="s">
        <v>197</v>
      </c>
      <c r="D1841" t="s">
        <v>781</v>
      </c>
      <c r="E1841" t="s">
        <v>198</v>
      </c>
      <c r="F1841" t="s">
        <v>199</v>
      </c>
      <c r="G1841" t="s">
        <v>14</v>
      </c>
      <c r="H1841" t="s">
        <v>200</v>
      </c>
      <c r="I1841" s="1">
        <v>1</v>
      </c>
      <c r="J1841" s="2">
        <v>594.83000000000004</v>
      </c>
    </row>
    <row r="1842" spans="2:10" hidden="1" x14ac:dyDescent="0.2">
      <c r="B1842" t="s">
        <v>780</v>
      </c>
      <c r="C1842" t="s">
        <v>197</v>
      </c>
      <c r="D1842" t="s">
        <v>781</v>
      </c>
      <c r="E1842" t="s">
        <v>238</v>
      </c>
      <c r="F1842" t="s">
        <v>239</v>
      </c>
      <c r="G1842" t="s">
        <v>1033</v>
      </c>
      <c r="H1842" t="s">
        <v>30</v>
      </c>
      <c r="I1842" s="1">
        <v>1</v>
      </c>
      <c r="J1842" s="2">
        <v>396.55</v>
      </c>
    </row>
    <row r="1843" spans="2:10" hidden="1" x14ac:dyDescent="0.2">
      <c r="B1843" t="s">
        <v>780</v>
      </c>
      <c r="C1843" t="s">
        <v>197</v>
      </c>
      <c r="D1843" t="s">
        <v>781</v>
      </c>
      <c r="E1843" t="s">
        <v>611</v>
      </c>
      <c r="F1843" t="s">
        <v>612</v>
      </c>
      <c r="G1843" t="s">
        <v>1033</v>
      </c>
      <c r="H1843" t="s">
        <v>30</v>
      </c>
      <c r="I1843" s="1">
        <v>1</v>
      </c>
      <c r="J1843" s="2">
        <v>793.1</v>
      </c>
    </row>
    <row r="1844" spans="2:10" hidden="1" x14ac:dyDescent="0.2">
      <c r="B1844" t="s">
        <v>780</v>
      </c>
      <c r="C1844" t="s">
        <v>197</v>
      </c>
      <c r="D1844" t="s">
        <v>781</v>
      </c>
      <c r="E1844" t="s">
        <v>756</v>
      </c>
      <c r="F1844" t="s">
        <v>757</v>
      </c>
      <c r="G1844" t="s">
        <v>1033</v>
      </c>
      <c r="H1844" t="s">
        <v>30</v>
      </c>
      <c r="I1844" s="1">
        <v>1</v>
      </c>
      <c r="J1844" s="2">
        <v>1956.9</v>
      </c>
    </row>
    <row r="1845" spans="2:10" hidden="1" x14ac:dyDescent="0.2">
      <c r="B1845" t="s">
        <v>780</v>
      </c>
      <c r="C1845" t="s">
        <v>197</v>
      </c>
      <c r="D1845" t="s">
        <v>781</v>
      </c>
      <c r="E1845" t="s">
        <v>19</v>
      </c>
      <c r="F1845" t="s">
        <v>20</v>
      </c>
      <c r="G1845" t="s">
        <v>14</v>
      </c>
      <c r="H1845" t="s">
        <v>21</v>
      </c>
      <c r="I1845" s="1">
        <v>1</v>
      </c>
      <c r="J1845" s="2">
        <v>431.04</v>
      </c>
    </row>
    <row r="1846" spans="2:10" hidden="1" x14ac:dyDescent="0.2">
      <c r="B1846" t="s">
        <v>780</v>
      </c>
      <c r="C1846" t="s">
        <v>197</v>
      </c>
      <c r="D1846" t="s">
        <v>781</v>
      </c>
      <c r="E1846" t="s">
        <v>566</v>
      </c>
      <c r="F1846" t="s">
        <v>567</v>
      </c>
      <c r="G1846" t="s">
        <v>14</v>
      </c>
      <c r="H1846" t="s">
        <v>35</v>
      </c>
      <c r="I1846" s="1">
        <v>1</v>
      </c>
      <c r="J1846" s="2">
        <v>77.59</v>
      </c>
    </row>
    <row r="1847" spans="2:10" hidden="1" x14ac:dyDescent="0.2">
      <c r="B1847" t="s">
        <v>780</v>
      </c>
      <c r="C1847" t="s">
        <v>197</v>
      </c>
      <c r="D1847" t="s">
        <v>781</v>
      </c>
      <c r="E1847" t="s">
        <v>529</v>
      </c>
      <c r="F1847" t="s">
        <v>530</v>
      </c>
      <c r="G1847" t="s">
        <v>14</v>
      </c>
      <c r="H1847" t="s">
        <v>35</v>
      </c>
      <c r="I1847" s="1">
        <v>1</v>
      </c>
      <c r="J1847" s="2">
        <v>77.59</v>
      </c>
    </row>
    <row r="1848" spans="2:10" hidden="1" x14ac:dyDescent="0.2">
      <c r="B1848" t="s">
        <v>780</v>
      </c>
      <c r="C1848" t="s">
        <v>197</v>
      </c>
      <c r="D1848" t="s">
        <v>781</v>
      </c>
      <c r="E1848" t="s">
        <v>812</v>
      </c>
      <c r="F1848" t="s">
        <v>813</v>
      </c>
      <c r="G1848" t="s">
        <v>54</v>
      </c>
      <c r="H1848" t="s">
        <v>138</v>
      </c>
      <c r="I1848" s="1">
        <v>1</v>
      </c>
      <c r="J1848" s="2">
        <v>489.22</v>
      </c>
    </row>
    <row r="1849" spans="2:10" hidden="1" x14ac:dyDescent="0.2">
      <c r="B1849" t="s">
        <v>780</v>
      </c>
      <c r="C1849" t="s">
        <v>197</v>
      </c>
      <c r="D1849" t="s">
        <v>781</v>
      </c>
      <c r="E1849" t="s">
        <v>221</v>
      </c>
      <c r="F1849" t="s">
        <v>222</v>
      </c>
      <c r="G1849" t="s">
        <v>1034</v>
      </c>
      <c r="H1849" t="s">
        <v>15</v>
      </c>
      <c r="I1849" s="1">
        <v>1</v>
      </c>
      <c r="J1849" s="2">
        <v>431.03</v>
      </c>
    </row>
    <row r="1850" spans="2:10" hidden="1" x14ac:dyDescent="0.2">
      <c r="B1850" t="s">
        <v>780</v>
      </c>
      <c r="C1850" t="s">
        <v>197</v>
      </c>
      <c r="D1850" t="s">
        <v>781</v>
      </c>
      <c r="E1850" t="s">
        <v>214</v>
      </c>
      <c r="F1850" t="s">
        <v>215</v>
      </c>
      <c r="G1850" t="s">
        <v>1034</v>
      </c>
      <c r="H1850" t="s">
        <v>15</v>
      </c>
      <c r="I1850" s="1">
        <v>1</v>
      </c>
      <c r="J1850" s="2">
        <v>301.72000000000003</v>
      </c>
    </row>
    <row r="1851" spans="2:10" hidden="1" x14ac:dyDescent="0.2">
      <c r="B1851" t="s">
        <v>780</v>
      </c>
      <c r="C1851" t="s">
        <v>197</v>
      </c>
      <c r="D1851" t="s">
        <v>781</v>
      </c>
      <c r="E1851" t="s">
        <v>72</v>
      </c>
      <c r="F1851" t="s">
        <v>73</v>
      </c>
      <c r="G1851" t="s">
        <v>1034</v>
      </c>
      <c r="H1851" t="s">
        <v>15</v>
      </c>
      <c r="I1851" s="1">
        <v>1</v>
      </c>
      <c r="J1851" s="2">
        <v>775.86</v>
      </c>
    </row>
    <row r="1852" spans="2:10" hidden="1" x14ac:dyDescent="0.2">
      <c r="B1852" t="s">
        <v>780</v>
      </c>
      <c r="C1852" t="s">
        <v>197</v>
      </c>
      <c r="D1852" t="s">
        <v>781</v>
      </c>
      <c r="E1852" t="s">
        <v>61</v>
      </c>
      <c r="F1852" t="s">
        <v>62</v>
      </c>
      <c r="G1852" t="s">
        <v>1034</v>
      </c>
      <c r="H1852" t="s">
        <v>15</v>
      </c>
      <c r="I1852" s="1">
        <v>2</v>
      </c>
      <c r="J1852" s="2">
        <v>344.82</v>
      </c>
    </row>
    <row r="1853" spans="2:10" hidden="1" x14ac:dyDescent="0.2">
      <c r="B1853" t="s">
        <v>780</v>
      </c>
      <c r="C1853" t="s">
        <v>197</v>
      </c>
      <c r="D1853" t="s">
        <v>781</v>
      </c>
      <c r="E1853" t="s">
        <v>63</v>
      </c>
      <c r="F1853" t="s">
        <v>64</v>
      </c>
      <c r="G1853" t="s">
        <v>1034</v>
      </c>
      <c r="H1853" t="s">
        <v>15</v>
      </c>
      <c r="I1853" s="1">
        <v>1</v>
      </c>
      <c r="J1853" s="2">
        <v>172.41</v>
      </c>
    </row>
    <row r="1854" spans="2:10" hidden="1" x14ac:dyDescent="0.2">
      <c r="B1854" t="s">
        <v>780</v>
      </c>
      <c r="C1854" t="s">
        <v>197</v>
      </c>
      <c r="D1854" t="s">
        <v>781</v>
      </c>
      <c r="E1854" t="s">
        <v>16</v>
      </c>
      <c r="F1854" t="s">
        <v>17</v>
      </c>
      <c r="G1854" t="s">
        <v>1034</v>
      </c>
      <c r="H1854" t="s">
        <v>15</v>
      </c>
      <c r="I1854" s="1">
        <v>2</v>
      </c>
      <c r="J1854" s="2">
        <v>1155.18</v>
      </c>
    </row>
    <row r="1855" spans="2:10" hidden="1" x14ac:dyDescent="0.2">
      <c r="B1855" t="s">
        <v>780</v>
      </c>
      <c r="C1855" t="s">
        <v>206</v>
      </c>
      <c r="D1855" t="s">
        <v>781</v>
      </c>
      <c r="E1855" t="s">
        <v>350</v>
      </c>
      <c r="F1855" t="s">
        <v>351</v>
      </c>
      <c r="G1855" t="s">
        <v>1033</v>
      </c>
      <c r="H1855" t="s">
        <v>30</v>
      </c>
      <c r="I1855" s="1">
        <v>1</v>
      </c>
      <c r="J1855" s="2">
        <v>818.97</v>
      </c>
    </row>
    <row r="1856" spans="2:10" hidden="1" x14ac:dyDescent="0.2">
      <c r="B1856" t="s">
        <v>780</v>
      </c>
      <c r="C1856" t="s">
        <v>206</v>
      </c>
      <c r="D1856" t="s">
        <v>781</v>
      </c>
      <c r="E1856" t="s">
        <v>525</v>
      </c>
      <c r="F1856" t="s">
        <v>526</v>
      </c>
      <c r="G1856" t="s">
        <v>43</v>
      </c>
      <c r="H1856" t="s">
        <v>403</v>
      </c>
      <c r="I1856" s="1">
        <v>1</v>
      </c>
      <c r="J1856" s="2">
        <v>159.47999999999999</v>
      </c>
    </row>
    <row r="1857" spans="2:10" hidden="1" x14ac:dyDescent="0.2">
      <c r="B1857" t="s">
        <v>780</v>
      </c>
      <c r="C1857" t="s">
        <v>206</v>
      </c>
      <c r="D1857" t="s">
        <v>781</v>
      </c>
      <c r="E1857" t="s">
        <v>122</v>
      </c>
      <c r="F1857" t="s">
        <v>123</v>
      </c>
      <c r="G1857" t="s">
        <v>1034</v>
      </c>
      <c r="H1857" t="s">
        <v>15</v>
      </c>
      <c r="I1857" s="1">
        <v>1</v>
      </c>
      <c r="J1857" s="2">
        <v>387.93</v>
      </c>
    </row>
    <row r="1858" spans="2:10" hidden="1" x14ac:dyDescent="0.2">
      <c r="B1858" t="s">
        <v>780</v>
      </c>
      <c r="C1858" t="s">
        <v>206</v>
      </c>
      <c r="D1858" t="s">
        <v>781</v>
      </c>
      <c r="E1858" t="s">
        <v>61</v>
      </c>
      <c r="F1858" t="s">
        <v>62</v>
      </c>
      <c r="G1858" t="s">
        <v>1034</v>
      </c>
      <c r="H1858" t="s">
        <v>15</v>
      </c>
      <c r="I1858" s="1">
        <v>1</v>
      </c>
      <c r="J1858" s="2">
        <v>172.41</v>
      </c>
    </row>
    <row r="1859" spans="2:10" hidden="1" x14ac:dyDescent="0.2">
      <c r="B1859" t="s">
        <v>780</v>
      </c>
      <c r="C1859" t="s">
        <v>206</v>
      </c>
      <c r="D1859" t="s">
        <v>781</v>
      </c>
      <c r="E1859" t="s">
        <v>63</v>
      </c>
      <c r="F1859" t="s">
        <v>64</v>
      </c>
      <c r="G1859" t="s">
        <v>1034</v>
      </c>
      <c r="H1859" t="s">
        <v>15</v>
      </c>
      <c r="I1859" s="1">
        <v>1</v>
      </c>
      <c r="J1859" s="2">
        <v>172.41</v>
      </c>
    </row>
    <row r="1860" spans="2:10" hidden="1" x14ac:dyDescent="0.2">
      <c r="B1860" t="s">
        <v>780</v>
      </c>
      <c r="C1860" t="s">
        <v>220</v>
      </c>
      <c r="D1860" t="s">
        <v>781</v>
      </c>
      <c r="E1860" t="s">
        <v>44</v>
      </c>
      <c r="F1860" t="s">
        <v>45</v>
      </c>
      <c r="G1860" t="s">
        <v>1033</v>
      </c>
      <c r="H1860" t="s">
        <v>30</v>
      </c>
      <c r="I1860" s="1">
        <v>2</v>
      </c>
      <c r="J1860" s="2">
        <v>163.80000000000001</v>
      </c>
    </row>
    <row r="1861" spans="2:10" hidden="1" x14ac:dyDescent="0.2">
      <c r="B1861" t="s">
        <v>780</v>
      </c>
      <c r="C1861" t="s">
        <v>220</v>
      </c>
      <c r="D1861" t="s">
        <v>781</v>
      </c>
      <c r="E1861" t="s">
        <v>726</v>
      </c>
      <c r="F1861" t="s">
        <v>727</v>
      </c>
      <c r="G1861" t="s">
        <v>14</v>
      </c>
      <c r="H1861" t="s">
        <v>35</v>
      </c>
      <c r="I1861" s="1">
        <v>1</v>
      </c>
      <c r="J1861" s="2">
        <v>77.59</v>
      </c>
    </row>
    <row r="1862" spans="2:10" hidden="1" x14ac:dyDescent="0.2">
      <c r="B1862" t="s">
        <v>780</v>
      </c>
      <c r="C1862" t="s">
        <v>220</v>
      </c>
      <c r="D1862" t="s">
        <v>781</v>
      </c>
      <c r="E1862" t="s">
        <v>242</v>
      </c>
      <c r="F1862" t="s">
        <v>243</v>
      </c>
      <c r="G1862" t="s">
        <v>14</v>
      </c>
      <c r="H1862" t="s">
        <v>87</v>
      </c>
      <c r="I1862" s="1">
        <v>1</v>
      </c>
      <c r="J1862" s="2">
        <v>120.69</v>
      </c>
    </row>
    <row r="1863" spans="2:10" hidden="1" x14ac:dyDescent="0.2">
      <c r="B1863" t="s">
        <v>780</v>
      </c>
      <c r="C1863" t="s">
        <v>220</v>
      </c>
      <c r="D1863" t="s">
        <v>781</v>
      </c>
      <c r="E1863" t="s">
        <v>623</v>
      </c>
      <c r="F1863" t="s">
        <v>624</v>
      </c>
      <c r="G1863" t="s">
        <v>76</v>
      </c>
      <c r="H1863" t="s">
        <v>60</v>
      </c>
      <c r="I1863" s="1">
        <v>1</v>
      </c>
      <c r="J1863" s="2">
        <v>344.83</v>
      </c>
    </row>
    <row r="1864" spans="2:10" hidden="1" x14ac:dyDescent="0.2">
      <c r="B1864" t="s">
        <v>780</v>
      </c>
      <c r="C1864" t="s">
        <v>220</v>
      </c>
      <c r="D1864" t="s">
        <v>781</v>
      </c>
      <c r="E1864" t="s">
        <v>63</v>
      </c>
      <c r="F1864" t="s">
        <v>64</v>
      </c>
      <c r="G1864" t="s">
        <v>1034</v>
      </c>
      <c r="H1864" t="s">
        <v>15</v>
      </c>
      <c r="I1864" s="1">
        <v>1</v>
      </c>
      <c r="J1864" s="2">
        <v>172.41</v>
      </c>
    </row>
    <row r="1865" spans="2:10" hidden="1" x14ac:dyDescent="0.2">
      <c r="B1865" t="s">
        <v>780</v>
      </c>
      <c r="C1865" t="s">
        <v>220</v>
      </c>
      <c r="D1865" t="s">
        <v>781</v>
      </c>
      <c r="E1865" t="s">
        <v>28</v>
      </c>
      <c r="F1865" t="s">
        <v>29</v>
      </c>
      <c r="G1865" t="s">
        <v>1033</v>
      </c>
      <c r="H1865" t="s">
        <v>30</v>
      </c>
      <c r="I1865" s="1">
        <v>2</v>
      </c>
      <c r="J1865" s="2">
        <v>310.33999999999997</v>
      </c>
    </row>
    <row r="1866" spans="2:10" hidden="1" x14ac:dyDescent="0.2">
      <c r="B1866" t="s">
        <v>780</v>
      </c>
      <c r="C1866" t="s">
        <v>225</v>
      </c>
      <c r="D1866" t="s">
        <v>781</v>
      </c>
      <c r="E1866" t="s">
        <v>41</v>
      </c>
      <c r="F1866" t="s">
        <v>42</v>
      </c>
      <c r="G1866" t="s">
        <v>1033</v>
      </c>
      <c r="H1866" t="s">
        <v>30</v>
      </c>
      <c r="I1866" s="1">
        <v>1</v>
      </c>
      <c r="J1866" s="2">
        <v>34.479999999999997</v>
      </c>
    </row>
    <row r="1867" spans="2:10" hidden="1" x14ac:dyDescent="0.2">
      <c r="B1867" t="s">
        <v>780</v>
      </c>
      <c r="C1867" t="s">
        <v>225</v>
      </c>
      <c r="D1867" t="s">
        <v>781</v>
      </c>
      <c r="E1867" t="s">
        <v>814</v>
      </c>
      <c r="F1867" t="s">
        <v>815</v>
      </c>
      <c r="G1867" t="s">
        <v>43</v>
      </c>
      <c r="H1867" t="s">
        <v>383</v>
      </c>
      <c r="I1867" s="1">
        <v>1</v>
      </c>
      <c r="J1867" s="2">
        <v>301.72000000000003</v>
      </c>
    </row>
    <row r="1868" spans="2:10" x14ac:dyDescent="0.2">
      <c r="B1868" t="s">
        <v>780</v>
      </c>
      <c r="C1868" t="s">
        <v>227</v>
      </c>
      <c r="D1868" t="s">
        <v>781</v>
      </c>
      <c r="E1868" t="s">
        <v>816</v>
      </c>
      <c r="F1868" t="s">
        <v>817</v>
      </c>
      <c r="G1868" t="s">
        <v>14</v>
      </c>
      <c r="H1868" t="s">
        <v>60</v>
      </c>
      <c r="I1868" s="1">
        <v>1</v>
      </c>
      <c r="J1868" s="2">
        <v>267.24</v>
      </c>
    </row>
    <row r="1869" spans="2:10" x14ac:dyDescent="0.2">
      <c r="B1869" t="s">
        <v>780</v>
      </c>
      <c r="C1869" t="s">
        <v>227</v>
      </c>
      <c r="D1869" t="s">
        <v>781</v>
      </c>
      <c r="E1869" t="s">
        <v>56</v>
      </c>
      <c r="F1869" t="s">
        <v>57</v>
      </c>
      <c r="G1869" t="s">
        <v>1034</v>
      </c>
      <c r="H1869" t="s">
        <v>15</v>
      </c>
      <c r="I1869" s="1">
        <v>1</v>
      </c>
      <c r="J1869" s="2">
        <v>431.03</v>
      </c>
    </row>
    <row r="1870" spans="2:10" x14ac:dyDescent="0.2">
      <c r="B1870" t="s">
        <v>780</v>
      </c>
      <c r="C1870" t="s">
        <v>228</v>
      </c>
      <c r="D1870" t="s">
        <v>781</v>
      </c>
      <c r="E1870" t="s">
        <v>198</v>
      </c>
      <c r="F1870" t="s">
        <v>199</v>
      </c>
      <c r="G1870" t="s">
        <v>14</v>
      </c>
      <c r="H1870" t="s">
        <v>200</v>
      </c>
      <c r="I1870" s="1">
        <v>1</v>
      </c>
      <c r="J1870" s="2">
        <v>594.83000000000004</v>
      </c>
    </row>
    <row r="1871" spans="2:10" x14ac:dyDescent="0.2">
      <c r="B1871" t="s">
        <v>780</v>
      </c>
      <c r="C1871" t="s">
        <v>228</v>
      </c>
      <c r="D1871" t="s">
        <v>781</v>
      </c>
      <c r="E1871" t="s">
        <v>44</v>
      </c>
      <c r="F1871" t="s">
        <v>45</v>
      </c>
      <c r="G1871" t="s">
        <v>1033</v>
      </c>
      <c r="H1871" t="s">
        <v>30</v>
      </c>
      <c r="I1871" s="1">
        <v>1</v>
      </c>
      <c r="J1871" s="2">
        <v>81.900000000000006</v>
      </c>
    </row>
    <row r="1872" spans="2:10" x14ac:dyDescent="0.2">
      <c r="B1872" t="s">
        <v>780</v>
      </c>
      <c r="C1872" t="s">
        <v>228</v>
      </c>
      <c r="D1872" t="s">
        <v>781</v>
      </c>
      <c r="E1872" t="s">
        <v>19</v>
      </c>
      <c r="F1872" t="s">
        <v>20</v>
      </c>
      <c r="G1872" t="s">
        <v>14</v>
      </c>
      <c r="H1872" t="s">
        <v>21</v>
      </c>
      <c r="I1872" s="1">
        <v>1</v>
      </c>
      <c r="J1872" s="2">
        <v>431.04</v>
      </c>
    </row>
    <row r="1873" spans="2:10" x14ac:dyDescent="0.2">
      <c r="B1873" t="s">
        <v>780</v>
      </c>
      <c r="C1873" t="s">
        <v>228</v>
      </c>
      <c r="D1873" t="s">
        <v>781</v>
      </c>
      <c r="E1873" t="s">
        <v>122</v>
      </c>
      <c r="F1873" t="s">
        <v>123</v>
      </c>
      <c r="G1873" t="s">
        <v>1034</v>
      </c>
      <c r="H1873" t="s">
        <v>15</v>
      </c>
      <c r="I1873" s="1">
        <v>1</v>
      </c>
      <c r="J1873" s="2">
        <v>387.93</v>
      </c>
    </row>
    <row r="1874" spans="2:10" x14ac:dyDescent="0.2">
      <c r="B1874" t="s">
        <v>780</v>
      </c>
      <c r="C1874" t="s">
        <v>228</v>
      </c>
      <c r="D1874" t="s">
        <v>781</v>
      </c>
      <c r="E1874" t="s">
        <v>153</v>
      </c>
      <c r="F1874" t="s">
        <v>154</v>
      </c>
      <c r="G1874" t="s">
        <v>1034</v>
      </c>
      <c r="H1874" t="s">
        <v>15</v>
      </c>
      <c r="I1874" s="1">
        <v>1</v>
      </c>
      <c r="J1874" s="2">
        <v>387.93</v>
      </c>
    </row>
    <row r="1875" spans="2:10" x14ac:dyDescent="0.2">
      <c r="B1875" t="s">
        <v>780</v>
      </c>
      <c r="C1875" t="s">
        <v>228</v>
      </c>
      <c r="D1875" t="s">
        <v>781</v>
      </c>
      <c r="E1875" t="s">
        <v>406</v>
      </c>
      <c r="F1875" t="s">
        <v>407</v>
      </c>
      <c r="G1875" t="s">
        <v>14</v>
      </c>
      <c r="H1875" t="s">
        <v>104</v>
      </c>
      <c r="I1875" s="1">
        <v>5</v>
      </c>
      <c r="J1875" s="2">
        <v>86.2</v>
      </c>
    </row>
    <row r="1876" spans="2:10" x14ac:dyDescent="0.2">
      <c r="B1876" t="s">
        <v>780</v>
      </c>
      <c r="C1876" t="s">
        <v>228</v>
      </c>
      <c r="D1876" t="s">
        <v>781</v>
      </c>
      <c r="E1876" t="s">
        <v>16</v>
      </c>
      <c r="F1876" t="s">
        <v>17</v>
      </c>
      <c r="G1876" t="s">
        <v>1034</v>
      </c>
      <c r="H1876" t="s">
        <v>15</v>
      </c>
      <c r="I1876" s="1">
        <v>2</v>
      </c>
      <c r="J1876" s="2">
        <v>1155.18</v>
      </c>
    </row>
    <row r="1877" spans="2:10" x14ac:dyDescent="0.2">
      <c r="B1877" t="s">
        <v>780</v>
      </c>
      <c r="C1877" t="s">
        <v>228</v>
      </c>
      <c r="D1877" t="s">
        <v>781</v>
      </c>
      <c r="E1877" t="s">
        <v>28</v>
      </c>
      <c r="F1877" t="s">
        <v>29</v>
      </c>
      <c r="G1877" t="s">
        <v>1033</v>
      </c>
      <c r="H1877" t="s">
        <v>30</v>
      </c>
      <c r="I1877" s="1">
        <v>1</v>
      </c>
      <c r="J1877" s="2">
        <v>155.16999999999999</v>
      </c>
    </row>
    <row r="1878" spans="2:10" x14ac:dyDescent="0.2">
      <c r="B1878" t="s">
        <v>780</v>
      </c>
      <c r="C1878" t="s">
        <v>233</v>
      </c>
      <c r="D1878" t="s">
        <v>781</v>
      </c>
      <c r="E1878" t="s">
        <v>56</v>
      </c>
      <c r="F1878" t="s">
        <v>57</v>
      </c>
      <c r="G1878" t="s">
        <v>1034</v>
      </c>
      <c r="H1878" t="s">
        <v>15</v>
      </c>
      <c r="I1878" s="1">
        <v>1</v>
      </c>
      <c r="J1878" s="2">
        <v>431.03</v>
      </c>
    </row>
    <row r="1879" spans="2:10" x14ac:dyDescent="0.2">
      <c r="B1879" t="s">
        <v>780</v>
      </c>
      <c r="C1879" t="s">
        <v>233</v>
      </c>
      <c r="D1879" t="s">
        <v>781</v>
      </c>
      <c r="E1879" t="s">
        <v>406</v>
      </c>
      <c r="F1879" t="s">
        <v>407</v>
      </c>
      <c r="G1879" t="s">
        <v>14</v>
      </c>
      <c r="H1879" t="s">
        <v>104</v>
      </c>
      <c r="I1879" s="1">
        <v>5</v>
      </c>
      <c r="J1879" s="2">
        <v>86.2</v>
      </c>
    </row>
    <row r="1880" spans="2:10" x14ac:dyDescent="0.2">
      <c r="B1880" t="s">
        <v>780</v>
      </c>
      <c r="C1880" t="s">
        <v>233</v>
      </c>
      <c r="D1880" t="s">
        <v>781</v>
      </c>
      <c r="E1880" t="s">
        <v>16</v>
      </c>
      <c r="F1880" t="s">
        <v>17</v>
      </c>
      <c r="G1880" t="s">
        <v>1034</v>
      </c>
      <c r="H1880" t="s">
        <v>15</v>
      </c>
      <c r="I1880" s="1">
        <v>3</v>
      </c>
      <c r="J1880" s="2">
        <v>1732.77</v>
      </c>
    </row>
    <row r="1881" spans="2:10" x14ac:dyDescent="0.2">
      <c r="B1881" t="s">
        <v>780</v>
      </c>
      <c r="C1881" t="s">
        <v>236</v>
      </c>
      <c r="D1881" t="s">
        <v>781</v>
      </c>
      <c r="E1881" t="s">
        <v>818</v>
      </c>
      <c r="F1881" t="s">
        <v>819</v>
      </c>
      <c r="G1881" t="s">
        <v>54</v>
      </c>
      <c r="H1881" t="s">
        <v>138</v>
      </c>
      <c r="I1881" s="1">
        <v>1</v>
      </c>
      <c r="J1881" s="2">
        <v>431.03</v>
      </c>
    </row>
    <row r="1882" spans="2:10" x14ac:dyDescent="0.2">
      <c r="B1882" t="s">
        <v>780</v>
      </c>
      <c r="C1882" t="s">
        <v>236</v>
      </c>
      <c r="D1882" t="s">
        <v>781</v>
      </c>
      <c r="E1882" t="s">
        <v>820</v>
      </c>
      <c r="F1882" t="s">
        <v>821</v>
      </c>
      <c r="G1882" t="s">
        <v>1033</v>
      </c>
      <c r="H1882" t="s">
        <v>30</v>
      </c>
      <c r="I1882" s="1">
        <v>1</v>
      </c>
      <c r="J1882" s="2">
        <v>258.62</v>
      </c>
    </row>
    <row r="1883" spans="2:10" x14ac:dyDescent="0.2">
      <c r="B1883" t="s">
        <v>780</v>
      </c>
      <c r="C1883" t="s">
        <v>237</v>
      </c>
      <c r="D1883" t="s">
        <v>277</v>
      </c>
      <c r="E1883" t="s">
        <v>669</v>
      </c>
      <c r="F1883" t="s">
        <v>670</v>
      </c>
      <c r="G1883" t="s">
        <v>14</v>
      </c>
      <c r="H1883" t="s">
        <v>27</v>
      </c>
      <c r="I1883" s="1">
        <v>1</v>
      </c>
      <c r="J1883" s="2">
        <v>448.28</v>
      </c>
    </row>
    <row r="1884" spans="2:10" x14ac:dyDescent="0.2">
      <c r="B1884" t="s">
        <v>780</v>
      </c>
      <c r="C1884" t="s">
        <v>237</v>
      </c>
      <c r="D1884" t="s">
        <v>277</v>
      </c>
      <c r="E1884" t="s">
        <v>822</v>
      </c>
      <c r="F1884" t="s">
        <v>823</v>
      </c>
      <c r="G1884" t="s">
        <v>1033</v>
      </c>
      <c r="H1884" t="s">
        <v>30</v>
      </c>
      <c r="I1884" s="1">
        <v>1</v>
      </c>
      <c r="J1884" s="2">
        <v>793.1</v>
      </c>
    </row>
    <row r="1885" spans="2:10" x14ac:dyDescent="0.2">
      <c r="B1885" t="s">
        <v>780</v>
      </c>
      <c r="C1885" t="s">
        <v>237</v>
      </c>
      <c r="D1885" t="s">
        <v>277</v>
      </c>
      <c r="E1885" t="s">
        <v>273</v>
      </c>
      <c r="F1885" t="s">
        <v>274</v>
      </c>
      <c r="G1885" t="s">
        <v>1033</v>
      </c>
      <c r="H1885" t="s">
        <v>30</v>
      </c>
      <c r="I1885" s="1">
        <v>1</v>
      </c>
      <c r="J1885" s="2">
        <v>1293.0999999999999</v>
      </c>
    </row>
    <row r="1886" spans="2:10" x14ac:dyDescent="0.2">
      <c r="B1886" t="s">
        <v>780</v>
      </c>
      <c r="C1886" t="s">
        <v>237</v>
      </c>
      <c r="D1886" t="s">
        <v>277</v>
      </c>
      <c r="E1886" t="s">
        <v>61</v>
      </c>
      <c r="F1886" t="s">
        <v>62</v>
      </c>
      <c r="G1886" t="s">
        <v>1034</v>
      </c>
      <c r="H1886" t="s">
        <v>15</v>
      </c>
      <c r="I1886" s="1">
        <v>1</v>
      </c>
      <c r="J1886" s="2">
        <v>172.41</v>
      </c>
    </row>
    <row r="1887" spans="2:10" x14ac:dyDescent="0.2">
      <c r="B1887" t="s">
        <v>780</v>
      </c>
      <c r="C1887" t="s">
        <v>237</v>
      </c>
      <c r="D1887" t="s">
        <v>277</v>
      </c>
      <c r="E1887" t="s">
        <v>110</v>
      </c>
      <c r="F1887" t="s">
        <v>111</v>
      </c>
      <c r="G1887" t="s">
        <v>14</v>
      </c>
      <c r="H1887" t="s">
        <v>112</v>
      </c>
      <c r="I1887" s="1">
        <v>1</v>
      </c>
      <c r="J1887" s="2">
        <v>301.72000000000003</v>
      </c>
    </row>
    <row r="1888" spans="2:10" x14ac:dyDescent="0.2">
      <c r="B1888" t="s">
        <v>780</v>
      </c>
      <c r="C1888" t="s">
        <v>237</v>
      </c>
      <c r="D1888" t="s">
        <v>277</v>
      </c>
      <c r="E1888" t="s">
        <v>28</v>
      </c>
      <c r="F1888" t="s">
        <v>29</v>
      </c>
      <c r="G1888" t="s">
        <v>1033</v>
      </c>
      <c r="H1888" t="s">
        <v>30</v>
      </c>
      <c r="I1888" s="1">
        <v>1</v>
      </c>
      <c r="J1888" s="2">
        <v>155.16999999999999</v>
      </c>
    </row>
    <row r="1889" spans="2:10" x14ac:dyDescent="0.2">
      <c r="B1889" t="s">
        <v>780</v>
      </c>
      <c r="C1889" t="s">
        <v>248</v>
      </c>
      <c r="D1889" t="s">
        <v>781</v>
      </c>
      <c r="E1889" t="s">
        <v>167</v>
      </c>
      <c r="F1889" t="s">
        <v>168</v>
      </c>
      <c r="G1889" t="s">
        <v>1033</v>
      </c>
      <c r="H1889" t="s">
        <v>30</v>
      </c>
      <c r="I1889" s="1">
        <v>1</v>
      </c>
      <c r="J1889" s="2">
        <v>1267.24</v>
      </c>
    </row>
    <row r="1890" spans="2:10" x14ac:dyDescent="0.2">
      <c r="B1890" t="s">
        <v>780</v>
      </c>
      <c r="C1890" t="s">
        <v>248</v>
      </c>
      <c r="D1890" t="s">
        <v>781</v>
      </c>
      <c r="E1890" t="s">
        <v>44</v>
      </c>
      <c r="F1890" t="s">
        <v>45</v>
      </c>
      <c r="G1890" t="s">
        <v>1033</v>
      </c>
      <c r="H1890" t="s">
        <v>30</v>
      </c>
      <c r="I1890" s="1">
        <v>1</v>
      </c>
      <c r="J1890" s="2">
        <v>81.900000000000006</v>
      </c>
    </row>
    <row r="1891" spans="2:10" x14ac:dyDescent="0.2">
      <c r="B1891" t="s">
        <v>780</v>
      </c>
      <c r="C1891" t="s">
        <v>248</v>
      </c>
      <c r="D1891" t="s">
        <v>781</v>
      </c>
      <c r="E1891" t="s">
        <v>395</v>
      </c>
      <c r="F1891" t="s">
        <v>396</v>
      </c>
      <c r="G1891" t="s">
        <v>14</v>
      </c>
      <c r="H1891" t="s">
        <v>35</v>
      </c>
      <c r="I1891" s="1">
        <v>1</v>
      </c>
      <c r="J1891" s="2">
        <v>60.34</v>
      </c>
    </row>
    <row r="1892" spans="2:10" x14ac:dyDescent="0.2">
      <c r="B1892" t="s">
        <v>780</v>
      </c>
      <c r="C1892" t="s">
        <v>248</v>
      </c>
      <c r="D1892" t="s">
        <v>781</v>
      </c>
      <c r="E1892" t="s">
        <v>566</v>
      </c>
      <c r="F1892" t="s">
        <v>567</v>
      </c>
      <c r="G1892" t="s">
        <v>14</v>
      </c>
      <c r="H1892" t="s">
        <v>35</v>
      </c>
      <c r="I1892" s="1">
        <v>1</v>
      </c>
      <c r="J1892" s="2">
        <v>77.59</v>
      </c>
    </row>
    <row r="1893" spans="2:10" x14ac:dyDescent="0.2">
      <c r="B1893" t="s">
        <v>780</v>
      </c>
      <c r="C1893" t="s">
        <v>248</v>
      </c>
      <c r="D1893" t="s">
        <v>781</v>
      </c>
      <c r="E1893" t="s">
        <v>122</v>
      </c>
      <c r="F1893" t="s">
        <v>123</v>
      </c>
      <c r="G1893" t="s">
        <v>1034</v>
      </c>
      <c r="H1893" t="s">
        <v>15</v>
      </c>
      <c r="I1893" s="1">
        <v>1</v>
      </c>
      <c r="J1893" s="2">
        <v>387.93</v>
      </c>
    </row>
    <row r="1894" spans="2:10" x14ac:dyDescent="0.2">
      <c r="B1894" t="s">
        <v>780</v>
      </c>
      <c r="C1894" t="s">
        <v>248</v>
      </c>
      <c r="D1894" t="s">
        <v>781</v>
      </c>
      <c r="E1894" t="s">
        <v>223</v>
      </c>
      <c r="F1894" t="s">
        <v>224</v>
      </c>
      <c r="G1894" t="s">
        <v>43</v>
      </c>
      <c r="H1894" t="s">
        <v>50</v>
      </c>
      <c r="I1894" s="1">
        <v>1</v>
      </c>
      <c r="J1894" s="2">
        <v>1637.93</v>
      </c>
    </row>
    <row r="1895" spans="2:10" x14ac:dyDescent="0.2">
      <c r="B1895" t="s">
        <v>780</v>
      </c>
      <c r="C1895" t="s">
        <v>248</v>
      </c>
      <c r="D1895" t="s">
        <v>781</v>
      </c>
      <c r="E1895" t="s">
        <v>61</v>
      </c>
      <c r="F1895" t="s">
        <v>62</v>
      </c>
      <c r="G1895" t="s">
        <v>1034</v>
      </c>
      <c r="H1895" t="s">
        <v>15</v>
      </c>
      <c r="I1895" s="1">
        <v>1</v>
      </c>
      <c r="J1895" s="2">
        <v>172.41</v>
      </c>
    </row>
    <row r="1896" spans="2:10" x14ac:dyDescent="0.2">
      <c r="B1896" t="s">
        <v>780</v>
      </c>
      <c r="C1896" t="s">
        <v>248</v>
      </c>
      <c r="D1896" t="s">
        <v>781</v>
      </c>
      <c r="E1896" t="s">
        <v>63</v>
      </c>
      <c r="F1896" t="s">
        <v>64</v>
      </c>
      <c r="G1896" t="s">
        <v>1034</v>
      </c>
      <c r="H1896" t="s">
        <v>15</v>
      </c>
      <c r="I1896" s="1">
        <v>1</v>
      </c>
      <c r="J1896" s="2">
        <v>172.41</v>
      </c>
    </row>
    <row r="1897" spans="2:10" hidden="1" x14ac:dyDescent="0.2">
      <c r="B1897" t="s">
        <v>824</v>
      </c>
      <c r="C1897" t="s">
        <v>10</v>
      </c>
      <c r="D1897" t="s">
        <v>825</v>
      </c>
      <c r="E1897" t="s">
        <v>826</v>
      </c>
      <c r="F1897" t="s">
        <v>827</v>
      </c>
      <c r="G1897" t="s">
        <v>1033</v>
      </c>
      <c r="H1897" t="s">
        <v>30</v>
      </c>
      <c r="I1897" s="1">
        <v>1</v>
      </c>
      <c r="J1897" s="2">
        <v>521.54999999999995</v>
      </c>
    </row>
    <row r="1898" spans="2:10" hidden="1" x14ac:dyDescent="0.2">
      <c r="B1898" t="s">
        <v>824</v>
      </c>
      <c r="C1898" t="s">
        <v>10</v>
      </c>
      <c r="D1898" t="s">
        <v>825</v>
      </c>
      <c r="E1898" t="s">
        <v>19</v>
      </c>
      <c r="F1898" t="s">
        <v>20</v>
      </c>
      <c r="G1898" t="s">
        <v>14</v>
      </c>
      <c r="H1898" t="s">
        <v>21</v>
      </c>
      <c r="I1898" s="1">
        <v>1</v>
      </c>
      <c r="J1898" s="2">
        <v>431.04</v>
      </c>
    </row>
    <row r="1899" spans="2:10" hidden="1" x14ac:dyDescent="0.2">
      <c r="B1899" t="s">
        <v>824</v>
      </c>
      <c r="C1899" t="s">
        <v>10</v>
      </c>
      <c r="D1899" t="s">
        <v>825</v>
      </c>
      <c r="E1899" t="s">
        <v>46</v>
      </c>
      <c r="F1899" t="s">
        <v>47</v>
      </c>
      <c r="G1899" t="s">
        <v>1034</v>
      </c>
      <c r="H1899" t="s">
        <v>15</v>
      </c>
      <c r="I1899" s="1">
        <v>1</v>
      </c>
      <c r="J1899" s="2">
        <v>301.72000000000003</v>
      </c>
    </row>
    <row r="1900" spans="2:10" hidden="1" x14ac:dyDescent="0.2">
      <c r="B1900" t="s">
        <v>824</v>
      </c>
      <c r="C1900" t="s">
        <v>10</v>
      </c>
      <c r="D1900" t="s">
        <v>825</v>
      </c>
      <c r="E1900" t="s">
        <v>287</v>
      </c>
      <c r="F1900" t="s">
        <v>288</v>
      </c>
      <c r="G1900" t="s">
        <v>14</v>
      </c>
      <c r="H1900" t="s">
        <v>35</v>
      </c>
      <c r="I1900" s="1">
        <v>1</v>
      </c>
      <c r="J1900" s="2">
        <v>60.34</v>
      </c>
    </row>
    <row r="1901" spans="2:10" hidden="1" x14ac:dyDescent="0.2">
      <c r="B1901" t="s">
        <v>824</v>
      </c>
      <c r="C1901" t="s">
        <v>10</v>
      </c>
      <c r="D1901" t="s">
        <v>825</v>
      </c>
      <c r="E1901" t="s">
        <v>828</v>
      </c>
      <c r="F1901" t="s">
        <v>829</v>
      </c>
      <c r="G1901" t="s">
        <v>1033</v>
      </c>
      <c r="H1901" t="s">
        <v>30</v>
      </c>
      <c r="I1901" s="1">
        <v>1</v>
      </c>
      <c r="J1901" s="2">
        <v>474.14</v>
      </c>
    </row>
    <row r="1902" spans="2:10" hidden="1" x14ac:dyDescent="0.2">
      <c r="B1902" t="s">
        <v>824</v>
      </c>
      <c r="C1902" t="s">
        <v>10</v>
      </c>
      <c r="D1902" t="s">
        <v>825</v>
      </c>
      <c r="E1902" t="s">
        <v>830</v>
      </c>
      <c r="F1902" t="s">
        <v>831</v>
      </c>
      <c r="G1902" t="s">
        <v>43</v>
      </c>
      <c r="H1902" t="s">
        <v>55</v>
      </c>
      <c r="I1902" s="1">
        <v>1</v>
      </c>
      <c r="J1902" s="2">
        <v>1896.55</v>
      </c>
    </row>
    <row r="1903" spans="2:10" hidden="1" x14ac:dyDescent="0.2">
      <c r="B1903" t="s">
        <v>824</v>
      </c>
      <c r="C1903" t="s">
        <v>10</v>
      </c>
      <c r="D1903" t="s">
        <v>825</v>
      </c>
      <c r="E1903" t="s">
        <v>97</v>
      </c>
      <c r="F1903" t="s">
        <v>98</v>
      </c>
      <c r="G1903" t="s">
        <v>1033</v>
      </c>
      <c r="H1903" t="s">
        <v>30</v>
      </c>
      <c r="I1903" s="1">
        <v>1</v>
      </c>
      <c r="J1903" s="2">
        <v>2500</v>
      </c>
    </row>
    <row r="1904" spans="2:10" hidden="1" x14ac:dyDescent="0.2">
      <c r="B1904" t="s">
        <v>824</v>
      </c>
      <c r="C1904" t="s">
        <v>10</v>
      </c>
      <c r="D1904" t="s">
        <v>825</v>
      </c>
      <c r="E1904" t="s">
        <v>832</v>
      </c>
      <c r="F1904" t="s">
        <v>833</v>
      </c>
      <c r="G1904" t="s">
        <v>14</v>
      </c>
      <c r="H1904" t="s">
        <v>87</v>
      </c>
      <c r="I1904" s="1">
        <v>1</v>
      </c>
      <c r="J1904" s="2">
        <v>120.69</v>
      </c>
    </row>
    <row r="1905" spans="2:10" hidden="1" x14ac:dyDescent="0.2">
      <c r="B1905" t="s">
        <v>824</v>
      </c>
      <c r="C1905" t="s">
        <v>10</v>
      </c>
      <c r="D1905" t="s">
        <v>825</v>
      </c>
      <c r="E1905" t="s">
        <v>731</v>
      </c>
      <c r="F1905" t="s">
        <v>732</v>
      </c>
      <c r="G1905" t="s">
        <v>14</v>
      </c>
      <c r="H1905" t="s">
        <v>27</v>
      </c>
      <c r="I1905" s="1">
        <v>1</v>
      </c>
      <c r="J1905" s="2">
        <v>413.79</v>
      </c>
    </row>
    <row r="1906" spans="2:10" hidden="1" x14ac:dyDescent="0.2">
      <c r="B1906" t="s">
        <v>824</v>
      </c>
      <c r="C1906" t="s">
        <v>10</v>
      </c>
      <c r="D1906" t="s">
        <v>825</v>
      </c>
      <c r="E1906" t="s">
        <v>221</v>
      </c>
      <c r="F1906" t="s">
        <v>222</v>
      </c>
      <c r="G1906" t="s">
        <v>1034</v>
      </c>
      <c r="H1906" t="s">
        <v>15</v>
      </c>
      <c r="I1906" s="1">
        <v>1</v>
      </c>
      <c r="J1906" s="2">
        <v>431.03</v>
      </c>
    </row>
    <row r="1907" spans="2:10" hidden="1" x14ac:dyDescent="0.2">
      <c r="B1907" t="s">
        <v>824</v>
      </c>
      <c r="C1907" t="s">
        <v>10</v>
      </c>
      <c r="D1907" t="s">
        <v>825</v>
      </c>
      <c r="E1907" t="s">
        <v>605</v>
      </c>
      <c r="F1907" t="s">
        <v>606</v>
      </c>
      <c r="G1907" t="s">
        <v>1033</v>
      </c>
      <c r="H1907" t="s">
        <v>30</v>
      </c>
      <c r="I1907" s="1">
        <v>1</v>
      </c>
      <c r="J1907" s="2">
        <v>465.52</v>
      </c>
    </row>
    <row r="1908" spans="2:10" hidden="1" x14ac:dyDescent="0.2">
      <c r="B1908" t="s">
        <v>824</v>
      </c>
      <c r="C1908" t="s">
        <v>10</v>
      </c>
      <c r="D1908" t="s">
        <v>825</v>
      </c>
      <c r="E1908" t="s">
        <v>72</v>
      </c>
      <c r="F1908" t="s">
        <v>73</v>
      </c>
      <c r="G1908" t="s">
        <v>1034</v>
      </c>
      <c r="H1908" t="s">
        <v>15</v>
      </c>
      <c r="I1908" s="1">
        <v>1</v>
      </c>
      <c r="J1908" s="2">
        <v>775.86</v>
      </c>
    </row>
    <row r="1909" spans="2:10" hidden="1" x14ac:dyDescent="0.2">
      <c r="B1909" t="s">
        <v>824</v>
      </c>
      <c r="C1909" t="s">
        <v>10</v>
      </c>
      <c r="D1909" t="s">
        <v>825</v>
      </c>
      <c r="E1909" t="s">
        <v>122</v>
      </c>
      <c r="F1909" t="s">
        <v>123</v>
      </c>
      <c r="G1909" t="s">
        <v>1034</v>
      </c>
      <c r="H1909" t="s">
        <v>15</v>
      </c>
      <c r="I1909" s="1">
        <v>1</v>
      </c>
      <c r="J1909" s="2">
        <v>387.93</v>
      </c>
    </row>
    <row r="1910" spans="2:10" hidden="1" x14ac:dyDescent="0.2">
      <c r="B1910" t="s">
        <v>824</v>
      </c>
      <c r="C1910" t="s">
        <v>10</v>
      </c>
      <c r="D1910" t="s">
        <v>825</v>
      </c>
      <c r="E1910" t="s">
        <v>179</v>
      </c>
      <c r="F1910" t="s">
        <v>180</v>
      </c>
      <c r="G1910" t="s">
        <v>76</v>
      </c>
      <c r="H1910" t="s">
        <v>60</v>
      </c>
      <c r="I1910" s="1">
        <v>1</v>
      </c>
      <c r="J1910" s="2">
        <v>344.83</v>
      </c>
    </row>
    <row r="1911" spans="2:10" hidden="1" x14ac:dyDescent="0.2">
      <c r="B1911" t="s">
        <v>824</v>
      </c>
      <c r="C1911" t="s">
        <v>10</v>
      </c>
      <c r="D1911" t="s">
        <v>825</v>
      </c>
      <c r="E1911" t="s">
        <v>22</v>
      </c>
      <c r="F1911" t="s">
        <v>23</v>
      </c>
      <c r="G1911" t="s">
        <v>14</v>
      </c>
      <c r="H1911" t="s">
        <v>24</v>
      </c>
      <c r="I1911" s="1">
        <v>1</v>
      </c>
      <c r="J1911" s="2">
        <v>215.52</v>
      </c>
    </row>
    <row r="1912" spans="2:10" hidden="1" x14ac:dyDescent="0.2">
      <c r="B1912" t="s">
        <v>824</v>
      </c>
      <c r="C1912" t="s">
        <v>10</v>
      </c>
      <c r="D1912" t="s">
        <v>825</v>
      </c>
      <c r="E1912" t="s">
        <v>834</v>
      </c>
      <c r="F1912" t="s">
        <v>835</v>
      </c>
      <c r="G1912" t="s">
        <v>284</v>
      </c>
      <c r="H1912" t="s">
        <v>91</v>
      </c>
      <c r="I1912" s="1">
        <v>1</v>
      </c>
      <c r="J1912" s="2">
        <v>939.66</v>
      </c>
    </row>
    <row r="1913" spans="2:10" hidden="1" x14ac:dyDescent="0.2">
      <c r="B1913" t="s">
        <v>824</v>
      </c>
      <c r="C1913" t="s">
        <v>10</v>
      </c>
      <c r="D1913" t="s">
        <v>825</v>
      </c>
      <c r="E1913" t="s">
        <v>38</v>
      </c>
      <c r="F1913" t="s">
        <v>39</v>
      </c>
      <c r="G1913" t="s">
        <v>1034</v>
      </c>
      <c r="H1913" t="s">
        <v>15</v>
      </c>
      <c r="I1913" s="1">
        <v>1</v>
      </c>
      <c r="J1913" s="2">
        <v>431.03</v>
      </c>
    </row>
    <row r="1914" spans="2:10" hidden="1" x14ac:dyDescent="0.2">
      <c r="B1914" t="s">
        <v>824</v>
      </c>
      <c r="C1914" t="s">
        <v>10</v>
      </c>
      <c r="D1914" t="s">
        <v>825</v>
      </c>
      <c r="E1914" t="s">
        <v>56</v>
      </c>
      <c r="F1914" t="s">
        <v>57</v>
      </c>
      <c r="G1914" t="s">
        <v>1034</v>
      </c>
      <c r="H1914" t="s">
        <v>15</v>
      </c>
      <c r="I1914" s="1">
        <v>3</v>
      </c>
      <c r="J1914" s="2">
        <v>1293.0999999999999</v>
      </c>
    </row>
    <row r="1915" spans="2:10" hidden="1" x14ac:dyDescent="0.2">
      <c r="B1915" t="s">
        <v>824</v>
      </c>
      <c r="C1915" t="s">
        <v>10</v>
      </c>
      <c r="D1915" t="s">
        <v>825</v>
      </c>
      <c r="E1915" t="s">
        <v>521</v>
      </c>
      <c r="F1915" t="s">
        <v>522</v>
      </c>
      <c r="G1915" t="s">
        <v>14</v>
      </c>
      <c r="H1915" t="s">
        <v>104</v>
      </c>
      <c r="I1915" s="1">
        <v>10</v>
      </c>
      <c r="J1915" s="2">
        <v>215.5</v>
      </c>
    </row>
    <row r="1916" spans="2:10" hidden="1" x14ac:dyDescent="0.2">
      <c r="B1916" t="s">
        <v>824</v>
      </c>
      <c r="C1916" t="s">
        <v>10</v>
      </c>
      <c r="D1916" t="s">
        <v>825</v>
      </c>
      <c r="E1916" t="s">
        <v>406</v>
      </c>
      <c r="F1916" t="s">
        <v>407</v>
      </c>
      <c r="G1916" t="s">
        <v>14</v>
      </c>
      <c r="H1916" t="s">
        <v>104</v>
      </c>
      <c r="I1916" s="1">
        <v>2</v>
      </c>
      <c r="J1916" s="2">
        <v>34.479999999999997</v>
      </c>
    </row>
    <row r="1917" spans="2:10" hidden="1" x14ac:dyDescent="0.2">
      <c r="B1917" t="s">
        <v>824</v>
      </c>
      <c r="C1917" t="s">
        <v>10</v>
      </c>
      <c r="D1917" t="s">
        <v>825</v>
      </c>
      <c r="E1917" t="s">
        <v>63</v>
      </c>
      <c r="F1917" t="s">
        <v>64</v>
      </c>
      <c r="G1917" t="s">
        <v>1034</v>
      </c>
      <c r="H1917" t="s">
        <v>15</v>
      </c>
      <c r="I1917" s="1">
        <v>1</v>
      </c>
      <c r="J1917" s="2">
        <v>172.41</v>
      </c>
    </row>
    <row r="1918" spans="2:10" hidden="1" x14ac:dyDescent="0.2">
      <c r="B1918" t="s">
        <v>824</v>
      </c>
      <c r="C1918" t="s">
        <v>10</v>
      </c>
      <c r="D1918" t="s">
        <v>825</v>
      </c>
      <c r="E1918" t="s">
        <v>115</v>
      </c>
      <c r="F1918" t="s">
        <v>116</v>
      </c>
      <c r="G1918" t="s">
        <v>1033</v>
      </c>
      <c r="H1918" t="s">
        <v>30</v>
      </c>
      <c r="I1918" s="1">
        <v>1</v>
      </c>
      <c r="J1918" s="2">
        <v>2465.52</v>
      </c>
    </row>
    <row r="1919" spans="2:10" hidden="1" x14ac:dyDescent="0.2">
      <c r="B1919" t="s">
        <v>824</v>
      </c>
      <c r="C1919" t="s">
        <v>18</v>
      </c>
      <c r="D1919" t="s">
        <v>825</v>
      </c>
      <c r="E1919" t="s">
        <v>221</v>
      </c>
      <c r="F1919" t="s">
        <v>222</v>
      </c>
      <c r="G1919" t="s">
        <v>1034</v>
      </c>
      <c r="H1919" t="s">
        <v>15</v>
      </c>
      <c r="I1919" s="1">
        <v>1</v>
      </c>
      <c r="J1919" s="2">
        <v>431.03</v>
      </c>
    </row>
    <row r="1920" spans="2:10" hidden="1" x14ac:dyDescent="0.2">
      <c r="B1920" t="s">
        <v>824</v>
      </c>
      <c r="C1920" t="s">
        <v>18</v>
      </c>
      <c r="D1920" t="s">
        <v>825</v>
      </c>
      <c r="E1920" t="s">
        <v>36</v>
      </c>
      <c r="F1920" t="s">
        <v>37</v>
      </c>
      <c r="G1920" t="s">
        <v>1034</v>
      </c>
      <c r="H1920" t="s">
        <v>15</v>
      </c>
      <c r="I1920" s="1">
        <v>1</v>
      </c>
      <c r="J1920" s="2">
        <v>301.72000000000003</v>
      </c>
    </row>
    <row r="1921" spans="2:10" hidden="1" x14ac:dyDescent="0.2">
      <c r="B1921" t="s">
        <v>824</v>
      </c>
      <c r="C1921" t="s">
        <v>18</v>
      </c>
      <c r="D1921" t="s">
        <v>825</v>
      </c>
      <c r="E1921" t="s">
        <v>83</v>
      </c>
      <c r="F1921" t="s">
        <v>84</v>
      </c>
      <c r="G1921" t="s">
        <v>1034</v>
      </c>
      <c r="H1921" t="s">
        <v>15</v>
      </c>
      <c r="I1921" s="1">
        <v>1</v>
      </c>
      <c r="J1921" s="2">
        <v>387.93</v>
      </c>
    </row>
    <row r="1922" spans="2:10" hidden="1" x14ac:dyDescent="0.2">
      <c r="B1922" t="s">
        <v>824</v>
      </c>
      <c r="C1922" t="s">
        <v>18</v>
      </c>
      <c r="D1922" t="s">
        <v>825</v>
      </c>
      <c r="E1922" t="s">
        <v>193</v>
      </c>
      <c r="F1922" t="s">
        <v>194</v>
      </c>
      <c r="G1922" t="s">
        <v>1034</v>
      </c>
      <c r="H1922" t="s">
        <v>15</v>
      </c>
      <c r="I1922" s="1">
        <v>2</v>
      </c>
      <c r="J1922" s="2">
        <v>2586.1999999999998</v>
      </c>
    </row>
    <row r="1923" spans="2:10" hidden="1" x14ac:dyDescent="0.2">
      <c r="B1923" t="s">
        <v>824</v>
      </c>
      <c r="C1923" t="s">
        <v>31</v>
      </c>
      <c r="D1923" t="s">
        <v>825</v>
      </c>
      <c r="E1923" t="s">
        <v>328</v>
      </c>
      <c r="F1923" t="s">
        <v>329</v>
      </c>
      <c r="G1923" t="s">
        <v>1033</v>
      </c>
      <c r="H1923" t="s">
        <v>30</v>
      </c>
      <c r="I1923" s="1">
        <v>1</v>
      </c>
      <c r="J1923" s="2">
        <v>172.41</v>
      </c>
    </row>
    <row r="1924" spans="2:10" hidden="1" x14ac:dyDescent="0.2">
      <c r="B1924" t="s">
        <v>824</v>
      </c>
      <c r="C1924" t="s">
        <v>31</v>
      </c>
      <c r="D1924" t="s">
        <v>825</v>
      </c>
      <c r="E1924" t="s">
        <v>253</v>
      </c>
      <c r="F1924" t="s">
        <v>254</v>
      </c>
      <c r="G1924" t="s">
        <v>1034</v>
      </c>
      <c r="H1924" t="s">
        <v>15</v>
      </c>
      <c r="I1924" s="1">
        <v>1</v>
      </c>
      <c r="J1924" s="2">
        <v>775.86</v>
      </c>
    </row>
    <row r="1925" spans="2:10" hidden="1" x14ac:dyDescent="0.2">
      <c r="B1925" t="s">
        <v>824</v>
      </c>
      <c r="C1925" t="s">
        <v>31</v>
      </c>
      <c r="D1925" t="s">
        <v>825</v>
      </c>
      <c r="E1925" t="s">
        <v>61</v>
      </c>
      <c r="F1925" t="s">
        <v>62</v>
      </c>
      <c r="G1925" t="s">
        <v>1034</v>
      </c>
      <c r="H1925" t="s">
        <v>15</v>
      </c>
      <c r="I1925" s="1">
        <v>2</v>
      </c>
      <c r="J1925" s="2">
        <v>344.82</v>
      </c>
    </row>
    <row r="1926" spans="2:10" hidden="1" x14ac:dyDescent="0.2">
      <c r="B1926" t="s">
        <v>824</v>
      </c>
      <c r="C1926" t="s">
        <v>40</v>
      </c>
      <c r="D1926" t="s">
        <v>825</v>
      </c>
      <c r="E1926" t="s">
        <v>44</v>
      </c>
      <c r="F1926" t="s">
        <v>45</v>
      </c>
      <c r="G1926" t="s">
        <v>1033</v>
      </c>
      <c r="H1926" t="s">
        <v>30</v>
      </c>
      <c r="I1926" s="1">
        <v>1</v>
      </c>
      <c r="J1926" s="2">
        <v>81.900000000000006</v>
      </c>
    </row>
    <row r="1927" spans="2:10" hidden="1" x14ac:dyDescent="0.2">
      <c r="B1927" t="s">
        <v>824</v>
      </c>
      <c r="C1927" t="s">
        <v>40</v>
      </c>
      <c r="D1927" t="s">
        <v>825</v>
      </c>
      <c r="E1927" t="s">
        <v>97</v>
      </c>
      <c r="F1927" t="s">
        <v>98</v>
      </c>
      <c r="G1927" t="s">
        <v>1033</v>
      </c>
      <c r="H1927" t="s">
        <v>30</v>
      </c>
      <c r="I1927" s="1">
        <v>1</v>
      </c>
      <c r="J1927" s="2">
        <v>2500</v>
      </c>
    </row>
    <row r="1928" spans="2:10" hidden="1" x14ac:dyDescent="0.2">
      <c r="B1928" t="s">
        <v>824</v>
      </c>
      <c r="C1928" t="s">
        <v>40</v>
      </c>
      <c r="D1928" t="s">
        <v>825</v>
      </c>
      <c r="E1928" t="s">
        <v>381</v>
      </c>
      <c r="F1928" t="s">
        <v>382</v>
      </c>
      <c r="G1928" t="s">
        <v>43</v>
      </c>
      <c r="H1928" t="s">
        <v>383</v>
      </c>
      <c r="I1928" s="1">
        <v>1</v>
      </c>
      <c r="J1928" s="2">
        <v>301.72000000000003</v>
      </c>
    </row>
    <row r="1929" spans="2:10" hidden="1" x14ac:dyDescent="0.2">
      <c r="B1929" t="s">
        <v>824</v>
      </c>
      <c r="C1929" t="s">
        <v>40</v>
      </c>
      <c r="D1929" t="s">
        <v>825</v>
      </c>
      <c r="E1929" t="s">
        <v>22</v>
      </c>
      <c r="F1929" t="s">
        <v>23</v>
      </c>
      <c r="G1929" t="s">
        <v>14</v>
      </c>
      <c r="H1929" t="s">
        <v>24</v>
      </c>
      <c r="I1929" s="1">
        <v>1</v>
      </c>
      <c r="J1929" s="2">
        <v>215.52</v>
      </c>
    </row>
    <row r="1930" spans="2:10" hidden="1" x14ac:dyDescent="0.2">
      <c r="B1930" t="s">
        <v>824</v>
      </c>
      <c r="C1930" t="s">
        <v>51</v>
      </c>
      <c r="D1930" t="s">
        <v>825</v>
      </c>
      <c r="E1930" t="s">
        <v>318</v>
      </c>
      <c r="F1930" t="s">
        <v>319</v>
      </c>
      <c r="G1930" t="s">
        <v>1033</v>
      </c>
      <c r="H1930" t="s">
        <v>30</v>
      </c>
      <c r="I1930" s="1">
        <v>1</v>
      </c>
      <c r="J1930" s="2">
        <v>456.9</v>
      </c>
    </row>
    <row r="1931" spans="2:10" hidden="1" x14ac:dyDescent="0.2">
      <c r="B1931" t="s">
        <v>824</v>
      </c>
      <c r="C1931" t="s">
        <v>51</v>
      </c>
      <c r="D1931" t="s">
        <v>825</v>
      </c>
      <c r="E1931" t="s">
        <v>316</v>
      </c>
      <c r="F1931" t="s">
        <v>317</v>
      </c>
      <c r="G1931" t="s">
        <v>14</v>
      </c>
      <c r="H1931" t="s">
        <v>27</v>
      </c>
      <c r="I1931" s="1">
        <v>1</v>
      </c>
      <c r="J1931" s="2">
        <v>413.79</v>
      </c>
    </row>
    <row r="1932" spans="2:10" hidden="1" x14ac:dyDescent="0.2">
      <c r="B1932" t="s">
        <v>824</v>
      </c>
      <c r="C1932" t="s">
        <v>51</v>
      </c>
      <c r="D1932" t="s">
        <v>825</v>
      </c>
      <c r="E1932" t="s">
        <v>836</v>
      </c>
      <c r="F1932" t="s">
        <v>837</v>
      </c>
      <c r="G1932" t="s">
        <v>14</v>
      </c>
      <c r="H1932" t="s">
        <v>87</v>
      </c>
      <c r="I1932" s="1">
        <v>1</v>
      </c>
      <c r="J1932" s="2">
        <v>301.72000000000003</v>
      </c>
    </row>
    <row r="1933" spans="2:10" hidden="1" x14ac:dyDescent="0.2">
      <c r="B1933" t="s">
        <v>824</v>
      </c>
      <c r="C1933" t="s">
        <v>51</v>
      </c>
      <c r="D1933" t="s">
        <v>825</v>
      </c>
      <c r="E1933" t="s">
        <v>22</v>
      </c>
      <c r="F1933" t="s">
        <v>23</v>
      </c>
      <c r="G1933" t="s">
        <v>14</v>
      </c>
      <c r="H1933" t="s">
        <v>24</v>
      </c>
      <c r="I1933" s="1">
        <v>4</v>
      </c>
      <c r="J1933" s="2">
        <v>862.08</v>
      </c>
    </row>
    <row r="1934" spans="2:10" hidden="1" x14ac:dyDescent="0.2">
      <c r="B1934" t="s">
        <v>824</v>
      </c>
      <c r="C1934" t="s">
        <v>65</v>
      </c>
      <c r="D1934" t="s">
        <v>825</v>
      </c>
      <c r="E1934" t="s">
        <v>838</v>
      </c>
      <c r="F1934" t="s">
        <v>839</v>
      </c>
      <c r="G1934" t="s">
        <v>14</v>
      </c>
      <c r="H1934" t="s">
        <v>87</v>
      </c>
      <c r="I1934" s="1">
        <v>1</v>
      </c>
      <c r="J1934" s="2">
        <v>120.69</v>
      </c>
    </row>
    <row r="1935" spans="2:10" hidden="1" x14ac:dyDescent="0.2">
      <c r="B1935" t="s">
        <v>824</v>
      </c>
      <c r="C1935" t="s">
        <v>65</v>
      </c>
      <c r="D1935" t="s">
        <v>825</v>
      </c>
      <c r="E1935" t="s">
        <v>72</v>
      </c>
      <c r="F1935" t="s">
        <v>73</v>
      </c>
      <c r="G1935" t="s">
        <v>1034</v>
      </c>
      <c r="H1935" t="s">
        <v>15</v>
      </c>
      <c r="I1935" s="1">
        <v>1</v>
      </c>
      <c r="J1935" s="2">
        <v>775.86</v>
      </c>
    </row>
    <row r="1936" spans="2:10" hidden="1" x14ac:dyDescent="0.2">
      <c r="B1936" t="s">
        <v>824</v>
      </c>
      <c r="C1936" t="s">
        <v>65</v>
      </c>
      <c r="D1936" t="s">
        <v>825</v>
      </c>
      <c r="E1936" t="s">
        <v>507</v>
      </c>
      <c r="F1936" t="s">
        <v>508</v>
      </c>
      <c r="G1936" t="s">
        <v>14</v>
      </c>
      <c r="H1936" t="s">
        <v>509</v>
      </c>
      <c r="I1936" s="1">
        <v>1</v>
      </c>
      <c r="J1936" s="2">
        <v>775.86</v>
      </c>
    </row>
    <row r="1937" spans="2:10" hidden="1" x14ac:dyDescent="0.2">
      <c r="B1937" t="s">
        <v>824</v>
      </c>
      <c r="C1937" t="s">
        <v>65</v>
      </c>
      <c r="D1937" t="s">
        <v>825</v>
      </c>
      <c r="E1937" t="s">
        <v>22</v>
      </c>
      <c r="F1937" t="s">
        <v>23</v>
      </c>
      <c r="G1937" t="s">
        <v>14</v>
      </c>
      <c r="H1937" t="s">
        <v>24</v>
      </c>
      <c r="I1937" s="1">
        <v>1</v>
      </c>
      <c r="J1937" s="2">
        <v>215.52</v>
      </c>
    </row>
    <row r="1938" spans="2:10" hidden="1" x14ac:dyDescent="0.2">
      <c r="B1938" t="s">
        <v>824</v>
      </c>
      <c r="C1938" t="s">
        <v>65</v>
      </c>
      <c r="D1938" t="s">
        <v>825</v>
      </c>
      <c r="E1938" t="s">
        <v>406</v>
      </c>
      <c r="F1938" t="s">
        <v>407</v>
      </c>
      <c r="G1938" t="s">
        <v>14</v>
      </c>
      <c r="H1938" t="s">
        <v>104</v>
      </c>
      <c r="I1938" s="1">
        <v>11</v>
      </c>
      <c r="J1938" s="2">
        <v>189.64</v>
      </c>
    </row>
    <row r="1939" spans="2:10" hidden="1" x14ac:dyDescent="0.2">
      <c r="B1939" t="s">
        <v>824</v>
      </c>
      <c r="C1939" t="s">
        <v>65</v>
      </c>
      <c r="D1939" t="s">
        <v>825</v>
      </c>
      <c r="E1939" t="s">
        <v>61</v>
      </c>
      <c r="F1939" t="s">
        <v>62</v>
      </c>
      <c r="G1939" t="s">
        <v>1034</v>
      </c>
      <c r="H1939" t="s">
        <v>15</v>
      </c>
      <c r="I1939" s="1">
        <v>1</v>
      </c>
      <c r="J1939" s="2">
        <v>172.41</v>
      </c>
    </row>
    <row r="1940" spans="2:10" hidden="1" x14ac:dyDescent="0.2">
      <c r="B1940" t="s">
        <v>824</v>
      </c>
      <c r="C1940" t="s">
        <v>82</v>
      </c>
      <c r="D1940" t="s">
        <v>277</v>
      </c>
      <c r="E1940" t="s">
        <v>221</v>
      </c>
      <c r="F1940" t="s">
        <v>222</v>
      </c>
      <c r="G1940" t="s">
        <v>1034</v>
      </c>
      <c r="H1940" t="s">
        <v>15</v>
      </c>
      <c r="I1940" s="1">
        <v>1</v>
      </c>
      <c r="J1940" s="2">
        <v>431.03</v>
      </c>
    </row>
    <row r="1941" spans="2:10" hidden="1" x14ac:dyDescent="0.2">
      <c r="B1941" t="s">
        <v>824</v>
      </c>
      <c r="C1941" t="s">
        <v>82</v>
      </c>
      <c r="D1941" t="s">
        <v>277</v>
      </c>
      <c r="E1941" t="s">
        <v>122</v>
      </c>
      <c r="F1941" t="s">
        <v>123</v>
      </c>
      <c r="G1941" t="s">
        <v>1034</v>
      </c>
      <c r="H1941" t="s">
        <v>15</v>
      </c>
      <c r="I1941" s="1">
        <v>1</v>
      </c>
      <c r="J1941" s="2">
        <v>387.93</v>
      </c>
    </row>
    <row r="1942" spans="2:10" hidden="1" x14ac:dyDescent="0.2">
      <c r="B1942" t="s">
        <v>824</v>
      </c>
      <c r="C1942" t="s">
        <v>82</v>
      </c>
      <c r="D1942" t="s">
        <v>277</v>
      </c>
      <c r="E1942" t="s">
        <v>38</v>
      </c>
      <c r="F1942" t="s">
        <v>39</v>
      </c>
      <c r="G1942" t="s">
        <v>1034</v>
      </c>
      <c r="H1942" t="s">
        <v>15</v>
      </c>
      <c r="I1942" s="1">
        <v>1</v>
      </c>
      <c r="J1942" s="2">
        <v>431.03</v>
      </c>
    </row>
    <row r="1943" spans="2:10" hidden="1" x14ac:dyDescent="0.2">
      <c r="B1943" t="s">
        <v>824</v>
      </c>
      <c r="C1943" t="s">
        <v>82</v>
      </c>
      <c r="D1943" t="s">
        <v>277</v>
      </c>
      <c r="E1943" t="s">
        <v>840</v>
      </c>
      <c r="F1943" t="s">
        <v>841</v>
      </c>
      <c r="G1943" t="s">
        <v>1033</v>
      </c>
      <c r="H1943" t="s">
        <v>30</v>
      </c>
      <c r="I1943" s="1">
        <v>1</v>
      </c>
      <c r="J1943" s="2">
        <v>2982.76</v>
      </c>
    </row>
    <row r="1944" spans="2:10" hidden="1" x14ac:dyDescent="0.2">
      <c r="B1944" t="s">
        <v>824</v>
      </c>
      <c r="C1944" t="s">
        <v>88</v>
      </c>
      <c r="D1944" t="s">
        <v>825</v>
      </c>
      <c r="E1944" t="s">
        <v>44</v>
      </c>
      <c r="F1944" t="s">
        <v>45</v>
      </c>
      <c r="G1944" t="s">
        <v>1033</v>
      </c>
      <c r="H1944" t="s">
        <v>30</v>
      </c>
      <c r="I1944" s="1">
        <v>1</v>
      </c>
      <c r="J1944" s="2">
        <v>81.900000000000006</v>
      </c>
    </row>
    <row r="1945" spans="2:10" hidden="1" x14ac:dyDescent="0.2">
      <c r="B1945" t="s">
        <v>824</v>
      </c>
      <c r="C1945" t="s">
        <v>88</v>
      </c>
      <c r="D1945" t="s">
        <v>825</v>
      </c>
      <c r="E1945" t="s">
        <v>46</v>
      </c>
      <c r="F1945" t="s">
        <v>47</v>
      </c>
      <c r="G1945" t="s">
        <v>1034</v>
      </c>
      <c r="H1945" t="s">
        <v>15</v>
      </c>
      <c r="I1945" s="1">
        <v>1</v>
      </c>
      <c r="J1945" s="2">
        <v>301.72000000000003</v>
      </c>
    </row>
    <row r="1946" spans="2:10" hidden="1" x14ac:dyDescent="0.2">
      <c r="B1946" t="s">
        <v>824</v>
      </c>
      <c r="C1946" t="s">
        <v>88</v>
      </c>
      <c r="D1946" t="s">
        <v>825</v>
      </c>
      <c r="E1946" t="s">
        <v>726</v>
      </c>
      <c r="F1946" t="s">
        <v>727</v>
      </c>
      <c r="G1946" t="s">
        <v>14</v>
      </c>
      <c r="H1946" t="s">
        <v>35</v>
      </c>
      <c r="I1946" s="1">
        <v>1</v>
      </c>
      <c r="J1946" s="2">
        <v>77.59</v>
      </c>
    </row>
    <row r="1947" spans="2:10" hidden="1" x14ac:dyDescent="0.2">
      <c r="B1947" t="s">
        <v>824</v>
      </c>
      <c r="C1947" t="s">
        <v>88</v>
      </c>
      <c r="D1947" t="s">
        <v>825</v>
      </c>
      <c r="E1947" t="s">
        <v>463</v>
      </c>
      <c r="F1947" t="s">
        <v>464</v>
      </c>
      <c r="G1947" t="s">
        <v>14</v>
      </c>
      <c r="H1947" t="s">
        <v>35</v>
      </c>
      <c r="I1947" s="1">
        <v>1</v>
      </c>
      <c r="J1947" s="2">
        <v>77.59</v>
      </c>
    </row>
    <row r="1948" spans="2:10" hidden="1" x14ac:dyDescent="0.2">
      <c r="B1948" t="s">
        <v>824</v>
      </c>
      <c r="C1948" t="s">
        <v>88</v>
      </c>
      <c r="D1948" t="s">
        <v>825</v>
      </c>
      <c r="E1948" t="s">
        <v>838</v>
      </c>
      <c r="F1948" t="s">
        <v>839</v>
      </c>
      <c r="G1948" t="s">
        <v>14</v>
      </c>
      <c r="H1948" t="s">
        <v>87</v>
      </c>
      <c r="I1948" s="1">
        <v>1</v>
      </c>
      <c r="J1948" s="2">
        <v>120.69</v>
      </c>
    </row>
    <row r="1949" spans="2:10" hidden="1" x14ac:dyDescent="0.2">
      <c r="B1949" t="s">
        <v>824</v>
      </c>
      <c r="C1949" t="s">
        <v>88</v>
      </c>
      <c r="D1949" t="s">
        <v>825</v>
      </c>
      <c r="E1949" t="s">
        <v>83</v>
      </c>
      <c r="F1949" t="s">
        <v>84</v>
      </c>
      <c r="G1949" t="s">
        <v>1034</v>
      </c>
      <c r="H1949" t="s">
        <v>15</v>
      </c>
      <c r="I1949" s="1">
        <v>1</v>
      </c>
      <c r="J1949" s="2">
        <v>387.93</v>
      </c>
    </row>
    <row r="1950" spans="2:10" hidden="1" x14ac:dyDescent="0.2">
      <c r="B1950" t="s">
        <v>824</v>
      </c>
      <c r="C1950" t="s">
        <v>88</v>
      </c>
      <c r="D1950" t="s">
        <v>825</v>
      </c>
      <c r="E1950" t="s">
        <v>836</v>
      </c>
      <c r="F1950" t="s">
        <v>837</v>
      </c>
      <c r="G1950" t="s">
        <v>14</v>
      </c>
      <c r="H1950" t="s">
        <v>87</v>
      </c>
      <c r="I1950" s="1">
        <v>1</v>
      </c>
      <c r="J1950" s="2">
        <v>301.72000000000003</v>
      </c>
    </row>
    <row r="1951" spans="2:10" hidden="1" x14ac:dyDescent="0.2">
      <c r="B1951" t="s">
        <v>824</v>
      </c>
      <c r="C1951" t="s">
        <v>88</v>
      </c>
      <c r="D1951" t="s">
        <v>825</v>
      </c>
      <c r="E1951" t="s">
        <v>157</v>
      </c>
      <c r="F1951" t="s">
        <v>158</v>
      </c>
      <c r="G1951" t="s">
        <v>14</v>
      </c>
      <c r="H1951" t="s">
        <v>87</v>
      </c>
      <c r="I1951" s="1">
        <v>1</v>
      </c>
      <c r="J1951" s="2">
        <v>284.48</v>
      </c>
    </row>
    <row r="1952" spans="2:10" hidden="1" x14ac:dyDescent="0.2">
      <c r="B1952" t="s">
        <v>824</v>
      </c>
      <c r="C1952" t="s">
        <v>88</v>
      </c>
      <c r="D1952" t="s">
        <v>825</v>
      </c>
      <c r="E1952" t="s">
        <v>56</v>
      </c>
      <c r="F1952" t="s">
        <v>57</v>
      </c>
      <c r="G1952" t="s">
        <v>1034</v>
      </c>
      <c r="H1952" t="s">
        <v>15</v>
      </c>
      <c r="I1952" s="1">
        <v>2</v>
      </c>
      <c r="J1952" s="2">
        <v>862.06</v>
      </c>
    </row>
    <row r="1953" spans="2:10" hidden="1" x14ac:dyDescent="0.2">
      <c r="B1953" t="s">
        <v>824</v>
      </c>
      <c r="C1953" t="s">
        <v>88</v>
      </c>
      <c r="D1953" t="s">
        <v>825</v>
      </c>
      <c r="E1953" t="s">
        <v>521</v>
      </c>
      <c r="F1953" t="s">
        <v>522</v>
      </c>
      <c r="G1953" t="s">
        <v>14</v>
      </c>
      <c r="H1953" t="s">
        <v>104</v>
      </c>
      <c r="I1953" s="1">
        <v>10</v>
      </c>
      <c r="J1953" s="2">
        <v>215.5</v>
      </c>
    </row>
    <row r="1954" spans="2:10" hidden="1" x14ac:dyDescent="0.2">
      <c r="B1954" t="s">
        <v>824</v>
      </c>
      <c r="C1954" t="s">
        <v>88</v>
      </c>
      <c r="D1954" t="s">
        <v>825</v>
      </c>
      <c r="E1954" t="s">
        <v>406</v>
      </c>
      <c r="F1954" t="s">
        <v>407</v>
      </c>
      <c r="G1954" t="s">
        <v>14</v>
      </c>
      <c r="H1954" t="s">
        <v>104</v>
      </c>
      <c r="I1954" s="1">
        <v>2</v>
      </c>
      <c r="J1954" s="2">
        <v>34.479999999999997</v>
      </c>
    </row>
    <row r="1955" spans="2:10" hidden="1" x14ac:dyDescent="0.2">
      <c r="B1955" t="s">
        <v>824</v>
      </c>
      <c r="C1955" t="s">
        <v>88</v>
      </c>
      <c r="D1955" t="s">
        <v>825</v>
      </c>
      <c r="E1955" t="s">
        <v>61</v>
      </c>
      <c r="F1955" t="s">
        <v>62</v>
      </c>
      <c r="G1955" t="s">
        <v>1034</v>
      </c>
      <c r="H1955" t="s">
        <v>15</v>
      </c>
      <c r="I1955" s="1">
        <v>1</v>
      </c>
      <c r="J1955" s="2">
        <v>172.41</v>
      </c>
    </row>
    <row r="1956" spans="2:10" hidden="1" x14ac:dyDescent="0.2">
      <c r="B1956" t="s">
        <v>824</v>
      </c>
      <c r="C1956" t="s">
        <v>88</v>
      </c>
      <c r="D1956" t="s">
        <v>825</v>
      </c>
      <c r="E1956" t="s">
        <v>28</v>
      </c>
      <c r="F1956" t="s">
        <v>29</v>
      </c>
      <c r="G1956" t="s">
        <v>1033</v>
      </c>
      <c r="H1956" t="s">
        <v>30</v>
      </c>
      <c r="I1956" s="1">
        <v>2</v>
      </c>
      <c r="J1956" s="2">
        <v>310.33999999999997</v>
      </c>
    </row>
    <row r="1957" spans="2:10" hidden="1" x14ac:dyDescent="0.2">
      <c r="B1957" t="s">
        <v>824</v>
      </c>
      <c r="C1957" t="s">
        <v>117</v>
      </c>
      <c r="D1957" t="s">
        <v>825</v>
      </c>
      <c r="E1957" t="s">
        <v>832</v>
      </c>
      <c r="F1957" t="s">
        <v>833</v>
      </c>
      <c r="G1957" t="s">
        <v>14</v>
      </c>
      <c r="H1957" t="s">
        <v>87</v>
      </c>
      <c r="I1957" s="1">
        <v>1</v>
      </c>
      <c r="J1957" s="2">
        <v>120.69</v>
      </c>
    </row>
    <row r="1958" spans="2:10" hidden="1" x14ac:dyDescent="0.2">
      <c r="B1958" t="s">
        <v>824</v>
      </c>
      <c r="C1958" t="s">
        <v>117</v>
      </c>
      <c r="D1958" t="s">
        <v>825</v>
      </c>
      <c r="E1958" t="s">
        <v>36</v>
      </c>
      <c r="F1958" t="s">
        <v>37</v>
      </c>
      <c r="G1958" t="s">
        <v>1034</v>
      </c>
      <c r="H1958" t="s">
        <v>15</v>
      </c>
      <c r="I1958" s="1">
        <v>1</v>
      </c>
      <c r="J1958" s="2">
        <v>301.72000000000003</v>
      </c>
    </row>
    <row r="1959" spans="2:10" hidden="1" x14ac:dyDescent="0.2">
      <c r="B1959" t="s">
        <v>824</v>
      </c>
      <c r="C1959" t="s">
        <v>117</v>
      </c>
      <c r="D1959" t="s">
        <v>825</v>
      </c>
      <c r="E1959" t="s">
        <v>56</v>
      </c>
      <c r="F1959" t="s">
        <v>57</v>
      </c>
      <c r="G1959" t="s">
        <v>1034</v>
      </c>
      <c r="H1959" t="s">
        <v>15</v>
      </c>
      <c r="I1959" s="1">
        <v>2</v>
      </c>
      <c r="J1959" s="2">
        <v>862.06</v>
      </c>
    </row>
    <row r="1960" spans="2:10" hidden="1" x14ac:dyDescent="0.2">
      <c r="B1960" t="s">
        <v>824</v>
      </c>
      <c r="C1960" t="s">
        <v>129</v>
      </c>
      <c r="D1960" t="s">
        <v>825</v>
      </c>
      <c r="E1960" t="s">
        <v>187</v>
      </c>
      <c r="F1960" t="s">
        <v>188</v>
      </c>
      <c r="G1960" t="s">
        <v>1033</v>
      </c>
      <c r="H1960" t="s">
        <v>30</v>
      </c>
      <c r="I1960" s="1">
        <v>1</v>
      </c>
      <c r="J1960" s="2">
        <v>258.62</v>
      </c>
    </row>
    <row r="1961" spans="2:10" hidden="1" x14ac:dyDescent="0.2">
      <c r="B1961" t="s">
        <v>824</v>
      </c>
      <c r="C1961" t="s">
        <v>129</v>
      </c>
      <c r="D1961" t="s">
        <v>825</v>
      </c>
      <c r="E1961" t="s">
        <v>842</v>
      </c>
      <c r="F1961" t="s">
        <v>843</v>
      </c>
      <c r="G1961" t="s">
        <v>54</v>
      </c>
      <c r="H1961" t="s">
        <v>138</v>
      </c>
      <c r="I1961" s="1">
        <v>1</v>
      </c>
      <c r="J1961" s="2">
        <v>431.03</v>
      </c>
    </row>
    <row r="1962" spans="2:10" hidden="1" x14ac:dyDescent="0.2">
      <c r="B1962" t="s">
        <v>824</v>
      </c>
      <c r="C1962" t="s">
        <v>129</v>
      </c>
      <c r="D1962" t="s">
        <v>825</v>
      </c>
      <c r="E1962" t="s">
        <v>122</v>
      </c>
      <c r="F1962" t="s">
        <v>123</v>
      </c>
      <c r="G1962" t="s">
        <v>1034</v>
      </c>
      <c r="H1962" t="s">
        <v>15</v>
      </c>
      <c r="I1962" s="1">
        <v>1</v>
      </c>
      <c r="J1962" s="2">
        <v>387.93</v>
      </c>
    </row>
    <row r="1963" spans="2:10" hidden="1" x14ac:dyDescent="0.2">
      <c r="B1963" t="s">
        <v>824</v>
      </c>
      <c r="C1963" t="s">
        <v>134</v>
      </c>
      <c r="D1963" t="s">
        <v>825</v>
      </c>
      <c r="E1963" t="s">
        <v>221</v>
      </c>
      <c r="F1963" t="s">
        <v>222</v>
      </c>
      <c r="G1963" t="s">
        <v>1034</v>
      </c>
      <c r="H1963" t="s">
        <v>15</v>
      </c>
      <c r="I1963" s="1">
        <v>1</v>
      </c>
      <c r="J1963" s="2">
        <v>431.03</v>
      </c>
    </row>
    <row r="1964" spans="2:10" hidden="1" x14ac:dyDescent="0.2">
      <c r="B1964" t="s">
        <v>824</v>
      </c>
      <c r="C1964" t="s">
        <v>134</v>
      </c>
      <c r="D1964" t="s">
        <v>825</v>
      </c>
      <c r="E1964" t="s">
        <v>251</v>
      </c>
      <c r="F1964" t="s">
        <v>252</v>
      </c>
      <c r="G1964" t="s">
        <v>1033</v>
      </c>
      <c r="H1964" t="s">
        <v>30</v>
      </c>
      <c r="I1964" s="1">
        <v>1</v>
      </c>
      <c r="J1964" s="2">
        <v>1500</v>
      </c>
    </row>
    <row r="1965" spans="2:10" hidden="1" x14ac:dyDescent="0.2">
      <c r="B1965" t="s">
        <v>824</v>
      </c>
      <c r="C1965" t="s">
        <v>134</v>
      </c>
      <c r="D1965" t="s">
        <v>825</v>
      </c>
      <c r="E1965" t="s">
        <v>786</v>
      </c>
      <c r="F1965" t="s">
        <v>787</v>
      </c>
      <c r="G1965" t="s">
        <v>43</v>
      </c>
      <c r="H1965" t="s">
        <v>383</v>
      </c>
      <c r="I1965" s="1">
        <v>1</v>
      </c>
      <c r="J1965" s="2">
        <v>301.72000000000003</v>
      </c>
    </row>
    <row r="1966" spans="2:10" hidden="1" x14ac:dyDescent="0.2">
      <c r="B1966" t="s">
        <v>824</v>
      </c>
      <c r="C1966" t="s">
        <v>134</v>
      </c>
      <c r="D1966" t="s">
        <v>825</v>
      </c>
      <c r="E1966" t="s">
        <v>406</v>
      </c>
      <c r="F1966" t="s">
        <v>407</v>
      </c>
      <c r="G1966" t="s">
        <v>14</v>
      </c>
      <c r="H1966" t="s">
        <v>104</v>
      </c>
      <c r="I1966" s="1">
        <v>3</v>
      </c>
      <c r="J1966" s="2">
        <v>51.72</v>
      </c>
    </row>
    <row r="1967" spans="2:10" hidden="1" x14ac:dyDescent="0.2">
      <c r="B1967" t="s">
        <v>824</v>
      </c>
      <c r="C1967" t="s">
        <v>134</v>
      </c>
      <c r="D1967" t="s">
        <v>825</v>
      </c>
      <c r="E1967" t="s">
        <v>61</v>
      </c>
      <c r="F1967" t="s">
        <v>62</v>
      </c>
      <c r="G1967" t="s">
        <v>1034</v>
      </c>
      <c r="H1967" t="s">
        <v>15</v>
      </c>
      <c r="I1967" s="1">
        <v>1</v>
      </c>
      <c r="J1967" s="2">
        <v>172.41</v>
      </c>
    </row>
    <row r="1968" spans="2:10" hidden="1" x14ac:dyDescent="0.2">
      <c r="B1968" t="s">
        <v>824</v>
      </c>
      <c r="C1968" t="s">
        <v>135</v>
      </c>
      <c r="D1968" t="s">
        <v>825</v>
      </c>
      <c r="E1968" t="s">
        <v>832</v>
      </c>
      <c r="F1968" t="s">
        <v>833</v>
      </c>
      <c r="G1968" t="s">
        <v>14</v>
      </c>
      <c r="H1968" t="s">
        <v>87</v>
      </c>
      <c r="I1968" s="1">
        <v>1</v>
      </c>
      <c r="J1968" s="2">
        <v>120.69</v>
      </c>
    </row>
    <row r="1969" spans="2:10" hidden="1" x14ac:dyDescent="0.2">
      <c r="B1969" t="s">
        <v>824</v>
      </c>
      <c r="C1969" t="s">
        <v>135</v>
      </c>
      <c r="D1969" t="s">
        <v>825</v>
      </c>
      <c r="E1969" t="s">
        <v>122</v>
      </c>
      <c r="F1969" t="s">
        <v>123</v>
      </c>
      <c r="G1969" t="s">
        <v>1034</v>
      </c>
      <c r="H1969" t="s">
        <v>15</v>
      </c>
      <c r="I1969" s="1">
        <v>1</v>
      </c>
      <c r="J1969" s="2">
        <v>387.93</v>
      </c>
    </row>
    <row r="1970" spans="2:10" hidden="1" x14ac:dyDescent="0.2">
      <c r="B1970" t="s">
        <v>824</v>
      </c>
      <c r="C1970" t="s">
        <v>135</v>
      </c>
      <c r="D1970" t="s">
        <v>825</v>
      </c>
      <c r="E1970" t="s">
        <v>56</v>
      </c>
      <c r="F1970" t="s">
        <v>57</v>
      </c>
      <c r="G1970" t="s">
        <v>1034</v>
      </c>
      <c r="H1970" t="s">
        <v>15</v>
      </c>
      <c r="I1970" s="1">
        <v>1</v>
      </c>
      <c r="J1970" s="2">
        <v>431.03</v>
      </c>
    </row>
    <row r="1971" spans="2:10" hidden="1" x14ac:dyDescent="0.2">
      <c r="B1971" t="s">
        <v>824</v>
      </c>
      <c r="C1971" t="s">
        <v>135</v>
      </c>
      <c r="D1971" t="s">
        <v>825</v>
      </c>
      <c r="E1971" t="s">
        <v>193</v>
      </c>
      <c r="F1971" t="s">
        <v>194</v>
      </c>
      <c r="G1971" t="s">
        <v>1034</v>
      </c>
      <c r="H1971" t="s">
        <v>15</v>
      </c>
      <c r="I1971" s="1">
        <v>1</v>
      </c>
      <c r="J1971" s="2">
        <v>1293.0999999999999</v>
      </c>
    </row>
    <row r="1972" spans="2:10" hidden="1" x14ac:dyDescent="0.2">
      <c r="B1972" t="s">
        <v>824</v>
      </c>
      <c r="C1972" t="s">
        <v>141</v>
      </c>
      <c r="D1972" t="s">
        <v>825</v>
      </c>
      <c r="E1972" t="s">
        <v>844</v>
      </c>
      <c r="F1972" t="s">
        <v>845</v>
      </c>
      <c r="G1972" t="s">
        <v>1033</v>
      </c>
      <c r="H1972" t="s">
        <v>30</v>
      </c>
      <c r="I1972" s="1">
        <v>1</v>
      </c>
      <c r="J1972" s="2">
        <v>1810.34</v>
      </c>
    </row>
    <row r="1973" spans="2:10" hidden="1" x14ac:dyDescent="0.2">
      <c r="B1973" t="s">
        <v>824</v>
      </c>
      <c r="C1973" t="s">
        <v>141</v>
      </c>
      <c r="D1973" t="s">
        <v>825</v>
      </c>
      <c r="E1973" t="s">
        <v>72</v>
      </c>
      <c r="F1973" t="s">
        <v>73</v>
      </c>
      <c r="G1973" t="s">
        <v>1034</v>
      </c>
      <c r="H1973" t="s">
        <v>15</v>
      </c>
      <c r="I1973" s="1">
        <v>2</v>
      </c>
      <c r="J1973" s="2">
        <v>1551.72</v>
      </c>
    </row>
    <row r="1974" spans="2:10" hidden="1" x14ac:dyDescent="0.2">
      <c r="B1974" t="s">
        <v>824</v>
      </c>
      <c r="C1974" t="s">
        <v>141</v>
      </c>
      <c r="D1974" t="s">
        <v>825</v>
      </c>
      <c r="E1974" t="s">
        <v>56</v>
      </c>
      <c r="F1974" t="s">
        <v>57</v>
      </c>
      <c r="G1974" t="s">
        <v>1034</v>
      </c>
      <c r="H1974" t="s">
        <v>15</v>
      </c>
      <c r="I1974" s="1">
        <v>3</v>
      </c>
      <c r="J1974" s="2">
        <v>1293.0999999999999</v>
      </c>
    </row>
    <row r="1975" spans="2:10" hidden="1" x14ac:dyDescent="0.2">
      <c r="B1975" t="s">
        <v>824</v>
      </c>
      <c r="C1975" t="s">
        <v>144</v>
      </c>
      <c r="D1975" t="s">
        <v>277</v>
      </c>
      <c r="E1975" t="s">
        <v>44</v>
      </c>
      <c r="F1975" t="s">
        <v>45</v>
      </c>
      <c r="G1975" t="s">
        <v>1033</v>
      </c>
      <c r="H1975" t="s">
        <v>30</v>
      </c>
      <c r="I1975" s="1">
        <v>2</v>
      </c>
      <c r="J1975" s="2">
        <v>163.80000000000001</v>
      </c>
    </row>
    <row r="1976" spans="2:10" hidden="1" x14ac:dyDescent="0.2">
      <c r="B1976" t="s">
        <v>824</v>
      </c>
      <c r="C1976" t="s">
        <v>144</v>
      </c>
      <c r="D1976" t="s">
        <v>277</v>
      </c>
      <c r="E1976" t="s">
        <v>120</v>
      </c>
      <c r="F1976" t="s">
        <v>121</v>
      </c>
      <c r="G1976" t="s">
        <v>1034</v>
      </c>
      <c r="H1976" t="s">
        <v>15</v>
      </c>
      <c r="I1976" s="1">
        <v>1</v>
      </c>
      <c r="J1976" s="2">
        <v>301.72000000000003</v>
      </c>
    </row>
    <row r="1977" spans="2:10" hidden="1" x14ac:dyDescent="0.2">
      <c r="B1977" t="s">
        <v>824</v>
      </c>
      <c r="C1977" t="s">
        <v>144</v>
      </c>
      <c r="D1977" t="s">
        <v>277</v>
      </c>
      <c r="E1977" t="s">
        <v>214</v>
      </c>
      <c r="F1977" t="s">
        <v>215</v>
      </c>
      <c r="G1977" t="s">
        <v>1034</v>
      </c>
      <c r="H1977" t="s">
        <v>15</v>
      </c>
      <c r="I1977" s="1">
        <v>1</v>
      </c>
      <c r="J1977" s="2">
        <v>301.72000000000003</v>
      </c>
    </row>
    <row r="1978" spans="2:10" hidden="1" x14ac:dyDescent="0.2">
      <c r="B1978" t="s">
        <v>824</v>
      </c>
      <c r="C1978" t="s">
        <v>144</v>
      </c>
      <c r="D1978" t="s">
        <v>277</v>
      </c>
      <c r="E1978" t="s">
        <v>72</v>
      </c>
      <c r="F1978" t="s">
        <v>73</v>
      </c>
      <c r="G1978" t="s">
        <v>1034</v>
      </c>
      <c r="H1978" t="s">
        <v>15</v>
      </c>
      <c r="I1978" s="1">
        <v>1</v>
      </c>
      <c r="J1978" s="2">
        <v>775.86</v>
      </c>
    </row>
    <row r="1979" spans="2:10" hidden="1" x14ac:dyDescent="0.2">
      <c r="B1979" t="s">
        <v>824</v>
      </c>
      <c r="C1979" t="s">
        <v>144</v>
      </c>
      <c r="D1979" t="s">
        <v>277</v>
      </c>
      <c r="E1979" t="s">
        <v>122</v>
      </c>
      <c r="F1979" t="s">
        <v>123</v>
      </c>
      <c r="G1979" t="s">
        <v>1034</v>
      </c>
      <c r="H1979" t="s">
        <v>15</v>
      </c>
      <c r="I1979" s="1">
        <v>1</v>
      </c>
      <c r="J1979" s="2">
        <v>387.93</v>
      </c>
    </row>
    <row r="1980" spans="2:10" hidden="1" x14ac:dyDescent="0.2">
      <c r="B1980" t="s">
        <v>824</v>
      </c>
      <c r="C1980" t="s">
        <v>144</v>
      </c>
      <c r="D1980" t="s">
        <v>277</v>
      </c>
      <c r="E1980" t="s">
        <v>56</v>
      </c>
      <c r="F1980" t="s">
        <v>57</v>
      </c>
      <c r="G1980" t="s">
        <v>1034</v>
      </c>
      <c r="H1980" t="s">
        <v>15</v>
      </c>
      <c r="I1980" s="1">
        <v>1</v>
      </c>
      <c r="J1980" s="2">
        <v>431.03</v>
      </c>
    </row>
    <row r="1981" spans="2:10" hidden="1" x14ac:dyDescent="0.2">
      <c r="B1981" t="s">
        <v>824</v>
      </c>
      <c r="C1981" t="s">
        <v>144</v>
      </c>
      <c r="D1981" t="s">
        <v>277</v>
      </c>
      <c r="E1981" t="s">
        <v>846</v>
      </c>
      <c r="F1981" t="s">
        <v>847</v>
      </c>
      <c r="G1981" t="s">
        <v>14</v>
      </c>
      <c r="H1981" t="s">
        <v>87</v>
      </c>
      <c r="I1981" s="1">
        <v>1</v>
      </c>
      <c r="J1981" s="2">
        <v>129.31</v>
      </c>
    </row>
    <row r="1982" spans="2:10" hidden="1" x14ac:dyDescent="0.2">
      <c r="B1982" t="s">
        <v>824</v>
      </c>
      <c r="C1982" t="s">
        <v>144</v>
      </c>
      <c r="D1982" t="s">
        <v>277</v>
      </c>
      <c r="E1982" t="s">
        <v>372</v>
      </c>
      <c r="F1982" t="s">
        <v>373</v>
      </c>
      <c r="G1982" t="s">
        <v>1033</v>
      </c>
      <c r="H1982" t="s">
        <v>30</v>
      </c>
      <c r="I1982" s="1">
        <v>1</v>
      </c>
      <c r="J1982" s="2">
        <v>2465.52</v>
      </c>
    </row>
    <row r="1983" spans="2:10" hidden="1" x14ac:dyDescent="0.2">
      <c r="B1983" t="s">
        <v>824</v>
      </c>
      <c r="C1983" t="s">
        <v>144</v>
      </c>
      <c r="D1983" t="s">
        <v>277</v>
      </c>
      <c r="E1983" t="s">
        <v>28</v>
      </c>
      <c r="F1983" t="s">
        <v>29</v>
      </c>
      <c r="G1983" t="s">
        <v>1033</v>
      </c>
      <c r="H1983" t="s">
        <v>30</v>
      </c>
      <c r="I1983" s="1">
        <v>1</v>
      </c>
      <c r="J1983" s="2">
        <v>155.16999999999999</v>
      </c>
    </row>
    <row r="1984" spans="2:10" hidden="1" x14ac:dyDescent="0.2">
      <c r="B1984" t="s">
        <v>824</v>
      </c>
      <c r="C1984" t="s">
        <v>165</v>
      </c>
      <c r="D1984" t="s">
        <v>825</v>
      </c>
      <c r="E1984" t="s">
        <v>644</v>
      </c>
      <c r="F1984" t="s">
        <v>645</v>
      </c>
      <c r="G1984" t="s">
        <v>1033</v>
      </c>
      <c r="H1984" t="s">
        <v>30</v>
      </c>
      <c r="I1984" s="1">
        <v>1</v>
      </c>
      <c r="J1984" s="2">
        <v>431.03</v>
      </c>
    </row>
    <row r="1985" spans="2:10" hidden="1" x14ac:dyDescent="0.2">
      <c r="B1985" t="s">
        <v>824</v>
      </c>
      <c r="C1985" t="s">
        <v>165</v>
      </c>
      <c r="D1985" t="s">
        <v>825</v>
      </c>
      <c r="E1985" t="s">
        <v>238</v>
      </c>
      <c r="F1985" t="s">
        <v>239</v>
      </c>
      <c r="G1985" t="s">
        <v>1033</v>
      </c>
      <c r="H1985" t="s">
        <v>30</v>
      </c>
      <c r="I1985" s="1">
        <v>1</v>
      </c>
      <c r="J1985" s="2">
        <v>396.55</v>
      </c>
    </row>
    <row r="1986" spans="2:10" hidden="1" x14ac:dyDescent="0.2">
      <c r="B1986" t="s">
        <v>824</v>
      </c>
      <c r="C1986" t="s">
        <v>165</v>
      </c>
      <c r="D1986" t="s">
        <v>825</v>
      </c>
      <c r="E1986" t="s">
        <v>44</v>
      </c>
      <c r="F1986" t="s">
        <v>45</v>
      </c>
      <c r="G1986" t="s">
        <v>1033</v>
      </c>
      <c r="H1986" t="s">
        <v>30</v>
      </c>
      <c r="I1986" s="1">
        <v>2</v>
      </c>
      <c r="J1986" s="2">
        <v>163.80000000000001</v>
      </c>
    </row>
    <row r="1987" spans="2:10" hidden="1" x14ac:dyDescent="0.2">
      <c r="B1987" t="s">
        <v>824</v>
      </c>
      <c r="C1987" t="s">
        <v>165</v>
      </c>
      <c r="D1987" t="s">
        <v>825</v>
      </c>
      <c r="E1987" t="s">
        <v>838</v>
      </c>
      <c r="F1987" t="s">
        <v>839</v>
      </c>
      <c r="G1987" t="s">
        <v>14</v>
      </c>
      <c r="H1987" t="s">
        <v>87</v>
      </c>
      <c r="I1987" s="1">
        <v>1</v>
      </c>
      <c r="J1987" s="2">
        <v>120.69</v>
      </c>
    </row>
    <row r="1988" spans="2:10" hidden="1" x14ac:dyDescent="0.2">
      <c r="B1988" t="s">
        <v>824</v>
      </c>
      <c r="C1988" t="s">
        <v>165</v>
      </c>
      <c r="D1988" t="s">
        <v>825</v>
      </c>
      <c r="E1988" t="s">
        <v>242</v>
      </c>
      <c r="F1988" t="s">
        <v>243</v>
      </c>
      <c r="G1988" t="s">
        <v>14</v>
      </c>
      <c r="H1988" t="s">
        <v>87</v>
      </c>
      <c r="I1988" s="1">
        <v>1</v>
      </c>
      <c r="J1988" s="2">
        <v>120.69</v>
      </c>
    </row>
    <row r="1989" spans="2:10" hidden="1" x14ac:dyDescent="0.2">
      <c r="B1989" t="s">
        <v>824</v>
      </c>
      <c r="C1989" t="s">
        <v>165</v>
      </c>
      <c r="D1989" t="s">
        <v>825</v>
      </c>
      <c r="E1989" t="s">
        <v>151</v>
      </c>
      <c r="F1989" t="s">
        <v>152</v>
      </c>
      <c r="G1989" t="s">
        <v>14</v>
      </c>
      <c r="H1989" t="s">
        <v>27</v>
      </c>
      <c r="I1989" s="1">
        <v>1</v>
      </c>
      <c r="J1989" s="2">
        <v>379.31</v>
      </c>
    </row>
    <row r="1990" spans="2:10" hidden="1" x14ac:dyDescent="0.2">
      <c r="B1990" t="s">
        <v>824</v>
      </c>
      <c r="C1990" t="s">
        <v>165</v>
      </c>
      <c r="D1990" t="s">
        <v>825</v>
      </c>
      <c r="E1990" t="s">
        <v>12</v>
      </c>
      <c r="F1990" t="s">
        <v>13</v>
      </c>
      <c r="G1990" t="s">
        <v>1034</v>
      </c>
      <c r="H1990" t="s">
        <v>15</v>
      </c>
      <c r="I1990" s="1">
        <v>1</v>
      </c>
      <c r="J1990" s="2">
        <v>1077.5899999999999</v>
      </c>
    </row>
    <row r="1991" spans="2:10" hidden="1" x14ac:dyDescent="0.2">
      <c r="B1991" t="s">
        <v>824</v>
      </c>
      <c r="C1991" t="s">
        <v>165</v>
      </c>
      <c r="D1991" t="s">
        <v>825</v>
      </c>
      <c r="E1991" t="s">
        <v>36</v>
      </c>
      <c r="F1991" t="s">
        <v>37</v>
      </c>
      <c r="G1991" t="s">
        <v>1034</v>
      </c>
      <c r="H1991" t="s">
        <v>15</v>
      </c>
      <c r="I1991" s="1">
        <v>1</v>
      </c>
      <c r="J1991" s="2">
        <v>301.72000000000003</v>
      </c>
    </row>
    <row r="1992" spans="2:10" hidden="1" x14ac:dyDescent="0.2">
      <c r="B1992" t="s">
        <v>824</v>
      </c>
      <c r="C1992" t="s">
        <v>165</v>
      </c>
      <c r="D1992" t="s">
        <v>825</v>
      </c>
      <c r="E1992" t="s">
        <v>72</v>
      </c>
      <c r="F1992" t="s">
        <v>73</v>
      </c>
      <c r="G1992" t="s">
        <v>1034</v>
      </c>
      <c r="H1992" t="s">
        <v>15</v>
      </c>
      <c r="I1992" s="1">
        <v>1</v>
      </c>
      <c r="J1992" s="2">
        <v>775.86</v>
      </c>
    </row>
    <row r="1993" spans="2:10" hidden="1" x14ac:dyDescent="0.2">
      <c r="B1993" t="s">
        <v>824</v>
      </c>
      <c r="C1993" t="s">
        <v>165</v>
      </c>
      <c r="D1993" t="s">
        <v>825</v>
      </c>
      <c r="E1993" t="s">
        <v>122</v>
      </c>
      <c r="F1993" t="s">
        <v>123</v>
      </c>
      <c r="G1993" t="s">
        <v>1034</v>
      </c>
      <c r="H1993" t="s">
        <v>15</v>
      </c>
      <c r="I1993" s="1">
        <v>1</v>
      </c>
      <c r="J1993" s="2">
        <v>387.93</v>
      </c>
    </row>
    <row r="1994" spans="2:10" hidden="1" x14ac:dyDescent="0.2">
      <c r="B1994" t="s">
        <v>824</v>
      </c>
      <c r="C1994" t="s">
        <v>165</v>
      </c>
      <c r="D1994" t="s">
        <v>825</v>
      </c>
      <c r="E1994" t="s">
        <v>406</v>
      </c>
      <c r="F1994" t="s">
        <v>407</v>
      </c>
      <c r="G1994" t="s">
        <v>14</v>
      </c>
      <c r="H1994" t="s">
        <v>104</v>
      </c>
      <c r="I1994" s="1">
        <v>2</v>
      </c>
      <c r="J1994" s="2">
        <v>34.479999999999997</v>
      </c>
    </row>
    <row r="1995" spans="2:10" hidden="1" x14ac:dyDescent="0.2">
      <c r="B1995" t="s">
        <v>824</v>
      </c>
      <c r="C1995" t="s">
        <v>165</v>
      </c>
      <c r="D1995" t="s">
        <v>825</v>
      </c>
      <c r="E1995" t="s">
        <v>61</v>
      </c>
      <c r="F1995" t="s">
        <v>62</v>
      </c>
      <c r="G1995" t="s">
        <v>1034</v>
      </c>
      <c r="H1995" t="s">
        <v>15</v>
      </c>
      <c r="I1995" s="1">
        <v>1</v>
      </c>
      <c r="J1995" s="2">
        <v>172.41</v>
      </c>
    </row>
    <row r="1996" spans="2:10" hidden="1" x14ac:dyDescent="0.2">
      <c r="B1996" t="s">
        <v>824</v>
      </c>
      <c r="C1996" t="s">
        <v>165</v>
      </c>
      <c r="D1996" t="s">
        <v>825</v>
      </c>
      <c r="E1996" t="s">
        <v>16</v>
      </c>
      <c r="F1996" t="s">
        <v>17</v>
      </c>
      <c r="G1996" t="s">
        <v>1034</v>
      </c>
      <c r="H1996" t="s">
        <v>15</v>
      </c>
      <c r="I1996" s="1">
        <v>2</v>
      </c>
      <c r="J1996" s="2">
        <v>1155.18</v>
      </c>
    </row>
    <row r="1997" spans="2:10" hidden="1" x14ac:dyDescent="0.2">
      <c r="B1997" t="s">
        <v>824</v>
      </c>
      <c r="C1997" t="s">
        <v>165</v>
      </c>
      <c r="D1997" t="s">
        <v>825</v>
      </c>
      <c r="E1997" t="s">
        <v>28</v>
      </c>
      <c r="F1997" t="s">
        <v>29</v>
      </c>
      <c r="G1997" t="s">
        <v>1033</v>
      </c>
      <c r="H1997" t="s">
        <v>30</v>
      </c>
      <c r="I1997" s="1">
        <v>2</v>
      </c>
      <c r="J1997" s="2">
        <v>310.33999999999997</v>
      </c>
    </row>
    <row r="1998" spans="2:10" hidden="1" x14ac:dyDescent="0.2">
      <c r="B1998" t="s">
        <v>824</v>
      </c>
      <c r="C1998" t="s">
        <v>166</v>
      </c>
      <c r="D1998" t="s">
        <v>825</v>
      </c>
      <c r="E1998" t="s">
        <v>44</v>
      </c>
      <c r="F1998" t="s">
        <v>45</v>
      </c>
      <c r="G1998" t="s">
        <v>1033</v>
      </c>
      <c r="H1998" t="s">
        <v>30</v>
      </c>
      <c r="I1998" s="1">
        <v>1</v>
      </c>
      <c r="J1998" s="2">
        <v>81.900000000000006</v>
      </c>
    </row>
    <row r="1999" spans="2:10" hidden="1" x14ac:dyDescent="0.2">
      <c r="B1999" t="s">
        <v>824</v>
      </c>
      <c r="C1999" t="s">
        <v>166</v>
      </c>
      <c r="D1999" t="s">
        <v>825</v>
      </c>
      <c r="E1999" t="s">
        <v>848</v>
      </c>
      <c r="F1999" t="s">
        <v>849</v>
      </c>
      <c r="G1999" t="s">
        <v>1033</v>
      </c>
      <c r="H1999" t="s">
        <v>30</v>
      </c>
      <c r="I1999" s="1">
        <v>1</v>
      </c>
      <c r="J1999" s="2">
        <v>379.31</v>
      </c>
    </row>
    <row r="2000" spans="2:10" hidden="1" x14ac:dyDescent="0.2">
      <c r="B2000" t="s">
        <v>824</v>
      </c>
      <c r="C2000" t="s">
        <v>166</v>
      </c>
      <c r="D2000" t="s">
        <v>825</v>
      </c>
      <c r="E2000" t="s">
        <v>579</v>
      </c>
      <c r="F2000" t="s">
        <v>580</v>
      </c>
      <c r="G2000" t="s">
        <v>1033</v>
      </c>
      <c r="H2000" t="s">
        <v>30</v>
      </c>
      <c r="I2000" s="1">
        <v>1</v>
      </c>
      <c r="J2000" s="2">
        <v>77.59</v>
      </c>
    </row>
    <row r="2001" spans="2:10" hidden="1" x14ac:dyDescent="0.2">
      <c r="B2001" t="s">
        <v>824</v>
      </c>
      <c r="C2001" t="s">
        <v>166</v>
      </c>
      <c r="D2001" t="s">
        <v>825</v>
      </c>
      <c r="E2001" t="s">
        <v>63</v>
      </c>
      <c r="F2001" t="s">
        <v>64</v>
      </c>
      <c r="G2001" t="s">
        <v>1034</v>
      </c>
      <c r="H2001" t="s">
        <v>15</v>
      </c>
      <c r="I2001" s="1">
        <v>1</v>
      </c>
      <c r="J2001" s="2">
        <v>172.41</v>
      </c>
    </row>
    <row r="2002" spans="2:10" hidden="1" x14ac:dyDescent="0.2">
      <c r="B2002" t="s">
        <v>824</v>
      </c>
      <c r="C2002" t="s">
        <v>166</v>
      </c>
      <c r="D2002" t="s">
        <v>825</v>
      </c>
      <c r="E2002" t="s">
        <v>16</v>
      </c>
      <c r="F2002" t="s">
        <v>17</v>
      </c>
      <c r="G2002" t="s">
        <v>1034</v>
      </c>
      <c r="H2002" t="s">
        <v>15</v>
      </c>
      <c r="I2002" s="1">
        <v>1</v>
      </c>
      <c r="J2002" s="2">
        <v>577.59</v>
      </c>
    </row>
    <row r="2003" spans="2:10" hidden="1" x14ac:dyDescent="0.2">
      <c r="B2003" t="s">
        <v>824</v>
      </c>
      <c r="C2003" t="s">
        <v>166</v>
      </c>
      <c r="D2003" t="s">
        <v>825</v>
      </c>
      <c r="E2003" t="s">
        <v>585</v>
      </c>
      <c r="F2003" t="s">
        <v>586</v>
      </c>
      <c r="G2003" t="s">
        <v>1034</v>
      </c>
      <c r="H2003" t="s">
        <v>15</v>
      </c>
      <c r="I2003" s="1">
        <v>1</v>
      </c>
      <c r="J2003" s="2">
        <v>310.33999999999997</v>
      </c>
    </row>
    <row r="2004" spans="2:10" hidden="1" x14ac:dyDescent="0.2">
      <c r="B2004" t="s">
        <v>824</v>
      </c>
      <c r="C2004" t="s">
        <v>185</v>
      </c>
      <c r="D2004" t="s">
        <v>825</v>
      </c>
      <c r="E2004" t="s">
        <v>579</v>
      </c>
      <c r="F2004" t="s">
        <v>580</v>
      </c>
      <c r="G2004" t="s">
        <v>1033</v>
      </c>
      <c r="H2004" t="s">
        <v>30</v>
      </c>
      <c r="I2004" s="1">
        <v>1</v>
      </c>
      <c r="J2004" s="2">
        <v>77.59</v>
      </c>
    </row>
    <row r="2005" spans="2:10" hidden="1" x14ac:dyDescent="0.2">
      <c r="B2005" t="s">
        <v>824</v>
      </c>
      <c r="C2005" t="s">
        <v>185</v>
      </c>
      <c r="D2005" t="s">
        <v>825</v>
      </c>
      <c r="E2005" t="s">
        <v>838</v>
      </c>
      <c r="F2005" t="s">
        <v>839</v>
      </c>
      <c r="G2005" t="s">
        <v>14</v>
      </c>
      <c r="H2005" t="s">
        <v>87</v>
      </c>
      <c r="I2005" s="1">
        <v>1</v>
      </c>
      <c r="J2005" s="2">
        <v>120.69</v>
      </c>
    </row>
    <row r="2006" spans="2:10" hidden="1" x14ac:dyDescent="0.2">
      <c r="B2006" t="s">
        <v>824</v>
      </c>
      <c r="C2006" t="s">
        <v>185</v>
      </c>
      <c r="D2006" t="s">
        <v>825</v>
      </c>
      <c r="E2006" t="s">
        <v>731</v>
      </c>
      <c r="F2006" t="s">
        <v>732</v>
      </c>
      <c r="G2006" t="s">
        <v>14</v>
      </c>
      <c r="H2006" t="s">
        <v>27</v>
      </c>
      <c r="I2006" s="1">
        <v>1</v>
      </c>
      <c r="J2006" s="2">
        <v>413.79</v>
      </c>
    </row>
    <row r="2007" spans="2:10" hidden="1" x14ac:dyDescent="0.2">
      <c r="B2007" t="s">
        <v>824</v>
      </c>
      <c r="C2007" t="s">
        <v>185</v>
      </c>
      <c r="D2007" t="s">
        <v>825</v>
      </c>
      <c r="E2007" t="s">
        <v>36</v>
      </c>
      <c r="F2007" t="s">
        <v>37</v>
      </c>
      <c r="G2007" t="s">
        <v>1034</v>
      </c>
      <c r="H2007" t="s">
        <v>15</v>
      </c>
      <c r="I2007" s="1">
        <v>1</v>
      </c>
      <c r="J2007" s="2">
        <v>301.72000000000003</v>
      </c>
    </row>
    <row r="2008" spans="2:10" hidden="1" x14ac:dyDescent="0.2">
      <c r="B2008" t="s">
        <v>824</v>
      </c>
      <c r="C2008" t="s">
        <v>185</v>
      </c>
      <c r="D2008" t="s">
        <v>825</v>
      </c>
      <c r="E2008" t="s">
        <v>427</v>
      </c>
      <c r="F2008" t="s">
        <v>428</v>
      </c>
      <c r="G2008" t="s">
        <v>14</v>
      </c>
      <c r="H2008" t="s">
        <v>87</v>
      </c>
      <c r="I2008" s="1">
        <v>1</v>
      </c>
      <c r="J2008" s="2">
        <v>120.69</v>
      </c>
    </row>
    <row r="2009" spans="2:10" hidden="1" x14ac:dyDescent="0.2">
      <c r="B2009" t="s">
        <v>824</v>
      </c>
      <c r="C2009" t="s">
        <v>185</v>
      </c>
      <c r="D2009" t="s">
        <v>825</v>
      </c>
      <c r="E2009" t="s">
        <v>61</v>
      </c>
      <c r="F2009" t="s">
        <v>62</v>
      </c>
      <c r="G2009" t="s">
        <v>1034</v>
      </c>
      <c r="H2009" t="s">
        <v>15</v>
      </c>
      <c r="I2009" s="1">
        <v>1</v>
      </c>
      <c r="J2009" s="2">
        <v>172.41</v>
      </c>
    </row>
    <row r="2010" spans="2:10" hidden="1" x14ac:dyDescent="0.2">
      <c r="B2010" t="s">
        <v>824</v>
      </c>
      <c r="C2010" t="s">
        <v>185</v>
      </c>
      <c r="D2010" t="s">
        <v>825</v>
      </c>
      <c r="E2010" t="s">
        <v>63</v>
      </c>
      <c r="F2010" t="s">
        <v>64</v>
      </c>
      <c r="G2010" t="s">
        <v>1034</v>
      </c>
      <c r="H2010" t="s">
        <v>15</v>
      </c>
      <c r="I2010" s="1">
        <v>1</v>
      </c>
      <c r="J2010" s="2">
        <v>172.41</v>
      </c>
    </row>
    <row r="2011" spans="2:10" hidden="1" x14ac:dyDescent="0.2">
      <c r="B2011" t="s">
        <v>824</v>
      </c>
      <c r="C2011" t="s">
        <v>335</v>
      </c>
      <c r="D2011" t="s">
        <v>825</v>
      </c>
      <c r="E2011" t="s">
        <v>44</v>
      </c>
      <c r="F2011" t="s">
        <v>45</v>
      </c>
      <c r="G2011" t="s">
        <v>1033</v>
      </c>
      <c r="H2011" t="s">
        <v>30</v>
      </c>
      <c r="I2011" s="1">
        <v>2</v>
      </c>
      <c r="J2011" s="2">
        <v>163.80000000000001</v>
      </c>
    </row>
    <row r="2012" spans="2:10" hidden="1" x14ac:dyDescent="0.2">
      <c r="B2012" t="s">
        <v>824</v>
      </c>
      <c r="C2012" t="s">
        <v>335</v>
      </c>
      <c r="D2012" t="s">
        <v>825</v>
      </c>
      <c r="E2012" t="s">
        <v>828</v>
      </c>
      <c r="F2012" t="s">
        <v>829</v>
      </c>
      <c r="G2012" t="s">
        <v>1033</v>
      </c>
      <c r="H2012" t="s">
        <v>30</v>
      </c>
      <c r="I2012" s="1">
        <v>1</v>
      </c>
      <c r="J2012" s="2">
        <v>474.14</v>
      </c>
    </row>
    <row r="2013" spans="2:10" hidden="1" x14ac:dyDescent="0.2">
      <c r="B2013" t="s">
        <v>824</v>
      </c>
      <c r="C2013" t="s">
        <v>335</v>
      </c>
      <c r="D2013" t="s">
        <v>825</v>
      </c>
      <c r="E2013" t="s">
        <v>70</v>
      </c>
      <c r="F2013" t="s">
        <v>71</v>
      </c>
      <c r="G2013" t="s">
        <v>1033</v>
      </c>
      <c r="H2013" t="s">
        <v>30</v>
      </c>
      <c r="I2013" s="1">
        <v>1</v>
      </c>
      <c r="J2013" s="2">
        <v>2112.0700000000002</v>
      </c>
    </row>
    <row r="2014" spans="2:10" hidden="1" x14ac:dyDescent="0.2">
      <c r="B2014" t="s">
        <v>824</v>
      </c>
      <c r="C2014" t="s">
        <v>335</v>
      </c>
      <c r="D2014" t="s">
        <v>825</v>
      </c>
      <c r="E2014" t="s">
        <v>242</v>
      </c>
      <c r="F2014" t="s">
        <v>243</v>
      </c>
      <c r="G2014" t="s">
        <v>14</v>
      </c>
      <c r="H2014" t="s">
        <v>87</v>
      </c>
      <c r="I2014" s="1">
        <v>1</v>
      </c>
      <c r="J2014" s="2">
        <v>120.69</v>
      </c>
    </row>
    <row r="2015" spans="2:10" hidden="1" x14ac:dyDescent="0.2">
      <c r="B2015" t="s">
        <v>824</v>
      </c>
      <c r="C2015" t="s">
        <v>335</v>
      </c>
      <c r="D2015" t="s">
        <v>825</v>
      </c>
      <c r="E2015" t="s">
        <v>139</v>
      </c>
      <c r="F2015" t="s">
        <v>140</v>
      </c>
      <c r="G2015" t="s">
        <v>14</v>
      </c>
      <c r="H2015" t="s">
        <v>87</v>
      </c>
      <c r="I2015" s="1">
        <v>1</v>
      </c>
      <c r="J2015" s="2">
        <v>120.69</v>
      </c>
    </row>
    <row r="2016" spans="2:10" hidden="1" x14ac:dyDescent="0.2">
      <c r="B2016" t="s">
        <v>824</v>
      </c>
      <c r="C2016" t="s">
        <v>335</v>
      </c>
      <c r="D2016" t="s">
        <v>825</v>
      </c>
      <c r="E2016" t="s">
        <v>36</v>
      </c>
      <c r="F2016" t="s">
        <v>37</v>
      </c>
      <c r="G2016" t="s">
        <v>1034</v>
      </c>
      <c r="H2016" t="s">
        <v>15</v>
      </c>
      <c r="I2016" s="1">
        <v>1</v>
      </c>
      <c r="J2016" s="2">
        <v>301.72000000000003</v>
      </c>
    </row>
    <row r="2017" spans="2:10" hidden="1" x14ac:dyDescent="0.2">
      <c r="B2017" t="s">
        <v>824</v>
      </c>
      <c r="C2017" t="s">
        <v>335</v>
      </c>
      <c r="D2017" t="s">
        <v>825</v>
      </c>
      <c r="E2017" t="s">
        <v>72</v>
      </c>
      <c r="F2017" t="s">
        <v>73</v>
      </c>
      <c r="G2017" t="s">
        <v>1034</v>
      </c>
      <c r="H2017" t="s">
        <v>15</v>
      </c>
      <c r="I2017" s="1">
        <v>1</v>
      </c>
      <c r="J2017" s="2">
        <v>775.86</v>
      </c>
    </row>
    <row r="2018" spans="2:10" hidden="1" x14ac:dyDescent="0.2">
      <c r="B2018" t="s">
        <v>824</v>
      </c>
      <c r="C2018" t="s">
        <v>335</v>
      </c>
      <c r="D2018" t="s">
        <v>825</v>
      </c>
      <c r="E2018" t="s">
        <v>427</v>
      </c>
      <c r="F2018" t="s">
        <v>428</v>
      </c>
      <c r="G2018" t="s">
        <v>14</v>
      </c>
      <c r="H2018" t="s">
        <v>87</v>
      </c>
      <c r="I2018" s="1">
        <v>1</v>
      </c>
      <c r="J2018" s="2">
        <v>120.69</v>
      </c>
    </row>
    <row r="2019" spans="2:10" hidden="1" x14ac:dyDescent="0.2">
      <c r="B2019" t="s">
        <v>824</v>
      </c>
      <c r="C2019" t="s">
        <v>335</v>
      </c>
      <c r="D2019" t="s">
        <v>825</v>
      </c>
      <c r="E2019" t="s">
        <v>406</v>
      </c>
      <c r="F2019" t="s">
        <v>407</v>
      </c>
      <c r="G2019" t="s">
        <v>14</v>
      </c>
      <c r="H2019" t="s">
        <v>104</v>
      </c>
      <c r="I2019" s="1">
        <v>5</v>
      </c>
      <c r="J2019" s="2">
        <v>86.199999999999989</v>
      </c>
    </row>
    <row r="2020" spans="2:10" hidden="1" x14ac:dyDescent="0.2">
      <c r="B2020" t="s">
        <v>824</v>
      </c>
      <c r="C2020" t="s">
        <v>335</v>
      </c>
      <c r="D2020" t="s">
        <v>825</v>
      </c>
      <c r="E2020" t="s">
        <v>61</v>
      </c>
      <c r="F2020" t="s">
        <v>62</v>
      </c>
      <c r="G2020" t="s">
        <v>1034</v>
      </c>
      <c r="H2020" t="s">
        <v>15</v>
      </c>
      <c r="I2020" s="1">
        <v>1</v>
      </c>
      <c r="J2020" s="2">
        <v>172.41</v>
      </c>
    </row>
    <row r="2021" spans="2:10" hidden="1" x14ac:dyDescent="0.2">
      <c r="B2021" t="s">
        <v>824</v>
      </c>
      <c r="C2021" t="s">
        <v>335</v>
      </c>
      <c r="D2021" t="s">
        <v>825</v>
      </c>
      <c r="E2021" t="s">
        <v>63</v>
      </c>
      <c r="F2021" t="s">
        <v>64</v>
      </c>
      <c r="G2021" t="s">
        <v>1034</v>
      </c>
      <c r="H2021" t="s">
        <v>15</v>
      </c>
      <c r="I2021" s="1">
        <v>2</v>
      </c>
      <c r="J2021" s="2">
        <v>344.82</v>
      </c>
    </row>
    <row r="2022" spans="2:10" hidden="1" x14ac:dyDescent="0.2">
      <c r="B2022" t="s">
        <v>824</v>
      </c>
      <c r="C2022" t="s">
        <v>335</v>
      </c>
      <c r="D2022" t="s">
        <v>825</v>
      </c>
      <c r="E2022" t="s">
        <v>16</v>
      </c>
      <c r="F2022" t="s">
        <v>17</v>
      </c>
      <c r="G2022" t="s">
        <v>1034</v>
      </c>
      <c r="H2022" t="s">
        <v>15</v>
      </c>
      <c r="I2022" s="1">
        <v>1</v>
      </c>
      <c r="J2022" s="2">
        <v>577.59</v>
      </c>
    </row>
    <row r="2023" spans="2:10" hidden="1" x14ac:dyDescent="0.2">
      <c r="B2023" t="s">
        <v>824</v>
      </c>
      <c r="C2023" t="s">
        <v>335</v>
      </c>
      <c r="D2023" t="s">
        <v>825</v>
      </c>
      <c r="E2023" t="s">
        <v>193</v>
      </c>
      <c r="F2023" t="s">
        <v>194</v>
      </c>
      <c r="G2023" t="s">
        <v>1034</v>
      </c>
      <c r="H2023" t="s">
        <v>15</v>
      </c>
      <c r="I2023" s="1">
        <v>1</v>
      </c>
      <c r="J2023" s="2">
        <v>1293.0999999999999</v>
      </c>
    </row>
    <row r="2024" spans="2:10" hidden="1" x14ac:dyDescent="0.2">
      <c r="B2024" t="s">
        <v>824</v>
      </c>
      <c r="C2024" t="s">
        <v>335</v>
      </c>
      <c r="D2024" t="s">
        <v>825</v>
      </c>
      <c r="E2024" t="s">
        <v>527</v>
      </c>
      <c r="F2024" t="s">
        <v>528</v>
      </c>
      <c r="G2024" t="s">
        <v>1034</v>
      </c>
      <c r="H2024" t="s">
        <v>15</v>
      </c>
      <c r="I2024" s="1">
        <v>1</v>
      </c>
      <c r="J2024" s="2">
        <v>241.38</v>
      </c>
    </row>
    <row r="2025" spans="2:10" hidden="1" x14ac:dyDescent="0.2">
      <c r="B2025" t="s">
        <v>824</v>
      </c>
      <c r="C2025" t="s">
        <v>335</v>
      </c>
      <c r="D2025" t="s">
        <v>825</v>
      </c>
      <c r="E2025" t="s">
        <v>28</v>
      </c>
      <c r="F2025" t="s">
        <v>29</v>
      </c>
      <c r="G2025" t="s">
        <v>1033</v>
      </c>
      <c r="H2025" t="s">
        <v>30</v>
      </c>
      <c r="I2025" s="1">
        <v>2</v>
      </c>
      <c r="J2025" s="2">
        <v>310.33999999999997</v>
      </c>
    </row>
    <row r="2026" spans="2:10" hidden="1" x14ac:dyDescent="0.2">
      <c r="B2026" t="s">
        <v>824</v>
      </c>
      <c r="C2026" t="s">
        <v>418</v>
      </c>
      <c r="D2026" t="s">
        <v>825</v>
      </c>
      <c r="E2026" t="s">
        <v>660</v>
      </c>
      <c r="F2026" t="s">
        <v>661</v>
      </c>
      <c r="G2026" t="s">
        <v>14</v>
      </c>
      <c r="H2026" t="s">
        <v>27</v>
      </c>
      <c r="I2026" s="1">
        <v>1</v>
      </c>
      <c r="J2026" s="2">
        <v>448.28</v>
      </c>
    </row>
    <row r="2027" spans="2:10" hidden="1" x14ac:dyDescent="0.2">
      <c r="B2027" t="s">
        <v>824</v>
      </c>
      <c r="C2027" t="s">
        <v>418</v>
      </c>
      <c r="D2027" t="s">
        <v>825</v>
      </c>
      <c r="E2027" t="s">
        <v>316</v>
      </c>
      <c r="F2027" t="s">
        <v>317</v>
      </c>
      <c r="G2027" t="s">
        <v>14</v>
      </c>
      <c r="H2027" t="s">
        <v>27</v>
      </c>
      <c r="I2027" s="1">
        <v>1</v>
      </c>
      <c r="J2027" s="2">
        <v>413.79</v>
      </c>
    </row>
    <row r="2028" spans="2:10" hidden="1" x14ac:dyDescent="0.2">
      <c r="B2028" t="s">
        <v>824</v>
      </c>
      <c r="C2028" t="s">
        <v>418</v>
      </c>
      <c r="D2028" t="s">
        <v>825</v>
      </c>
      <c r="E2028" t="s">
        <v>16</v>
      </c>
      <c r="F2028" t="s">
        <v>17</v>
      </c>
      <c r="G2028" t="s">
        <v>1034</v>
      </c>
      <c r="H2028" t="s">
        <v>15</v>
      </c>
      <c r="I2028" s="1">
        <v>1</v>
      </c>
      <c r="J2028" s="2">
        <v>577.59</v>
      </c>
    </row>
    <row r="2029" spans="2:10" hidden="1" x14ac:dyDescent="0.2">
      <c r="B2029" t="s">
        <v>824</v>
      </c>
      <c r="C2029" t="s">
        <v>186</v>
      </c>
      <c r="D2029" t="s">
        <v>825</v>
      </c>
      <c r="E2029" t="s">
        <v>302</v>
      </c>
      <c r="F2029" t="s">
        <v>303</v>
      </c>
      <c r="G2029" t="s">
        <v>1033</v>
      </c>
      <c r="H2029" t="s">
        <v>30</v>
      </c>
      <c r="I2029" s="1">
        <v>1</v>
      </c>
      <c r="J2029" s="2">
        <v>474.14</v>
      </c>
    </row>
    <row r="2030" spans="2:10" hidden="1" x14ac:dyDescent="0.2">
      <c r="B2030" t="s">
        <v>824</v>
      </c>
      <c r="C2030" t="s">
        <v>186</v>
      </c>
      <c r="D2030" t="s">
        <v>825</v>
      </c>
      <c r="E2030" t="s">
        <v>850</v>
      </c>
      <c r="F2030" t="s">
        <v>851</v>
      </c>
      <c r="G2030" t="s">
        <v>1033</v>
      </c>
      <c r="H2030" t="s">
        <v>30</v>
      </c>
      <c r="I2030" s="1">
        <v>1</v>
      </c>
      <c r="J2030" s="2">
        <v>1189.6600000000001</v>
      </c>
    </row>
    <row r="2031" spans="2:10" hidden="1" x14ac:dyDescent="0.2">
      <c r="B2031" t="s">
        <v>824</v>
      </c>
      <c r="C2031" t="s">
        <v>186</v>
      </c>
      <c r="D2031" t="s">
        <v>825</v>
      </c>
      <c r="E2031" t="s">
        <v>159</v>
      </c>
      <c r="F2031" t="s">
        <v>160</v>
      </c>
      <c r="G2031" t="s">
        <v>14</v>
      </c>
      <c r="H2031" t="s">
        <v>87</v>
      </c>
      <c r="I2031" s="1">
        <v>1</v>
      </c>
      <c r="J2031" s="2">
        <v>284.48</v>
      </c>
    </row>
    <row r="2032" spans="2:10" hidden="1" x14ac:dyDescent="0.2">
      <c r="B2032" t="s">
        <v>824</v>
      </c>
      <c r="C2032" t="s">
        <v>186</v>
      </c>
      <c r="D2032" t="s">
        <v>825</v>
      </c>
      <c r="E2032" t="s">
        <v>63</v>
      </c>
      <c r="F2032" t="s">
        <v>64</v>
      </c>
      <c r="G2032" t="s">
        <v>1034</v>
      </c>
      <c r="H2032" t="s">
        <v>15</v>
      </c>
      <c r="I2032" s="1">
        <v>2</v>
      </c>
      <c r="J2032" s="2">
        <v>344.82</v>
      </c>
    </row>
    <row r="2033" spans="2:10" hidden="1" x14ac:dyDescent="0.2">
      <c r="B2033" t="s">
        <v>824</v>
      </c>
      <c r="C2033" t="s">
        <v>197</v>
      </c>
      <c r="D2033" t="s">
        <v>277</v>
      </c>
      <c r="E2033" t="s">
        <v>338</v>
      </c>
      <c r="F2033" t="s">
        <v>339</v>
      </c>
      <c r="G2033" t="s">
        <v>1033</v>
      </c>
      <c r="H2033" t="s">
        <v>30</v>
      </c>
      <c r="I2033" s="1">
        <v>1</v>
      </c>
      <c r="J2033" s="2">
        <v>1525.86</v>
      </c>
    </row>
    <row r="2034" spans="2:10" hidden="1" x14ac:dyDescent="0.2">
      <c r="B2034" t="s">
        <v>824</v>
      </c>
      <c r="C2034" t="s">
        <v>197</v>
      </c>
      <c r="D2034" t="s">
        <v>277</v>
      </c>
      <c r="E2034" t="s">
        <v>70</v>
      </c>
      <c r="F2034" t="s">
        <v>71</v>
      </c>
      <c r="G2034" t="s">
        <v>1033</v>
      </c>
      <c r="H2034" t="s">
        <v>30</v>
      </c>
      <c r="I2034" s="1">
        <v>1</v>
      </c>
      <c r="J2034" s="2">
        <v>2112.0700000000002</v>
      </c>
    </row>
    <row r="2035" spans="2:10" hidden="1" x14ac:dyDescent="0.2">
      <c r="B2035" t="s">
        <v>824</v>
      </c>
      <c r="C2035" t="s">
        <v>197</v>
      </c>
      <c r="D2035" t="s">
        <v>277</v>
      </c>
      <c r="E2035" t="s">
        <v>214</v>
      </c>
      <c r="F2035" t="s">
        <v>215</v>
      </c>
      <c r="G2035" t="s">
        <v>1034</v>
      </c>
      <c r="H2035" t="s">
        <v>15</v>
      </c>
      <c r="I2035" s="1">
        <v>1</v>
      </c>
      <c r="J2035" s="2">
        <v>301.72000000000003</v>
      </c>
    </row>
    <row r="2036" spans="2:10" hidden="1" x14ac:dyDescent="0.2">
      <c r="B2036" t="s">
        <v>824</v>
      </c>
      <c r="C2036" t="s">
        <v>197</v>
      </c>
      <c r="D2036" t="s">
        <v>277</v>
      </c>
      <c r="E2036" t="s">
        <v>852</v>
      </c>
      <c r="F2036" t="s">
        <v>853</v>
      </c>
      <c r="G2036" t="s">
        <v>1033</v>
      </c>
      <c r="H2036" t="s">
        <v>30</v>
      </c>
      <c r="I2036" s="1">
        <v>1</v>
      </c>
      <c r="J2036" s="2">
        <v>818.97</v>
      </c>
    </row>
    <row r="2037" spans="2:10" hidden="1" x14ac:dyDescent="0.2">
      <c r="B2037" t="s">
        <v>824</v>
      </c>
      <c r="C2037" t="s">
        <v>206</v>
      </c>
      <c r="D2037" t="s">
        <v>825</v>
      </c>
      <c r="E2037" t="s">
        <v>854</v>
      </c>
      <c r="F2037" t="s">
        <v>855</v>
      </c>
      <c r="G2037" t="s">
        <v>54</v>
      </c>
      <c r="H2037" t="s">
        <v>694</v>
      </c>
      <c r="I2037" s="1">
        <v>1</v>
      </c>
      <c r="J2037" s="2">
        <v>344.83</v>
      </c>
    </row>
    <row r="2038" spans="2:10" hidden="1" x14ac:dyDescent="0.2">
      <c r="B2038" t="s">
        <v>824</v>
      </c>
      <c r="C2038" t="s">
        <v>206</v>
      </c>
      <c r="D2038" t="s">
        <v>825</v>
      </c>
      <c r="E2038" t="s">
        <v>726</v>
      </c>
      <c r="F2038" t="s">
        <v>727</v>
      </c>
      <c r="G2038" t="s">
        <v>14</v>
      </c>
      <c r="H2038" t="s">
        <v>35</v>
      </c>
      <c r="I2038" s="1">
        <v>1</v>
      </c>
      <c r="J2038" s="2">
        <v>77.59</v>
      </c>
    </row>
    <row r="2039" spans="2:10" hidden="1" x14ac:dyDescent="0.2">
      <c r="B2039" t="s">
        <v>824</v>
      </c>
      <c r="C2039" t="s">
        <v>206</v>
      </c>
      <c r="D2039" t="s">
        <v>825</v>
      </c>
      <c r="E2039" t="s">
        <v>173</v>
      </c>
      <c r="F2039" t="s">
        <v>174</v>
      </c>
      <c r="G2039" t="s">
        <v>14</v>
      </c>
      <c r="H2039" t="s">
        <v>35</v>
      </c>
      <c r="I2039" s="1">
        <v>1</v>
      </c>
      <c r="J2039" s="2">
        <v>60.34</v>
      </c>
    </row>
    <row r="2040" spans="2:10" hidden="1" x14ac:dyDescent="0.2">
      <c r="B2040" t="s">
        <v>824</v>
      </c>
      <c r="C2040" t="s">
        <v>206</v>
      </c>
      <c r="D2040" t="s">
        <v>825</v>
      </c>
      <c r="E2040" t="s">
        <v>856</v>
      </c>
      <c r="F2040" t="s">
        <v>857</v>
      </c>
      <c r="G2040" t="s">
        <v>54</v>
      </c>
      <c r="H2040" t="s">
        <v>138</v>
      </c>
      <c r="I2040" s="1">
        <v>1</v>
      </c>
      <c r="J2040" s="2">
        <v>431.03</v>
      </c>
    </row>
    <row r="2041" spans="2:10" hidden="1" x14ac:dyDescent="0.2">
      <c r="B2041" t="s">
        <v>824</v>
      </c>
      <c r="C2041" t="s">
        <v>206</v>
      </c>
      <c r="D2041" t="s">
        <v>825</v>
      </c>
      <c r="E2041" t="s">
        <v>83</v>
      </c>
      <c r="F2041" t="s">
        <v>84</v>
      </c>
      <c r="G2041" t="s">
        <v>1034</v>
      </c>
      <c r="H2041" t="s">
        <v>15</v>
      </c>
      <c r="I2041" s="1">
        <v>1</v>
      </c>
      <c r="J2041" s="2">
        <v>387.93</v>
      </c>
    </row>
    <row r="2042" spans="2:10" hidden="1" x14ac:dyDescent="0.2">
      <c r="B2042" t="s">
        <v>824</v>
      </c>
      <c r="C2042" t="s">
        <v>206</v>
      </c>
      <c r="D2042" t="s">
        <v>825</v>
      </c>
      <c r="E2042" t="s">
        <v>56</v>
      </c>
      <c r="F2042" t="s">
        <v>57</v>
      </c>
      <c r="G2042" t="s">
        <v>1034</v>
      </c>
      <c r="H2042" t="s">
        <v>15</v>
      </c>
      <c r="I2042" s="1">
        <v>1</v>
      </c>
      <c r="J2042" s="2">
        <v>431.03</v>
      </c>
    </row>
    <row r="2043" spans="2:10" hidden="1" x14ac:dyDescent="0.2">
      <c r="B2043" t="s">
        <v>824</v>
      </c>
      <c r="C2043" t="s">
        <v>206</v>
      </c>
      <c r="D2043" t="s">
        <v>825</v>
      </c>
      <c r="E2043" t="s">
        <v>16</v>
      </c>
      <c r="F2043" t="s">
        <v>17</v>
      </c>
      <c r="G2043" t="s">
        <v>1034</v>
      </c>
      <c r="H2043" t="s">
        <v>15</v>
      </c>
      <c r="I2043" s="1">
        <v>1</v>
      </c>
      <c r="J2043" s="2">
        <v>577.59</v>
      </c>
    </row>
    <row r="2044" spans="2:10" hidden="1" x14ac:dyDescent="0.2">
      <c r="B2044" t="s">
        <v>824</v>
      </c>
      <c r="C2044" t="s">
        <v>220</v>
      </c>
      <c r="D2044" t="s">
        <v>825</v>
      </c>
      <c r="E2044" t="s">
        <v>44</v>
      </c>
      <c r="F2044" t="s">
        <v>45</v>
      </c>
      <c r="G2044" t="s">
        <v>1033</v>
      </c>
      <c r="H2044" t="s">
        <v>30</v>
      </c>
      <c r="I2044" s="1">
        <v>1</v>
      </c>
      <c r="J2044" s="2">
        <v>81.900000000000006</v>
      </c>
    </row>
    <row r="2045" spans="2:10" hidden="1" x14ac:dyDescent="0.2">
      <c r="B2045" t="s">
        <v>824</v>
      </c>
      <c r="C2045" t="s">
        <v>220</v>
      </c>
      <c r="D2045" t="s">
        <v>825</v>
      </c>
      <c r="E2045" t="s">
        <v>553</v>
      </c>
      <c r="F2045" t="s">
        <v>554</v>
      </c>
      <c r="G2045" t="s">
        <v>1033</v>
      </c>
      <c r="H2045" t="s">
        <v>30</v>
      </c>
      <c r="I2045" s="1">
        <v>1</v>
      </c>
      <c r="J2045" s="2">
        <v>1379.31</v>
      </c>
    </row>
    <row r="2046" spans="2:10" hidden="1" x14ac:dyDescent="0.2">
      <c r="B2046" t="s">
        <v>824</v>
      </c>
      <c r="C2046" t="s">
        <v>220</v>
      </c>
      <c r="D2046" t="s">
        <v>825</v>
      </c>
      <c r="E2046" t="s">
        <v>46</v>
      </c>
      <c r="F2046" t="s">
        <v>47</v>
      </c>
      <c r="G2046" t="s">
        <v>1034</v>
      </c>
      <c r="H2046" t="s">
        <v>15</v>
      </c>
      <c r="I2046" s="1">
        <v>1</v>
      </c>
      <c r="J2046" s="2">
        <v>301.72000000000003</v>
      </c>
    </row>
    <row r="2047" spans="2:10" hidden="1" x14ac:dyDescent="0.2">
      <c r="B2047" t="s">
        <v>824</v>
      </c>
      <c r="C2047" t="s">
        <v>220</v>
      </c>
      <c r="D2047" t="s">
        <v>825</v>
      </c>
      <c r="E2047" t="s">
        <v>523</v>
      </c>
      <c r="F2047" t="s">
        <v>524</v>
      </c>
      <c r="G2047" t="s">
        <v>14</v>
      </c>
      <c r="H2047" t="s">
        <v>35</v>
      </c>
      <c r="I2047" s="1">
        <v>1</v>
      </c>
      <c r="J2047" s="2">
        <v>60.34</v>
      </c>
    </row>
    <row r="2048" spans="2:10" hidden="1" x14ac:dyDescent="0.2">
      <c r="B2048" t="s">
        <v>824</v>
      </c>
      <c r="C2048" t="s">
        <v>220</v>
      </c>
      <c r="D2048" t="s">
        <v>825</v>
      </c>
      <c r="E2048" t="s">
        <v>120</v>
      </c>
      <c r="F2048" t="s">
        <v>121</v>
      </c>
      <c r="G2048" t="s">
        <v>1034</v>
      </c>
      <c r="H2048" t="s">
        <v>15</v>
      </c>
      <c r="I2048" s="1">
        <v>1</v>
      </c>
      <c r="J2048" s="2">
        <v>301.72000000000003</v>
      </c>
    </row>
    <row r="2049" spans="2:10" hidden="1" x14ac:dyDescent="0.2">
      <c r="B2049" t="s">
        <v>824</v>
      </c>
      <c r="C2049" t="s">
        <v>220</v>
      </c>
      <c r="D2049" t="s">
        <v>825</v>
      </c>
      <c r="E2049" t="s">
        <v>36</v>
      </c>
      <c r="F2049" t="s">
        <v>37</v>
      </c>
      <c r="G2049" t="s">
        <v>1034</v>
      </c>
      <c r="H2049" t="s">
        <v>15</v>
      </c>
      <c r="I2049" s="1">
        <v>1</v>
      </c>
      <c r="J2049" s="2">
        <v>301.72000000000003</v>
      </c>
    </row>
    <row r="2050" spans="2:10" hidden="1" x14ac:dyDescent="0.2">
      <c r="B2050" t="s">
        <v>824</v>
      </c>
      <c r="C2050" t="s">
        <v>220</v>
      </c>
      <c r="D2050" t="s">
        <v>825</v>
      </c>
      <c r="E2050" t="s">
        <v>83</v>
      </c>
      <c r="F2050" t="s">
        <v>84</v>
      </c>
      <c r="G2050" t="s">
        <v>1034</v>
      </c>
      <c r="H2050" t="s">
        <v>15</v>
      </c>
      <c r="I2050" s="1">
        <v>1</v>
      </c>
      <c r="J2050" s="2">
        <v>387.93</v>
      </c>
    </row>
    <row r="2051" spans="2:10" hidden="1" x14ac:dyDescent="0.2">
      <c r="B2051" t="s">
        <v>824</v>
      </c>
      <c r="C2051" t="s">
        <v>220</v>
      </c>
      <c r="D2051" t="s">
        <v>825</v>
      </c>
      <c r="E2051" t="s">
        <v>427</v>
      </c>
      <c r="F2051" t="s">
        <v>428</v>
      </c>
      <c r="G2051" t="s">
        <v>14</v>
      </c>
      <c r="H2051" t="s">
        <v>87</v>
      </c>
      <c r="I2051" s="1">
        <v>1</v>
      </c>
      <c r="J2051" s="2">
        <v>120.69</v>
      </c>
    </row>
    <row r="2052" spans="2:10" hidden="1" x14ac:dyDescent="0.2">
      <c r="B2052" t="s">
        <v>824</v>
      </c>
      <c r="C2052" t="s">
        <v>220</v>
      </c>
      <c r="D2052" t="s">
        <v>825</v>
      </c>
      <c r="E2052" t="s">
        <v>16</v>
      </c>
      <c r="F2052" t="s">
        <v>17</v>
      </c>
      <c r="G2052" t="s">
        <v>1034</v>
      </c>
      <c r="H2052" t="s">
        <v>15</v>
      </c>
      <c r="I2052" s="1">
        <v>1</v>
      </c>
      <c r="J2052" s="2">
        <v>577.59</v>
      </c>
    </row>
    <row r="2053" spans="2:10" hidden="1" x14ac:dyDescent="0.2">
      <c r="B2053" t="s">
        <v>824</v>
      </c>
      <c r="C2053" t="s">
        <v>225</v>
      </c>
      <c r="D2053" t="s">
        <v>825</v>
      </c>
      <c r="E2053" t="s">
        <v>46</v>
      </c>
      <c r="F2053" t="s">
        <v>47</v>
      </c>
      <c r="G2053" t="s">
        <v>1034</v>
      </c>
      <c r="H2053" t="s">
        <v>15</v>
      </c>
      <c r="I2053" s="1">
        <v>1</v>
      </c>
      <c r="J2053" s="2">
        <v>301.72000000000003</v>
      </c>
    </row>
    <row r="2054" spans="2:10" hidden="1" x14ac:dyDescent="0.2">
      <c r="B2054" t="s">
        <v>824</v>
      </c>
      <c r="C2054" t="s">
        <v>225</v>
      </c>
      <c r="D2054" t="s">
        <v>825</v>
      </c>
      <c r="E2054" t="s">
        <v>221</v>
      </c>
      <c r="F2054" t="s">
        <v>222</v>
      </c>
      <c r="G2054" t="s">
        <v>1034</v>
      </c>
      <c r="H2054" t="s">
        <v>15</v>
      </c>
      <c r="I2054" s="1">
        <v>1</v>
      </c>
      <c r="J2054" s="2">
        <v>431.03</v>
      </c>
    </row>
    <row r="2055" spans="2:10" hidden="1" x14ac:dyDescent="0.2">
      <c r="B2055" t="s">
        <v>824</v>
      </c>
      <c r="C2055" t="s">
        <v>225</v>
      </c>
      <c r="D2055" t="s">
        <v>825</v>
      </c>
      <c r="E2055" t="s">
        <v>336</v>
      </c>
      <c r="F2055" t="s">
        <v>337</v>
      </c>
      <c r="G2055" t="s">
        <v>1034</v>
      </c>
      <c r="H2055" t="s">
        <v>15</v>
      </c>
      <c r="I2055" s="1">
        <v>1</v>
      </c>
      <c r="J2055" s="2">
        <v>387.93</v>
      </c>
    </row>
    <row r="2056" spans="2:10" hidden="1" x14ac:dyDescent="0.2">
      <c r="B2056" t="s">
        <v>824</v>
      </c>
      <c r="C2056" t="s">
        <v>225</v>
      </c>
      <c r="D2056" t="s">
        <v>825</v>
      </c>
      <c r="E2056" t="s">
        <v>48</v>
      </c>
      <c r="F2056" t="s">
        <v>49</v>
      </c>
      <c r="G2056" t="s">
        <v>43</v>
      </c>
      <c r="H2056" t="s">
        <v>50</v>
      </c>
      <c r="I2056" s="1">
        <v>1</v>
      </c>
      <c r="J2056" s="2">
        <v>1318.97</v>
      </c>
    </row>
    <row r="2057" spans="2:10" x14ac:dyDescent="0.2">
      <c r="B2057" t="s">
        <v>824</v>
      </c>
      <c r="C2057" t="s">
        <v>227</v>
      </c>
      <c r="D2057" t="s">
        <v>825</v>
      </c>
      <c r="E2057" t="s">
        <v>36</v>
      </c>
      <c r="F2057" t="s">
        <v>37</v>
      </c>
      <c r="G2057" t="s">
        <v>1034</v>
      </c>
      <c r="H2057" t="s">
        <v>15</v>
      </c>
      <c r="I2057" s="1">
        <v>1</v>
      </c>
      <c r="J2057" s="2">
        <v>301.72000000000003</v>
      </c>
    </row>
    <row r="2058" spans="2:10" x14ac:dyDescent="0.2">
      <c r="B2058" t="s">
        <v>824</v>
      </c>
      <c r="C2058" t="s">
        <v>227</v>
      </c>
      <c r="D2058" t="s">
        <v>825</v>
      </c>
      <c r="E2058" t="s">
        <v>74</v>
      </c>
      <c r="F2058" t="s">
        <v>75</v>
      </c>
      <c r="G2058" t="s">
        <v>76</v>
      </c>
      <c r="H2058" t="s">
        <v>60</v>
      </c>
      <c r="I2058" s="1">
        <v>1</v>
      </c>
      <c r="J2058" s="2">
        <v>344.83</v>
      </c>
    </row>
    <row r="2059" spans="2:10" x14ac:dyDescent="0.2">
      <c r="B2059" t="s">
        <v>824</v>
      </c>
      <c r="C2059" t="s">
        <v>227</v>
      </c>
      <c r="D2059" t="s">
        <v>825</v>
      </c>
      <c r="E2059" t="s">
        <v>79</v>
      </c>
      <c r="F2059" t="s">
        <v>80</v>
      </c>
      <c r="G2059" t="s">
        <v>43</v>
      </c>
      <c r="H2059" t="s">
        <v>81</v>
      </c>
      <c r="I2059" s="1">
        <v>1</v>
      </c>
      <c r="J2059" s="2">
        <v>1810.34</v>
      </c>
    </row>
    <row r="2060" spans="2:10" x14ac:dyDescent="0.2">
      <c r="B2060" t="s">
        <v>824</v>
      </c>
      <c r="C2060" t="s">
        <v>228</v>
      </c>
      <c r="D2060" t="s">
        <v>825</v>
      </c>
      <c r="E2060" t="s">
        <v>44</v>
      </c>
      <c r="F2060" t="s">
        <v>45</v>
      </c>
      <c r="G2060" t="s">
        <v>1033</v>
      </c>
      <c r="H2060" t="s">
        <v>30</v>
      </c>
      <c r="I2060" s="1">
        <v>1</v>
      </c>
      <c r="J2060" s="2">
        <v>81.900000000000006</v>
      </c>
    </row>
    <row r="2061" spans="2:10" x14ac:dyDescent="0.2">
      <c r="B2061" t="s">
        <v>824</v>
      </c>
      <c r="C2061" t="s">
        <v>228</v>
      </c>
      <c r="D2061" t="s">
        <v>825</v>
      </c>
      <c r="E2061" t="s">
        <v>46</v>
      </c>
      <c r="F2061" t="s">
        <v>47</v>
      </c>
      <c r="G2061" t="s">
        <v>1034</v>
      </c>
      <c r="H2061" t="s">
        <v>15</v>
      </c>
      <c r="I2061" s="1">
        <v>1</v>
      </c>
      <c r="J2061" s="2">
        <v>301.72000000000003</v>
      </c>
    </row>
    <row r="2062" spans="2:10" x14ac:dyDescent="0.2">
      <c r="B2062" t="s">
        <v>824</v>
      </c>
      <c r="C2062" t="s">
        <v>228</v>
      </c>
      <c r="D2062" t="s">
        <v>825</v>
      </c>
      <c r="E2062" t="s">
        <v>488</v>
      </c>
      <c r="F2062" t="s">
        <v>489</v>
      </c>
      <c r="G2062" t="s">
        <v>43</v>
      </c>
      <c r="H2062" t="s">
        <v>128</v>
      </c>
      <c r="I2062" s="1">
        <v>1</v>
      </c>
      <c r="J2062" s="2">
        <v>5862.07</v>
      </c>
    </row>
    <row r="2063" spans="2:10" x14ac:dyDescent="0.2">
      <c r="B2063" t="s">
        <v>824</v>
      </c>
      <c r="C2063" t="s">
        <v>228</v>
      </c>
      <c r="D2063" t="s">
        <v>825</v>
      </c>
      <c r="E2063" t="s">
        <v>214</v>
      </c>
      <c r="F2063" t="s">
        <v>215</v>
      </c>
      <c r="G2063" t="s">
        <v>1034</v>
      </c>
      <c r="H2063" t="s">
        <v>15</v>
      </c>
      <c r="I2063" s="1">
        <v>1</v>
      </c>
      <c r="J2063" s="2">
        <v>301.72000000000003</v>
      </c>
    </row>
    <row r="2064" spans="2:10" x14ac:dyDescent="0.2">
      <c r="B2064" t="s">
        <v>824</v>
      </c>
      <c r="C2064" t="s">
        <v>228</v>
      </c>
      <c r="D2064" t="s">
        <v>825</v>
      </c>
      <c r="E2064" t="s">
        <v>122</v>
      </c>
      <c r="F2064" t="s">
        <v>123</v>
      </c>
      <c r="G2064" t="s">
        <v>1034</v>
      </c>
      <c r="H2064" t="s">
        <v>15</v>
      </c>
      <c r="I2064" s="1">
        <v>1</v>
      </c>
      <c r="J2064" s="2">
        <v>387.93</v>
      </c>
    </row>
    <row r="2065" spans="2:10" x14ac:dyDescent="0.2">
      <c r="B2065" t="s">
        <v>824</v>
      </c>
      <c r="C2065" t="s">
        <v>228</v>
      </c>
      <c r="D2065" t="s">
        <v>825</v>
      </c>
      <c r="E2065" t="s">
        <v>596</v>
      </c>
      <c r="F2065" t="s">
        <v>597</v>
      </c>
      <c r="G2065" t="s">
        <v>43</v>
      </c>
      <c r="H2065" t="s">
        <v>50</v>
      </c>
      <c r="I2065" s="1">
        <v>1</v>
      </c>
      <c r="J2065" s="2">
        <v>181.03</v>
      </c>
    </row>
    <row r="2066" spans="2:10" x14ac:dyDescent="0.2">
      <c r="B2066" t="s">
        <v>824</v>
      </c>
      <c r="C2066" t="s">
        <v>228</v>
      </c>
      <c r="D2066" t="s">
        <v>825</v>
      </c>
      <c r="E2066" t="s">
        <v>56</v>
      </c>
      <c r="F2066" t="s">
        <v>57</v>
      </c>
      <c r="G2066" t="s">
        <v>1034</v>
      </c>
      <c r="H2066" t="s">
        <v>15</v>
      </c>
      <c r="I2066" s="1">
        <v>1</v>
      </c>
      <c r="J2066" s="2">
        <v>431.03</v>
      </c>
    </row>
    <row r="2067" spans="2:10" x14ac:dyDescent="0.2">
      <c r="B2067" t="s">
        <v>824</v>
      </c>
      <c r="C2067" t="s">
        <v>228</v>
      </c>
      <c r="D2067" t="s">
        <v>825</v>
      </c>
      <c r="E2067" t="s">
        <v>406</v>
      </c>
      <c r="F2067" t="s">
        <v>407</v>
      </c>
      <c r="G2067" t="s">
        <v>14</v>
      </c>
      <c r="H2067" t="s">
        <v>104</v>
      </c>
      <c r="I2067" s="1">
        <v>1</v>
      </c>
      <c r="J2067" s="2">
        <v>17.239999999999998</v>
      </c>
    </row>
    <row r="2068" spans="2:10" x14ac:dyDescent="0.2">
      <c r="B2068" t="s">
        <v>824</v>
      </c>
      <c r="C2068" t="s">
        <v>228</v>
      </c>
      <c r="D2068" t="s">
        <v>825</v>
      </c>
      <c r="E2068" t="s">
        <v>61</v>
      </c>
      <c r="F2068" t="s">
        <v>62</v>
      </c>
      <c r="G2068" t="s">
        <v>1034</v>
      </c>
      <c r="H2068" t="s">
        <v>15</v>
      </c>
      <c r="I2068" s="1">
        <v>1</v>
      </c>
      <c r="J2068" s="2">
        <v>172.41</v>
      </c>
    </row>
    <row r="2069" spans="2:10" x14ac:dyDescent="0.2">
      <c r="B2069" t="s">
        <v>824</v>
      </c>
      <c r="C2069" t="s">
        <v>233</v>
      </c>
      <c r="D2069" t="s">
        <v>277</v>
      </c>
      <c r="E2069" t="s">
        <v>19</v>
      </c>
      <c r="F2069" t="s">
        <v>20</v>
      </c>
      <c r="G2069" t="s">
        <v>14</v>
      </c>
      <c r="H2069" t="s">
        <v>21</v>
      </c>
      <c r="I2069" s="1">
        <v>1</v>
      </c>
      <c r="J2069" s="2">
        <v>431.04</v>
      </c>
    </row>
    <row r="2070" spans="2:10" x14ac:dyDescent="0.2">
      <c r="B2070" t="s">
        <v>824</v>
      </c>
      <c r="C2070" t="s">
        <v>233</v>
      </c>
      <c r="D2070" t="s">
        <v>277</v>
      </c>
      <c r="E2070" t="s">
        <v>324</v>
      </c>
      <c r="F2070" t="s">
        <v>325</v>
      </c>
      <c r="G2070" t="s">
        <v>1033</v>
      </c>
      <c r="H2070" t="s">
        <v>30</v>
      </c>
      <c r="I2070" s="1">
        <v>1</v>
      </c>
      <c r="J2070" s="2">
        <v>2000</v>
      </c>
    </row>
    <row r="2071" spans="2:10" x14ac:dyDescent="0.2">
      <c r="B2071" t="s">
        <v>824</v>
      </c>
      <c r="C2071" t="s">
        <v>233</v>
      </c>
      <c r="D2071" t="s">
        <v>277</v>
      </c>
      <c r="E2071" t="s">
        <v>573</v>
      </c>
      <c r="F2071" t="s">
        <v>574</v>
      </c>
      <c r="G2071" t="s">
        <v>1033</v>
      </c>
      <c r="H2071" t="s">
        <v>30</v>
      </c>
      <c r="I2071" s="1">
        <v>1</v>
      </c>
      <c r="J2071" s="2">
        <v>775.86</v>
      </c>
    </row>
    <row r="2072" spans="2:10" x14ac:dyDescent="0.2">
      <c r="B2072" t="s">
        <v>824</v>
      </c>
      <c r="C2072" t="s">
        <v>233</v>
      </c>
      <c r="D2072" t="s">
        <v>277</v>
      </c>
      <c r="E2072" t="s">
        <v>56</v>
      </c>
      <c r="F2072" t="s">
        <v>57</v>
      </c>
      <c r="G2072" t="s">
        <v>1034</v>
      </c>
      <c r="H2072" t="s">
        <v>15</v>
      </c>
      <c r="I2072" s="1">
        <v>1</v>
      </c>
      <c r="J2072" s="2">
        <v>431.03</v>
      </c>
    </row>
    <row r="2073" spans="2:10" x14ac:dyDescent="0.2">
      <c r="B2073" t="s">
        <v>824</v>
      </c>
      <c r="C2073" t="s">
        <v>233</v>
      </c>
      <c r="D2073" t="s">
        <v>277</v>
      </c>
      <c r="E2073" t="s">
        <v>61</v>
      </c>
      <c r="F2073" t="s">
        <v>62</v>
      </c>
      <c r="G2073" t="s">
        <v>1034</v>
      </c>
      <c r="H2073" t="s">
        <v>15</v>
      </c>
      <c r="I2073" s="1">
        <v>1</v>
      </c>
      <c r="J2073" s="2">
        <v>172.41</v>
      </c>
    </row>
    <row r="2074" spans="2:10" x14ac:dyDescent="0.2">
      <c r="B2074" t="s">
        <v>824</v>
      </c>
      <c r="C2074" t="s">
        <v>236</v>
      </c>
      <c r="D2074" t="s">
        <v>825</v>
      </c>
      <c r="E2074" t="s">
        <v>221</v>
      </c>
      <c r="F2074" t="s">
        <v>222</v>
      </c>
      <c r="G2074" t="s">
        <v>1034</v>
      </c>
      <c r="H2074" t="s">
        <v>15</v>
      </c>
      <c r="I2074" s="1">
        <v>1</v>
      </c>
      <c r="J2074" s="2">
        <v>431.03</v>
      </c>
    </row>
    <row r="2075" spans="2:10" x14ac:dyDescent="0.2">
      <c r="B2075" t="s">
        <v>824</v>
      </c>
      <c r="C2075" t="s">
        <v>236</v>
      </c>
      <c r="D2075" t="s">
        <v>825</v>
      </c>
      <c r="E2075" t="s">
        <v>72</v>
      </c>
      <c r="F2075" t="s">
        <v>73</v>
      </c>
      <c r="G2075" t="s">
        <v>1034</v>
      </c>
      <c r="H2075" t="s">
        <v>15</v>
      </c>
      <c r="I2075" s="1">
        <v>1</v>
      </c>
      <c r="J2075" s="2">
        <v>775.86</v>
      </c>
    </row>
    <row r="2076" spans="2:10" x14ac:dyDescent="0.2">
      <c r="B2076" t="s">
        <v>824</v>
      </c>
      <c r="C2076" t="s">
        <v>236</v>
      </c>
      <c r="D2076" t="s">
        <v>825</v>
      </c>
      <c r="E2076" t="s">
        <v>216</v>
      </c>
      <c r="F2076" t="s">
        <v>217</v>
      </c>
      <c r="G2076" t="s">
        <v>14</v>
      </c>
      <c r="H2076" t="s">
        <v>104</v>
      </c>
      <c r="I2076" s="1">
        <v>3</v>
      </c>
      <c r="J2076" s="2">
        <v>51.72</v>
      </c>
    </row>
    <row r="2077" spans="2:10" x14ac:dyDescent="0.2">
      <c r="B2077" t="s">
        <v>824</v>
      </c>
      <c r="C2077" t="s">
        <v>236</v>
      </c>
      <c r="D2077" t="s">
        <v>825</v>
      </c>
      <c r="E2077" t="s">
        <v>687</v>
      </c>
      <c r="F2077" t="s">
        <v>688</v>
      </c>
      <c r="G2077" t="s">
        <v>43</v>
      </c>
      <c r="H2077" t="s">
        <v>50</v>
      </c>
      <c r="I2077" s="1">
        <v>1</v>
      </c>
      <c r="J2077" s="2">
        <v>181.03</v>
      </c>
    </row>
    <row r="2078" spans="2:10" x14ac:dyDescent="0.2">
      <c r="B2078" t="s">
        <v>824</v>
      </c>
      <c r="C2078" t="s">
        <v>236</v>
      </c>
      <c r="D2078" t="s">
        <v>825</v>
      </c>
      <c r="E2078" t="s">
        <v>38</v>
      </c>
      <c r="F2078" t="s">
        <v>39</v>
      </c>
      <c r="G2078" t="s">
        <v>1034</v>
      </c>
      <c r="H2078" t="s">
        <v>15</v>
      </c>
      <c r="I2078" s="1">
        <v>1</v>
      </c>
      <c r="J2078" s="2">
        <v>431.03</v>
      </c>
    </row>
    <row r="2079" spans="2:10" x14ac:dyDescent="0.2">
      <c r="B2079" t="s">
        <v>824</v>
      </c>
      <c r="C2079" t="s">
        <v>236</v>
      </c>
      <c r="D2079" t="s">
        <v>825</v>
      </c>
      <c r="E2079" t="s">
        <v>521</v>
      </c>
      <c r="F2079" t="s">
        <v>522</v>
      </c>
      <c r="G2079" t="s">
        <v>14</v>
      </c>
      <c r="H2079" t="s">
        <v>104</v>
      </c>
      <c r="I2079" s="1">
        <v>1</v>
      </c>
      <c r="J2079" s="2">
        <v>21.55</v>
      </c>
    </row>
    <row r="2080" spans="2:10" x14ac:dyDescent="0.2">
      <c r="B2080" t="s">
        <v>824</v>
      </c>
      <c r="C2080" t="s">
        <v>236</v>
      </c>
      <c r="D2080" t="s">
        <v>825</v>
      </c>
      <c r="E2080" t="s">
        <v>406</v>
      </c>
      <c r="F2080" t="s">
        <v>407</v>
      </c>
      <c r="G2080" t="s">
        <v>14</v>
      </c>
      <c r="H2080" t="s">
        <v>104</v>
      </c>
      <c r="I2080" s="1">
        <v>6</v>
      </c>
      <c r="J2080" s="2">
        <v>103.44</v>
      </c>
    </row>
    <row r="2081" spans="2:10" x14ac:dyDescent="0.2">
      <c r="B2081" t="s">
        <v>824</v>
      </c>
      <c r="C2081" t="s">
        <v>236</v>
      </c>
      <c r="D2081" t="s">
        <v>825</v>
      </c>
      <c r="E2081" t="s">
        <v>61</v>
      </c>
      <c r="F2081" t="s">
        <v>62</v>
      </c>
      <c r="G2081" t="s">
        <v>1034</v>
      </c>
      <c r="H2081" t="s">
        <v>15</v>
      </c>
      <c r="I2081" s="1">
        <v>2</v>
      </c>
      <c r="J2081" s="2">
        <v>344.82</v>
      </c>
    </row>
    <row r="2082" spans="2:10" x14ac:dyDescent="0.2">
      <c r="B2082" t="s">
        <v>824</v>
      </c>
      <c r="C2082" t="s">
        <v>237</v>
      </c>
      <c r="D2082" t="s">
        <v>825</v>
      </c>
      <c r="E2082" t="s">
        <v>46</v>
      </c>
      <c r="F2082" t="s">
        <v>47</v>
      </c>
      <c r="G2082" t="s">
        <v>1034</v>
      </c>
      <c r="H2082" t="s">
        <v>15</v>
      </c>
      <c r="I2082" s="1">
        <v>1</v>
      </c>
      <c r="J2082" s="2">
        <v>301.72000000000003</v>
      </c>
    </row>
    <row r="2083" spans="2:10" x14ac:dyDescent="0.2">
      <c r="B2083" t="s">
        <v>824</v>
      </c>
      <c r="C2083" t="s">
        <v>237</v>
      </c>
      <c r="D2083" t="s">
        <v>825</v>
      </c>
      <c r="E2083" t="s">
        <v>221</v>
      </c>
      <c r="F2083" t="s">
        <v>222</v>
      </c>
      <c r="G2083" t="s">
        <v>1034</v>
      </c>
      <c r="H2083" t="s">
        <v>15</v>
      </c>
      <c r="I2083" s="1">
        <v>1</v>
      </c>
      <c r="J2083" s="2">
        <v>431.03</v>
      </c>
    </row>
    <row r="2084" spans="2:10" x14ac:dyDescent="0.2">
      <c r="B2084" t="s">
        <v>824</v>
      </c>
      <c r="C2084" t="s">
        <v>237</v>
      </c>
      <c r="D2084" t="s">
        <v>825</v>
      </c>
      <c r="E2084" t="s">
        <v>56</v>
      </c>
      <c r="F2084" t="s">
        <v>57</v>
      </c>
      <c r="G2084" t="s">
        <v>1034</v>
      </c>
      <c r="H2084" t="s">
        <v>15</v>
      </c>
      <c r="I2084" s="1">
        <v>4</v>
      </c>
      <c r="J2084" s="2">
        <v>1724.1299999999999</v>
      </c>
    </row>
    <row r="2085" spans="2:10" x14ac:dyDescent="0.2">
      <c r="B2085" t="s">
        <v>824</v>
      </c>
      <c r="C2085" t="s">
        <v>237</v>
      </c>
      <c r="D2085" t="s">
        <v>825</v>
      </c>
      <c r="E2085" t="s">
        <v>16</v>
      </c>
      <c r="F2085" t="s">
        <v>17</v>
      </c>
      <c r="G2085" t="s">
        <v>1034</v>
      </c>
      <c r="H2085" t="s">
        <v>15</v>
      </c>
      <c r="I2085" s="1">
        <v>1</v>
      </c>
      <c r="J2085" s="2">
        <v>577.59</v>
      </c>
    </row>
    <row r="2086" spans="2:10" x14ac:dyDescent="0.2">
      <c r="B2086" t="s">
        <v>824</v>
      </c>
      <c r="C2086" t="s">
        <v>248</v>
      </c>
      <c r="D2086" t="s">
        <v>825</v>
      </c>
      <c r="E2086" t="s">
        <v>302</v>
      </c>
      <c r="F2086" t="s">
        <v>303</v>
      </c>
      <c r="G2086" t="s">
        <v>1033</v>
      </c>
      <c r="H2086" t="s">
        <v>30</v>
      </c>
      <c r="I2086" s="1">
        <v>1</v>
      </c>
      <c r="J2086" s="2">
        <v>474.14</v>
      </c>
    </row>
    <row r="2087" spans="2:10" x14ac:dyDescent="0.2">
      <c r="B2087" t="s">
        <v>824</v>
      </c>
      <c r="C2087" t="s">
        <v>248</v>
      </c>
      <c r="D2087" t="s">
        <v>825</v>
      </c>
      <c r="E2087" t="s">
        <v>858</v>
      </c>
      <c r="F2087" t="s">
        <v>859</v>
      </c>
      <c r="G2087" t="s">
        <v>54</v>
      </c>
      <c r="H2087" t="s">
        <v>471</v>
      </c>
      <c r="I2087" s="1">
        <v>1</v>
      </c>
      <c r="J2087" s="2">
        <v>724.14</v>
      </c>
    </row>
    <row r="2088" spans="2:10" x14ac:dyDescent="0.2">
      <c r="B2088" t="s">
        <v>824</v>
      </c>
      <c r="C2088" t="s">
        <v>248</v>
      </c>
      <c r="D2088" t="s">
        <v>825</v>
      </c>
      <c r="E2088" t="s">
        <v>46</v>
      </c>
      <c r="F2088" t="s">
        <v>47</v>
      </c>
      <c r="G2088" t="s">
        <v>1034</v>
      </c>
      <c r="H2088" t="s">
        <v>15</v>
      </c>
      <c r="I2088" s="1">
        <v>3</v>
      </c>
      <c r="J2088" s="2">
        <v>905.16000000000008</v>
      </c>
    </row>
    <row r="2089" spans="2:10" x14ac:dyDescent="0.2">
      <c r="B2089" t="s">
        <v>824</v>
      </c>
      <c r="C2089" t="s">
        <v>248</v>
      </c>
      <c r="D2089" t="s">
        <v>825</v>
      </c>
      <c r="E2089" t="s">
        <v>287</v>
      </c>
      <c r="F2089" t="s">
        <v>288</v>
      </c>
      <c r="G2089" t="s">
        <v>14</v>
      </c>
      <c r="H2089" t="s">
        <v>35</v>
      </c>
      <c r="I2089" s="1">
        <v>1</v>
      </c>
      <c r="J2089" s="2">
        <v>60.34</v>
      </c>
    </row>
    <row r="2090" spans="2:10" x14ac:dyDescent="0.2">
      <c r="B2090" t="s">
        <v>824</v>
      </c>
      <c r="C2090" t="s">
        <v>248</v>
      </c>
      <c r="D2090" t="s">
        <v>825</v>
      </c>
      <c r="E2090" t="s">
        <v>860</v>
      </c>
      <c r="F2090" t="s">
        <v>861</v>
      </c>
      <c r="G2090" t="s">
        <v>54</v>
      </c>
      <c r="H2090" t="s">
        <v>138</v>
      </c>
      <c r="I2090" s="1">
        <v>1</v>
      </c>
      <c r="J2090" s="2">
        <v>814.66</v>
      </c>
    </row>
    <row r="2091" spans="2:10" x14ac:dyDescent="0.2">
      <c r="B2091" t="s">
        <v>824</v>
      </c>
      <c r="C2091" t="s">
        <v>248</v>
      </c>
      <c r="D2091" t="s">
        <v>825</v>
      </c>
      <c r="E2091" t="s">
        <v>862</v>
      </c>
      <c r="F2091" t="s">
        <v>863</v>
      </c>
      <c r="G2091" t="s">
        <v>54</v>
      </c>
      <c r="H2091" t="s">
        <v>138</v>
      </c>
      <c r="I2091" s="1">
        <v>1</v>
      </c>
      <c r="J2091" s="2">
        <v>814.66</v>
      </c>
    </row>
    <row r="2092" spans="2:10" x14ac:dyDescent="0.2">
      <c r="B2092" t="s">
        <v>824</v>
      </c>
      <c r="C2092" t="s">
        <v>248</v>
      </c>
      <c r="D2092" t="s">
        <v>825</v>
      </c>
      <c r="E2092" t="s">
        <v>864</v>
      </c>
      <c r="F2092" t="s">
        <v>865</v>
      </c>
      <c r="G2092" t="s">
        <v>54</v>
      </c>
      <c r="H2092" t="s">
        <v>138</v>
      </c>
      <c r="I2092" s="1">
        <v>1</v>
      </c>
      <c r="J2092" s="2">
        <v>383.62</v>
      </c>
    </row>
    <row r="2093" spans="2:10" x14ac:dyDescent="0.2">
      <c r="B2093" t="s">
        <v>824</v>
      </c>
      <c r="C2093" t="s">
        <v>248</v>
      </c>
      <c r="D2093" t="s">
        <v>825</v>
      </c>
      <c r="E2093" t="s">
        <v>70</v>
      </c>
      <c r="F2093" t="s">
        <v>71</v>
      </c>
      <c r="G2093" t="s">
        <v>1033</v>
      </c>
      <c r="H2093" t="s">
        <v>30</v>
      </c>
      <c r="I2093" s="1">
        <v>2</v>
      </c>
      <c r="J2093" s="2">
        <v>4224.1400000000003</v>
      </c>
    </row>
    <row r="2094" spans="2:10" x14ac:dyDescent="0.2">
      <c r="B2094" t="s">
        <v>824</v>
      </c>
      <c r="C2094" t="s">
        <v>248</v>
      </c>
      <c r="D2094" t="s">
        <v>825</v>
      </c>
      <c r="E2094" t="s">
        <v>36</v>
      </c>
      <c r="F2094" t="s">
        <v>37</v>
      </c>
      <c r="G2094" t="s">
        <v>1034</v>
      </c>
      <c r="H2094" t="s">
        <v>15</v>
      </c>
      <c r="I2094" s="1">
        <v>1</v>
      </c>
      <c r="J2094" s="2">
        <v>301.72000000000003</v>
      </c>
    </row>
    <row r="2095" spans="2:10" x14ac:dyDescent="0.2">
      <c r="B2095" t="s">
        <v>824</v>
      </c>
      <c r="C2095" t="s">
        <v>248</v>
      </c>
      <c r="D2095" t="s">
        <v>825</v>
      </c>
      <c r="E2095" t="s">
        <v>72</v>
      </c>
      <c r="F2095" t="s">
        <v>73</v>
      </c>
      <c r="G2095" t="s">
        <v>1034</v>
      </c>
      <c r="H2095" t="s">
        <v>15</v>
      </c>
      <c r="I2095" s="1">
        <v>2</v>
      </c>
      <c r="J2095" s="2">
        <v>1551.72</v>
      </c>
    </row>
    <row r="2096" spans="2:10" x14ac:dyDescent="0.2">
      <c r="B2096" t="s">
        <v>824</v>
      </c>
      <c r="C2096" t="s">
        <v>248</v>
      </c>
      <c r="D2096" t="s">
        <v>825</v>
      </c>
      <c r="E2096" t="s">
        <v>122</v>
      </c>
      <c r="F2096" t="s">
        <v>123</v>
      </c>
      <c r="G2096" t="s">
        <v>1034</v>
      </c>
      <c r="H2096" t="s">
        <v>15</v>
      </c>
      <c r="I2096" s="1">
        <v>1</v>
      </c>
      <c r="J2096" s="2">
        <v>387.93</v>
      </c>
    </row>
    <row r="2097" spans="2:10" x14ac:dyDescent="0.2">
      <c r="B2097" t="s">
        <v>824</v>
      </c>
      <c r="C2097" t="s">
        <v>248</v>
      </c>
      <c r="D2097" t="s">
        <v>825</v>
      </c>
      <c r="E2097" t="s">
        <v>427</v>
      </c>
      <c r="F2097" t="s">
        <v>428</v>
      </c>
      <c r="G2097" t="s">
        <v>14</v>
      </c>
      <c r="H2097" t="s">
        <v>87</v>
      </c>
      <c r="I2097" s="1">
        <v>1</v>
      </c>
      <c r="J2097" s="2">
        <v>120.69</v>
      </c>
    </row>
    <row r="2098" spans="2:10" x14ac:dyDescent="0.2">
      <c r="B2098" t="s">
        <v>824</v>
      </c>
      <c r="C2098" t="s">
        <v>248</v>
      </c>
      <c r="D2098" t="s">
        <v>825</v>
      </c>
      <c r="E2098" t="s">
        <v>159</v>
      </c>
      <c r="F2098" t="s">
        <v>160</v>
      </c>
      <c r="G2098" t="s">
        <v>14</v>
      </c>
      <c r="H2098" t="s">
        <v>87</v>
      </c>
      <c r="I2098" s="1">
        <v>1</v>
      </c>
      <c r="J2098" s="2">
        <v>284.48</v>
      </c>
    </row>
    <row r="2099" spans="2:10" x14ac:dyDescent="0.2">
      <c r="B2099" t="s">
        <v>824</v>
      </c>
      <c r="C2099" t="s">
        <v>248</v>
      </c>
      <c r="D2099" t="s">
        <v>825</v>
      </c>
      <c r="E2099" t="s">
        <v>56</v>
      </c>
      <c r="F2099" t="s">
        <v>57</v>
      </c>
      <c r="G2099" t="s">
        <v>1034</v>
      </c>
      <c r="H2099" t="s">
        <v>15</v>
      </c>
      <c r="I2099" s="1">
        <v>1</v>
      </c>
      <c r="J2099" s="2">
        <v>431.03</v>
      </c>
    </row>
    <row r="2100" spans="2:10" x14ac:dyDescent="0.2">
      <c r="B2100" t="s">
        <v>824</v>
      </c>
      <c r="C2100" t="s">
        <v>248</v>
      </c>
      <c r="D2100" t="s">
        <v>825</v>
      </c>
      <c r="E2100" t="s">
        <v>406</v>
      </c>
      <c r="F2100" t="s">
        <v>407</v>
      </c>
      <c r="G2100" t="s">
        <v>14</v>
      </c>
      <c r="H2100" t="s">
        <v>104</v>
      </c>
      <c r="I2100" s="1">
        <v>13</v>
      </c>
      <c r="J2100" s="2">
        <v>224.11999999999998</v>
      </c>
    </row>
    <row r="2101" spans="2:10" x14ac:dyDescent="0.2">
      <c r="B2101" t="s">
        <v>824</v>
      </c>
      <c r="C2101" t="s">
        <v>248</v>
      </c>
      <c r="D2101" t="s">
        <v>825</v>
      </c>
      <c r="E2101" t="s">
        <v>61</v>
      </c>
      <c r="F2101" t="s">
        <v>62</v>
      </c>
      <c r="G2101" t="s">
        <v>1034</v>
      </c>
      <c r="H2101" t="s">
        <v>15</v>
      </c>
      <c r="I2101" s="1">
        <v>1</v>
      </c>
      <c r="J2101" s="2">
        <v>172.41</v>
      </c>
    </row>
    <row r="2102" spans="2:10" x14ac:dyDescent="0.2">
      <c r="B2102" t="s">
        <v>824</v>
      </c>
      <c r="C2102" t="s">
        <v>248</v>
      </c>
      <c r="D2102" t="s">
        <v>825</v>
      </c>
      <c r="E2102" t="s">
        <v>265</v>
      </c>
      <c r="F2102" t="s">
        <v>266</v>
      </c>
      <c r="G2102" t="s">
        <v>43</v>
      </c>
      <c r="H2102" t="s">
        <v>128</v>
      </c>
      <c r="I2102" s="1">
        <v>1</v>
      </c>
      <c r="J2102" s="2">
        <v>5862.07</v>
      </c>
    </row>
    <row r="2103" spans="2:10" x14ac:dyDescent="0.2">
      <c r="B2103" t="s">
        <v>824</v>
      </c>
      <c r="C2103" t="s">
        <v>248</v>
      </c>
      <c r="D2103" t="s">
        <v>825</v>
      </c>
      <c r="E2103" t="s">
        <v>28</v>
      </c>
      <c r="F2103" t="s">
        <v>29</v>
      </c>
      <c r="G2103" t="s">
        <v>1033</v>
      </c>
      <c r="H2103" t="s">
        <v>30</v>
      </c>
      <c r="I2103" s="1">
        <v>1</v>
      </c>
      <c r="J2103" s="2">
        <v>155.16999999999999</v>
      </c>
    </row>
    <row r="2104" spans="2:10" hidden="1" x14ac:dyDescent="0.2">
      <c r="B2104" t="s">
        <v>866</v>
      </c>
      <c r="C2104" t="s">
        <v>10</v>
      </c>
      <c r="D2104" t="s">
        <v>226</v>
      </c>
      <c r="E2104" t="s">
        <v>151</v>
      </c>
      <c r="F2104" t="s">
        <v>152</v>
      </c>
      <c r="G2104" t="s">
        <v>14</v>
      </c>
      <c r="H2104" t="s">
        <v>27</v>
      </c>
      <c r="I2104" s="1">
        <v>1</v>
      </c>
      <c r="J2104" s="2">
        <v>379.31</v>
      </c>
    </row>
    <row r="2105" spans="2:10" hidden="1" x14ac:dyDescent="0.2">
      <c r="B2105" t="s">
        <v>866</v>
      </c>
      <c r="C2105" t="s">
        <v>10</v>
      </c>
      <c r="D2105" t="s">
        <v>226</v>
      </c>
      <c r="E2105" t="s">
        <v>559</v>
      </c>
      <c r="F2105" t="s">
        <v>560</v>
      </c>
      <c r="G2105" t="s">
        <v>1033</v>
      </c>
      <c r="H2105" t="s">
        <v>30</v>
      </c>
      <c r="I2105" s="1">
        <v>1</v>
      </c>
      <c r="J2105" s="2">
        <v>1706.9</v>
      </c>
    </row>
    <row r="2106" spans="2:10" hidden="1" x14ac:dyDescent="0.2">
      <c r="B2106" t="s">
        <v>866</v>
      </c>
      <c r="C2106" t="s">
        <v>10</v>
      </c>
      <c r="D2106" t="s">
        <v>226</v>
      </c>
      <c r="E2106" t="s">
        <v>72</v>
      </c>
      <c r="F2106" t="s">
        <v>73</v>
      </c>
      <c r="G2106" t="s">
        <v>1034</v>
      </c>
      <c r="H2106" t="s">
        <v>15</v>
      </c>
      <c r="I2106" s="1">
        <v>2</v>
      </c>
      <c r="J2106" s="2">
        <v>1551.72</v>
      </c>
    </row>
    <row r="2107" spans="2:10" hidden="1" x14ac:dyDescent="0.2">
      <c r="B2107" t="s">
        <v>866</v>
      </c>
      <c r="C2107" t="s">
        <v>10</v>
      </c>
      <c r="D2107" t="s">
        <v>226</v>
      </c>
      <c r="E2107" t="s">
        <v>867</v>
      </c>
      <c r="F2107" t="s">
        <v>868</v>
      </c>
      <c r="G2107" t="s">
        <v>43</v>
      </c>
      <c r="H2107" t="s">
        <v>50</v>
      </c>
      <c r="I2107" s="1">
        <v>1</v>
      </c>
      <c r="J2107" s="2">
        <v>1810.34</v>
      </c>
    </row>
    <row r="2108" spans="2:10" hidden="1" x14ac:dyDescent="0.2">
      <c r="B2108" t="s">
        <v>866</v>
      </c>
      <c r="C2108" t="s">
        <v>10</v>
      </c>
      <c r="D2108" t="s">
        <v>226</v>
      </c>
      <c r="E2108" t="s">
        <v>56</v>
      </c>
      <c r="F2108" t="s">
        <v>57</v>
      </c>
      <c r="G2108" t="s">
        <v>1034</v>
      </c>
      <c r="H2108" t="s">
        <v>15</v>
      </c>
      <c r="I2108" s="1">
        <v>1</v>
      </c>
      <c r="J2108" s="2">
        <v>431.03</v>
      </c>
    </row>
    <row r="2109" spans="2:10" hidden="1" x14ac:dyDescent="0.2">
      <c r="B2109" t="s">
        <v>866</v>
      </c>
      <c r="C2109" t="s">
        <v>10</v>
      </c>
      <c r="D2109" t="s">
        <v>226</v>
      </c>
      <c r="E2109" t="s">
        <v>61</v>
      </c>
      <c r="F2109" t="s">
        <v>62</v>
      </c>
      <c r="G2109" t="s">
        <v>1034</v>
      </c>
      <c r="H2109" t="s">
        <v>15</v>
      </c>
      <c r="I2109" s="1">
        <v>3</v>
      </c>
      <c r="J2109" s="2">
        <v>517.23</v>
      </c>
    </row>
    <row r="2110" spans="2:10" hidden="1" x14ac:dyDescent="0.2">
      <c r="B2110" t="s">
        <v>866</v>
      </c>
      <c r="C2110" t="s">
        <v>18</v>
      </c>
      <c r="D2110" t="s">
        <v>226</v>
      </c>
      <c r="E2110" t="s">
        <v>72</v>
      </c>
      <c r="F2110" t="s">
        <v>73</v>
      </c>
      <c r="G2110" t="s">
        <v>1034</v>
      </c>
      <c r="H2110" t="s">
        <v>15</v>
      </c>
      <c r="I2110" s="1">
        <v>1</v>
      </c>
      <c r="J2110" s="2">
        <v>775.86</v>
      </c>
    </row>
    <row r="2111" spans="2:10" hidden="1" x14ac:dyDescent="0.2">
      <c r="B2111" t="s">
        <v>866</v>
      </c>
      <c r="C2111" t="s">
        <v>18</v>
      </c>
      <c r="D2111" t="s">
        <v>226</v>
      </c>
      <c r="E2111" t="s">
        <v>312</v>
      </c>
      <c r="F2111" t="s">
        <v>313</v>
      </c>
      <c r="G2111" t="s">
        <v>1033</v>
      </c>
      <c r="H2111" t="s">
        <v>30</v>
      </c>
      <c r="I2111" s="1">
        <v>1</v>
      </c>
      <c r="J2111" s="2">
        <v>603.45000000000005</v>
      </c>
    </row>
    <row r="2112" spans="2:10" hidden="1" x14ac:dyDescent="0.2">
      <c r="B2112" t="s">
        <v>866</v>
      </c>
      <c r="C2112" t="s">
        <v>18</v>
      </c>
      <c r="D2112" t="s">
        <v>226</v>
      </c>
      <c r="E2112" t="s">
        <v>61</v>
      </c>
      <c r="F2112" t="s">
        <v>62</v>
      </c>
      <c r="G2112" t="s">
        <v>1034</v>
      </c>
      <c r="H2112" t="s">
        <v>15</v>
      </c>
      <c r="I2112" s="1">
        <v>1</v>
      </c>
      <c r="J2112" s="2">
        <v>172.41</v>
      </c>
    </row>
    <row r="2113" spans="2:10" hidden="1" x14ac:dyDescent="0.2">
      <c r="B2113" t="s">
        <v>866</v>
      </c>
      <c r="C2113" t="s">
        <v>18</v>
      </c>
      <c r="D2113" t="s">
        <v>226</v>
      </c>
      <c r="E2113" t="s">
        <v>63</v>
      </c>
      <c r="F2113" t="s">
        <v>64</v>
      </c>
      <c r="G2113" t="s">
        <v>1034</v>
      </c>
      <c r="H2113" t="s">
        <v>15</v>
      </c>
      <c r="I2113" s="1">
        <v>1</v>
      </c>
      <c r="J2113" s="2">
        <v>172.41</v>
      </c>
    </row>
    <row r="2114" spans="2:10" hidden="1" x14ac:dyDescent="0.2">
      <c r="B2114" t="s">
        <v>866</v>
      </c>
      <c r="C2114" t="s">
        <v>18</v>
      </c>
      <c r="D2114" t="s">
        <v>226</v>
      </c>
      <c r="E2114" t="s">
        <v>28</v>
      </c>
      <c r="F2114" t="s">
        <v>29</v>
      </c>
      <c r="G2114" t="s">
        <v>1033</v>
      </c>
      <c r="H2114" t="s">
        <v>30</v>
      </c>
      <c r="I2114" s="1">
        <v>2</v>
      </c>
      <c r="J2114" s="2">
        <v>310.33999999999997</v>
      </c>
    </row>
    <row r="2115" spans="2:10" hidden="1" x14ac:dyDescent="0.2">
      <c r="B2115" t="s">
        <v>866</v>
      </c>
      <c r="C2115" t="s">
        <v>31</v>
      </c>
      <c r="D2115" t="s">
        <v>226</v>
      </c>
      <c r="E2115" t="s">
        <v>38</v>
      </c>
      <c r="F2115" t="s">
        <v>39</v>
      </c>
      <c r="G2115" t="s">
        <v>1034</v>
      </c>
      <c r="H2115" t="s">
        <v>15</v>
      </c>
      <c r="I2115" s="1">
        <v>1</v>
      </c>
      <c r="J2115" s="2">
        <v>431.03</v>
      </c>
    </row>
    <row r="2116" spans="2:10" hidden="1" x14ac:dyDescent="0.2">
      <c r="B2116" t="s">
        <v>866</v>
      </c>
      <c r="C2116" t="s">
        <v>31</v>
      </c>
      <c r="D2116" t="s">
        <v>226</v>
      </c>
      <c r="E2116" t="s">
        <v>28</v>
      </c>
      <c r="F2116" t="s">
        <v>29</v>
      </c>
      <c r="G2116" t="s">
        <v>1033</v>
      </c>
      <c r="H2116" t="s">
        <v>30</v>
      </c>
      <c r="I2116" s="1">
        <v>1</v>
      </c>
      <c r="J2116" s="2">
        <v>155.16999999999999</v>
      </c>
    </row>
    <row r="2117" spans="2:10" hidden="1" x14ac:dyDescent="0.2">
      <c r="B2117" t="s">
        <v>866</v>
      </c>
      <c r="C2117" t="s">
        <v>40</v>
      </c>
      <c r="D2117" t="s">
        <v>226</v>
      </c>
      <c r="E2117" t="s">
        <v>869</v>
      </c>
      <c r="F2117" t="s">
        <v>870</v>
      </c>
      <c r="G2117" t="s">
        <v>54</v>
      </c>
      <c r="H2117" t="s">
        <v>138</v>
      </c>
      <c r="I2117" s="1">
        <v>1</v>
      </c>
      <c r="J2117" s="2">
        <v>431.03</v>
      </c>
    </row>
    <row r="2118" spans="2:10" hidden="1" x14ac:dyDescent="0.2">
      <c r="B2118" t="s">
        <v>866</v>
      </c>
      <c r="C2118" t="s">
        <v>40</v>
      </c>
      <c r="D2118" t="s">
        <v>226</v>
      </c>
      <c r="E2118" t="s">
        <v>242</v>
      </c>
      <c r="F2118" t="s">
        <v>243</v>
      </c>
      <c r="G2118" t="s">
        <v>14</v>
      </c>
      <c r="H2118" t="s">
        <v>87</v>
      </c>
      <c r="I2118" s="1">
        <v>1</v>
      </c>
      <c r="J2118" s="2">
        <v>120.69</v>
      </c>
    </row>
    <row r="2119" spans="2:10" hidden="1" x14ac:dyDescent="0.2">
      <c r="B2119" t="s">
        <v>866</v>
      </c>
      <c r="C2119" t="s">
        <v>40</v>
      </c>
      <c r="D2119" t="s">
        <v>226</v>
      </c>
      <c r="E2119" t="s">
        <v>214</v>
      </c>
      <c r="F2119" t="s">
        <v>215</v>
      </c>
      <c r="G2119" t="s">
        <v>1034</v>
      </c>
      <c r="H2119" t="s">
        <v>15</v>
      </c>
      <c r="I2119" s="1">
        <v>1</v>
      </c>
      <c r="J2119" s="2">
        <v>301.72000000000003</v>
      </c>
    </row>
    <row r="2120" spans="2:10" hidden="1" x14ac:dyDescent="0.2">
      <c r="B2120" t="s">
        <v>866</v>
      </c>
      <c r="C2120" t="s">
        <v>40</v>
      </c>
      <c r="D2120" t="s">
        <v>226</v>
      </c>
      <c r="E2120" t="s">
        <v>336</v>
      </c>
      <c r="F2120" t="s">
        <v>337</v>
      </c>
      <c r="G2120" t="s">
        <v>1034</v>
      </c>
      <c r="H2120" t="s">
        <v>15</v>
      </c>
      <c r="I2120" s="1">
        <v>1</v>
      </c>
      <c r="J2120" s="2">
        <v>387.93</v>
      </c>
    </row>
    <row r="2121" spans="2:10" hidden="1" x14ac:dyDescent="0.2">
      <c r="B2121" t="s">
        <v>866</v>
      </c>
      <c r="C2121" t="s">
        <v>40</v>
      </c>
      <c r="D2121" t="s">
        <v>226</v>
      </c>
      <c r="E2121" t="s">
        <v>216</v>
      </c>
      <c r="F2121" t="s">
        <v>217</v>
      </c>
      <c r="G2121" t="s">
        <v>14</v>
      </c>
      <c r="H2121" t="s">
        <v>104</v>
      </c>
      <c r="I2121" s="1">
        <v>5</v>
      </c>
      <c r="J2121" s="2">
        <v>86.2</v>
      </c>
    </row>
    <row r="2122" spans="2:10" hidden="1" x14ac:dyDescent="0.2">
      <c r="B2122" t="s">
        <v>866</v>
      </c>
      <c r="C2122" t="s">
        <v>40</v>
      </c>
      <c r="D2122" t="s">
        <v>226</v>
      </c>
      <c r="E2122" t="s">
        <v>56</v>
      </c>
      <c r="F2122" t="s">
        <v>57</v>
      </c>
      <c r="G2122" t="s">
        <v>1034</v>
      </c>
      <c r="H2122" t="s">
        <v>15</v>
      </c>
      <c r="I2122" s="1">
        <v>2</v>
      </c>
      <c r="J2122" s="2">
        <v>862.06</v>
      </c>
    </row>
    <row r="2123" spans="2:10" hidden="1" x14ac:dyDescent="0.2">
      <c r="B2123" t="s">
        <v>866</v>
      </c>
      <c r="C2123" t="s">
        <v>40</v>
      </c>
      <c r="D2123" t="s">
        <v>226</v>
      </c>
      <c r="E2123" t="s">
        <v>521</v>
      </c>
      <c r="F2123" t="s">
        <v>522</v>
      </c>
      <c r="G2123" t="s">
        <v>14</v>
      </c>
      <c r="H2123" t="s">
        <v>104</v>
      </c>
      <c r="I2123" s="1">
        <v>2</v>
      </c>
      <c r="J2123" s="2">
        <v>43.1</v>
      </c>
    </row>
    <row r="2124" spans="2:10" hidden="1" x14ac:dyDescent="0.2">
      <c r="B2124" t="s">
        <v>866</v>
      </c>
      <c r="C2124" t="s">
        <v>40</v>
      </c>
      <c r="D2124" t="s">
        <v>226</v>
      </c>
      <c r="E2124" t="s">
        <v>61</v>
      </c>
      <c r="F2124" t="s">
        <v>62</v>
      </c>
      <c r="G2124" t="s">
        <v>1034</v>
      </c>
      <c r="H2124" t="s">
        <v>15</v>
      </c>
      <c r="I2124" s="1">
        <v>2</v>
      </c>
      <c r="J2124" s="2">
        <v>344.82</v>
      </c>
    </row>
    <row r="2125" spans="2:10" hidden="1" x14ac:dyDescent="0.2">
      <c r="B2125" t="s">
        <v>866</v>
      </c>
      <c r="C2125" t="s">
        <v>40</v>
      </c>
      <c r="D2125" t="s">
        <v>226</v>
      </c>
      <c r="E2125" t="s">
        <v>372</v>
      </c>
      <c r="F2125" t="s">
        <v>373</v>
      </c>
      <c r="G2125" t="s">
        <v>1033</v>
      </c>
      <c r="H2125" t="s">
        <v>30</v>
      </c>
      <c r="I2125" s="1">
        <v>1</v>
      </c>
      <c r="J2125" s="2">
        <v>2465.52</v>
      </c>
    </row>
    <row r="2126" spans="2:10" hidden="1" x14ac:dyDescent="0.2">
      <c r="B2126" t="s">
        <v>866</v>
      </c>
      <c r="C2126" t="s">
        <v>40</v>
      </c>
      <c r="D2126" t="s">
        <v>226</v>
      </c>
      <c r="E2126" t="s">
        <v>28</v>
      </c>
      <c r="F2126" t="s">
        <v>29</v>
      </c>
      <c r="G2126" t="s">
        <v>1033</v>
      </c>
      <c r="H2126" t="s">
        <v>30</v>
      </c>
      <c r="I2126" s="1">
        <v>2</v>
      </c>
      <c r="J2126" s="2">
        <v>310.33999999999997</v>
      </c>
    </row>
    <row r="2127" spans="2:10" hidden="1" x14ac:dyDescent="0.2">
      <c r="B2127" t="s">
        <v>866</v>
      </c>
      <c r="C2127" t="s">
        <v>51</v>
      </c>
      <c r="D2127" t="s">
        <v>226</v>
      </c>
      <c r="E2127" t="s">
        <v>391</v>
      </c>
      <c r="F2127" t="s">
        <v>392</v>
      </c>
      <c r="G2127" t="s">
        <v>14</v>
      </c>
      <c r="H2127" t="s">
        <v>87</v>
      </c>
      <c r="I2127" s="1">
        <v>1</v>
      </c>
      <c r="J2127" s="2">
        <v>482.76</v>
      </c>
    </row>
    <row r="2128" spans="2:10" hidden="1" x14ac:dyDescent="0.2">
      <c r="B2128" t="s">
        <v>866</v>
      </c>
      <c r="C2128" t="s">
        <v>51</v>
      </c>
      <c r="D2128" t="s">
        <v>226</v>
      </c>
      <c r="E2128" t="s">
        <v>44</v>
      </c>
      <c r="F2128" t="s">
        <v>45</v>
      </c>
      <c r="G2128" t="s">
        <v>1033</v>
      </c>
      <c r="H2128" t="s">
        <v>30</v>
      </c>
      <c r="I2128" s="1">
        <v>3</v>
      </c>
      <c r="J2128" s="2">
        <v>245.70000000000002</v>
      </c>
    </row>
    <row r="2129" spans="2:10" hidden="1" x14ac:dyDescent="0.2">
      <c r="B2129" t="s">
        <v>866</v>
      </c>
      <c r="C2129" t="s">
        <v>51</v>
      </c>
      <c r="D2129" t="s">
        <v>226</v>
      </c>
      <c r="E2129" t="s">
        <v>120</v>
      </c>
      <c r="F2129" t="s">
        <v>121</v>
      </c>
      <c r="G2129" t="s">
        <v>1034</v>
      </c>
      <c r="H2129" t="s">
        <v>15</v>
      </c>
      <c r="I2129" s="1">
        <v>1</v>
      </c>
      <c r="J2129" s="2">
        <v>301.72000000000003</v>
      </c>
    </row>
    <row r="2130" spans="2:10" hidden="1" x14ac:dyDescent="0.2">
      <c r="B2130" t="s">
        <v>866</v>
      </c>
      <c r="C2130" t="s">
        <v>51</v>
      </c>
      <c r="D2130" t="s">
        <v>226</v>
      </c>
      <c r="E2130" t="s">
        <v>253</v>
      </c>
      <c r="F2130" t="s">
        <v>254</v>
      </c>
      <c r="G2130" t="s">
        <v>1034</v>
      </c>
      <c r="H2130" t="s">
        <v>15</v>
      </c>
      <c r="I2130" s="1">
        <v>1</v>
      </c>
      <c r="J2130" s="2">
        <v>775.86</v>
      </c>
    </row>
    <row r="2131" spans="2:10" hidden="1" x14ac:dyDescent="0.2">
      <c r="B2131" t="s">
        <v>866</v>
      </c>
      <c r="C2131" t="s">
        <v>51</v>
      </c>
      <c r="D2131" t="s">
        <v>226</v>
      </c>
      <c r="E2131" t="s">
        <v>36</v>
      </c>
      <c r="F2131" t="s">
        <v>37</v>
      </c>
      <c r="G2131" t="s">
        <v>1034</v>
      </c>
      <c r="H2131" t="s">
        <v>15</v>
      </c>
      <c r="I2131" s="1">
        <v>1</v>
      </c>
      <c r="J2131" s="2">
        <v>301.72000000000003</v>
      </c>
    </row>
    <row r="2132" spans="2:10" hidden="1" x14ac:dyDescent="0.2">
      <c r="B2132" t="s">
        <v>866</v>
      </c>
      <c r="C2132" t="s">
        <v>51</v>
      </c>
      <c r="D2132" t="s">
        <v>226</v>
      </c>
      <c r="E2132" t="s">
        <v>72</v>
      </c>
      <c r="F2132" t="s">
        <v>73</v>
      </c>
      <c r="G2132" t="s">
        <v>1034</v>
      </c>
      <c r="H2132" t="s">
        <v>15</v>
      </c>
      <c r="I2132" s="1">
        <v>1</v>
      </c>
      <c r="J2132" s="2">
        <v>775.86</v>
      </c>
    </row>
    <row r="2133" spans="2:10" hidden="1" x14ac:dyDescent="0.2">
      <c r="B2133" t="s">
        <v>866</v>
      </c>
      <c r="C2133" t="s">
        <v>51</v>
      </c>
      <c r="D2133" t="s">
        <v>226</v>
      </c>
      <c r="E2133" t="s">
        <v>871</v>
      </c>
      <c r="F2133" t="s">
        <v>872</v>
      </c>
      <c r="G2133" t="s">
        <v>1033</v>
      </c>
      <c r="H2133" t="s">
        <v>30</v>
      </c>
      <c r="I2133" s="1">
        <v>1</v>
      </c>
      <c r="J2133" s="2">
        <v>2327.59</v>
      </c>
    </row>
    <row r="2134" spans="2:10" hidden="1" x14ac:dyDescent="0.2">
      <c r="B2134" t="s">
        <v>866</v>
      </c>
      <c r="C2134" t="s">
        <v>51</v>
      </c>
      <c r="D2134" t="s">
        <v>226</v>
      </c>
      <c r="E2134" t="s">
        <v>38</v>
      </c>
      <c r="F2134" t="s">
        <v>39</v>
      </c>
      <c r="G2134" t="s">
        <v>1034</v>
      </c>
      <c r="H2134" t="s">
        <v>15</v>
      </c>
      <c r="I2134" s="1">
        <v>1</v>
      </c>
      <c r="J2134" s="2">
        <v>431.03</v>
      </c>
    </row>
    <row r="2135" spans="2:10" hidden="1" x14ac:dyDescent="0.2">
      <c r="B2135" t="s">
        <v>866</v>
      </c>
      <c r="C2135" t="s">
        <v>51</v>
      </c>
      <c r="D2135" t="s">
        <v>226</v>
      </c>
      <c r="E2135" t="s">
        <v>873</v>
      </c>
      <c r="F2135" t="s">
        <v>874</v>
      </c>
      <c r="G2135" t="s">
        <v>43</v>
      </c>
      <c r="H2135" t="s">
        <v>755</v>
      </c>
      <c r="I2135" s="1">
        <v>1</v>
      </c>
      <c r="J2135" s="2">
        <v>3448.28</v>
      </c>
    </row>
    <row r="2136" spans="2:10" hidden="1" x14ac:dyDescent="0.2">
      <c r="B2136" t="s">
        <v>866</v>
      </c>
      <c r="C2136" t="s">
        <v>51</v>
      </c>
      <c r="D2136" t="s">
        <v>226</v>
      </c>
      <c r="E2136" t="s">
        <v>61</v>
      </c>
      <c r="F2136" t="s">
        <v>62</v>
      </c>
      <c r="G2136" t="s">
        <v>1034</v>
      </c>
      <c r="H2136" t="s">
        <v>15</v>
      </c>
      <c r="I2136" s="1">
        <v>1</v>
      </c>
      <c r="J2136" s="2">
        <v>172.41</v>
      </c>
    </row>
    <row r="2137" spans="2:10" hidden="1" x14ac:dyDescent="0.2">
      <c r="B2137" t="s">
        <v>866</v>
      </c>
      <c r="C2137" t="s">
        <v>51</v>
      </c>
      <c r="D2137" t="s">
        <v>226</v>
      </c>
      <c r="E2137" t="s">
        <v>16</v>
      </c>
      <c r="F2137" t="s">
        <v>17</v>
      </c>
      <c r="G2137" t="s">
        <v>1034</v>
      </c>
      <c r="H2137" t="s">
        <v>15</v>
      </c>
      <c r="I2137" s="1">
        <v>1</v>
      </c>
      <c r="J2137" s="2">
        <v>577.59</v>
      </c>
    </row>
    <row r="2138" spans="2:10" hidden="1" x14ac:dyDescent="0.2">
      <c r="B2138" t="s">
        <v>866</v>
      </c>
      <c r="C2138" t="s">
        <v>51</v>
      </c>
      <c r="D2138" t="s">
        <v>226</v>
      </c>
      <c r="E2138" t="s">
        <v>28</v>
      </c>
      <c r="F2138" t="s">
        <v>29</v>
      </c>
      <c r="G2138" t="s">
        <v>1033</v>
      </c>
      <c r="H2138" t="s">
        <v>30</v>
      </c>
      <c r="I2138" s="1">
        <v>1</v>
      </c>
      <c r="J2138" s="2">
        <v>155.16999999999999</v>
      </c>
    </row>
    <row r="2139" spans="2:10" hidden="1" x14ac:dyDescent="0.2">
      <c r="B2139" t="s">
        <v>866</v>
      </c>
      <c r="C2139" t="s">
        <v>65</v>
      </c>
      <c r="D2139" t="s">
        <v>226</v>
      </c>
      <c r="E2139" t="s">
        <v>318</v>
      </c>
      <c r="F2139" t="s">
        <v>319</v>
      </c>
      <c r="G2139" t="s">
        <v>1033</v>
      </c>
      <c r="H2139" t="s">
        <v>30</v>
      </c>
      <c r="I2139" s="1">
        <v>1</v>
      </c>
      <c r="J2139" s="2">
        <v>456.9</v>
      </c>
    </row>
    <row r="2140" spans="2:10" hidden="1" x14ac:dyDescent="0.2">
      <c r="B2140" t="s">
        <v>866</v>
      </c>
      <c r="C2140" t="s">
        <v>65</v>
      </c>
      <c r="D2140" t="s">
        <v>226</v>
      </c>
      <c r="E2140" t="s">
        <v>399</v>
      </c>
      <c r="F2140" t="s">
        <v>400</v>
      </c>
      <c r="G2140" t="s">
        <v>1033</v>
      </c>
      <c r="H2140" t="s">
        <v>30</v>
      </c>
      <c r="I2140" s="1">
        <v>1</v>
      </c>
      <c r="J2140" s="2">
        <v>818.97</v>
      </c>
    </row>
    <row r="2141" spans="2:10" hidden="1" x14ac:dyDescent="0.2">
      <c r="B2141" t="s">
        <v>866</v>
      </c>
      <c r="C2141" t="s">
        <v>65</v>
      </c>
      <c r="D2141" t="s">
        <v>226</v>
      </c>
      <c r="E2141" t="s">
        <v>72</v>
      </c>
      <c r="F2141" t="s">
        <v>73</v>
      </c>
      <c r="G2141" t="s">
        <v>1034</v>
      </c>
      <c r="H2141" t="s">
        <v>15</v>
      </c>
      <c r="I2141" s="1">
        <v>1</v>
      </c>
      <c r="J2141" s="2">
        <v>775.86</v>
      </c>
    </row>
    <row r="2142" spans="2:10" hidden="1" x14ac:dyDescent="0.2">
      <c r="B2142" t="s">
        <v>866</v>
      </c>
      <c r="C2142" t="s">
        <v>65</v>
      </c>
      <c r="D2142" t="s">
        <v>226</v>
      </c>
      <c r="E2142" t="s">
        <v>273</v>
      </c>
      <c r="F2142" t="s">
        <v>274</v>
      </c>
      <c r="G2142" t="s">
        <v>1033</v>
      </c>
      <c r="H2142" t="s">
        <v>30</v>
      </c>
      <c r="I2142" s="1">
        <v>1</v>
      </c>
      <c r="J2142" s="2">
        <v>1293.0999999999999</v>
      </c>
    </row>
    <row r="2143" spans="2:10" hidden="1" x14ac:dyDescent="0.2">
      <c r="B2143" t="s">
        <v>866</v>
      </c>
      <c r="C2143" t="s">
        <v>65</v>
      </c>
      <c r="D2143" t="s">
        <v>226</v>
      </c>
      <c r="E2143" t="s">
        <v>56</v>
      </c>
      <c r="F2143" t="s">
        <v>57</v>
      </c>
      <c r="G2143" t="s">
        <v>1034</v>
      </c>
      <c r="H2143" t="s">
        <v>15</v>
      </c>
      <c r="I2143" s="1">
        <v>2</v>
      </c>
      <c r="J2143" s="2">
        <v>862.06</v>
      </c>
    </row>
    <row r="2144" spans="2:10" hidden="1" x14ac:dyDescent="0.2">
      <c r="B2144" t="s">
        <v>866</v>
      </c>
      <c r="C2144" t="s">
        <v>65</v>
      </c>
      <c r="D2144" t="s">
        <v>226</v>
      </c>
      <c r="E2144" t="s">
        <v>28</v>
      </c>
      <c r="F2144" t="s">
        <v>29</v>
      </c>
      <c r="G2144" t="s">
        <v>1033</v>
      </c>
      <c r="H2144" t="s">
        <v>30</v>
      </c>
      <c r="I2144" s="1">
        <v>1</v>
      </c>
      <c r="J2144" s="2">
        <v>155.16999999999999</v>
      </c>
    </row>
    <row r="2145" spans="2:10" hidden="1" x14ac:dyDescent="0.2">
      <c r="B2145" t="s">
        <v>866</v>
      </c>
      <c r="C2145" t="s">
        <v>82</v>
      </c>
      <c r="D2145" t="s">
        <v>130</v>
      </c>
      <c r="E2145" t="s">
        <v>573</v>
      </c>
      <c r="F2145" t="s">
        <v>574</v>
      </c>
      <c r="G2145" t="s">
        <v>1033</v>
      </c>
      <c r="H2145" t="s">
        <v>30</v>
      </c>
      <c r="I2145" s="1">
        <v>1</v>
      </c>
      <c r="J2145" s="2">
        <v>775.86</v>
      </c>
    </row>
    <row r="2146" spans="2:10" hidden="1" x14ac:dyDescent="0.2">
      <c r="B2146" t="s">
        <v>866</v>
      </c>
      <c r="C2146" t="s">
        <v>82</v>
      </c>
      <c r="D2146" t="s">
        <v>130</v>
      </c>
      <c r="E2146" t="s">
        <v>214</v>
      </c>
      <c r="F2146" t="s">
        <v>215</v>
      </c>
      <c r="G2146" t="s">
        <v>1034</v>
      </c>
      <c r="H2146" t="s">
        <v>15</v>
      </c>
      <c r="I2146" s="1">
        <v>1</v>
      </c>
      <c r="J2146" s="2">
        <v>301.72000000000003</v>
      </c>
    </row>
    <row r="2147" spans="2:10" hidden="1" x14ac:dyDescent="0.2">
      <c r="B2147" t="s">
        <v>866</v>
      </c>
      <c r="C2147" t="s">
        <v>82</v>
      </c>
      <c r="D2147" t="s">
        <v>130</v>
      </c>
      <c r="E2147" t="s">
        <v>157</v>
      </c>
      <c r="F2147" t="s">
        <v>158</v>
      </c>
      <c r="G2147" t="s">
        <v>14</v>
      </c>
      <c r="H2147" t="s">
        <v>87</v>
      </c>
      <c r="I2147" s="1">
        <v>1</v>
      </c>
      <c r="J2147" s="2">
        <v>284.48</v>
      </c>
    </row>
    <row r="2148" spans="2:10" hidden="1" x14ac:dyDescent="0.2">
      <c r="B2148" t="s">
        <v>866</v>
      </c>
      <c r="C2148" t="s">
        <v>82</v>
      </c>
      <c r="D2148" t="s">
        <v>130</v>
      </c>
      <c r="E2148" t="s">
        <v>159</v>
      </c>
      <c r="F2148" t="s">
        <v>160</v>
      </c>
      <c r="G2148" t="s">
        <v>14</v>
      </c>
      <c r="H2148" t="s">
        <v>87</v>
      </c>
      <c r="I2148" s="1">
        <v>1</v>
      </c>
      <c r="J2148" s="2">
        <v>284.48</v>
      </c>
    </row>
    <row r="2149" spans="2:10" hidden="1" x14ac:dyDescent="0.2">
      <c r="B2149" t="s">
        <v>866</v>
      </c>
      <c r="C2149" t="s">
        <v>82</v>
      </c>
      <c r="D2149" t="s">
        <v>130</v>
      </c>
      <c r="E2149" t="s">
        <v>875</v>
      </c>
      <c r="F2149" t="s">
        <v>876</v>
      </c>
      <c r="G2149" t="s">
        <v>14</v>
      </c>
      <c r="H2149" t="s">
        <v>60</v>
      </c>
      <c r="I2149" s="1">
        <v>1</v>
      </c>
      <c r="J2149" s="2">
        <v>310.35000000000002</v>
      </c>
    </row>
    <row r="2150" spans="2:10" hidden="1" x14ac:dyDescent="0.2">
      <c r="B2150" t="s">
        <v>866</v>
      </c>
      <c r="C2150" t="s">
        <v>82</v>
      </c>
      <c r="D2150" t="s">
        <v>130</v>
      </c>
      <c r="E2150" t="s">
        <v>38</v>
      </c>
      <c r="F2150" t="s">
        <v>39</v>
      </c>
      <c r="G2150" t="s">
        <v>1034</v>
      </c>
      <c r="H2150" t="s">
        <v>15</v>
      </c>
      <c r="I2150" s="1">
        <v>1</v>
      </c>
      <c r="J2150" s="2">
        <v>431.03</v>
      </c>
    </row>
    <row r="2151" spans="2:10" hidden="1" x14ac:dyDescent="0.2">
      <c r="B2151" t="s">
        <v>866</v>
      </c>
      <c r="C2151" t="s">
        <v>82</v>
      </c>
      <c r="D2151" t="s">
        <v>130</v>
      </c>
      <c r="E2151" t="s">
        <v>56</v>
      </c>
      <c r="F2151" t="s">
        <v>57</v>
      </c>
      <c r="G2151" t="s">
        <v>1034</v>
      </c>
      <c r="H2151" t="s">
        <v>15</v>
      </c>
      <c r="I2151" s="1">
        <v>3</v>
      </c>
      <c r="J2151" s="2">
        <v>1293.0999999999999</v>
      </c>
    </row>
    <row r="2152" spans="2:10" hidden="1" x14ac:dyDescent="0.2">
      <c r="B2152" t="s">
        <v>866</v>
      </c>
      <c r="C2152" t="s">
        <v>82</v>
      </c>
      <c r="D2152" t="s">
        <v>130</v>
      </c>
      <c r="E2152" t="s">
        <v>521</v>
      </c>
      <c r="F2152" t="s">
        <v>522</v>
      </c>
      <c r="G2152" t="s">
        <v>14</v>
      </c>
      <c r="H2152" t="s">
        <v>104</v>
      </c>
      <c r="I2152" s="1">
        <v>2</v>
      </c>
      <c r="J2152" s="2">
        <v>43.1</v>
      </c>
    </row>
    <row r="2153" spans="2:10" hidden="1" x14ac:dyDescent="0.2">
      <c r="B2153" t="s">
        <v>866</v>
      </c>
      <c r="C2153" t="s">
        <v>82</v>
      </c>
      <c r="D2153" t="s">
        <v>130</v>
      </c>
      <c r="E2153" t="s">
        <v>406</v>
      </c>
      <c r="F2153" t="s">
        <v>407</v>
      </c>
      <c r="G2153" t="s">
        <v>14</v>
      </c>
      <c r="H2153" t="s">
        <v>104</v>
      </c>
      <c r="I2153" s="1">
        <v>2</v>
      </c>
      <c r="J2153" s="2">
        <v>34.479999999999997</v>
      </c>
    </row>
    <row r="2154" spans="2:10" hidden="1" x14ac:dyDescent="0.2">
      <c r="B2154" t="s">
        <v>866</v>
      </c>
      <c r="C2154" t="s">
        <v>88</v>
      </c>
      <c r="D2154" t="s">
        <v>226</v>
      </c>
      <c r="E2154" t="s">
        <v>44</v>
      </c>
      <c r="F2154" t="s">
        <v>45</v>
      </c>
      <c r="G2154" t="s">
        <v>1033</v>
      </c>
      <c r="H2154" t="s">
        <v>30</v>
      </c>
      <c r="I2154" s="1">
        <v>3</v>
      </c>
      <c r="J2154" s="2">
        <v>245.70000000000002</v>
      </c>
    </row>
    <row r="2155" spans="2:10" hidden="1" x14ac:dyDescent="0.2">
      <c r="B2155" t="s">
        <v>866</v>
      </c>
      <c r="C2155" t="s">
        <v>88</v>
      </c>
      <c r="D2155" t="s">
        <v>226</v>
      </c>
      <c r="E2155" t="s">
        <v>877</v>
      </c>
      <c r="F2155" t="s">
        <v>878</v>
      </c>
      <c r="G2155" t="s">
        <v>1033</v>
      </c>
      <c r="H2155" t="s">
        <v>30</v>
      </c>
      <c r="I2155" s="1">
        <v>1</v>
      </c>
      <c r="J2155" s="2">
        <v>1551.72</v>
      </c>
    </row>
    <row r="2156" spans="2:10" hidden="1" x14ac:dyDescent="0.2">
      <c r="B2156" t="s">
        <v>866</v>
      </c>
      <c r="C2156" t="s">
        <v>88</v>
      </c>
      <c r="D2156" t="s">
        <v>226</v>
      </c>
      <c r="E2156" t="s">
        <v>221</v>
      </c>
      <c r="F2156" t="s">
        <v>222</v>
      </c>
      <c r="G2156" t="s">
        <v>1034</v>
      </c>
      <c r="H2156" t="s">
        <v>15</v>
      </c>
      <c r="I2156" s="1">
        <v>1</v>
      </c>
      <c r="J2156" s="2">
        <v>431.03</v>
      </c>
    </row>
    <row r="2157" spans="2:10" hidden="1" x14ac:dyDescent="0.2">
      <c r="B2157" t="s">
        <v>866</v>
      </c>
      <c r="C2157" t="s">
        <v>88</v>
      </c>
      <c r="D2157" t="s">
        <v>226</v>
      </c>
      <c r="E2157" t="s">
        <v>120</v>
      </c>
      <c r="F2157" t="s">
        <v>121</v>
      </c>
      <c r="G2157" t="s">
        <v>1034</v>
      </c>
      <c r="H2157" t="s">
        <v>15</v>
      </c>
      <c r="I2157" s="1">
        <v>2</v>
      </c>
      <c r="J2157" s="2">
        <v>603.44000000000005</v>
      </c>
    </row>
    <row r="2158" spans="2:10" hidden="1" x14ac:dyDescent="0.2">
      <c r="B2158" t="s">
        <v>866</v>
      </c>
      <c r="C2158" t="s">
        <v>88</v>
      </c>
      <c r="D2158" t="s">
        <v>226</v>
      </c>
      <c r="E2158" t="s">
        <v>72</v>
      </c>
      <c r="F2158" t="s">
        <v>73</v>
      </c>
      <c r="G2158" t="s">
        <v>1034</v>
      </c>
      <c r="H2158" t="s">
        <v>15</v>
      </c>
      <c r="I2158" s="1">
        <v>1</v>
      </c>
      <c r="J2158" s="2">
        <v>775.86</v>
      </c>
    </row>
    <row r="2159" spans="2:10" hidden="1" x14ac:dyDescent="0.2">
      <c r="B2159" t="s">
        <v>866</v>
      </c>
      <c r="C2159" t="s">
        <v>88</v>
      </c>
      <c r="D2159" t="s">
        <v>226</v>
      </c>
      <c r="E2159" t="s">
        <v>38</v>
      </c>
      <c r="F2159" t="s">
        <v>39</v>
      </c>
      <c r="G2159" t="s">
        <v>1034</v>
      </c>
      <c r="H2159" t="s">
        <v>15</v>
      </c>
      <c r="I2159" s="1">
        <v>3</v>
      </c>
      <c r="J2159" s="2">
        <v>1293.0899999999999</v>
      </c>
    </row>
    <row r="2160" spans="2:10" hidden="1" x14ac:dyDescent="0.2">
      <c r="B2160" t="s">
        <v>866</v>
      </c>
      <c r="C2160" t="s">
        <v>88</v>
      </c>
      <c r="D2160" t="s">
        <v>226</v>
      </c>
      <c r="E2160" t="s">
        <v>56</v>
      </c>
      <c r="F2160" t="s">
        <v>57</v>
      </c>
      <c r="G2160" t="s">
        <v>1034</v>
      </c>
      <c r="H2160" t="s">
        <v>15</v>
      </c>
      <c r="I2160" s="1">
        <v>1</v>
      </c>
      <c r="J2160" s="2">
        <v>431.03</v>
      </c>
    </row>
    <row r="2161" spans="2:10" hidden="1" x14ac:dyDescent="0.2">
      <c r="B2161" t="s">
        <v>866</v>
      </c>
      <c r="C2161" t="s">
        <v>88</v>
      </c>
      <c r="D2161" t="s">
        <v>226</v>
      </c>
      <c r="E2161" t="s">
        <v>28</v>
      </c>
      <c r="F2161" t="s">
        <v>29</v>
      </c>
      <c r="G2161" t="s">
        <v>1033</v>
      </c>
      <c r="H2161" t="s">
        <v>30</v>
      </c>
      <c r="I2161" s="1">
        <v>1</v>
      </c>
      <c r="J2161" s="2">
        <v>155.16999999999999</v>
      </c>
    </row>
    <row r="2162" spans="2:10" hidden="1" x14ac:dyDescent="0.2">
      <c r="B2162" t="s">
        <v>866</v>
      </c>
      <c r="C2162" t="s">
        <v>117</v>
      </c>
      <c r="D2162" t="s">
        <v>226</v>
      </c>
      <c r="E2162" t="s">
        <v>66</v>
      </c>
      <c r="F2162" t="s">
        <v>67</v>
      </c>
      <c r="G2162" t="s">
        <v>1033</v>
      </c>
      <c r="H2162" t="s">
        <v>30</v>
      </c>
      <c r="I2162" s="1">
        <v>1</v>
      </c>
      <c r="J2162" s="2">
        <v>1681.03</v>
      </c>
    </row>
    <row r="2163" spans="2:10" hidden="1" x14ac:dyDescent="0.2">
      <c r="B2163" t="s">
        <v>866</v>
      </c>
      <c r="C2163" t="s">
        <v>117</v>
      </c>
      <c r="D2163" t="s">
        <v>226</v>
      </c>
      <c r="E2163" t="s">
        <v>44</v>
      </c>
      <c r="F2163" t="s">
        <v>45</v>
      </c>
      <c r="G2163" t="s">
        <v>1033</v>
      </c>
      <c r="H2163" t="s">
        <v>30</v>
      </c>
      <c r="I2163" s="1">
        <v>1</v>
      </c>
      <c r="J2163" s="2">
        <v>81.900000000000006</v>
      </c>
    </row>
    <row r="2164" spans="2:10" hidden="1" x14ac:dyDescent="0.2">
      <c r="B2164" t="s">
        <v>866</v>
      </c>
      <c r="C2164" t="s">
        <v>117</v>
      </c>
      <c r="D2164" t="s">
        <v>226</v>
      </c>
      <c r="E2164" t="s">
        <v>56</v>
      </c>
      <c r="F2164" t="s">
        <v>57</v>
      </c>
      <c r="G2164" t="s">
        <v>1034</v>
      </c>
      <c r="H2164" t="s">
        <v>15</v>
      </c>
      <c r="I2164" s="1">
        <v>2</v>
      </c>
      <c r="J2164" s="2">
        <v>862.06</v>
      </c>
    </row>
    <row r="2165" spans="2:10" hidden="1" x14ac:dyDescent="0.2">
      <c r="B2165" t="s">
        <v>866</v>
      </c>
      <c r="C2165" t="s">
        <v>117</v>
      </c>
      <c r="D2165" t="s">
        <v>226</v>
      </c>
      <c r="E2165" t="s">
        <v>61</v>
      </c>
      <c r="F2165" t="s">
        <v>62</v>
      </c>
      <c r="G2165" t="s">
        <v>1034</v>
      </c>
      <c r="H2165" t="s">
        <v>15</v>
      </c>
      <c r="I2165" s="1">
        <v>1</v>
      </c>
      <c r="J2165" s="2">
        <v>172.41</v>
      </c>
    </row>
    <row r="2166" spans="2:10" hidden="1" x14ac:dyDescent="0.2">
      <c r="B2166" t="s">
        <v>866</v>
      </c>
      <c r="C2166" t="s">
        <v>117</v>
      </c>
      <c r="D2166" t="s">
        <v>226</v>
      </c>
      <c r="E2166" t="s">
        <v>63</v>
      </c>
      <c r="F2166" t="s">
        <v>64</v>
      </c>
      <c r="G2166" t="s">
        <v>1034</v>
      </c>
      <c r="H2166" t="s">
        <v>15</v>
      </c>
      <c r="I2166" s="1">
        <v>1</v>
      </c>
      <c r="J2166" s="2">
        <v>172.41</v>
      </c>
    </row>
    <row r="2167" spans="2:10" hidden="1" x14ac:dyDescent="0.2">
      <c r="B2167" t="s">
        <v>866</v>
      </c>
      <c r="C2167" t="s">
        <v>117</v>
      </c>
      <c r="D2167" t="s">
        <v>226</v>
      </c>
      <c r="E2167" t="s">
        <v>879</v>
      </c>
      <c r="F2167" t="s">
        <v>880</v>
      </c>
      <c r="G2167" t="s">
        <v>43</v>
      </c>
      <c r="H2167" t="s">
        <v>27</v>
      </c>
      <c r="I2167" s="1">
        <v>1</v>
      </c>
      <c r="J2167" s="2">
        <v>1120.69</v>
      </c>
    </row>
    <row r="2168" spans="2:10" hidden="1" x14ac:dyDescent="0.2">
      <c r="B2168" t="s">
        <v>866</v>
      </c>
      <c r="C2168" t="s">
        <v>117</v>
      </c>
      <c r="D2168" t="s">
        <v>226</v>
      </c>
      <c r="E2168" t="s">
        <v>79</v>
      </c>
      <c r="F2168" t="s">
        <v>80</v>
      </c>
      <c r="G2168" t="s">
        <v>43</v>
      </c>
      <c r="H2168" t="s">
        <v>81</v>
      </c>
      <c r="I2168" s="1">
        <v>1</v>
      </c>
      <c r="J2168" s="2">
        <v>1810.34</v>
      </c>
    </row>
    <row r="2169" spans="2:10" hidden="1" x14ac:dyDescent="0.2">
      <c r="B2169" t="s">
        <v>866</v>
      </c>
      <c r="C2169" t="s">
        <v>117</v>
      </c>
      <c r="D2169" t="s">
        <v>226</v>
      </c>
      <c r="E2169" t="s">
        <v>881</v>
      </c>
      <c r="F2169" t="s">
        <v>882</v>
      </c>
      <c r="G2169" t="s">
        <v>43</v>
      </c>
      <c r="H2169" t="s">
        <v>55</v>
      </c>
      <c r="I2169" s="1">
        <v>1</v>
      </c>
      <c r="J2169" s="2">
        <v>267.24</v>
      </c>
    </row>
    <row r="2170" spans="2:10" hidden="1" x14ac:dyDescent="0.2">
      <c r="B2170" t="s">
        <v>866</v>
      </c>
      <c r="C2170" t="s">
        <v>129</v>
      </c>
      <c r="D2170" t="s">
        <v>226</v>
      </c>
      <c r="E2170" t="s">
        <v>318</v>
      </c>
      <c r="F2170" t="s">
        <v>319</v>
      </c>
      <c r="G2170" t="s">
        <v>1033</v>
      </c>
      <c r="H2170" t="s">
        <v>30</v>
      </c>
      <c r="I2170" s="1">
        <v>1</v>
      </c>
      <c r="J2170" s="2">
        <v>456.9</v>
      </c>
    </row>
    <row r="2171" spans="2:10" hidden="1" x14ac:dyDescent="0.2">
      <c r="B2171" t="s">
        <v>866</v>
      </c>
      <c r="C2171" t="s">
        <v>129</v>
      </c>
      <c r="D2171" t="s">
        <v>226</v>
      </c>
      <c r="E2171" t="s">
        <v>242</v>
      </c>
      <c r="F2171" t="s">
        <v>243</v>
      </c>
      <c r="G2171" t="s">
        <v>14</v>
      </c>
      <c r="H2171" t="s">
        <v>87</v>
      </c>
      <c r="I2171" s="1">
        <v>1</v>
      </c>
      <c r="J2171" s="2">
        <v>120.69</v>
      </c>
    </row>
    <row r="2172" spans="2:10" hidden="1" x14ac:dyDescent="0.2">
      <c r="B2172" t="s">
        <v>866</v>
      </c>
      <c r="C2172" t="s">
        <v>129</v>
      </c>
      <c r="D2172" t="s">
        <v>226</v>
      </c>
      <c r="E2172" t="s">
        <v>120</v>
      </c>
      <c r="F2172" t="s">
        <v>121</v>
      </c>
      <c r="G2172" t="s">
        <v>1034</v>
      </c>
      <c r="H2172" t="s">
        <v>15</v>
      </c>
      <c r="I2172" s="1">
        <v>1</v>
      </c>
      <c r="J2172" s="2">
        <v>301.72000000000003</v>
      </c>
    </row>
    <row r="2173" spans="2:10" hidden="1" x14ac:dyDescent="0.2">
      <c r="B2173" t="s">
        <v>866</v>
      </c>
      <c r="C2173" t="s">
        <v>129</v>
      </c>
      <c r="D2173" t="s">
        <v>226</v>
      </c>
      <c r="E2173" t="s">
        <v>61</v>
      </c>
      <c r="F2173" t="s">
        <v>62</v>
      </c>
      <c r="G2173" t="s">
        <v>1034</v>
      </c>
      <c r="H2173" t="s">
        <v>15</v>
      </c>
      <c r="I2173" s="1">
        <v>1</v>
      </c>
      <c r="J2173" s="2">
        <v>172.41</v>
      </c>
    </row>
    <row r="2174" spans="2:10" hidden="1" x14ac:dyDescent="0.2">
      <c r="B2174" t="s">
        <v>866</v>
      </c>
      <c r="C2174" t="s">
        <v>134</v>
      </c>
      <c r="D2174" t="s">
        <v>226</v>
      </c>
      <c r="E2174" t="s">
        <v>214</v>
      </c>
      <c r="F2174" t="s">
        <v>215</v>
      </c>
      <c r="G2174" t="s">
        <v>1034</v>
      </c>
      <c r="H2174" t="s">
        <v>15</v>
      </c>
      <c r="I2174" s="1">
        <v>1</v>
      </c>
      <c r="J2174" s="2">
        <v>301.72000000000003</v>
      </c>
    </row>
    <row r="2175" spans="2:10" hidden="1" x14ac:dyDescent="0.2">
      <c r="B2175" t="s">
        <v>866</v>
      </c>
      <c r="C2175" t="s">
        <v>134</v>
      </c>
      <c r="D2175" t="s">
        <v>226</v>
      </c>
      <c r="E2175" t="s">
        <v>56</v>
      </c>
      <c r="F2175" t="s">
        <v>57</v>
      </c>
      <c r="G2175" t="s">
        <v>1034</v>
      </c>
      <c r="H2175" t="s">
        <v>15</v>
      </c>
      <c r="I2175" s="1">
        <v>1</v>
      </c>
      <c r="J2175" s="2">
        <v>431.03</v>
      </c>
    </row>
    <row r="2176" spans="2:10" hidden="1" x14ac:dyDescent="0.2">
      <c r="B2176" t="s">
        <v>866</v>
      </c>
      <c r="C2176" t="s">
        <v>135</v>
      </c>
      <c r="D2176" t="s">
        <v>32</v>
      </c>
      <c r="E2176" t="s">
        <v>883</v>
      </c>
      <c r="F2176" t="s">
        <v>884</v>
      </c>
      <c r="G2176" t="s">
        <v>1033</v>
      </c>
      <c r="H2176" t="s">
        <v>30</v>
      </c>
      <c r="I2176" s="1">
        <v>1</v>
      </c>
      <c r="J2176" s="2">
        <v>1551.72</v>
      </c>
    </row>
    <row r="2177" spans="2:10" hidden="1" x14ac:dyDescent="0.2">
      <c r="B2177" t="s">
        <v>866</v>
      </c>
      <c r="C2177" t="s">
        <v>135</v>
      </c>
      <c r="D2177" t="s">
        <v>32</v>
      </c>
      <c r="E2177" t="s">
        <v>856</v>
      </c>
      <c r="F2177" t="s">
        <v>857</v>
      </c>
      <c r="G2177" t="s">
        <v>54</v>
      </c>
      <c r="H2177" t="s">
        <v>138</v>
      </c>
      <c r="I2177" s="1">
        <v>1</v>
      </c>
      <c r="J2177" s="2">
        <v>431.03</v>
      </c>
    </row>
    <row r="2178" spans="2:10" hidden="1" x14ac:dyDescent="0.2">
      <c r="B2178" t="s">
        <v>866</v>
      </c>
      <c r="C2178" t="s">
        <v>135</v>
      </c>
      <c r="D2178" t="s">
        <v>32</v>
      </c>
      <c r="E2178" t="s">
        <v>214</v>
      </c>
      <c r="F2178" t="s">
        <v>215</v>
      </c>
      <c r="G2178" t="s">
        <v>1034</v>
      </c>
      <c r="H2178" t="s">
        <v>15</v>
      </c>
      <c r="I2178" s="1">
        <v>2</v>
      </c>
      <c r="J2178" s="2">
        <v>603.44000000000005</v>
      </c>
    </row>
    <row r="2179" spans="2:10" hidden="1" x14ac:dyDescent="0.2">
      <c r="B2179" t="s">
        <v>866</v>
      </c>
      <c r="C2179" t="s">
        <v>135</v>
      </c>
      <c r="D2179" t="s">
        <v>32</v>
      </c>
      <c r="E2179" t="s">
        <v>431</v>
      </c>
      <c r="F2179" t="s">
        <v>432</v>
      </c>
      <c r="G2179" t="s">
        <v>43</v>
      </c>
      <c r="H2179" t="s">
        <v>50</v>
      </c>
      <c r="I2179" s="1">
        <v>1</v>
      </c>
      <c r="J2179" s="2">
        <v>181.03</v>
      </c>
    </row>
    <row r="2180" spans="2:10" hidden="1" x14ac:dyDescent="0.2">
      <c r="B2180" t="s">
        <v>866</v>
      </c>
      <c r="C2180" t="s">
        <v>135</v>
      </c>
      <c r="D2180" t="s">
        <v>32</v>
      </c>
      <c r="E2180" t="s">
        <v>836</v>
      </c>
      <c r="F2180" t="s">
        <v>837</v>
      </c>
      <c r="G2180" t="s">
        <v>14</v>
      </c>
      <c r="H2180" t="s">
        <v>87</v>
      </c>
      <c r="I2180" s="1">
        <v>1</v>
      </c>
      <c r="J2180" s="2">
        <v>301.72000000000003</v>
      </c>
    </row>
    <row r="2181" spans="2:10" hidden="1" x14ac:dyDescent="0.2">
      <c r="B2181" t="s">
        <v>866</v>
      </c>
      <c r="C2181" t="s">
        <v>135</v>
      </c>
      <c r="D2181" t="s">
        <v>32</v>
      </c>
      <c r="E2181" t="s">
        <v>885</v>
      </c>
      <c r="F2181" t="s">
        <v>886</v>
      </c>
      <c r="G2181" t="s">
        <v>14</v>
      </c>
      <c r="H2181" t="s">
        <v>60</v>
      </c>
      <c r="I2181" s="1">
        <v>1</v>
      </c>
      <c r="J2181" s="2">
        <v>310.35000000000002</v>
      </c>
    </row>
    <row r="2182" spans="2:10" hidden="1" x14ac:dyDescent="0.2">
      <c r="B2182" t="s">
        <v>866</v>
      </c>
      <c r="C2182" t="s">
        <v>135</v>
      </c>
      <c r="D2182" t="s">
        <v>32</v>
      </c>
      <c r="E2182" t="s">
        <v>25</v>
      </c>
      <c r="F2182" t="s">
        <v>26</v>
      </c>
      <c r="G2182" t="s">
        <v>14</v>
      </c>
      <c r="H2182" t="s">
        <v>27</v>
      </c>
      <c r="I2182" s="1">
        <v>1</v>
      </c>
      <c r="J2182" s="2">
        <v>310.33999999999997</v>
      </c>
    </row>
    <row r="2183" spans="2:10" hidden="1" x14ac:dyDescent="0.2">
      <c r="B2183" t="s">
        <v>866</v>
      </c>
      <c r="C2183" t="s">
        <v>135</v>
      </c>
      <c r="D2183" t="s">
        <v>32</v>
      </c>
      <c r="E2183" t="s">
        <v>38</v>
      </c>
      <c r="F2183" t="s">
        <v>39</v>
      </c>
      <c r="G2183" t="s">
        <v>1034</v>
      </c>
      <c r="H2183" t="s">
        <v>15</v>
      </c>
      <c r="I2183" s="1">
        <v>3</v>
      </c>
      <c r="J2183" s="2">
        <v>1293.0899999999999</v>
      </c>
    </row>
    <row r="2184" spans="2:10" hidden="1" x14ac:dyDescent="0.2">
      <c r="B2184" t="s">
        <v>866</v>
      </c>
      <c r="C2184" t="s">
        <v>135</v>
      </c>
      <c r="D2184" t="s">
        <v>32</v>
      </c>
      <c r="E2184" t="s">
        <v>28</v>
      </c>
      <c r="F2184" t="s">
        <v>29</v>
      </c>
      <c r="G2184" t="s">
        <v>1033</v>
      </c>
      <c r="H2184" t="s">
        <v>30</v>
      </c>
      <c r="I2184" s="1">
        <v>1</v>
      </c>
      <c r="J2184" s="2">
        <v>155.16999999999999</v>
      </c>
    </row>
    <row r="2185" spans="2:10" hidden="1" x14ac:dyDescent="0.2">
      <c r="B2185" t="s">
        <v>866</v>
      </c>
      <c r="C2185" t="s">
        <v>141</v>
      </c>
      <c r="D2185" t="s">
        <v>277</v>
      </c>
      <c r="E2185" t="s">
        <v>12</v>
      </c>
      <c r="F2185" t="s">
        <v>13</v>
      </c>
      <c r="G2185" t="s">
        <v>1034</v>
      </c>
      <c r="H2185" t="s">
        <v>15</v>
      </c>
      <c r="I2185" s="1">
        <v>1</v>
      </c>
      <c r="J2185" s="2">
        <v>1077.5899999999999</v>
      </c>
    </row>
    <row r="2186" spans="2:10" hidden="1" x14ac:dyDescent="0.2">
      <c r="B2186" t="s">
        <v>866</v>
      </c>
      <c r="C2186" t="s">
        <v>141</v>
      </c>
      <c r="D2186" t="s">
        <v>277</v>
      </c>
      <c r="E2186" t="s">
        <v>214</v>
      </c>
      <c r="F2186" t="s">
        <v>215</v>
      </c>
      <c r="G2186" t="s">
        <v>1034</v>
      </c>
      <c r="H2186" t="s">
        <v>15</v>
      </c>
      <c r="I2186" s="1">
        <v>1</v>
      </c>
      <c r="J2186" s="2">
        <v>301.72000000000003</v>
      </c>
    </row>
    <row r="2187" spans="2:10" hidden="1" x14ac:dyDescent="0.2">
      <c r="B2187" t="s">
        <v>866</v>
      </c>
      <c r="C2187" t="s">
        <v>141</v>
      </c>
      <c r="D2187" t="s">
        <v>277</v>
      </c>
      <c r="E2187" t="s">
        <v>38</v>
      </c>
      <c r="F2187" t="s">
        <v>39</v>
      </c>
      <c r="G2187" t="s">
        <v>1034</v>
      </c>
      <c r="H2187" t="s">
        <v>15</v>
      </c>
      <c r="I2187" s="1">
        <v>1</v>
      </c>
      <c r="J2187" s="2">
        <v>431.03</v>
      </c>
    </row>
    <row r="2188" spans="2:10" hidden="1" x14ac:dyDescent="0.2">
      <c r="B2188" t="s">
        <v>866</v>
      </c>
      <c r="C2188" t="s">
        <v>141</v>
      </c>
      <c r="D2188" t="s">
        <v>277</v>
      </c>
      <c r="E2188" t="s">
        <v>56</v>
      </c>
      <c r="F2188" t="s">
        <v>57</v>
      </c>
      <c r="G2188" t="s">
        <v>1034</v>
      </c>
      <c r="H2188" t="s">
        <v>15</v>
      </c>
      <c r="I2188" s="1">
        <v>3</v>
      </c>
      <c r="J2188" s="2">
        <v>1293.0899999999999</v>
      </c>
    </row>
    <row r="2189" spans="2:10" hidden="1" x14ac:dyDescent="0.2">
      <c r="B2189" t="s">
        <v>866</v>
      </c>
      <c r="C2189" t="s">
        <v>141</v>
      </c>
      <c r="D2189" t="s">
        <v>277</v>
      </c>
      <c r="E2189" t="s">
        <v>61</v>
      </c>
      <c r="F2189" t="s">
        <v>62</v>
      </c>
      <c r="G2189" t="s">
        <v>1034</v>
      </c>
      <c r="H2189" t="s">
        <v>15</v>
      </c>
      <c r="I2189" s="1">
        <v>1</v>
      </c>
      <c r="J2189" s="2">
        <v>172.41</v>
      </c>
    </row>
    <row r="2190" spans="2:10" hidden="1" x14ac:dyDescent="0.2">
      <c r="B2190" t="s">
        <v>866</v>
      </c>
      <c r="C2190" t="s">
        <v>141</v>
      </c>
      <c r="D2190" t="s">
        <v>277</v>
      </c>
      <c r="E2190" t="s">
        <v>28</v>
      </c>
      <c r="F2190" t="s">
        <v>29</v>
      </c>
      <c r="G2190" t="s">
        <v>1033</v>
      </c>
      <c r="H2190" t="s">
        <v>30</v>
      </c>
      <c r="I2190" s="1">
        <v>1</v>
      </c>
      <c r="J2190" s="2">
        <v>155.16999999999999</v>
      </c>
    </row>
    <row r="2191" spans="2:10" hidden="1" x14ac:dyDescent="0.2">
      <c r="B2191" t="s">
        <v>866</v>
      </c>
      <c r="C2191" t="s">
        <v>144</v>
      </c>
      <c r="D2191" t="s">
        <v>32</v>
      </c>
      <c r="E2191" t="s">
        <v>399</v>
      </c>
      <c r="F2191" t="s">
        <v>400</v>
      </c>
      <c r="G2191" t="s">
        <v>1033</v>
      </c>
      <c r="H2191" t="s">
        <v>30</v>
      </c>
      <c r="I2191" s="1">
        <v>1</v>
      </c>
      <c r="J2191" s="2">
        <v>818.97</v>
      </c>
    </row>
    <row r="2192" spans="2:10" hidden="1" x14ac:dyDescent="0.2">
      <c r="B2192" t="s">
        <v>866</v>
      </c>
      <c r="C2192" t="s">
        <v>144</v>
      </c>
      <c r="D2192" t="s">
        <v>32</v>
      </c>
      <c r="E2192" t="s">
        <v>312</v>
      </c>
      <c r="F2192" t="s">
        <v>313</v>
      </c>
      <c r="G2192" t="s">
        <v>1033</v>
      </c>
      <c r="H2192" t="s">
        <v>30</v>
      </c>
      <c r="I2192" s="1">
        <v>1</v>
      </c>
      <c r="J2192" s="2">
        <v>603.45000000000005</v>
      </c>
    </row>
    <row r="2193" spans="2:10" hidden="1" x14ac:dyDescent="0.2">
      <c r="B2193" t="s">
        <v>866</v>
      </c>
      <c r="C2193" t="s">
        <v>144</v>
      </c>
      <c r="D2193" t="s">
        <v>32</v>
      </c>
      <c r="E2193" t="s">
        <v>56</v>
      </c>
      <c r="F2193" t="s">
        <v>57</v>
      </c>
      <c r="G2193" t="s">
        <v>1034</v>
      </c>
      <c r="H2193" t="s">
        <v>15</v>
      </c>
      <c r="I2193" s="1">
        <v>2</v>
      </c>
      <c r="J2193" s="2">
        <v>862.06</v>
      </c>
    </row>
    <row r="2194" spans="2:10" hidden="1" x14ac:dyDescent="0.2">
      <c r="B2194" t="s">
        <v>866</v>
      </c>
      <c r="C2194" t="s">
        <v>144</v>
      </c>
      <c r="D2194" t="s">
        <v>32</v>
      </c>
      <c r="E2194" t="s">
        <v>110</v>
      </c>
      <c r="F2194" t="s">
        <v>111</v>
      </c>
      <c r="G2194" t="s">
        <v>14</v>
      </c>
      <c r="H2194" t="s">
        <v>112</v>
      </c>
      <c r="I2194" s="1">
        <v>1</v>
      </c>
      <c r="J2194" s="2">
        <v>301.72000000000003</v>
      </c>
    </row>
    <row r="2195" spans="2:10" hidden="1" x14ac:dyDescent="0.2">
      <c r="B2195" t="s">
        <v>866</v>
      </c>
      <c r="C2195" t="s">
        <v>144</v>
      </c>
      <c r="D2195" t="s">
        <v>32</v>
      </c>
      <c r="E2195" t="s">
        <v>459</v>
      </c>
      <c r="F2195" t="s">
        <v>460</v>
      </c>
      <c r="G2195" t="s">
        <v>43</v>
      </c>
      <c r="H2195" t="s">
        <v>50</v>
      </c>
      <c r="I2195" s="1">
        <v>1</v>
      </c>
      <c r="J2195" s="2">
        <v>1810.34</v>
      </c>
    </row>
    <row r="2196" spans="2:10" hidden="1" x14ac:dyDescent="0.2">
      <c r="B2196" t="s">
        <v>866</v>
      </c>
      <c r="C2196" t="s">
        <v>165</v>
      </c>
      <c r="D2196" t="s">
        <v>32</v>
      </c>
      <c r="E2196" t="s">
        <v>575</v>
      </c>
      <c r="F2196" t="s">
        <v>576</v>
      </c>
      <c r="G2196" t="s">
        <v>1033</v>
      </c>
      <c r="H2196" t="s">
        <v>30</v>
      </c>
      <c r="I2196" s="1">
        <v>1</v>
      </c>
      <c r="J2196" s="2">
        <v>474.14</v>
      </c>
    </row>
    <row r="2197" spans="2:10" hidden="1" x14ac:dyDescent="0.2">
      <c r="B2197" t="s">
        <v>866</v>
      </c>
      <c r="C2197" t="s">
        <v>165</v>
      </c>
      <c r="D2197" t="s">
        <v>32</v>
      </c>
      <c r="E2197" t="s">
        <v>19</v>
      </c>
      <c r="F2197" t="s">
        <v>20</v>
      </c>
      <c r="G2197" t="s">
        <v>14</v>
      </c>
      <c r="H2197" t="s">
        <v>21</v>
      </c>
      <c r="I2197" s="1">
        <v>1</v>
      </c>
      <c r="J2197" s="2">
        <v>431.04</v>
      </c>
    </row>
    <row r="2198" spans="2:10" hidden="1" x14ac:dyDescent="0.2">
      <c r="B2198" t="s">
        <v>866</v>
      </c>
      <c r="C2198" t="s">
        <v>165</v>
      </c>
      <c r="D2198" t="s">
        <v>32</v>
      </c>
      <c r="E2198" t="s">
        <v>120</v>
      </c>
      <c r="F2198" t="s">
        <v>121</v>
      </c>
      <c r="G2198" t="s">
        <v>1034</v>
      </c>
      <c r="H2198" t="s">
        <v>15</v>
      </c>
      <c r="I2198" s="1">
        <v>1</v>
      </c>
      <c r="J2198" s="2">
        <v>301.72000000000003</v>
      </c>
    </row>
    <row r="2199" spans="2:10" hidden="1" x14ac:dyDescent="0.2">
      <c r="B2199" t="s">
        <v>866</v>
      </c>
      <c r="C2199" t="s">
        <v>165</v>
      </c>
      <c r="D2199" t="s">
        <v>32</v>
      </c>
      <c r="E2199" t="s">
        <v>214</v>
      </c>
      <c r="F2199" t="s">
        <v>215</v>
      </c>
      <c r="G2199" t="s">
        <v>1034</v>
      </c>
      <c r="H2199" t="s">
        <v>15</v>
      </c>
      <c r="I2199" s="1">
        <v>1</v>
      </c>
      <c r="J2199" s="2">
        <v>301.72000000000003</v>
      </c>
    </row>
    <row r="2200" spans="2:10" hidden="1" x14ac:dyDescent="0.2">
      <c r="B2200" t="s">
        <v>866</v>
      </c>
      <c r="C2200" t="s">
        <v>165</v>
      </c>
      <c r="D2200" t="s">
        <v>32</v>
      </c>
      <c r="E2200" t="s">
        <v>887</v>
      </c>
      <c r="F2200" t="s">
        <v>888</v>
      </c>
      <c r="G2200" t="s">
        <v>14</v>
      </c>
      <c r="H2200" t="s">
        <v>27</v>
      </c>
      <c r="I2200" s="1">
        <v>1</v>
      </c>
      <c r="J2200" s="2">
        <v>310.35000000000002</v>
      </c>
    </row>
    <row r="2201" spans="2:10" hidden="1" x14ac:dyDescent="0.2">
      <c r="B2201" t="s">
        <v>866</v>
      </c>
      <c r="C2201" t="s">
        <v>165</v>
      </c>
      <c r="D2201" t="s">
        <v>32</v>
      </c>
      <c r="E2201" t="s">
        <v>273</v>
      </c>
      <c r="F2201" t="s">
        <v>274</v>
      </c>
      <c r="G2201" t="s">
        <v>1033</v>
      </c>
      <c r="H2201" t="s">
        <v>30</v>
      </c>
      <c r="I2201" s="1">
        <v>1</v>
      </c>
      <c r="J2201" s="2">
        <v>1293.0999999999999</v>
      </c>
    </row>
    <row r="2202" spans="2:10" hidden="1" x14ac:dyDescent="0.2">
      <c r="B2202" t="s">
        <v>866</v>
      </c>
      <c r="C2202" t="s">
        <v>165</v>
      </c>
      <c r="D2202" t="s">
        <v>32</v>
      </c>
      <c r="E2202" t="s">
        <v>56</v>
      </c>
      <c r="F2202" t="s">
        <v>57</v>
      </c>
      <c r="G2202" t="s">
        <v>1034</v>
      </c>
      <c r="H2202" t="s">
        <v>15</v>
      </c>
      <c r="I2202" s="1">
        <v>1</v>
      </c>
      <c r="J2202" s="2">
        <v>431.03</v>
      </c>
    </row>
    <row r="2203" spans="2:10" hidden="1" x14ac:dyDescent="0.2">
      <c r="B2203" t="s">
        <v>866</v>
      </c>
      <c r="C2203" t="s">
        <v>165</v>
      </c>
      <c r="D2203" t="s">
        <v>32</v>
      </c>
      <c r="E2203" t="s">
        <v>63</v>
      </c>
      <c r="F2203" t="s">
        <v>64</v>
      </c>
      <c r="G2203" t="s">
        <v>1034</v>
      </c>
      <c r="H2203" t="s">
        <v>15</v>
      </c>
      <c r="I2203" s="1">
        <v>1</v>
      </c>
      <c r="J2203" s="2">
        <v>172.41</v>
      </c>
    </row>
    <row r="2204" spans="2:10" hidden="1" x14ac:dyDescent="0.2">
      <c r="B2204" t="s">
        <v>866</v>
      </c>
      <c r="C2204" t="s">
        <v>165</v>
      </c>
      <c r="D2204" t="s">
        <v>32</v>
      </c>
      <c r="E2204" t="s">
        <v>16</v>
      </c>
      <c r="F2204" t="s">
        <v>17</v>
      </c>
      <c r="G2204" t="s">
        <v>1034</v>
      </c>
      <c r="H2204" t="s">
        <v>15</v>
      </c>
      <c r="I2204" s="1">
        <v>1</v>
      </c>
      <c r="J2204" s="2">
        <v>577.59</v>
      </c>
    </row>
    <row r="2205" spans="2:10" hidden="1" x14ac:dyDescent="0.2">
      <c r="B2205" t="s">
        <v>866</v>
      </c>
      <c r="C2205" t="s">
        <v>166</v>
      </c>
      <c r="D2205" t="s">
        <v>277</v>
      </c>
      <c r="E2205" t="s">
        <v>44</v>
      </c>
      <c r="F2205" t="s">
        <v>45</v>
      </c>
      <c r="G2205" t="s">
        <v>1033</v>
      </c>
      <c r="H2205" t="s">
        <v>30</v>
      </c>
      <c r="I2205" s="1">
        <v>1</v>
      </c>
      <c r="J2205" s="2">
        <v>81.900000000000006</v>
      </c>
    </row>
    <row r="2206" spans="2:10" hidden="1" x14ac:dyDescent="0.2">
      <c r="B2206" t="s">
        <v>866</v>
      </c>
      <c r="C2206" t="s">
        <v>166</v>
      </c>
      <c r="D2206" t="s">
        <v>277</v>
      </c>
      <c r="E2206" t="s">
        <v>120</v>
      </c>
      <c r="F2206" t="s">
        <v>121</v>
      </c>
      <c r="G2206" t="s">
        <v>1034</v>
      </c>
      <c r="H2206" t="s">
        <v>15</v>
      </c>
      <c r="I2206" s="1">
        <v>1</v>
      </c>
      <c r="J2206" s="2">
        <v>301.72000000000003</v>
      </c>
    </row>
    <row r="2207" spans="2:10" hidden="1" x14ac:dyDescent="0.2">
      <c r="B2207" t="s">
        <v>866</v>
      </c>
      <c r="C2207" t="s">
        <v>166</v>
      </c>
      <c r="D2207" t="s">
        <v>277</v>
      </c>
      <c r="E2207" t="s">
        <v>214</v>
      </c>
      <c r="F2207" t="s">
        <v>215</v>
      </c>
      <c r="G2207" t="s">
        <v>1034</v>
      </c>
      <c r="H2207" t="s">
        <v>15</v>
      </c>
      <c r="I2207" s="1">
        <v>1</v>
      </c>
      <c r="J2207" s="2">
        <v>301.72000000000003</v>
      </c>
    </row>
    <row r="2208" spans="2:10" hidden="1" x14ac:dyDescent="0.2">
      <c r="B2208" t="s">
        <v>866</v>
      </c>
      <c r="C2208" t="s">
        <v>166</v>
      </c>
      <c r="D2208" t="s">
        <v>277</v>
      </c>
      <c r="E2208" t="s">
        <v>889</v>
      </c>
      <c r="F2208" t="s">
        <v>890</v>
      </c>
      <c r="G2208" t="s">
        <v>1033</v>
      </c>
      <c r="H2208" t="s">
        <v>30</v>
      </c>
      <c r="I2208" s="1">
        <v>1</v>
      </c>
      <c r="J2208" s="2">
        <v>2379.31</v>
      </c>
    </row>
    <row r="2209" spans="2:10" hidden="1" x14ac:dyDescent="0.2">
      <c r="B2209" t="s">
        <v>866</v>
      </c>
      <c r="C2209" t="s">
        <v>166</v>
      </c>
      <c r="D2209" t="s">
        <v>277</v>
      </c>
      <c r="E2209" t="s">
        <v>370</v>
      </c>
      <c r="F2209" t="s">
        <v>371</v>
      </c>
      <c r="G2209" t="s">
        <v>1033</v>
      </c>
      <c r="H2209" t="s">
        <v>30</v>
      </c>
      <c r="I2209" s="1">
        <v>1</v>
      </c>
      <c r="J2209" s="2">
        <v>1034.48</v>
      </c>
    </row>
    <row r="2210" spans="2:10" hidden="1" x14ac:dyDescent="0.2">
      <c r="B2210" t="s">
        <v>866</v>
      </c>
      <c r="C2210" t="s">
        <v>166</v>
      </c>
      <c r="D2210" t="s">
        <v>277</v>
      </c>
      <c r="E2210" t="s">
        <v>163</v>
      </c>
      <c r="F2210" t="s">
        <v>164</v>
      </c>
      <c r="G2210" t="s">
        <v>1034</v>
      </c>
      <c r="H2210" t="s">
        <v>15</v>
      </c>
      <c r="I2210" s="1">
        <v>1</v>
      </c>
      <c r="J2210" s="2">
        <v>431.03</v>
      </c>
    </row>
    <row r="2211" spans="2:10" hidden="1" x14ac:dyDescent="0.2">
      <c r="B2211" t="s">
        <v>866</v>
      </c>
      <c r="C2211" t="s">
        <v>166</v>
      </c>
      <c r="D2211" t="s">
        <v>277</v>
      </c>
      <c r="E2211" t="s">
        <v>61</v>
      </c>
      <c r="F2211" t="s">
        <v>62</v>
      </c>
      <c r="G2211" t="s">
        <v>1034</v>
      </c>
      <c r="H2211" t="s">
        <v>15</v>
      </c>
      <c r="I2211" s="1">
        <v>1</v>
      </c>
      <c r="J2211" s="2">
        <v>172.41</v>
      </c>
    </row>
    <row r="2212" spans="2:10" hidden="1" x14ac:dyDescent="0.2">
      <c r="B2212" t="s">
        <v>866</v>
      </c>
      <c r="C2212" t="s">
        <v>166</v>
      </c>
      <c r="D2212" t="s">
        <v>277</v>
      </c>
      <c r="E2212" t="s">
        <v>16</v>
      </c>
      <c r="F2212" t="s">
        <v>17</v>
      </c>
      <c r="G2212" t="s">
        <v>1034</v>
      </c>
      <c r="H2212" t="s">
        <v>15</v>
      </c>
      <c r="I2212" s="1">
        <v>1</v>
      </c>
      <c r="J2212" s="2">
        <v>577.59</v>
      </c>
    </row>
    <row r="2213" spans="2:10" hidden="1" x14ac:dyDescent="0.2">
      <c r="B2213" t="s">
        <v>866</v>
      </c>
      <c r="C2213" t="s">
        <v>335</v>
      </c>
      <c r="D2213" t="s">
        <v>277</v>
      </c>
      <c r="E2213" t="s">
        <v>120</v>
      </c>
      <c r="F2213" t="s">
        <v>121</v>
      </c>
      <c r="G2213" t="s">
        <v>1034</v>
      </c>
      <c r="H2213" t="s">
        <v>15</v>
      </c>
      <c r="I2213" s="1">
        <v>1</v>
      </c>
      <c r="J2213" s="2">
        <v>301.72000000000003</v>
      </c>
    </row>
    <row r="2214" spans="2:10" hidden="1" x14ac:dyDescent="0.2">
      <c r="B2214" t="s">
        <v>866</v>
      </c>
      <c r="C2214" t="s">
        <v>335</v>
      </c>
      <c r="D2214" t="s">
        <v>277</v>
      </c>
      <c r="E2214" t="s">
        <v>267</v>
      </c>
      <c r="F2214" t="s">
        <v>268</v>
      </c>
      <c r="G2214" t="s">
        <v>1034</v>
      </c>
      <c r="H2214" t="s">
        <v>15</v>
      </c>
      <c r="I2214" s="1">
        <v>1</v>
      </c>
      <c r="J2214" s="2">
        <v>258.62</v>
      </c>
    </row>
    <row r="2215" spans="2:10" hidden="1" x14ac:dyDescent="0.2">
      <c r="B2215" t="s">
        <v>866</v>
      </c>
      <c r="C2215" t="s">
        <v>418</v>
      </c>
      <c r="D2215" t="s">
        <v>32</v>
      </c>
      <c r="E2215" t="s">
        <v>44</v>
      </c>
      <c r="F2215" t="s">
        <v>45</v>
      </c>
      <c r="G2215" t="s">
        <v>1033</v>
      </c>
      <c r="H2215" t="s">
        <v>30</v>
      </c>
      <c r="I2215" s="1">
        <v>1</v>
      </c>
      <c r="J2215" s="2">
        <v>81.900000000000006</v>
      </c>
    </row>
    <row r="2216" spans="2:10" hidden="1" x14ac:dyDescent="0.2">
      <c r="B2216" t="s">
        <v>866</v>
      </c>
      <c r="C2216" t="s">
        <v>418</v>
      </c>
      <c r="D2216" t="s">
        <v>32</v>
      </c>
      <c r="E2216" t="s">
        <v>249</v>
      </c>
      <c r="F2216" t="s">
        <v>250</v>
      </c>
      <c r="G2216" t="s">
        <v>1033</v>
      </c>
      <c r="H2216" t="s">
        <v>30</v>
      </c>
      <c r="I2216" s="1">
        <v>1</v>
      </c>
      <c r="J2216" s="2">
        <v>517.24</v>
      </c>
    </row>
    <row r="2217" spans="2:10" hidden="1" x14ac:dyDescent="0.2">
      <c r="B2217" t="s">
        <v>866</v>
      </c>
      <c r="C2217" t="s">
        <v>418</v>
      </c>
      <c r="D2217" t="s">
        <v>32</v>
      </c>
      <c r="E2217" t="s">
        <v>425</v>
      </c>
      <c r="F2217" t="s">
        <v>426</v>
      </c>
      <c r="G2217" t="s">
        <v>1033</v>
      </c>
      <c r="H2217" t="s">
        <v>30</v>
      </c>
      <c r="I2217" s="1">
        <v>1</v>
      </c>
      <c r="J2217" s="2">
        <v>1137.93</v>
      </c>
    </row>
    <row r="2218" spans="2:10" hidden="1" x14ac:dyDescent="0.2">
      <c r="B2218" t="s">
        <v>866</v>
      </c>
      <c r="C2218" t="s">
        <v>418</v>
      </c>
      <c r="D2218" t="s">
        <v>32</v>
      </c>
      <c r="E2218" t="s">
        <v>214</v>
      </c>
      <c r="F2218" t="s">
        <v>215</v>
      </c>
      <c r="G2218" t="s">
        <v>1034</v>
      </c>
      <c r="H2218" t="s">
        <v>15</v>
      </c>
      <c r="I2218" s="1">
        <v>1</v>
      </c>
      <c r="J2218" s="2">
        <v>301.72000000000003</v>
      </c>
    </row>
    <row r="2219" spans="2:10" hidden="1" x14ac:dyDescent="0.2">
      <c r="B2219" t="s">
        <v>866</v>
      </c>
      <c r="C2219" t="s">
        <v>418</v>
      </c>
      <c r="D2219" t="s">
        <v>32</v>
      </c>
      <c r="E2219" t="s">
        <v>887</v>
      </c>
      <c r="F2219" t="s">
        <v>888</v>
      </c>
      <c r="G2219" t="s">
        <v>14</v>
      </c>
      <c r="H2219" t="s">
        <v>27</v>
      </c>
      <c r="I2219" s="1">
        <v>1</v>
      </c>
      <c r="J2219" s="2">
        <v>310.35000000000002</v>
      </c>
    </row>
    <row r="2220" spans="2:10" hidden="1" x14ac:dyDescent="0.2">
      <c r="B2220" t="s">
        <v>866</v>
      </c>
      <c r="C2220" t="s">
        <v>186</v>
      </c>
      <c r="D2220" t="s">
        <v>32</v>
      </c>
      <c r="E2220" t="s">
        <v>401</v>
      </c>
      <c r="F2220" t="s">
        <v>402</v>
      </c>
      <c r="G2220" t="s">
        <v>43</v>
      </c>
      <c r="H2220" t="s">
        <v>403</v>
      </c>
      <c r="I2220" s="1">
        <v>1</v>
      </c>
      <c r="J2220" s="2">
        <v>159.47999999999999</v>
      </c>
    </row>
    <row r="2221" spans="2:10" hidden="1" x14ac:dyDescent="0.2">
      <c r="B2221" t="s">
        <v>866</v>
      </c>
      <c r="C2221" t="s">
        <v>197</v>
      </c>
      <c r="D2221" t="s">
        <v>32</v>
      </c>
      <c r="E2221" t="s">
        <v>318</v>
      </c>
      <c r="F2221" t="s">
        <v>319</v>
      </c>
      <c r="G2221" t="s">
        <v>1033</v>
      </c>
      <c r="H2221" t="s">
        <v>30</v>
      </c>
      <c r="I2221" s="1">
        <v>1</v>
      </c>
      <c r="J2221" s="2">
        <v>456.9</v>
      </c>
    </row>
    <row r="2222" spans="2:10" hidden="1" x14ac:dyDescent="0.2">
      <c r="B2222" t="s">
        <v>866</v>
      </c>
      <c r="C2222" t="s">
        <v>197</v>
      </c>
      <c r="D2222" t="s">
        <v>32</v>
      </c>
      <c r="E2222" t="s">
        <v>891</v>
      </c>
      <c r="F2222" t="s">
        <v>892</v>
      </c>
      <c r="G2222" t="s">
        <v>54</v>
      </c>
      <c r="H2222" t="s">
        <v>138</v>
      </c>
      <c r="I2222" s="1">
        <v>1</v>
      </c>
      <c r="J2222" s="2">
        <v>215.52</v>
      </c>
    </row>
    <row r="2223" spans="2:10" hidden="1" x14ac:dyDescent="0.2">
      <c r="B2223" t="s">
        <v>866</v>
      </c>
      <c r="C2223" t="s">
        <v>197</v>
      </c>
      <c r="D2223" t="s">
        <v>32</v>
      </c>
      <c r="E2223" t="s">
        <v>338</v>
      </c>
      <c r="F2223" t="s">
        <v>339</v>
      </c>
      <c r="G2223" t="s">
        <v>1033</v>
      </c>
      <c r="H2223" t="s">
        <v>30</v>
      </c>
      <c r="I2223" s="1">
        <v>1</v>
      </c>
      <c r="J2223" s="2">
        <v>1525.86</v>
      </c>
    </row>
    <row r="2224" spans="2:10" hidden="1" x14ac:dyDescent="0.2">
      <c r="B2224" t="s">
        <v>866</v>
      </c>
      <c r="C2224" t="s">
        <v>197</v>
      </c>
      <c r="D2224" t="s">
        <v>32</v>
      </c>
      <c r="E2224" t="s">
        <v>201</v>
      </c>
      <c r="F2224" t="s">
        <v>202</v>
      </c>
      <c r="G2224" t="s">
        <v>1033</v>
      </c>
      <c r="H2224" t="s">
        <v>30</v>
      </c>
      <c r="I2224" s="1">
        <v>1</v>
      </c>
      <c r="J2224" s="2">
        <v>948.28</v>
      </c>
    </row>
    <row r="2225" spans="2:10" hidden="1" x14ac:dyDescent="0.2">
      <c r="B2225" t="s">
        <v>866</v>
      </c>
      <c r="C2225" t="s">
        <v>197</v>
      </c>
      <c r="D2225" t="s">
        <v>32</v>
      </c>
      <c r="E2225" t="s">
        <v>221</v>
      </c>
      <c r="F2225" t="s">
        <v>222</v>
      </c>
      <c r="G2225" t="s">
        <v>1034</v>
      </c>
      <c r="H2225" t="s">
        <v>15</v>
      </c>
      <c r="I2225" s="1">
        <v>1</v>
      </c>
      <c r="J2225" s="2">
        <v>431.03</v>
      </c>
    </row>
    <row r="2226" spans="2:10" hidden="1" x14ac:dyDescent="0.2">
      <c r="B2226" t="s">
        <v>866</v>
      </c>
      <c r="C2226" t="s">
        <v>197</v>
      </c>
      <c r="D2226" t="s">
        <v>32</v>
      </c>
      <c r="E2226" t="s">
        <v>120</v>
      </c>
      <c r="F2226" t="s">
        <v>121</v>
      </c>
      <c r="G2226" t="s">
        <v>1034</v>
      </c>
      <c r="H2226" t="s">
        <v>15</v>
      </c>
      <c r="I2226" s="1">
        <v>2</v>
      </c>
      <c r="J2226" s="2">
        <v>603.44000000000005</v>
      </c>
    </row>
    <row r="2227" spans="2:10" hidden="1" x14ac:dyDescent="0.2">
      <c r="B2227" t="s">
        <v>866</v>
      </c>
      <c r="C2227" t="s">
        <v>197</v>
      </c>
      <c r="D2227" t="s">
        <v>32</v>
      </c>
      <c r="E2227" t="s">
        <v>38</v>
      </c>
      <c r="F2227" t="s">
        <v>39</v>
      </c>
      <c r="G2227" t="s">
        <v>1034</v>
      </c>
      <c r="H2227" t="s">
        <v>15</v>
      </c>
      <c r="I2227" s="1">
        <v>1</v>
      </c>
      <c r="J2227" s="2">
        <v>431.03</v>
      </c>
    </row>
    <row r="2228" spans="2:10" hidden="1" x14ac:dyDescent="0.2">
      <c r="B2228" t="s">
        <v>866</v>
      </c>
      <c r="C2228" t="s">
        <v>197</v>
      </c>
      <c r="D2228" t="s">
        <v>32</v>
      </c>
      <c r="E2228" t="s">
        <v>56</v>
      </c>
      <c r="F2228" t="s">
        <v>57</v>
      </c>
      <c r="G2228" t="s">
        <v>1034</v>
      </c>
      <c r="H2228" t="s">
        <v>15</v>
      </c>
      <c r="I2228" s="1">
        <v>1</v>
      </c>
      <c r="J2228" s="2">
        <v>431.03</v>
      </c>
    </row>
    <row r="2229" spans="2:10" hidden="1" x14ac:dyDescent="0.2">
      <c r="B2229" t="s">
        <v>866</v>
      </c>
      <c r="C2229" t="s">
        <v>197</v>
      </c>
      <c r="D2229" t="s">
        <v>32</v>
      </c>
      <c r="E2229" t="s">
        <v>58</v>
      </c>
      <c r="F2229" t="s">
        <v>59</v>
      </c>
      <c r="G2229" t="s">
        <v>14</v>
      </c>
      <c r="H2229" t="s">
        <v>60</v>
      </c>
      <c r="I2229" s="1">
        <v>1</v>
      </c>
      <c r="J2229" s="2">
        <v>172.41</v>
      </c>
    </row>
    <row r="2230" spans="2:10" hidden="1" x14ac:dyDescent="0.2">
      <c r="B2230" t="s">
        <v>866</v>
      </c>
      <c r="C2230" t="s">
        <v>206</v>
      </c>
      <c r="D2230" t="s">
        <v>32</v>
      </c>
      <c r="E2230" t="s">
        <v>893</v>
      </c>
      <c r="F2230" t="s">
        <v>894</v>
      </c>
      <c r="G2230" t="s">
        <v>54</v>
      </c>
      <c r="H2230" t="s">
        <v>138</v>
      </c>
      <c r="I2230" s="1">
        <v>1</v>
      </c>
      <c r="J2230" s="2">
        <v>301.72000000000003</v>
      </c>
    </row>
    <row r="2231" spans="2:10" hidden="1" x14ac:dyDescent="0.2">
      <c r="B2231" t="s">
        <v>866</v>
      </c>
      <c r="C2231" t="s">
        <v>206</v>
      </c>
      <c r="D2231" t="s">
        <v>32</v>
      </c>
      <c r="E2231" t="s">
        <v>249</v>
      </c>
      <c r="F2231" t="s">
        <v>250</v>
      </c>
      <c r="G2231" t="s">
        <v>1033</v>
      </c>
      <c r="H2231" t="s">
        <v>30</v>
      </c>
      <c r="I2231" s="1">
        <v>1</v>
      </c>
      <c r="J2231" s="2">
        <v>517.24</v>
      </c>
    </row>
    <row r="2232" spans="2:10" hidden="1" x14ac:dyDescent="0.2">
      <c r="B2232" t="s">
        <v>866</v>
      </c>
      <c r="C2232" t="s">
        <v>206</v>
      </c>
      <c r="D2232" t="s">
        <v>32</v>
      </c>
      <c r="E2232" t="s">
        <v>120</v>
      </c>
      <c r="F2232" t="s">
        <v>121</v>
      </c>
      <c r="G2232" t="s">
        <v>1034</v>
      </c>
      <c r="H2232" t="s">
        <v>15</v>
      </c>
      <c r="I2232" s="1">
        <v>2</v>
      </c>
      <c r="J2232" s="2">
        <v>603.44000000000005</v>
      </c>
    </row>
    <row r="2233" spans="2:10" hidden="1" x14ac:dyDescent="0.2">
      <c r="B2233" t="s">
        <v>866</v>
      </c>
      <c r="C2233" t="s">
        <v>206</v>
      </c>
      <c r="D2233" t="s">
        <v>32</v>
      </c>
      <c r="E2233" t="s">
        <v>214</v>
      </c>
      <c r="F2233" t="s">
        <v>215</v>
      </c>
      <c r="G2233" t="s">
        <v>1034</v>
      </c>
      <c r="H2233" t="s">
        <v>15</v>
      </c>
      <c r="I2233" s="1">
        <v>1</v>
      </c>
      <c r="J2233" s="2">
        <v>301.72000000000003</v>
      </c>
    </row>
    <row r="2234" spans="2:10" hidden="1" x14ac:dyDescent="0.2">
      <c r="B2234" t="s">
        <v>866</v>
      </c>
      <c r="C2234" t="s">
        <v>206</v>
      </c>
      <c r="D2234" t="s">
        <v>32</v>
      </c>
      <c r="E2234" t="s">
        <v>312</v>
      </c>
      <c r="F2234" t="s">
        <v>313</v>
      </c>
      <c r="G2234" t="s">
        <v>1033</v>
      </c>
      <c r="H2234" t="s">
        <v>30</v>
      </c>
      <c r="I2234" s="1">
        <v>1</v>
      </c>
      <c r="J2234" s="2">
        <v>603.45000000000005</v>
      </c>
    </row>
    <row r="2235" spans="2:10" hidden="1" x14ac:dyDescent="0.2">
      <c r="B2235" t="s">
        <v>866</v>
      </c>
      <c r="C2235" t="s">
        <v>206</v>
      </c>
      <c r="D2235" t="s">
        <v>32</v>
      </c>
      <c r="E2235" t="s">
        <v>16</v>
      </c>
      <c r="F2235" t="s">
        <v>17</v>
      </c>
      <c r="G2235" t="s">
        <v>1034</v>
      </c>
      <c r="H2235" t="s">
        <v>15</v>
      </c>
      <c r="I2235" s="1">
        <v>1</v>
      </c>
      <c r="J2235" s="2">
        <v>577.59</v>
      </c>
    </row>
    <row r="2236" spans="2:10" hidden="1" x14ac:dyDescent="0.2">
      <c r="B2236" t="s">
        <v>866</v>
      </c>
      <c r="C2236" t="s">
        <v>220</v>
      </c>
      <c r="D2236" t="s">
        <v>32</v>
      </c>
      <c r="E2236" t="s">
        <v>46</v>
      </c>
      <c r="F2236" t="s">
        <v>47</v>
      </c>
      <c r="G2236" t="s">
        <v>1034</v>
      </c>
      <c r="H2236" t="s">
        <v>15</v>
      </c>
      <c r="I2236" s="1">
        <v>1</v>
      </c>
      <c r="J2236" s="2">
        <v>301.72000000000003</v>
      </c>
    </row>
    <row r="2237" spans="2:10" hidden="1" x14ac:dyDescent="0.2">
      <c r="B2237" t="s">
        <v>866</v>
      </c>
      <c r="C2237" t="s">
        <v>220</v>
      </c>
      <c r="D2237" t="s">
        <v>32</v>
      </c>
      <c r="E2237" t="s">
        <v>120</v>
      </c>
      <c r="F2237" t="s">
        <v>121</v>
      </c>
      <c r="G2237" t="s">
        <v>1034</v>
      </c>
      <c r="H2237" t="s">
        <v>15</v>
      </c>
      <c r="I2237" s="1">
        <v>1</v>
      </c>
      <c r="J2237" s="2">
        <v>301.72000000000003</v>
      </c>
    </row>
    <row r="2238" spans="2:10" hidden="1" x14ac:dyDescent="0.2">
      <c r="B2238" t="s">
        <v>866</v>
      </c>
      <c r="C2238" t="s">
        <v>220</v>
      </c>
      <c r="D2238" t="s">
        <v>32</v>
      </c>
      <c r="E2238" t="s">
        <v>687</v>
      </c>
      <c r="F2238" t="s">
        <v>688</v>
      </c>
      <c r="G2238" t="s">
        <v>43</v>
      </c>
      <c r="H2238" t="s">
        <v>50</v>
      </c>
      <c r="I2238" s="1">
        <v>1</v>
      </c>
      <c r="J2238" s="2">
        <v>181.03</v>
      </c>
    </row>
    <row r="2239" spans="2:10" hidden="1" x14ac:dyDescent="0.2">
      <c r="B2239" t="s">
        <v>866</v>
      </c>
      <c r="C2239" t="s">
        <v>220</v>
      </c>
      <c r="D2239" t="s">
        <v>32</v>
      </c>
      <c r="E2239" t="s">
        <v>56</v>
      </c>
      <c r="F2239" t="s">
        <v>57</v>
      </c>
      <c r="G2239" t="s">
        <v>1034</v>
      </c>
      <c r="H2239" t="s">
        <v>15</v>
      </c>
      <c r="I2239" s="1">
        <v>1</v>
      </c>
      <c r="J2239" s="2">
        <v>431.03</v>
      </c>
    </row>
    <row r="2240" spans="2:10" hidden="1" x14ac:dyDescent="0.2">
      <c r="B2240" t="s">
        <v>866</v>
      </c>
      <c r="C2240" t="s">
        <v>220</v>
      </c>
      <c r="D2240" t="s">
        <v>32</v>
      </c>
      <c r="E2240" t="s">
        <v>16</v>
      </c>
      <c r="F2240" t="s">
        <v>17</v>
      </c>
      <c r="G2240" t="s">
        <v>1034</v>
      </c>
      <c r="H2240" t="s">
        <v>15</v>
      </c>
      <c r="I2240" s="1">
        <v>2</v>
      </c>
      <c r="J2240" s="2">
        <v>1155.18</v>
      </c>
    </row>
    <row r="2241" spans="2:10" hidden="1" x14ac:dyDescent="0.2">
      <c r="B2241" t="s">
        <v>866</v>
      </c>
      <c r="C2241" t="s">
        <v>220</v>
      </c>
      <c r="D2241" t="s">
        <v>32</v>
      </c>
      <c r="E2241" t="s">
        <v>333</v>
      </c>
      <c r="F2241" t="s">
        <v>334</v>
      </c>
      <c r="G2241" t="s">
        <v>1033</v>
      </c>
      <c r="H2241" t="s">
        <v>30</v>
      </c>
      <c r="I2241" s="1">
        <v>1</v>
      </c>
      <c r="J2241" s="2">
        <v>2413.79</v>
      </c>
    </row>
    <row r="2242" spans="2:10" hidden="1" x14ac:dyDescent="0.2">
      <c r="B2242" t="s">
        <v>866</v>
      </c>
      <c r="C2242" t="s">
        <v>225</v>
      </c>
      <c r="D2242" t="s">
        <v>32</v>
      </c>
      <c r="E2242" t="s">
        <v>44</v>
      </c>
      <c r="F2242" t="s">
        <v>45</v>
      </c>
      <c r="G2242" t="s">
        <v>1033</v>
      </c>
      <c r="H2242" t="s">
        <v>30</v>
      </c>
      <c r="I2242" s="1">
        <v>1</v>
      </c>
      <c r="J2242" s="2">
        <v>81.900000000000006</v>
      </c>
    </row>
    <row r="2243" spans="2:10" hidden="1" x14ac:dyDescent="0.2">
      <c r="B2243" t="s">
        <v>866</v>
      </c>
      <c r="C2243" t="s">
        <v>225</v>
      </c>
      <c r="D2243" t="s">
        <v>32</v>
      </c>
      <c r="E2243" t="s">
        <v>19</v>
      </c>
      <c r="F2243" t="s">
        <v>20</v>
      </c>
      <c r="G2243" t="s">
        <v>14</v>
      </c>
      <c r="H2243" t="s">
        <v>21</v>
      </c>
      <c r="I2243" s="1">
        <v>1</v>
      </c>
      <c r="J2243" s="2">
        <v>431.04</v>
      </c>
    </row>
    <row r="2244" spans="2:10" hidden="1" x14ac:dyDescent="0.2">
      <c r="B2244" t="s">
        <v>866</v>
      </c>
      <c r="C2244" t="s">
        <v>225</v>
      </c>
      <c r="D2244" t="s">
        <v>32</v>
      </c>
      <c r="E2244" t="s">
        <v>221</v>
      </c>
      <c r="F2244" t="s">
        <v>222</v>
      </c>
      <c r="G2244" t="s">
        <v>1034</v>
      </c>
      <c r="H2244" t="s">
        <v>15</v>
      </c>
      <c r="I2244" s="1">
        <v>1</v>
      </c>
      <c r="J2244" s="2">
        <v>431.03</v>
      </c>
    </row>
    <row r="2245" spans="2:10" hidden="1" x14ac:dyDescent="0.2">
      <c r="B2245" t="s">
        <v>866</v>
      </c>
      <c r="C2245" t="s">
        <v>225</v>
      </c>
      <c r="D2245" t="s">
        <v>32</v>
      </c>
      <c r="E2245" t="s">
        <v>120</v>
      </c>
      <c r="F2245" t="s">
        <v>121</v>
      </c>
      <c r="G2245" t="s">
        <v>1034</v>
      </c>
      <c r="H2245" t="s">
        <v>15</v>
      </c>
      <c r="I2245" s="1">
        <v>1</v>
      </c>
      <c r="J2245" s="2">
        <v>301.72000000000003</v>
      </c>
    </row>
    <row r="2246" spans="2:10" hidden="1" x14ac:dyDescent="0.2">
      <c r="B2246" t="s">
        <v>866</v>
      </c>
      <c r="C2246" t="s">
        <v>225</v>
      </c>
      <c r="D2246" t="s">
        <v>32</v>
      </c>
      <c r="E2246" t="s">
        <v>12</v>
      </c>
      <c r="F2246" t="s">
        <v>13</v>
      </c>
      <c r="G2246" t="s">
        <v>1034</v>
      </c>
      <c r="H2246" t="s">
        <v>15</v>
      </c>
      <c r="I2246" s="1">
        <v>1</v>
      </c>
      <c r="J2246" s="2">
        <v>1077.5899999999999</v>
      </c>
    </row>
    <row r="2247" spans="2:10" hidden="1" x14ac:dyDescent="0.2">
      <c r="B2247" t="s">
        <v>866</v>
      </c>
      <c r="C2247" t="s">
        <v>225</v>
      </c>
      <c r="D2247" t="s">
        <v>32</v>
      </c>
      <c r="E2247" t="s">
        <v>214</v>
      </c>
      <c r="F2247" t="s">
        <v>215</v>
      </c>
      <c r="G2247" t="s">
        <v>1034</v>
      </c>
      <c r="H2247" t="s">
        <v>15</v>
      </c>
      <c r="I2247" s="1">
        <v>1</v>
      </c>
      <c r="J2247" s="2">
        <v>301.72000000000003</v>
      </c>
    </row>
    <row r="2248" spans="2:10" hidden="1" x14ac:dyDescent="0.2">
      <c r="B2248" t="s">
        <v>866</v>
      </c>
      <c r="C2248" t="s">
        <v>225</v>
      </c>
      <c r="D2248" t="s">
        <v>32</v>
      </c>
      <c r="E2248" t="s">
        <v>836</v>
      </c>
      <c r="F2248" t="s">
        <v>837</v>
      </c>
      <c r="G2248" t="s">
        <v>14</v>
      </c>
      <c r="H2248" t="s">
        <v>87</v>
      </c>
      <c r="I2248" s="1">
        <v>1</v>
      </c>
      <c r="J2248" s="2">
        <v>301.72000000000003</v>
      </c>
    </row>
    <row r="2249" spans="2:10" hidden="1" x14ac:dyDescent="0.2">
      <c r="B2249" t="s">
        <v>866</v>
      </c>
      <c r="C2249" t="s">
        <v>225</v>
      </c>
      <c r="D2249" t="s">
        <v>32</v>
      </c>
      <c r="E2249" t="s">
        <v>38</v>
      </c>
      <c r="F2249" t="s">
        <v>39</v>
      </c>
      <c r="G2249" t="s">
        <v>1034</v>
      </c>
      <c r="H2249" t="s">
        <v>15</v>
      </c>
      <c r="I2249" s="1">
        <v>2</v>
      </c>
      <c r="J2249" s="2">
        <v>862.06</v>
      </c>
    </row>
    <row r="2250" spans="2:10" hidden="1" x14ac:dyDescent="0.2">
      <c r="B2250" t="s">
        <v>866</v>
      </c>
      <c r="C2250" t="s">
        <v>225</v>
      </c>
      <c r="D2250" t="s">
        <v>32</v>
      </c>
      <c r="E2250" t="s">
        <v>895</v>
      </c>
      <c r="F2250" t="s">
        <v>896</v>
      </c>
      <c r="G2250" t="s">
        <v>1033</v>
      </c>
      <c r="H2250" t="s">
        <v>30</v>
      </c>
      <c r="I2250" s="1">
        <v>1</v>
      </c>
      <c r="J2250" s="2">
        <v>301.72000000000003</v>
      </c>
    </row>
    <row r="2251" spans="2:10" hidden="1" x14ac:dyDescent="0.2">
      <c r="B2251" t="s">
        <v>866</v>
      </c>
      <c r="C2251" t="s">
        <v>225</v>
      </c>
      <c r="D2251" t="s">
        <v>32</v>
      </c>
      <c r="E2251" t="s">
        <v>56</v>
      </c>
      <c r="F2251" t="s">
        <v>57</v>
      </c>
      <c r="G2251" t="s">
        <v>1034</v>
      </c>
      <c r="H2251" t="s">
        <v>15</v>
      </c>
      <c r="I2251" s="1">
        <v>1</v>
      </c>
      <c r="J2251" s="2">
        <v>431.03</v>
      </c>
    </row>
    <row r="2252" spans="2:10" hidden="1" x14ac:dyDescent="0.2">
      <c r="B2252" t="s">
        <v>866</v>
      </c>
      <c r="C2252" t="s">
        <v>225</v>
      </c>
      <c r="D2252" t="s">
        <v>32</v>
      </c>
      <c r="E2252" t="s">
        <v>16</v>
      </c>
      <c r="F2252" t="s">
        <v>17</v>
      </c>
      <c r="G2252" t="s">
        <v>1034</v>
      </c>
      <c r="H2252" t="s">
        <v>15</v>
      </c>
      <c r="I2252" s="1">
        <v>1</v>
      </c>
      <c r="J2252" s="2">
        <v>577.59</v>
      </c>
    </row>
    <row r="2253" spans="2:10" hidden="1" x14ac:dyDescent="0.2">
      <c r="B2253" t="s">
        <v>866</v>
      </c>
      <c r="C2253" t="s">
        <v>225</v>
      </c>
      <c r="D2253" t="s">
        <v>32</v>
      </c>
      <c r="E2253" t="s">
        <v>762</v>
      </c>
      <c r="F2253" t="s">
        <v>763</v>
      </c>
      <c r="G2253" t="s">
        <v>1033</v>
      </c>
      <c r="H2253" t="s">
        <v>30</v>
      </c>
      <c r="I2253" s="1">
        <v>1</v>
      </c>
      <c r="J2253" s="2">
        <v>2396.5500000000002</v>
      </c>
    </row>
    <row r="2254" spans="2:10" x14ac:dyDescent="0.2">
      <c r="B2254" t="s">
        <v>866</v>
      </c>
      <c r="C2254" t="s">
        <v>227</v>
      </c>
      <c r="D2254" t="s">
        <v>32</v>
      </c>
      <c r="E2254" t="s">
        <v>656</v>
      </c>
      <c r="F2254" t="s">
        <v>657</v>
      </c>
      <c r="G2254" t="s">
        <v>43</v>
      </c>
      <c r="H2254" t="s">
        <v>50</v>
      </c>
      <c r="I2254" s="1">
        <v>1</v>
      </c>
      <c r="J2254" s="2">
        <v>181.03</v>
      </c>
    </row>
    <row r="2255" spans="2:10" x14ac:dyDescent="0.2">
      <c r="B2255" t="s">
        <v>866</v>
      </c>
      <c r="C2255" t="s">
        <v>227</v>
      </c>
      <c r="D2255" t="s">
        <v>32</v>
      </c>
      <c r="E2255" t="s">
        <v>38</v>
      </c>
      <c r="F2255" t="s">
        <v>39</v>
      </c>
      <c r="G2255" t="s">
        <v>1034</v>
      </c>
      <c r="H2255" t="s">
        <v>15</v>
      </c>
      <c r="I2255" s="1">
        <v>1</v>
      </c>
      <c r="J2255" s="2">
        <v>431.03</v>
      </c>
    </row>
    <row r="2256" spans="2:10" x14ac:dyDescent="0.2">
      <c r="B2256" t="s">
        <v>866</v>
      </c>
      <c r="C2256" t="s">
        <v>227</v>
      </c>
      <c r="D2256" t="s">
        <v>32</v>
      </c>
      <c r="E2256" t="s">
        <v>56</v>
      </c>
      <c r="F2256" t="s">
        <v>57</v>
      </c>
      <c r="G2256" t="s">
        <v>1034</v>
      </c>
      <c r="H2256" t="s">
        <v>15</v>
      </c>
      <c r="I2256" s="1">
        <v>1</v>
      </c>
      <c r="J2256" s="2">
        <v>431.03</v>
      </c>
    </row>
    <row r="2257" spans="2:10" x14ac:dyDescent="0.2">
      <c r="B2257" t="s">
        <v>866</v>
      </c>
      <c r="C2257" t="s">
        <v>227</v>
      </c>
      <c r="D2257" t="s">
        <v>32</v>
      </c>
      <c r="E2257" t="s">
        <v>16</v>
      </c>
      <c r="F2257" t="s">
        <v>17</v>
      </c>
      <c r="G2257" t="s">
        <v>1034</v>
      </c>
      <c r="H2257" t="s">
        <v>15</v>
      </c>
      <c r="I2257" s="1">
        <v>1</v>
      </c>
      <c r="J2257" s="2">
        <v>577.59</v>
      </c>
    </row>
    <row r="2258" spans="2:10" x14ac:dyDescent="0.2">
      <c r="B2258" t="s">
        <v>866</v>
      </c>
      <c r="C2258" t="s">
        <v>228</v>
      </c>
      <c r="D2258" t="s">
        <v>226</v>
      </c>
      <c r="E2258" t="s">
        <v>19</v>
      </c>
      <c r="F2258" t="s">
        <v>20</v>
      </c>
      <c r="G2258" t="s">
        <v>14</v>
      </c>
      <c r="H2258" t="s">
        <v>21</v>
      </c>
      <c r="I2258" s="1">
        <v>1</v>
      </c>
      <c r="J2258" s="2">
        <v>431.04</v>
      </c>
    </row>
    <row r="2259" spans="2:10" x14ac:dyDescent="0.2">
      <c r="B2259" t="s">
        <v>866</v>
      </c>
      <c r="C2259" t="s">
        <v>233</v>
      </c>
      <c r="D2259" t="s">
        <v>226</v>
      </c>
      <c r="E2259" t="s">
        <v>44</v>
      </c>
      <c r="F2259" t="s">
        <v>45</v>
      </c>
      <c r="G2259" t="s">
        <v>1033</v>
      </c>
      <c r="H2259" t="s">
        <v>30</v>
      </c>
      <c r="I2259" s="1">
        <v>2</v>
      </c>
      <c r="J2259" s="2">
        <v>163.80000000000001</v>
      </c>
    </row>
    <row r="2260" spans="2:10" x14ac:dyDescent="0.2">
      <c r="B2260" t="s">
        <v>866</v>
      </c>
      <c r="C2260" t="s">
        <v>233</v>
      </c>
      <c r="D2260" t="s">
        <v>226</v>
      </c>
      <c r="E2260" t="s">
        <v>324</v>
      </c>
      <c r="F2260" t="s">
        <v>325</v>
      </c>
      <c r="G2260" t="s">
        <v>1033</v>
      </c>
      <c r="H2260" t="s">
        <v>30</v>
      </c>
      <c r="I2260" s="1">
        <v>1</v>
      </c>
      <c r="J2260" s="2">
        <v>2000</v>
      </c>
    </row>
    <row r="2261" spans="2:10" x14ac:dyDescent="0.2">
      <c r="B2261" t="s">
        <v>866</v>
      </c>
      <c r="C2261" t="s">
        <v>233</v>
      </c>
      <c r="D2261" t="s">
        <v>226</v>
      </c>
      <c r="E2261" t="s">
        <v>72</v>
      </c>
      <c r="F2261" t="s">
        <v>73</v>
      </c>
      <c r="G2261" t="s">
        <v>1034</v>
      </c>
      <c r="H2261" t="s">
        <v>15</v>
      </c>
      <c r="I2261" s="1">
        <v>1</v>
      </c>
      <c r="J2261" s="2">
        <v>775.86</v>
      </c>
    </row>
    <row r="2262" spans="2:10" x14ac:dyDescent="0.2">
      <c r="B2262" t="s">
        <v>866</v>
      </c>
      <c r="C2262" t="s">
        <v>233</v>
      </c>
      <c r="D2262" t="s">
        <v>226</v>
      </c>
      <c r="E2262" t="s">
        <v>687</v>
      </c>
      <c r="F2262" t="s">
        <v>688</v>
      </c>
      <c r="G2262" t="s">
        <v>43</v>
      </c>
      <c r="H2262" t="s">
        <v>50</v>
      </c>
      <c r="I2262" s="1">
        <v>1</v>
      </c>
      <c r="J2262" s="2">
        <v>181.03</v>
      </c>
    </row>
    <row r="2263" spans="2:10" x14ac:dyDescent="0.2">
      <c r="B2263" t="s">
        <v>866</v>
      </c>
      <c r="C2263" t="s">
        <v>233</v>
      </c>
      <c r="D2263" t="s">
        <v>226</v>
      </c>
      <c r="E2263" t="s">
        <v>897</v>
      </c>
      <c r="F2263" t="s">
        <v>898</v>
      </c>
      <c r="G2263" t="s">
        <v>43</v>
      </c>
      <c r="H2263" t="s">
        <v>572</v>
      </c>
      <c r="I2263" s="1">
        <v>1</v>
      </c>
      <c r="J2263" s="2">
        <v>948.28</v>
      </c>
    </row>
    <row r="2264" spans="2:10" x14ac:dyDescent="0.2">
      <c r="B2264" t="s">
        <v>866</v>
      </c>
      <c r="C2264" t="s">
        <v>233</v>
      </c>
      <c r="D2264" t="s">
        <v>226</v>
      </c>
      <c r="E2264" t="s">
        <v>28</v>
      </c>
      <c r="F2264" t="s">
        <v>29</v>
      </c>
      <c r="G2264" t="s">
        <v>1033</v>
      </c>
      <c r="H2264" t="s">
        <v>30</v>
      </c>
      <c r="I2264" s="1">
        <v>2</v>
      </c>
      <c r="J2264" s="2">
        <v>310.33999999999997</v>
      </c>
    </row>
    <row r="2265" spans="2:10" x14ac:dyDescent="0.2">
      <c r="B2265" t="s">
        <v>866</v>
      </c>
      <c r="C2265" t="s">
        <v>236</v>
      </c>
      <c r="D2265" t="s">
        <v>226</v>
      </c>
      <c r="E2265" t="s">
        <v>44</v>
      </c>
      <c r="F2265" t="s">
        <v>45</v>
      </c>
      <c r="G2265" t="s">
        <v>1033</v>
      </c>
      <c r="H2265" t="s">
        <v>30</v>
      </c>
      <c r="I2265" s="1">
        <v>1</v>
      </c>
      <c r="J2265" s="2">
        <v>81.900000000000006</v>
      </c>
    </row>
    <row r="2266" spans="2:10" x14ac:dyDescent="0.2">
      <c r="B2266" t="s">
        <v>866</v>
      </c>
      <c r="C2266" t="s">
        <v>236</v>
      </c>
      <c r="D2266" t="s">
        <v>226</v>
      </c>
      <c r="E2266" t="s">
        <v>899</v>
      </c>
      <c r="F2266" t="s">
        <v>900</v>
      </c>
      <c r="G2266" t="s">
        <v>43</v>
      </c>
      <c r="H2266" t="s">
        <v>572</v>
      </c>
      <c r="I2266" s="1">
        <v>1</v>
      </c>
      <c r="J2266" s="2">
        <v>784.48</v>
      </c>
    </row>
    <row r="2267" spans="2:10" x14ac:dyDescent="0.2">
      <c r="B2267" t="s">
        <v>866</v>
      </c>
      <c r="C2267" t="s">
        <v>237</v>
      </c>
      <c r="D2267" t="s">
        <v>226</v>
      </c>
      <c r="E2267" t="s">
        <v>198</v>
      </c>
      <c r="F2267" t="s">
        <v>199</v>
      </c>
      <c r="G2267" t="s">
        <v>14</v>
      </c>
      <c r="H2267" t="s">
        <v>200</v>
      </c>
      <c r="I2267" s="1">
        <v>1</v>
      </c>
      <c r="J2267" s="2">
        <v>594.83000000000004</v>
      </c>
    </row>
    <row r="2268" spans="2:10" x14ac:dyDescent="0.2">
      <c r="B2268" t="s">
        <v>866</v>
      </c>
      <c r="C2268" t="s">
        <v>237</v>
      </c>
      <c r="D2268" t="s">
        <v>226</v>
      </c>
      <c r="E2268" t="s">
        <v>901</v>
      </c>
      <c r="F2268" t="s">
        <v>902</v>
      </c>
      <c r="G2268" t="s">
        <v>1033</v>
      </c>
      <c r="H2268" t="s">
        <v>30</v>
      </c>
      <c r="I2268" s="1">
        <v>1</v>
      </c>
      <c r="J2268" s="2">
        <v>284.48</v>
      </c>
    </row>
    <row r="2269" spans="2:10" x14ac:dyDescent="0.2">
      <c r="B2269" t="s">
        <v>866</v>
      </c>
      <c r="C2269" t="s">
        <v>237</v>
      </c>
      <c r="D2269" t="s">
        <v>226</v>
      </c>
      <c r="E2269" t="s">
        <v>414</v>
      </c>
      <c r="F2269" t="s">
        <v>415</v>
      </c>
      <c r="G2269" t="s">
        <v>1033</v>
      </c>
      <c r="H2269" t="s">
        <v>30</v>
      </c>
      <c r="I2269" s="1">
        <v>1</v>
      </c>
      <c r="J2269" s="2">
        <v>646.54999999999995</v>
      </c>
    </row>
    <row r="2270" spans="2:10" x14ac:dyDescent="0.2">
      <c r="B2270" t="s">
        <v>866</v>
      </c>
      <c r="C2270" t="s">
        <v>237</v>
      </c>
      <c r="D2270" t="s">
        <v>226</v>
      </c>
      <c r="E2270" t="s">
        <v>545</v>
      </c>
      <c r="F2270" t="s">
        <v>546</v>
      </c>
      <c r="G2270" t="s">
        <v>284</v>
      </c>
      <c r="H2270" t="s">
        <v>547</v>
      </c>
      <c r="I2270" s="1">
        <v>2</v>
      </c>
      <c r="J2270" s="2">
        <v>594.82000000000005</v>
      </c>
    </row>
    <row r="2271" spans="2:10" x14ac:dyDescent="0.2">
      <c r="B2271" t="s">
        <v>866</v>
      </c>
      <c r="C2271" t="s">
        <v>237</v>
      </c>
      <c r="D2271" t="s">
        <v>226</v>
      </c>
      <c r="E2271" t="s">
        <v>120</v>
      </c>
      <c r="F2271" t="s">
        <v>121</v>
      </c>
      <c r="G2271" t="s">
        <v>1034</v>
      </c>
      <c r="H2271" t="s">
        <v>15</v>
      </c>
      <c r="I2271" s="1">
        <v>1</v>
      </c>
      <c r="J2271" s="2">
        <v>301.72000000000003</v>
      </c>
    </row>
    <row r="2272" spans="2:10" x14ac:dyDescent="0.2">
      <c r="B2272" t="s">
        <v>866</v>
      </c>
      <c r="C2272" t="s">
        <v>237</v>
      </c>
      <c r="D2272" t="s">
        <v>226</v>
      </c>
      <c r="E2272" t="s">
        <v>214</v>
      </c>
      <c r="F2272" t="s">
        <v>215</v>
      </c>
      <c r="G2272" t="s">
        <v>1034</v>
      </c>
      <c r="H2272" t="s">
        <v>15</v>
      </c>
      <c r="I2272" s="1">
        <v>1</v>
      </c>
      <c r="J2272" s="2">
        <v>301.72000000000003</v>
      </c>
    </row>
    <row r="2273" spans="2:10" x14ac:dyDescent="0.2">
      <c r="B2273" t="s">
        <v>866</v>
      </c>
      <c r="C2273" t="s">
        <v>237</v>
      </c>
      <c r="D2273" t="s">
        <v>226</v>
      </c>
      <c r="E2273" t="s">
        <v>267</v>
      </c>
      <c r="F2273" t="s">
        <v>268</v>
      </c>
      <c r="G2273" t="s">
        <v>1034</v>
      </c>
      <c r="H2273" t="s">
        <v>15</v>
      </c>
      <c r="I2273" s="1">
        <v>1</v>
      </c>
      <c r="J2273" s="2">
        <v>258.62</v>
      </c>
    </row>
    <row r="2274" spans="2:10" x14ac:dyDescent="0.2">
      <c r="B2274" t="s">
        <v>866</v>
      </c>
      <c r="C2274" t="s">
        <v>237</v>
      </c>
      <c r="D2274" t="s">
        <v>226</v>
      </c>
      <c r="E2274" t="s">
        <v>875</v>
      </c>
      <c r="F2274" t="s">
        <v>876</v>
      </c>
      <c r="G2274" t="s">
        <v>14</v>
      </c>
      <c r="H2274" t="s">
        <v>60</v>
      </c>
      <c r="I2274" s="1">
        <v>1</v>
      </c>
      <c r="J2274" s="2">
        <v>310.35000000000002</v>
      </c>
    </row>
    <row r="2275" spans="2:10" x14ac:dyDescent="0.2">
      <c r="B2275" t="s">
        <v>866</v>
      </c>
      <c r="C2275" t="s">
        <v>237</v>
      </c>
      <c r="D2275" t="s">
        <v>226</v>
      </c>
      <c r="E2275" t="s">
        <v>16</v>
      </c>
      <c r="F2275" t="s">
        <v>17</v>
      </c>
      <c r="G2275" t="s">
        <v>1034</v>
      </c>
      <c r="H2275" t="s">
        <v>15</v>
      </c>
      <c r="I2275" s="1">
        <v>1</v>
      </c>
      <c r="J2275" s="2">
        <v>577.59</v>
      </c>
    </row>
    <row r="2276" spans="2:10" x14ac:dyDescent="0.2">
      <c r="B2276" t="s">
        <v>866</v>
      </c>
      <c r="C2276" t="s">
        <v>237</v>
      </c>
      <c r="D2276" t="s">
        <v>226</v>
      </c>
      <c r="E2276" t="s">
        <v>110</v>
      </c>
      <c r="F2276" t="s">
        <v>111</v>
      </c>
      <c r="G2276" t="s">
        <v>14</v>
      </c>
      <c r="H2276" t="s">
        <v>112</v>
      </c>
      <c r="I2276" s="1">
        <v>1</v>
      </c>
      <c r="J2276" s="2">
        <v>301.72000000000003</v>
      </c>
    </row>
    <row r="2277" spans="2:10" x14ac:dyDescent="0.2">
      <c r="B2277" t="s">
        <v>866</v>
      </c>
      <c r="C2277" t="s">
        <v>237</v>
      </c>
      <c r="D2277" t="s">
        <v>226</v>
      </c>
      <c r="E2277" t="s">
        <v>903</v>
      </c>
      <c r="F2277" t="s">
        <v>904</v>
      </c>
      <c r="G2277" t="s">
        <v>43</v>
      </c>
      <c r="H2277" t="s">
        <v>735</v>
      </c>
      <c r="I2277" s="1">
        <v>1</v>
      </c>
      <c r="J2277" s="2">
        <v>3017.24</v>
      </c>
    </row>
    <row r="2278" spans="2:10" x14ac:dyDescent="0.2">
      <c r="B2278" t="s">
        <v>866</v>
      </c>
      <c r="C2278" t="s">
        <v>248</v>
      </c>
      <c r="D2278" t="s">
        <v>226</v>
      </c>
      <c r="E2278" t="s">
        <v>44</v>
      </c>
      <c r="F2278" t="s">
        <v>45</v>
      </c>
      <c r="G2278" t="s">
        <v>1033</v>
      </c>
      <c r="H2278" t="s">
        <v>30</v>
      </c>
      <c r="I2278" s="1">
        <v>1</v>
      </c>
      <c r="J2278" s="2">
        <v>81.900000000000006</v>
      </c>
    </row>
    <row r="2279" spans="2:10" x14ac:dyDescent="0.2">
      <c r="B2279" t="s">
        <v>866</v>
      </c>
      <c r="C2279" t="s">
        <v>248</v>
      </c>
      <c r="D2279" t="s">
        <v>226</v>
      </c>
      <c r="E2279" t="s">
        <v>46</v>
      </c>
      <c r="F2279" t="s">
        <v>47</v>
      </c>
      <c r="G2279" t="s">
        <v>1034</v>
      </c>
      <c r="H2279" t="s">
        <v>15</v>
      </c>
      <c r="I2279" s="1">
        <v>1</v>
      </c>
      <c r="J2279" s="2">
        <v>301.72000000000003</v>
      </c>
    </row>
    <row r="2280" spans="2:10" x14ac:dyDescent="0.2">
      <c r="B2280" t="s">
        <v>866</v>
      </c>
      <c r="C2280" t="s">
        <v>248</v>
      </c>
      <c r="D2280" t="s">
        <v>226</v>
      </c>
      <c r="E2280" t="s">
        <v>120</v>
      </c>
      <c r="F2280" t="s">
        <v>121</v>
      </c>
      <c r="G2280" t="s">
        <v>1034</v>
      </c>
      <c r="H2280" t="s">
        <v>15</v>
      </c>
      <c r="I2280" s="1">
        <v>1</v>
      </c>
      <c r="J2280" s="2">
        <v>301.72000000000003</v>
      </c>
    </row>
    <row r="2281" spans="2:10" x14ac:dyDescent="0.2">
      <c r="B2281" t="s">
        <v>866</v>
      </c>
      <c r="C2281" t="s">
        <v>248</v>
      </c>
      <c r="D2281" t="s">
        <v>226</v>
      </c>
      <c r="E2281" t="s">
        <v>72</v>
      </c>
      <c r="F2281" t="s">
        <v>73</v>
      </c>
      <c r="G2281" t="s">
        <v>1034</v>
      </c>
      <c r="H2281" t="s">
        <v>15</v>
      </c>
      <c r="I2281" s="1">
        <v>1</v>
      </c>
      <c r="J2281" s="2">
        <v>775.86</v>
      </c>
    </row>
    <row r="2282" spans="2:10" x14ac:dyDescent="0.2">
      <c r="B2282" t="s">
        <v>866</v>
      </c>
      <c r="C2282" t="s">
        <v>248</v>
      </c>
      <c r="D2282" t="s">
        <v>226</v>
      </c>
      <c r="E2282" t="s">
        <v>273</v>
      </c>
      <c r="F2282" t="s">
        <v>274</v>
      </c>
      <c r="G2282" t="s">
        <v>1033</v>
      </c>
      <c r="H2282" t="s">
        <v>30</v>
      </c>
      <c r="I2282" s="1">
        <v>1</v>
      </c>
      <c r="J2282" s="2">
        <v>1293.0999999999999</v>
      </c>
    </row>
    <row r="2283" spans="2:10" x14ac:dyDescent="0.2">
      <c r="B2283" t="s">
        <v>866</v>
      </c>
      <c r="C2283" t="s">
        <v>248</v>
      </c>
      <c r="D2283" t="s">
        <v>226</v>
      </c>
      <c r="E2283" t="s">
        <v>521</v>
      </c>
      <c r="F2283" t="s">
        <v>522</v>
      </c>
      <c r="G2283" t="s">
        <v>14</v>
      </c>
      <c r="H2283" t="s">
        <v>104</v>
      </c>
      <c r="I2283" s="1">
        <v>3</v>
      </c>
      <c r="J2283" s="2">
        <v>64.650000000000006</v>
      </c>
    </row>
    <row r="2284" spans="2:10" x14ac:dyDescent="0.2">
      <c r="B2284" t="s">
        <v>866</v>
      </c>
      <c r="C2284" t="s">
        <v>248</v>
      </c>
      <c r="D2284" t="s">
        <v>226</v>
      </c>
      <c r="E2284" t="s">
        <v>406</v>
      </c>
      <c r="F2284" t="s">
        <v>407</v>
      </c>
      <c r="G2284" t="s">
        <v>14</v>
      </c>
      <c r="H2284" t="s">
        <v>104</v>
      </c>
      <c r="I2284" s="1">
        <v>3</v>
      </c>
      <c r="J2284" s="2">
        <v>51.72</v>
      </c>
    </row>
    <row r="2285" spans="2:10" x14ac:dyDescent="0.2">
      <c r="B2285" t="s">
        <v>866</v>
      </c>
      <c r="C2285" t="s">
        <v>248</v>
      </c>
      <c r="D2285" t="s">
        <v>226</v>
      </c>
      <c r="E2285" t="s">
        <v>16</v>
      </c>
      <c r="F2285" t="s">
        <v>17</v>
      </c>
      <c r="G2285" t="s">
        <v>1034</v>
      </c>
      <c r="H2285" t="s">
        <v>15</v>
      </c>
      <c r="I2285" s="1">
        <v>2</v>
      </c>
      <c r="J2285" s="2">
        <v>1155.18</v>
      </c>
    </row>
    <row r="2286" spans="2:10" x14ac:dyDescent="0.2">
      <c r="B2286" t="s">
        <v>866</v>
      </c>
      <c r="C2286" t="s">
        <v>248</v>
      </c>
      <c r="D2286" t="s">
        <v>226</v>
      </c>
      <c r="E2286" t="s">
        <v>905</v>
      </c>
      <c r="F2286" t="s">
        <v>906</v>
      </c>
      <c r="G2286" t="s">
        <v>1033</v>
      </c>
      <c r="H2286" t="s">
        <v>30</v>
      </c>
      <c r="I2286" s="1">
        <v>1</v>
      </c>
      <c r="J2286" s="2">
        <v>2672.41</v>
      </c>
    </row>
    <row r="2287" spans="2:10" hidden="1" x14ac:dyDescent="0.2">
      <c r="B2287" t="s">
        <v>907</v>
      </c>
      <c r="C2287" t="s">
        <v>10</v>
      </c>
      <c r="D2287" t="s">
        <v>908</v>
      </c>
      <c r="E2287" t="s">
        <v>302</v>
      </c>
      <c r="F2287" t="s">
        <v>303</v>
      </c>
      <c r="G2287" t="s">
        <v>1033</v>
      </c>
      <c r="H2287" t="s">
        <v>30</v>
      </c>
      <c r="I2287" s="1">
        <v>1</v>
      </c>
      <c r="J2287" s="2">
        <v>474.14</v>
      </c>
    </row>
    <row r="2288" spans="2:10" hidden="1" x14ac:dyDescent="0.2">
      <c r="B2288" t="s">
        <v>907</v>
      </c>
      <c r="C2288" t="s">
        <v>10</v>
      </c>
      <c r="D2288" t="s">
        <v>908</v>
      </c>
      <c r="E2288" t="s">
        <v>19</v>
      </c>
      <c r="F2288" t="s">
        <v>20</v>
      </c>
      <c r="G2288" t="s">
        <v>14</v>
      </c>
      <c r="H2288" t="s">
        <v>21</v>
      </c>
      <c r="I2288" s="1">
        <v>2</v>
      </c>
      <c r="J2288" s="2">
        <v>862.08</v>
      </c>
    </row>
    <row r="2289" spans="2:10" hidden="1" x14ac:dyDescent="0.2">
      <c r="B2289" t="s">
        <v>907</v>
      </c>
      <c r="C2289" t="s">
        <v>10</v>
      </c>
      <c r="D2289" t="s">
        <v>908</v>
      </c>
      <c r="E2289" t="s">
        <v>399</v>
      </c>
      <c r="F2289" t="s">
        <v>400</v>
      </c>
      <c r="G2289" t="s">
        <v>1033</v>
      </c>
      <c r="H2289" t="s">
        <v>30</v>
      </c>
      <c r="I2289" s="1">
        <v>1</v>
      </c>
      <c r="J2289" s="2">
        <v>818.97</v>
      </c>
    </row>
    <row r="2290" spans="2:10" hidden="1" x14ac:dyDescent="0.2">
      <c r="B2290" t="s">
        <v>907</v>
      </c>
      <c r="C2290" t="s">
        <v>10</v>
      </c>
      <c r="D2290" t="s">
        <v>908</v>
      </c>
      <c r="E2290" t="s">
        <v>505</v>
      </c>
      <c r="F2290" t="s">
        <v>506</v>
      </c>
      <c r="G2290" t="s">
        <v>1033</v>
      </c>
      <c r="H2290" t="s">
        <v>30</v>
      </c>
      <c r="I2290" s="1">
        <v>1</v>
      </c>
      <c r="J2290" s="2">
        <v>775.86</v>
      </c>
    </row>
    <row r="2291" spans="2:10" hidden="1" x14ac:dyDescent="0.2">
      <c r="B2291" t="s">
        <v>907</v>
      </c>
      <c r="C2291" t="s">
        <v>10</v>
      </c>
      <c r="D2291" t="s">
        <v>908</v>
      </c>
      <c r="E2291" t="s">
        <v>58</v>
      </c>
      <c r="F2291" t="s">
        <v>59</v>
      </c>
      <c r="G2291" t="s">
        <v>14</v>
      </c>
      <c r="H2291" t="s">
        <v>60</v>
      </c>
      <c r="I2291" s="1">
        <v>1</v>
      </c>
      <c r="J2291" s="2">
        <v>172.41</v>
      </c>
    </row>
    <row r="2292" spans="2:10" hidden="1" x14ac:dyDescent="0.2">
      <c r="B2292" t="s">
        <v>907</v>
      </c>
      <c r="C2292" t="s">
        <v>10</v>
      </c>
      <c r="D2292" t="s">
        <v>908</v>
      </c>
      <c r="E2292" t="s">
        <v>61</v>
      </c>
      <c r="F2292" t="s">
        <v>62</v>
      </c>
      <c r="G2292" t="s">
        <v>1034</v>
      </c>
      <c r="H2292" t="s">
        <v>15</v>
      </c>
      <c r="I2292" s="1">
        <v>1</v>
      </c>
      <c r="J2292" s="2">
        <v>172.41</v>
      </c>
    </row>
    <row r="2293" spans="2:10" hidden="1" x14ac:dyDescent="0.2">
      <c r="B2293" t="s">
        <v>907</v>
      </c>
      <c r="C2293" t="s">
        <v>10</v>
      </c>
      <c r="D2293" t="s">
        <v>908</v>
      </c>
      <c r="E2293" t="s">
        <v>16</v>
      </c>
      <c r="F2293" t="s">
        <v>17</v>
      </c>
      <c r="G2293" t="s">
        <v>1034</v>
      </c>
      <c r="H2293" t="s">
        <v>15</v>
      </c>
      <c r="I2293" s="1">
        <v>3</v>
      </c>
      <c r="J2293" s="2">
        <v>1732.77</v>
      </c>
    </row>
    <row r="2294" spans="2:10" hidden="1" x14ac:dyDescent="0.2">
      <c r="B2294" t="s">
        <v>907</v>
      </c>
      <c r="C2294" t="s">
        <v>10</v>
      </c>
      <c r="D2294" t="s">
        <v>908</v>
      </c>
      <c r="E2294" t="s">
        <v>484</v>
      </c>
      <c r="F2294" t="s">
        <v>485</v>
      </c>
      <c r="G2294" t="s">
        <v>1033</v>
      </c>
      <c r="H2294" t="s">
        <v>30</v>
      </c>
      <c r="I2294" s="1">
        <v>1</v>
      </c>
      <c r="J2294" s="2">
        <v>2163.79</v>
      </c>
    </row>
    <row r="2295" spans="2:10" hidden="1" x14ac:dyDescent="0.2">
      <c r="B2295" t="s">
        <v>907</v>
      </c>
      <c r="C2295" t="s">
        <v>18</v>
      </c>
      <c r="D2295" t="s">
        <v>908</v>
      </c>
      <c r="E2295" t="s">
        <v>238</v>
      </c>
      <c r="F2295" t="s">
        <v>239</v>
      </c>
      <c r="G2295" t="s">
        <v>1033</v>
      </c>
      <c r="H2295" t="s">
        <v>30</v>
      </c>
      <c r="I2295" s="1">
        <v>1</v>
      </c>
      <c r="J2295" s="2">
        <v>396.55</v>
      </c>
    </row>
    <row r="2296" spans="2:10" hidden="1" x14ac:dyDescent="0.2">
      <c r="B2296" t="s">
        <v>907</v>
      </c>
      <c r="C2296" t="s">
        <v>18</v>
      </c>
      <c r="D2296" t="s">
        <v>908</v>
      </c>
      <c r="E2296" t="s">
        <v>44</v>
      </c>
      <c r="F2296" t="s">
        <v>45</v>
      </c>
      <c r="G2296" t="s">
        <v>1033</v>
      </c>
      <c r="H2296" t="s">
        <v>30</v>
      </c>
      <c r="I2296" s="1">
        <v>2</v>
      </c>
      <c r="J2296" s="2">
        <v>163.80000000000001</v>
      </c>
    </row>
    <row r="2297" spans="2:10" hidden="1" x14ac:dyDescent="0.2">
      <c r="B2297" t="s">
        <v>907</v>
      </c>
      <c r="C2297" t="s">
        <v>18</v>
      </c>
      <c r="D2297" t="s">
        <v>908</v>
      </c>
      <c r="E2297" t="s">
        <v>171</v>
      </c>
      <c r="F2297" t="s">
        <v>172</v>
      </c>
      <c r="G2297" t="s">
        <v>14</v>
      </c>
      <c r="H2297" t="s">
        <v>35</v>
      </c>
      <c r="I2297" s="1">
        <v>1</v>
      </c>
      <c r="J2297" s="2">
        <v>77.59</v>
      </c>
    </row>
    <row r="2298" spans="2:10" hidden="1" x14ac:dyDescent="0.2">
      <c r="B2298" t="s">
        <v>907</v>
      </c>
      <c r="C2298" t="s">
        <v>18</v>
      </c>
      <c r="D2298" t="s">
        <v>908</v>
      </c>
      <c r="E2298" t="s">
        <v>529</v>
      </c>
      <c r="F2298" t="s">
        <v>530</v>
      </c>
      <c r="G2298" t="s">
        <v>14</v>
      </c>
      <c r="H2298" t="s">
        <v>35</v>
      </c>
      <c r="I2298" s="1">
        <v>1</v>
      </c>
      <c r="J2298" s="2">
        <v>77.59</v>
      </c>
    </row>
    <row r="2299" spans="2:10" hidden="1" x14ac:dyDescent="0.2">
      <c r="B2299" t="s">
        <v>907</v>
      </c>
      <c r="C2299" t="s">
        <v>18</v>
      </c>
      <c r="D2299" t="s">
        <v>908</v>
      </c>
      <c r="E2299" t="s">
        <v>149</v>
      </c>
      <c r="F2299" t="s">
        <v>150</v>
      </c>
      <c r="G2299" t="s">
        <v>43</v>
      </c>
      <c r="H2299" t="s">
        <v>50</v>
      </c>
      <c r="I2299" s="1">
        <v>1</v>
      </c>
      <c r="J2299" s="2">
        <v>3017.24</v>
      </c>
    </row>
    <row r="2300" spans="2:10" hidden="1" x14ac:dyDescent="0.2">
      <c r="B2300" t="s">
        <v>907</v>
      </c>
      <c r="C2300" t="s">
        <v>18</v>
      </c>
      <c r="D2300" t="s">
        <v>908</v>
      </c>
      <c r="E2300" t="s">
        <v>498</v>
      </c>
      <c r="F2300" t="s">
        <v>499</v>
      </c>
      <c r="G2300" t="s">
        <v>1033</v>
      </c>
      <c r="H2300" t="s">
        <v>30</v>
      </c>
      <c r="I2300" s="1">
        <v>1</v>
      </c>
      <c r="J2300" s="2">
        <v>2672.41</v>
      </c>
    </row>
    <row r="2301" spans="2:10" hidden="1" x14ac:dyDescent="0.2">
      <c r="B2301" t="s">
        <v>907</v>
      </c>
      <c r="C2301" t="s">
        <v>18</v>
      </c>
      <c r="D2301" t="s">
        <v>908</v>
      </c>
      <c r="E2301" t="s">
        <v>120</v>
      </c>
      <c r="F2301" t="s">
        <v>121</v>
      </c>
      <c r="G2301" t="s">
        <v>1034</v>
      </c>
      <c r="H2301" t="s">
        <v>15</v>
      </c>
      <c r="I2301" s="1">
        <v>2</v>
      </c>
      <c r="J2301" s="2">
        <v>603.44000000000005</v>
      </c>
    </row>
    <row r="2302" spans="2:10" hidden="1" x14ac:dyDescent="0.2">
      <c r="B2302" t="s">
        <v>907</v>
      </c>
      <c r="C2302" t="s">
        <v>18</v>
      </c>
      <c r="D2302" t="s">
        <v>908</v>
      </c>
      <c r="E2302" t="s">
        <v>656</v>
      </c>
      <c r="F2302" t="s">
        <v>657</v>
      </c>
      <c r="G2302" t="s">
        <v>43</v>
      </c>
      <c r="H2302" t="s">
        <v>50</v>
      </c>
      <c r="I2302" s="1">
        <v>1</v>
      </c>
      <c r="J2302" s="2">
        <v>181.03</v>
      </c>
    </row>
    <row r="2303" spans="2:10" hidden="1" x14ac:dyDescent="0.2">
      <c r="B2303" t="s">
        <v>907</v>
      </c>
      <c r="C2303" t="s">
        <v>18</v>
      </c>
      <c r="D2303" t="s">
        <v>908</v>
      </c>
      <c r="E2303" t="s">
        <v>22</v>
      </c>
      <c r="F2303" t="s">
        <v>23</v>
      </c>
      <c r="G2303" t="s">
        <v>14</v>
      </c>
      <c r="H2303" t="s">
        <v>24</v>
      </c>
      <c r="I2303" s="1">
        <v>3</v>
      </c>
      <c r="J2303" s="2">
        <v>646.56000000000006</v>
      </c>
    </row>
    <row r="2304" spans="2:10" hidden="1" x14ac:dyDescent="0.2">
      <c r="B2304" t="s">
        <v>907</v>
      </c>
      <c r="C2304" t="s">
        <v>18</v>
      </c>
      <c r="D2304" t="s">
        <v>908</v>
      </c>
      <c r="E2304" t="s">
        <v>28</v>
      </c>
      <c r="F2304" t="s">
        <v>29</v>
      </c>
      <c r="G2304" t="s">
        <v>1033</v>
      </c>
      <c r="H2304" t="s">
        <v>30</v>
      </c>
      <c r="I2304" s="1">
        <v>1</v>
      </c>
      <c r="J2304" s="2">
        <v>155.16999999999999</v>
      </c>
    </row>
    <row r="2305" spans="2:10" hidden="1" x14ac:dyDescent="0.2">
      <c r="B2305" t="s">
        <v>907</v>
      </c>
      <c r="C2305" t="s">
        <v>31</v>
      </c>
      <c r="D2305" t="s">
        <v>130</v>
      </c>
      <c r="E2305" t="s">
        <v>22</v>
      </c>
      <c r="F2305" t="s">
        <v>23</v>
      </c>
      <c r="G2305" t="s">
        <v>14</v>
      </c>
      <c r="H2305" t="s">
        <v>24</v>
      </c>
      <c r="I2305" s="1">
        <v>1</v>
      </c>
      <c r="J2305" s="2">
        <v>215.52</v>
      </c>
    </row>
    <row r="2306" spans="2:10" hidden="1" x14ac:dyDescent="0.2">
      <c r="B2306" t="s">
        <v>907</v>
      </c>
      <c r="C2306" t="s">
        <v>31</v>
      </c>
      <c r="D2306" t="s">
        <v>130</v>
      </c>
      <c r="E2306" t="s">
        <v>871</v>
      </c>
      <c r="F2306" t="s">
        <v>872</v>
      </c>
      <c r="G2306" t="s">
        <v>1033</v>
      </c>
      <c r="H2306" t="s">
        <v>30</v>
      </c>
      <c r="I2306" s="1">
        <v>1</v>
      </c>
      <c r="J2306" s="2">
        <v>2327.59</v>
      </c>
    </row>
    <row r="2307" spans="2:10" hidden="1" x14ac:dyDescent="0.2">
      <c r="B2307" t="s">
        <v>907</v>
      </c>
      <c r="C2307" t="s">
        <v>40</v>
      </c>
      <c r="D2307" t="s">
        <v>908</v>
      </c>
      <c r="E2307" t="s">
        <v>356</v>
      </c>
      <c r="F2307" t="s">
        <v>357</v>
      </c>
      <c r="G2307" t="s">
        <v>1033</v>
      </c>
      <c r="H2307" t="s">
        <v>30</v>
      </c>
      <c r="I2307" s="1">
        <v>1</v>
      </c>
      <c r="J2307" s="2">
        <v>2198.2800000000002</v>
      </c>
    </row>
    <row r="2308" spans="2:10" hidden="1" x14ac:dyDescent="0.2">
      <c r="B2308" t="s">
        <v>907</v>
      </c>
      <c r="C2308" t="s">
        <v>40</v>
      </c>
      <c r="D2308" t="s">
        <v>908</v>
      </c>
      <c r="E2308" t="s">
        <v>308</v>
      </c>
      <c r="F2308" t="s">
        <v>309</v>
      </c>
      <c r="G2308" t="s">
        <v>1033</v>
      </c>
      <c r="H2308" t="s">
        <v>30</v>
      </c>
      <c r="I2308" s="1">
        <v>1</v>
      </c>
      <c r="J2308" s="2">
        <v>818.97</v>
      </c>
    </row>
    <row r="2309" spans="2:10" hidden="1" x14ac:dyDescent="0.2">
      <c r="B2309" t="s">
        <v>907</v>
      </c>
      <c r="C2309" t="s">
        <v>40</v>
      </c>
      <c r="D2309" t="s">
        <v>908</v>
      </c>
      <c r="E2309" t="s">
        <v>267</v>
      </c>
      <c r="F2309" t="s">
        <v>268</v>
      </c>
      <c r="G2309" t="s">
        <v>1034</v>
      </c>
      <c r="H2309" t="s">
        <v>15</v>
      </c>
      <c r="I2309" s="1">
        <v>1</v>
      </c>
      <c r="J2309" s="2">
        <v>258.62</v>
      </c>
    </row>
    <row r="2310" spans="2:10" hidden="1" x14ac:dyDescent="0.2">
      <c r="B2310" t="s">
        <v>907</v>
      </c>
      <c r="C2310" t="s">
        <v>40</v>
      </c>
      <c r="D2310" t="s">
        <v>908</v>
      </c>
      <c r="E2310" t="s">
        <v>336</v>
      </c>
      <c r="F2310" t="s">
        <v>337</v>
      </c>
      <c r="G2310" t="s">
        <v>1034</v>
      </c>
      <c r="H2310" t="s">
        <v>15</v>
      </c>
      <c r="I2310" s="1">
        <v>1</v>
      </c>
      <c r="J2310" s="2">
        <v>387.93</v>
      </c>
    </row>
    <row r="2311" spans="2:10" hidden="1" x14ac:dyDescent="0.2">
      <c r="B2311" t="s">
        <v>907</v>
      </c>
      <c r="C2311" t="s">
        <v>40</v>
      </c>
      <c r="D2311" t="s">
        <v>908</v>
      </c>
      <c r="E2311" t="s">
        <v>596</v>
      </c>
      <c r="F2311" t="s">
        <v>597</v>
      </c>
      <c r="G2311" t="s">
        <v>43</v>
      </c>
      <c r="H2311" t="s">
        <v>50</v>
      </c>
      <c r="I2311" s="1">
        <v>1</v>
      </c>
      <c r="J2311" s="2">
        <v>181.03</v>
      </c>
    </row>
    <row r="2312" spans="2:10" hidden="1" x14ac:dyDescent="0.2">
      <c r="B2312" t="s">
        <v>907</v>
      </c>
      <c r="C2312" t="s">
        <v>51</v>
      </c>
      <c r="D2312" t="s">
        <v>908</v>
      </c>
      <c r="E2312" t="s">
        <v>238</v>
      </c>
      <c r="F2312" t="s">
        <v>239</v>
      </c>
      <c r="G2312" t="s">
        <v>1033</v>
      </c>
      <c r="H2312" t="s">
        <v>30</v>
      </c>
      <c r="I2312" s="1">
        <v>1</v>
      </c>
      <c r="J2312" s="2">
        <v>396.55</v>
      </c>
    </row>
    <row r="2313" spans="2:10" hidden="1" x14ac:dyDescent="0.2">
      <c r="B2313" t="s">
        <v>907</v>
      </c>
      <c r="C2313" t="s">
        <v>51</v>
      </c>
      <c r="D2313" t="s">
        <v>908</v>
      </c>
      <c r="E2313" t="s">
        <v>214</v>
      </c>
      <c r="F2313" t="s">
        <v>215</v>
      </c>
      <c r="G2313" t="s">
        <v>1034</v>
      </c>
      <c r="H2313" t="s">
        <v>15</v>
      </c>
      <c r="I2313" s="1">
        <v>1</v>
      </c>
      <c r="J2313" s="2">
        <v>301.72000000000003</v>
      </c>
    </row>
    <row r="2314" spans="2:10" hidden="1" x14ac:dyDescent="0.2">
      <c r="B2314" t="s">
        <v>907</v>
      </c>
      <c r="C2314" t="s">
        <v>51</v>
      </c>
      <c r="D2314" t="s">
        <v>908</v>
      </c>
      <c r="E2314" t="s">
        <v>275</v>
      </c>
      <c r="F2314" t="s">
        <v>276</v>
      </c>
      <c r="G2314" t="s">
        <v>1033</v>
      </c>
      <c r="H2314" t="s">
        <v>30</v>
      </c>
      <c r="I2314" s="1">
        <v>1</v>
      </c>
      <c r="J2314" s="2">
        <v>1551.72</v>
      </c>
    </row>
    <row r="2315" spans="2:10" hidden="1" x14ac:dyDescent="0.2">
      <c r="B2315" t="s">
        <v>907</v>
      </c>
      <c r="C2315" t="s">
        <v>51</v>
      </c>
      <c r="D2315" t="s">
        <v>908</v>
      </c>
      <c r="E2315" t="s">
        <v>61</v>
      </c>
      <c r="F2315" t="s">
        <v>62</v>
      </c>
      <c r="G2315" t="s">
        <v>1034</v>
      </c>
      <c r="H2315" t="s">
        <v>15</v>
      </c>
      <c r="I2315" s="1">
        <v>2</v>
      </c>
      <c r="J2315" s="2">
        <v>344.82</v>
      </c>
    </row>
    <row r="2316" spans="2:10" hidden="1" x14ac:dyDescent="0.2">
      <c r="B2316" t="s">
        <v>907</v>
      </c>
      <c r="C2316" t="s">
        <v>65</v>
      </c>
      <c r="D2316" t="s">
        <v>277</v>
      </c>
      <c r="E2316" t="s">
        <v>122</v>
      </c>
      <c r="F2316" t="s">
        <v>123</v>
      </c>
      <c r="G2316" t="s">
        <v>1034</v>
      </c>
      <c r="H2316" t="s">
        <v>15</v>
      </c>
      <c r="I2316" s="1">
        <v>1</v>
      </c>
      <c r="J2316" s="2">
        <v>387.93</v>
      </c>
    </row>
    <row r="2317" spans="2:10" hidden="1" x14ac:dyDescent="0.2">
      <c r="B2317" t="s">
        <v>907</v>
      </c>
      <c r="C2317" t="s">
        <v>82</v>
      </c>
      <c r="D2317" t="s">
        <v>908</v>
      </c>
      <c r="E2317" t="s">
        <v>368</v>
      </c>
      <c r="F2317" t="s">
        <v>369</v>
      </c>
      <c r="G2317" t="s">
        <v>1033</v>
      </c>
      <c r="H2317" t="s">
        <v>30</v>
      </c>
      <c r="I2317" s="1">
        <v>1</v>
      </c>
      <c r="J2317" s="2">
        <v>612.07000000000005</v>
      </c>
    </row>
    <row r="2318" spans="2:10" hidden="1" x14ac:dyDescent="0.2">
      <c r="B2318" t="s">
        <v>907</v>
      </c>
      <c r="C2318" t="s">
        <v>82</v>
      </c>
      <c r="D2318" t="s">
        <v>908</v>
      </c>
      <c r="E2318" t="s">
        <v>214</v>
      </c>
      <c r="F2318" t="s">
        <v>215</v>
      </c>
      <c r="G2318" t="s">
        <v>1034</v>
      </c>
      <c r="H2318" t="s">
        <v>15</v>
      </c>
      <c r="I2318" s="1">
        <v>1</v>
      </c>
      <c r="J2318" s="2">
        <v>301.72000000000003</v>
      </c>
    </row>
    <row r="2319" spans="2:10" hidden="1" x14ac:dyDescent="0.2">
      <c r="B2319" t="s">
        <v>907</v>
      </c>
      <c r="C2319" t="s">
        <v>82</v>
      </c>
      <c r="D2319" t="s">
        <v>908</v>
      </c>
      <c r="E2319" t="s">
        <v>216</v>
      </c>
      <c r="F2319" t="s">
        <v>217</v>
      </c>
      <c r="G2319" t="s">
        <v>14</v>
      </c>
      <c r="H2319" t="s">
        <v>104</v>
      </c>
      <c r="I2319" s="1">
        <v>1</v>
      </c>
      <c r="J2319" s="2">
        <v>17.239999999999998</v>
      </c>
    </row>
    <row r="2320" spans="2:10" hidden="1" x14ac:dyDescent="0.2">
      <c r="B2320" t="s">
        <v>907</v>
      </c>
      <c r="C2320" t="s">
        <v>82</v>
      </c>
      <c r="D2320" t="s">
        <v>908</v>
      </c>
      <c r="E2320" t="s">
        <v>312</v>
      </c>
      <c r="F2320" t="s">
        <v>313</v>
      </c>
      <c r="G2320" t="s">
        <v>1033</v>
      </c>
      <c r="H2320" t="s">
        <v>30</v>
      </c>
      <c r="I2320" s="1">
        <v>1</v>
      </c>
      <c r="J2320" s="2">
        <v>603.45000000000005</v>
      </c>
    </row>
    <row r="2321" spans="2:10" hidden="1" x14ac:dyDescent="0.2">
      <c r="B2321" t="s">
        <v>907</v>
      </c>
      <c r="C2321" t="s">
        <v>82</v>
      </c>
      <c r="D2321" t="s">
        <v>908</v>
      </c>
      <c r="E2321" t="s">
        <v>370</v>
      </c>
      <c r="F2321" t="s">
        <v>371</v>
      </c>
      <c r="G2321" t="s">
        <v>1033</v>
      </c>
      <c r="H2321" t="s">
        <v>30</v>
      </c>
      <c r="I2321" s="1">
        <v>1</v>
      </c>
      <c r="J2321" s="2">
        <v>1034.48</v>
      </c>
    </row>
    <row r="2322" spans="2:10" hidden="1" x14ac:dyDescent="0.2">
      <c r="B2322" t="s">
        <v>907</v>
      </c>
      <c r="C2322" t="s">
        <v>88</v>
      </c>
      <c r="D2322" t="s">
        <v>908</v>
      </c>
      <c r="E2322" t="s">
        <v>611</v>
      </c>
      <c r="F2322" t="s">
        <v>612</v>
      </c>
      <c r="G2322" t="s">
        <v>1033</v>
      </c>
      <c r="H2322" t="s">
        <v>30</v>
      </c>
      <c r="I2322" s="1">
        <v>1</v>
      </c>
      <c r="J2322" s="2">
        <v>793.1</v>
      </c>
    </row>
    <row r="2323" spans="2:10" hidden="1" x14ac:dyDescent="0.2">
      <c r="B2323" t="s">
        <v>907</v>
      </c>
      <c r="C2323" t="s">
        <v>88</v>
      </c>
      <c r="D2323" t="s">
        <v>908</v>
      </c>
      <c r="E2323" t="s">
        <v>909</v>
      </c>
      <c r="F2323" t="s">
        <v>910</v>
      </c>
      <c r="G2323" t="s">
        <v>1033</v>
      </c>
      <c r="H2323" t="s">
        <v>30</v>
      </c>
      <c r="I2323" s="1">
        <v>1</v>
      </c>
      <c r="J2323" s="2">
        <v>379.31</v>
      </c>
    </row>
    <row r="2324" spans="2:10" hidden="1" x14ac:dyDescent="0.2">
      <c r="B2324" t="s">
        <v>907</v>
      </c>
      <c r="C2324" t="s">
        <v>88</v>
      </c>
      <c r="D2324" t="s">
        <v>908</v>
      </c>
      <c r="E2324" t="s">
        <v>70</v>
      </c>
      <c r="F2324" t="s">
        <v>71</v>
      </c>
      <c r="G2324" t="s">
        <v>1033</v>
      </c>
      <c r="H2324" t="s">
        <v>30</v>
      </c>
      <c r="I2324" s="1">
        <v>1</v>
      </c>
      <c r="J2324" s="2">
        <v>2112.0700000000002</v>
      </c>
    </row>
    <row r="2325" spans="2:10" hidden="1" x14ac:dyDescent="0.2">
      <c r="B2325" t="s">
        <v>907</v>
      </c>
      <c r="C2325" t="s">
        <v>88</v>
      </c>
      <c r="D2325" t="s">
        <v>908</v>
      </c>
      <c r="E2325" t="s">
        <v>203</v>
      </c>
      <c r="F2325" t="s">
        <v>204</v>
      </c>
      <c r="G2325" t="s">
        <v>43</v>
      </c>
      <c r="H2325" t="s">
        <v>205</v>
      </c>
      <c r="I2325" s="1">
        <v>1</v>
      </c>
      <c r="J2325" s="2">
        <v>344.83</v>
      </c>
    </row>
    <row r="2326" spans="2:10" hidden="1" x14ac:dyDescent="0.2">
      <c r="B2326" t="s">
        <v>907</v>
      </c>
      <c r="C2326" t="s">
        <v>88</v>
      </c>
      <c r="D2326" t="s">
        <v>908</v>
      </c>
      <c r="E2326" t="s">
        <v>36</v>
      </c>
      <c r="F2326" t="s">
        <v>37</v>
      </c>
      <c r="G2326" t="s">
        <v>1034</v>
      </c>
      <c r="H2326" t="s">
        <v>15</v>
      </c>
      <c r="I2326" s="1">
        <v>1</v>
      </c>
      <c r="J2326" s="2">
        <v>301.72000000000003</v>
      </c>
    </row>
    <row r="2327" spans="2:10" hidden="1" x14ac:dyDescent="0.2">
      <c r="B2327" t="s">
        <v>907</v>
      </c>
      <c r="C2327" t="s">
        <v>88</v>
      </c>
      <c r="D2327" t="s">
        <v>908</v>
      </c>
      <c r="E2327" t="s">
        <v>101</v>
      </c>
      <c r="F2327" t="s">
        <v>102</v>
      </c>
      <c r="G2327" t="s">
        <v>103</v>
      </c>
      <c r="H2327" t="s">
        <v>104</v>
      </c>
      <c r="I2327" s="1">
        <v>4</v>
      </c>
      <c r="J2327" s="2">
        <v>0.04</v>
      </c>
    </row>
    <row r="2328" spans="2:10" hidden="1" x14ac:dyDescent="0.2">
      <c r="B2328" t="s">
        <v>907</v>
      </c>
      <c r="C2328" t="s">
        <v>88</v>
      </c>
      <c r="D2328" t="s">
        <v>908</v>
      </c>
      <c r="E2328" t="s">
        <v>22</v>
      </c>
      <c r="F2328" t="s">
        <v>23</v>
      </c>
      <c r="G2328" t="s">
        <v>14</v>
      </c>
      <c r="H2328" t="s">
        <v>24</v>
      </c>
      <c r="I2328" s="1">
        <v>1</v>
      </c>
      <c r="J2328" s="2">
        <v>215.52</v>
      </c>
    </row>
    <row r="2329" spans="2:10" hidden="1" x14ac:dyDescent="0.2">
      <c r="B2329" t="s">
        <v>907</v>
      </c>
      <c r="C2329" t="s">
        <v>88</v>
      </c>
      <c r="D2329" t="s">
        <v>908</v>
      </c>
      <c r="E2329" t="s">
        <v>38</v>
      </c>
      <c r="F2329" t="s">
        <v>39</v>
      </c>
      <c r="G2329" t="s">
        <v>1034</v>
      </c>
      <c r="H2329" t="s">
        <v>15</v>
      </c>
      <c r="I2329" s="1">
        <v>1</v>
      </c>
      <c r="J2329" s="2">
        <v>431.03</v>
      </c>
    </row>
    <row r="2330" spans="2:10" hidden="1" x14ac:dyDescent="0.2">
      <c r="B2330" t="s">
        <v>907</v>
      </c>
      <c r="C2330" t="s">
        <v>88</v>
      </c>
      <c r="D2330" t="s">
        <v>908</v>
      </c>
      <c r="E2330" t="s">
        <v>56</v>
      </c>
      <c r="F2330" t="s">
        <v>57</v>
      </c>
      <c r="G2330" t="s">
        <v>1034</v>
      </c>
      <c r="H2330" t="s">
        <v>15</v>
      </c>
      <c r="I2330" s="1">
        <v>1</v>
      </c>
      <c r="J2330" s="2">
        <v>431.03</v>
      </c>
    </row>
    <row r="2331" spans="2:10" hidden="1" x14ac:dyDescent="0.2">
      <c r="B2331" t="s">
        <v>907</v>
      </c>
      <c r="C2331" t="s">
        <v>88</v>
      </c>
      <c r="D2331" t="s">
        <v>908</v>
      </c>
      <c r="E2331" t="s">
        <v>63</v>
      </c>
      <c r="F2331" t="s">
        <v>64</v>
      </c>
      <c r="G2331" t="s">
        <v>1034</v>
      </c>
      <c r="H2331" t="s">
        <v>15</v>
      </c>
      <c r="I2331" s="1">
        <v>1</v>
      </c>
      <c r="J2331" s="2">
        <v>172.41</v>
      </c>
    </row>
    <row r="2332" spans="2:10" hidden="1" x14ac:dyDescent="0.2">
      <c r="B2332" t="s">
        <v>907</v>
      </c>
      <c r="C2332" t="s">
        <v>88</v>
      </c>
      <c r="D2332" t="s">
        <v>908</v>
      </c>
      <c r="E2332" t="s">
        <v>408</v>
      </c>
      <c r="F2332" t="s">
        <v>409</v>
      </c>
      <c r="G2332" t="s">
        <v>43</v>
      </c>
      <c r="H2332" t="s">
        <v>81</v>
      </c>
      <c r="I2332" s="1">
        <v>1</v>
      </c>
      <c r="J2332" s="2">
        <v>1465.52</v>
      </c>
    </row>
    <row r="2333" spans="2:10" hidden="1" x14ac:dyDescent="0.2">
      <c r="B2333" t="s">
        <v>907</v>
      </c>
      <c r="C2333" t="s">
        <v>88</v>
      </c>
      <c r="D2333" t="s">
        <v>908</v>
      </c>
      <c r="E2333" t="s">
        <v>911</v>
      </c>
      <c r="F2333" t="s">
        <v>912</v>
      </c>
      <c r="G2333" t="s">
        <v>43</v>
      </c>
      <c r="H2333" t="s">
        <v>81</v>
      </c>
      <c r="I2333" s="1">
        <v>1</v>
      </c>
      <c r="J2333" s="2">
        <v>1637.93</v>
      </c>
    </row>
    <row r="2334" spans="2:10" hidden="1" x14ac:dyDescent="0.2">
      <c r="B2334" t="s">
        <v>907</v>
      </c>
      <c r="C2334" t="s">
        <v>88</v>
      </c>
      <c r="D2334" t="s">
        <v>908</v>
      </c>
      <c r="E2334" t="s">
        <v>28</v>
      </c>
      <c r="F2334" t="s">
        <v>29</v>
      </c>
      <c r="G2334" t="s">
        <v>1033</v>
      </c>
      <c r="H2334" t="s">
        <v>30</v>
      </c>
      <c r="I2334" s="1">
        <v>1</v>
      </c>
      <c r="J2334" s="2">
        <v>155.16999999999999</v>
      </c>
    </row>
    <row r="2335" spans="2:10" hidden="1" x14ac:dyDescent="0.2">
      <c r="B2335" t="s">
        <v>907</v>
      </c>
      <c r="C2335" t="s">
        <v>117</v>
      </c>
      <c r="D2335" t="s">
        <v>908</v>
      </c>
      <c r="E2335" t="s">
        <v>318</v>
      </c>
      <c r="F2335" t="s">
        <v>319</v>
      </c>
      <c r="G2335" t="s">
        <v>1033</v>
      </c>
      <c r="H2335" t="s">
        <v>30</v>
      </c>
      <c r="I2335" s="1">
        <v>1</v>
      </c>
      <c r="J2335" s="2">
        <v>456.9</v>
      </c>
    </row>
    <row r="2336" spans="2:10" hidden="1" x14ac:dyDescent="0.2">
      <c r="B2336" t="s">
        <v>907</v>
      </c>
      <c r="C2336" t="s">
        <v>117</v>
      </c>
      <c r="D2336" t="s">
        <v>908</v>
      </c>
      <c r="E2336" t="s">
        <v>120</v>
      </c>
      <c r="F2336" t="s">
        <v>121</v>
      </c>
      <c r="G2336" t="s">
        <v>1034</v>
      </c>
      <c r="H2336" t="s">
        <v>15</v>
      </c>
      <c r="I2336" s="1">
        <v>1</v>
      </c>
      <c r="J2336" s="2">
        <v>301.72000000000003</v>
      </c>
    </row>
    <row r="2337" spans="2:10" hidden="1" x14ac:dyDescent="0.2">
      <c r="B2337" t="s">
        <v>907</v>
      </c>
      <c r="C2337" t="s">
        <v>117</v>
      </c>
      <c r="D2337" t="s">
        <v>908</v>
      </c>
      <c r="E2337" t="s">
        <v>312</v>
      </c>
      <c r="F2337" t="s">
        <v>313</v>
      </c>
      <c r="G2337" t="s">
        <v>1033</v>
      </c>
      <c r="H2337" t="s">
        <v>30</v>
      </c>
      <c r="I2337" s="1">
        <v>1</v>
      </c>
      <c r="J2337" s="2">
        <v>603.45000000000005</v>
      </c>
    </row>
    <row r="2338" spans="2:10" hidden="1" x14ac:dyDescent="0.2">
      <c r="B2338" t="s">
        <v>907</v>
      </c>
      <c r="C2338" t="s">
        <v>117</v>
      </c>
      <c r="D2338" t="s">
        <v>908</v>
      </c>
      <c r="E2338" t="s">
        <v>913</v>
      </c>
      <c r="F2338" t="s">
        <v>914</v>
      </c>
      <c r="G2338" t="s">
        <v>43</v>
      </c>
      <c r="H2338" t="s">
        <v>94</v>
      </c>
      <c r="I2338" s="1">
        <v>1</v>
      </c>
      <c r="J2338" s="2">
        <v>1991.38</v>
      </c>
    </row>
    <row r="2339" spans="2:10" hidden="1" x14ac:dyDescent="0.2">
      <c r="B2339" t="s">
        <v>907</v>
      </c>
      <c r="C2339" t="s">
        <v>117</v>
      </c>
      <c r="D2339" t="s">
        <v>908</v>
      </c>
      <c r="E2339" t="s">
        <v>895</v>
      </c>
      <c r="F2339" t="s">
        <v>896</v>
      </c>
      <c r="G2339" t="s">
        <v>1033</v>
      </c>
      <c r="H2339" t="s">
        <v>30</v>
      </c>
      <c r="I2339" s="1">
        <v>1</v>
      </c>
      <c r="J2339" s="2">
        <v>301.72000000000003</v>
      </c>
    </row>
    <row r="2340" spans="2:10" hidden="1" x14ac:dyDescent="0.2">
      <c r="B2340" t="s">
        <v>907</v>
      </c>
      <c r="C2340" t="s">
        <v>117</v>
      </c>
      <c r="D2340" t="s">
        <v>908</v>
      </c>
      <c r="E2340" t="s">
        <v>61</v>
      </c>
      <c r="F2340" t="s">
        <v>62</v>
      </c>
      <c r="G2340" t="s">
        <v>1034</v>
      </c>
      <c r="H2340" t="s">
        <v>15</v>
      </c>
      <c r="I2340" s="1">
        <v>1</v>
      </c>
      <c r="J2340" s="2">
        <v>172.41</v>
      </c>
    </row>
    <row r="2341" spans="2:10" hidden="1" x14ac:dyDescent="0.2">
      <c r="B2341" t="s">
        <v>907</v>
      </c>
      <c r="C2341" t="s">
        <v>117</v>
      </c>
      <c r="D2341" t="s">
        <v>908</v>
      </c>
      <c r="E2341" t="s">
        <v>63</v>
      </c>
      <c r="F2341" t="s">
        <v>64</v>
      </c>
      <c r="G2341" t="s">
        <v>1034</v>
      </c>
      <c r="H2341" t="s">
        <v>15</v>
      </c>
      <c r="I2341" s="1">
        <v>1</v>
      </c>
      <c r="J2341" s="2">
        <v>172.41</v>
      </c>
    </row>
    <row r="2342" spans="2:10" hidden="1" x14ac:dyDescent="0.2">
      <c r="B2342" t="s">
        <v>907</v>
      </c>
      <c r="C2342" t="s">
        <v>117</v>
      </c>
      <c r="D2342" t="s">
        <v>908</v>
      </c>
      <c r="E2342" t="s">
        <v>28</v>
      </c>
      <c r="F2342" t="s">
        <v>29</v>
      </c>
      <c r="G2342" t="s">
        <v>1033</v>
      </c>
      <c r="H2342" t="s">
        <v>30</v>
      </c>
      <c r="I2342" s="1">
        <v>1</v>
      </c>
      <c r="J2342" s="2">
        <v>155.16999999999999</v>
      </c>
    </row>
    <row r="2343" spans="2:10" hidden="1" x14ac:dyDescent="0.2">
      <c r="B2343" t="s">
        <v>907</v>
      </c>
      <c r="C2343" t="s">
        <v>129</v>
      </c>
      <c r="D2343" t="s">
        <v>908</v>
      </c>
      <c r="E2343" t="s">
        <v>238</v>
      </c>
      <c r="F2343" t="s">
        <v>239</v>
      </c>
      <c r="G2343" t="s">
        <v>1033</v>
      </c>
      <c r="H2343" t="s">
        <v>30</v>
      </c>
      <c r="I2343" s="1">
        <v>1</v>
      </c>
      <c r="J2343" s="2">
        <v>396.55</v>
      </c>
    </row>
    <row r="2344" spans="2:10" hidden="1" x14ac:dyDescent="0.2">
      <c r="B2344" t="s">
        <v>907</v>
      </c>
      <c r="C2344" t="s">
        <v>134</v>
      </c>
      <c r="D2344" t="s">
        <v>130</v>
      </c>
      <c r="E2344" t="s">
        <v>19</v>
      </c>
      <c r="F2344" t="s">
        <v>20</v>
      </c>
      <c r="G2344" t="s">
        <v>14</v>
      </c>
      <c r="H2344" t="s">
        <v>21</v>
      </c>
      <c r="I2344" s="1">
        <v>1</v>
      </c>
      <c r="J2344" s="2">
        <v>431.04</v>
      </c>
    </row>
    <row r="2345" spans="2:10" hidden="1" x14ac:dyDescent="0.2">
      <c r="B2345" t="s">
        <v>907</v>
      </c>
      <c r="C2345" t="s">
        <v>134</v>
      </c>
      <c r="D2345" t="s">
        <v>130</v>
      </c>
      <c r="E2345" t="s">
        <v>36</v>
      </c>
      <c r="F2345" t="s">
        <v>37</v>
      </c>
      <c r="G2345" t="s">
        <v>1034</v>
      </c>
      <c r="H2345" t="s">
        <v>15</v>
      </c>
      <c r="I2345" s="1">
        <v>1</v>
      </c>
      <c r="J2345" s="2">
        <v>301.72000000000003</v>
      </c>
    </row>
    <row r="2346" spans="2:10" hidden="1" x14ac:dyDescent="0.2">
      <c r="B2346" t="s">
        <v>907</v>
      </c>
      <c r="C2346" t="s">
        <v>134</v>
      </c>
      <c r="D2346" t="s">
        <v>130</v>
      </c>
      <c r="E2346" t="s">
        <v>679</v>
      </c>
      <c r="F2346" t="s">
        <v>680</v>
      </c>
      <c r="G2346" t="s">
        <v>1033</v>
      </c>
      <c r="H2346" t="s">
        <v>30</v>
      </c>
      <c r="I2346" s="1">
        <v>1</v>
      </c>
      <c r="J2346" s="2">
        <v>1293.0999999999999</v>
      </c>
    </row>
    <row r="2347" spans="2:10" hidden="1" x14ac:dyDescent="0.2">
      <c r="B2347" t="s">
        <v>907</v>
      </c>
      <c r="C2347" t="s">
        <v>134</v>
      </c>
      <c r="D2347" t="s">
        <v>130</v>
      </c>
      <c r="E2347" t="s">
        <v>131</v>
      </c>
      <c r="F2347" t="s">
        <v>132</v>
      </c>
      <c r="G2347" t="s">
        <v>43</v>
      </c>
      <c r="H2347" t="s">
        <v>133</v>
      </c>
      <c r="I2347" s="1">
        <v>1</v>
      </c>
      <c r="J2347" s="2">
        <v>2155.17</v>
      </c>
    </row>
    <row r="2348" spans="2:10" hidden="1" x14ac:dyDescent="0.2">
      <c r="B2348" t="s">
        <v>907</v>
      </c>
      <c r="C2348" t="s">
        <v>134</v>
      </c>
      <c r="D2348" t="s">
        <v>130</v>
      </c>
      <c r="E2348" t="s">
        <v>231</v>
      </c>
      <c r="F2348" t="s">
        <v>232</v>
      </c>
      <c r="G2348" t="s">
        <v>43</v>
      </c>
      <c r="H2348" t="s">
        <v>50</v>
      </c>
      <c r="I2348" s="1">
        <v>1</v>
      </c>
      <c r="J2348" s="2">
        <v>3017.24</v>
      </c>
    </row>
    <row r="2349" spans="2:10" hidden="1" x14ac:dyDescent="0.2">
      <c r="B2349" t="s">
        <v>907</v>
      </c>
      <c r="C2349" t="s">
        <v>134</v>
      </c>
      <c r="D2349" t="s">
        <v>130</v>
      </c>
      <c r="E2349" t="s">
        <v>61</v>
      </c>
      <c r="F2349" t="s">
        <v>62</v>
      </c>
      <c r="G2349" t="s">
        <v>1034</v>
      </c>
      <c r="H2349" t="s">
        <v>15</v>
      </c>
      <c r="I2349" s="1">
        <v>1</v>
      </c>
      <c r="J2349" s="2">
        <v>172.41</v>
      </c>
    </row>
    <row r="2350" spans="2:10" hidden="1" x14ac:dyDescent="0.2">
      <c r="B2350" t="s">
        <v>907</v>
      </c>
      <c r="C2350" t="s">
        <v>134</v>
      </c>
      <c r="D2350" t="s">
        <v>130</v>
      </c>
      <c r="E2350" t="s">
        <v>193</v>
      </c>
      <c r="F2350" t="s">
        <v>194</v>
      </c>
      <c r="G2350" t="s">
        <v>1034</v>
      </c>
      <c r="H2350" t="s">
        <v>15</v>
      </c>
      <c r="I2350" s="1">
        <v>1</v>
      </c>
      <c r="J2350" s="2">
        <v>1293.0999999999999</v>
      </c>
    </row>
    <row r="2351" spans="2:10" hidden="1" x14ac:dyDescent="0.2">
      <c r="B2351" t="s">
        <v>907</v>
      </c>
      <c r="C2351" t="s">
        <v>135</v>
      </c>
      <c r="D2351" t="s">
        <v>908</v>
      </c>
      <c r="E2351" t="s">
        <v>318</v>
      </c>
      <c r="F2351" t="s">
        <v>319</v>
      </c>
      <c r="G2351" t="s">
        <v>1033</v>
      </c>
      <c r="H2351" t="s">
        <v>30</v>
      </c>
      <c r="I2351" s="1">
        <v>1</v>
      </c>
      <c r="J2351" s="2">
        <v>456.9</v>
      </c>
    </row>
    <row r="2352" spans="2:10" hidden="1" x14ac:dyDescent="0.2">
      <c r="B2352" t="s">
        <v>907</v>
      </c>
      <c r="C2352" t="s">
        <v>135</v>
      </c>
      <c r="D2352" t="s">
        <v>908</v>
      </c>
      <c r="E2352" t="s">
        <v>915</v>
      </c>
      <c r="F2352" t="s">
        <v>916</v>
      </c>
      <c r="G2352" t="s">
        <v>1033</v>
      </c>
      <c r="H2352" t="s">
        <v>30</v>
      </c>
      <c r="I2352" s="1">
        <v>1</v>
      </c>
      <c r="J2352" s="2">
        <v>301.72000000000003</v>
      </c>
    </row>
    <row r="2353" spans="2:10" hidden="1" x14ac:dyDescent="0.2">
      <c r="B2353" t="s">
        <v>907</v>
      </c>
      <c r="C2353" t="s">
        <v>135</v>
      </c>
      <c r="D2353" t="s">
        <v>908</v>
      </c>
      <c r="E2353" t="s">
        <v>358</v>
      </c>
      <c r="F2353" t="s">
        <v>359</v>
      </c>
      <c r="G2353" t="s">
        <v>1033</v>
      </c>
      <c r="H2353" t="s">
        <v>30</v>
      </c>
      <c r="I2353" s="1">
        <v>1</v>
      </c>
      <c r="J2353" s="2">
        <v>1500</v>
      </c>
    </row>
    <row r="2354" spans="2:10" hidden="1" x14ac:dyDescent="0.2">
      <c r="B2354" t="s">
        <v>907</v>
      </c>
      <c r="C2354" t="s">
        <v>135</v>
      </c>
      <c r="D2354" t="s">
        <v>908</v>
      </c>
      <c r="E2354" t="s">
        <v>255</v>
      </c>
      <c r="F2354" t="s">
        <v>256</v>
      </c>
      <c r="G2354" t="s">
        <v>1033</v>
      </c>
      <c r="H2354" t="s">
        <v>30</v>
      </c>
      <c r="I2354" s="1">
        <v>1</v>
      </c>
      <c r="J2354" s="2">
        <v>517.24</v>
      </c>
    </row>
    <row r="2355" spans="2:10" hidden="1" x14ac:dyDescent="0.2">
      <c r="B2355" t="s">
        <v>907</v>
      </c>
      <c r="C2355" t="s">
        <v>135</v>
      </c>
      <c r="D2355" t="s">
        <v>908</v>
      </c>
      <c r="E2355" t="s">
        <v>126</v>
      </c>
      <c r="F2355" t="s">
        <v>127</v>
      </c>
      <c r="G2355" t="s">
        <v>43</v>
      </c>
      <c r="H2355" t="s">
        <v>128</v>
      </c>
      <c r="I2355" s="1">
        <v>1</v>
      </c>
      <c r="J2355" s="2">
        <v>2068.9699999999998</v>
      </c>
    </row>
    <row r="2356" spans="2:10" hidden="1" x14ac:dyDescent="0.2">
      <c r="B2356" t="s">
        <v>907</v>
      </c>
      <c r="C2356" t="s">
        <v>141</v>
      </c>
      <c r="D2356" t="s">
        <v>908</v>
      </c>
      <c r="E2356" t="s">
        <v>318</v>
      </c>
      <c r="F2356" t="s">
        <v>319</v>
      </c>
      <c r="G2356" t="s">
        <v>1033</v>
      </c>
      <c r="H2356" t="s">
        <v>30</v>
      </c>
      <c r="I2356" s="1">
        <v>1</v>
      </c>
      <c r="J2356" s="2">
        <v>456.9</v>
      </c>
    </row>
    <row r="2357" spans="2:10" hidden="1" x14ac:dyDescent="0.2">
      <c r="B2357" t="s">
        <v>907</v>
      </c>
      <c r="C2357" t="s">
        <v>141</v>
      </c>
      <c r="D2357" t="s">
        <v>908</v>
      </c>
      <c r="E2357" t="s">
        <v>883</v>
      </c>
      <c r="F2357" t="s">
        <v>884</v>
      </c>
      <c r="G2357" t="s">
        <v>1033</v>
      </c>
      <c r="H2357" t="s">
        <v>30</v>
      </c>
      <c r="I2357" s="1">
        <v>1</v>
      </c>
      <c r="J2357" s="2">
        <v>1551.72</v>
      </c>
    </row>
    <row r="2358" spans="2:10" hidden="1" x14ac:dyDescent="0.2">
      <c r="B2358" t="s">
        <v>907</v>
      </c>
      <c r="C2358" t="s">
        <v>141</v>
      </c>
      <c r="D2358" t="s">
        <v>908</v>
      </c>
      <c r="E2358" t="s">
        <v>559</v>
      </c>
      <c r="F2358" t="s">
        <v>560</v>
      </c>
      <c r="G2358" t="s">
        <v>1033</v>
      </c>
      <c r="H2358" t="s">
        <v>30</v>
      </c>
      <c r="I2358" s="1">
        <v>1</v>
      </c>
      <c r="J2358" s="2">
        <v>1706.9</v>
      </c>
    </row>
    <row r="2359" spans="2:10" hidden="1" x14ac:dyDescent="0.2">
      <c r="B2359" t="s">
        <v>907</v>
      </c>
      <c r="C2359" t="s">
        <v>141</v>
      </c>
      <c r="D2359" t="s">
        <v>908</v>
      </c>
      <c r="E2359" t="s">
        <v>120</v>
      </c>
      <c r="F2359" t="s">
        <v>121</v>
      </c>
      <c r="G2359" t="s">
        <v>1034</v>
      </c>
      <c r="H2359" t="s">
        <v>15</v>
      </c>
      <c r="I2359" s="1">
        <v>1</v>
      </c>
      <c r="J2359" s="2">
        <v>301.72000000000003</v>
      </c>
    </row>
    <row r="2360" spans="2:10" hidden="1" x14ac:dyDescent="0.2">
      <c r="B2360" t="s">
        <v>907</v>
      </c>
      <c r="C2360" t="s">
        <v>141</v>
      </c>
      <c r="D2360" t="s">
        <v>908</v>
      </c>
      <c r="E2360" t="s">
        <v>36</v>
      </c>
      <c r="F2360" t="s">
        <v>37</v>
      </c>
      <c r="G2360" t="s">
        <v>1034</v>
      </c>
      <c r="H2360" t="s">
        <v>15</v>
      </c>
      <c r="I2360" s="1">
        <v>1</v>
      </c>
      <c r="J2360" s="2">
        <v>301.72000000000003</v>
      </c>
    </row>
    <row r="2361" spans="2:10" hidden="1" x14ac:dyDescent="0.2">
      <c r="B2361" t="s">
        <v>907</v>
      </c>
      <c r="C2361" t="s">
        <v>141</v>
      </c>
      <c r="D2361" t="s">
        <v>908</v>
      </c>
      <c r="E2361" t="s">
        <v>56</v>
      </c>
      <c r="F2361" t="s">
        <v>57</v>
      </c>
      <c r="G2361" t="s">
        <v>1034</v>
      </c>
      <c r="H2361" t="s">
        <v>15</v>
      </c>
      <c r="I2361" s="1">
        <v>1</v>
      </c>
      <c r="J2361" s="2">
        <v>431.03</v>
      </c>
    </row>
    <row r="2362" spans="2:10" hidden="1" x14ac:dyDescent="0.2">
      <c r="B2362" t="s">
        <v>907</v>
      </c>
      <c r="C2362" t="s">
        <v>141</v>
      </c>
      <c r="D2362" t="s">
        <v>908</v>
      </c>
      <c r="E2362" t="s">
        <v>63</v>
      </c>
      <c r="F2362" t="s">
        <v>64</v>
      </c>
      <c r="G2362" t="s">
        <v>1034</v>
      </c>
      <c r="H2362" t="s">
        <v>15</v>
      </c>
      <c r="I2362" s="1">
        <v>1</v>
      </c>
      <c r="J2362" s="2">
        <v>172.41</v>
      </c>
    </row>
    <row r="2363" spans="2:10" hidden="1" x14ac:dyDescent="0.2">
      <c r="B2363" t="s">
        <v>907</v>
      </c>
      <c r="C2363" t="s">
        <v>141</v>
      </c>
      <c r="D2363" t="s">
        <v>908</v>
      </c>
      <c r="E2363" t="s">
        <v>472</v>
      </c>
      <c r="F2363" t="s">
        <v>473</v>
      </c>
      <c r="G2363" t="s">
        <v>14</v>
      </c>
      <c r="H2363" t="s">
        <v>200</v>
      </c>
      <c r="I2363" s="1">
        <v>1</v>
      </c>
      <c r="J2363" s="2">
        <v>517.24</v>
      </c>
    </row>
    <row r="2364" spans="2:10" hidden="1" x14ac:dyDescent="0.2">
      <c r="B2364" t="s">
        <v>907</v>
      </c>
      <c r="C2364" t="s">
        <v>141</v>
      </c>
      <c r="D2364" t="s">
        <v>908</v>
      </c>
      <c r="E2364" t="s">
        <v>484</v>
      </c>
      <c r="F2364" t="s">
        <v>485</v>
      </c>
      <c r="G2364" t="s">
        <v>1033</v>
      </c>
      <c r="H2364" t="s">
        <v>30</v>
      </c>
      <c r="I2364" s="1">
        <v>1</v>
      </c>
      <c r="J2364" s="2">
        <v>2163.79</v>
      </c>
    </row>
    <row r="2365" spans="2:10" hidden="1" x14ac:dyDescent="0.2">
      <c r="B2365" t="s">
        <v>907</v>
      </c>
      <c r="C2365" t="s">
        <v>144</v>
      </c>
      <c r="D2365" t="s">
        <v>908</v>
      </c>
      <c r="E2365" t="s">
        <v>804</v>
      </c>
      <c r="F2365" t="s">
        <v>805</v>
      </c>
      <c r="G2365" t="s">
        <v>1033</v>
      </c>
      <c r="H2365" t="s">
        <v>30</v>
      </c>
      <c r="I2365" s="1">
        <v>1</v>
      </c>
      <c r="J2365" s="2">
        <v>137.93</v>
      </c>
    </row>
    <row r="2366" spans="2:10" hidden="1" x14ac:dyDescent="0.2">
      <c r="B2366" t="s">
        <v>907</v>
      </c>
      <c r="C2366" t="s">
        <v>144</v>
      </c>
      <c r="D2366" t="s">
        <v>908</v>
      </c>
      <c r="E2366" t="s">
        <v>731</v>
      </c>
      <c r="F2366" t="s">
        <v>732</v>
      </c>
      <c r="G2366" t="s">
        <v>14</v>
      </c>
      <c r="H2366" t="s">
        <v>27</v>
      </c>
      <c r="I2366" s="1">
        <v>1</v>
      </c>
      <c r="J2366" s="2">
        <v>413.79</v>
      </c>
    </row>
    <row r="2367" spans="2:10" hidden="1" x14ac:dyDescent="0.2">
      <c r="B2367" t="s">
        <v>907</v>
      </c>
      <c r="C2367" t="s">
        <v>144</v>
      </c>
      <c r="D2367" t="s">
        <v>908</v>
      </c>
      <c r="E2367" t="s">
        <v>336</v>
      </c>
      <c r="F2367" t="s">
        <v>337</v>
      </c>
      <c r="G2367" t="s">
        <v>1034</v>
      </c>
      <c r="H2367" t="s">
        <v>15</v>
      </c>
      <c r="I2367" s="1">
        <v>1</v>
      </c>
      <c r="J2367" s="2">
        <v>387.93</v>
      </c>
    </row>
    <row r="2368" spans="2:10" hidden="1" x14ac:dyDescent="0.2">
      <c r="B2368" t="s">
        <v>907</v>
      </c>
      <c r="C2368" t="s">
        <v>144</v>
      </c>
      <c r="D2368" t="s">
        <v>908</v>
      </c>
      <c r="E2368" t="s">
        <v>38</v>
      </c>
      <c r="F2368" t="s">
        <v>39</v>
      </c>
      <c r="G2368" t="s">
        <v>1034</v>
      </c>
      <c r="H2368" t="s">
        <v>15</v>
      </c>
      <c r="I2368" s="1">
        <v>1</v>
      </c>
      <c r="J2368" s="2">
        <v>431.03</v>
      </c>
    </row>
    <row r="2369" spans="2:10" hidden="1" x14ac:dyDescent="0.2">
      <c r="B2369" t="s">
        <v>907</v>
      </c>
      <c r="C2369" t="s">
        <v>144</v>
      </c>
      <c r="D2369" t="s">
        <v>908</v>
      </c>
      <c r="E2369" t="s">
        <v>273</v>
      </c>
      <c r="F2369" t="s">
        <v>274</v>
      </c>
      <c r="G2369" t="s">
        <v>1033</v>
      </c>
      <c r="H2369" t="s">
        <v>30</v>
      </c>
      <c r="I2369" s="1">
        <v>1</v>
      </c>
      <c r="J2369" s="2">
        <v>1293.0999999999999</v>
      </c>
    </row>
    <row r="2370" spans="2:10" hidden="1" x14ac:dyDescent="0.2">
      <c r="B2370" t="s">
        <v>907</v>
      </c>
      <c r="C2370" t="s">
        <v>144</v>
      </c>
      <c r="D2370" t="s">
        <v>908</v>
      </c>
      <c r="E2370" t="s">
        <v>126</v>
      </c>
      <c r="F2370" t="s">
        <v>127</v>
      </c>
      <c r="G2370" t="s">
        <v>43</v>
      </c>
      <c r="H2370" t="s">
        <v>128</v>
      </c>
      <c r="I2370" s="1">
        <v>1</v>
      </c>
      <c r="J2370" s="2">
        <v>2068.9699999999998</v>
      </c>
    </row>
    <row r="2371" spans="2:10" hidden="1" x14ac:dyDescent="0.2">
      <c r="B2371" t="s">
        <v>907</v>
      </c>
      <c r="C2371" t="s">
        <v>144</v>
      </c>
      <c r="D2371" t="s">
        <v>908</v>
      </c>
      <c r="E2371" t="s">
        <v>28</v>
      </c>
      <c r="F2371" t="s">
        <v>29</v>
      </c>
      <c r="G2371" t="s">
        <v>1033</v>
      </c>
      <c r="H2371" t="s">
        <v>30</v>
      </c>
      <c r="I2371" s="1">
        <v>1</v>
      </c>
      <c r="J2371" s="2">
        <v>155.16999999999999</v>
      </c>
    </row>
    <row r="2372" spans="2:10" hidden="1" x14ac:dyDescent="0.2">
      <c r="B2372" t="s">
        <v>907</v>
      </c>
      <c r="C2372" t="s">
        <v>165</v>
      </c>
      <c r="D2372" t="s">
        <v>130</v>
      </c>
      <c r="E2372" t="s">
        <v>318</v>
      </c>
      <c r="F2372" t="s">
        <v>319</v>
      </c>
      <c r="G2372" t="s">
        <v>1033</v>
      </c>
      <c r="H2372" t="s">
        <v>30</v>
      </c>
      <c r="I2372" s="1">
        <v>1</v>
      </c>
      <c r="J2372" s="2">
        <v>456.9</v>
      </c>
    </row>
    <row r="2373" spans="2:10" hidden="1" x14ac:dyDescent="0.2">
      <c r="B2373" t="s">
        <v>907</v>
      </c>
      <c r="C2373" t="s">
        <v>165</v>
      </c>
      <c r="D2373" t="s">
        <v>130</v>
      </c>
      <c r="E2373" t="s">
        <v>419</v>
      </c>
      <c r="F2373" t="s">
        <v>420</v>
      </c>
      <c r="G2373" t="s">
        <v>14</v>
      </c>
      <c r="H2373" t="s">
        <v>35</v>
      </c>
      <c r="I2373" s="1">
        <v>2</v>
      </c>
      <c r="J2373" s="2">
        <v>155.18</v>
      </c>
    </row>
    <row r="2374" spans="2:10" hidden="1" x14ac:dyDescent="0.2">
      <c r="B2374" t="s">
        <v>907</v>
      </c>
      <c r="C2374" t="s">
        <v>165</v>
      </c>
      <c r="D2374" t="s">
        <v>130</v>
      </c>
      <c r="E2374" t="s">
        <v>505</v>
      </c>
      <c r="F2374" t="s">
        <v>506</v>
      </c>
      <c r="G2374" t="s">
        <v>1033</v>
      </c>
      <c r="H2374" t="s">
        <v>30</v>
      </c>
      <c r="I2374" s="1">
        <v>1</v>
      </c>
      <c r="J2374" s="2">
        <v>775.86</v>
      </c>
    </row>
    <row r="2375" spans="2:10" hidden="1" x14ac:dyDescent="0.2">
      <c r="B2375" t="s">
        <v>907</v>
      </c>
      <c r="C2375" t="s">
        <v>165</v>
      </c>
      <c r="D2375" t="s">
        <v>130</v>
      </c>
      <c r="E2375" t="s">
        <v>36</v>
      </c>
      <c r="F2375" t="s">
        <v>37</v>
      </c>
      <c r="G2375" t="s">
        <v>1034</v>
      </c>
      <c r="H2375" t="s">
        <v>15</v>
      </c>
      <c r="I2375" s="1">
        <v>1</v>
      </c>
      <c r="J2375" s="2">
        <v>301.72000000000003</v>
      </c>
    </row>
    <row r="2376" spans="2:10" hidden="1" x14ac:dyDescent="0.2">
      <c r="B2376" t="s">
        <v>907</v>
      </c>
      <c r="C2376" t="s">
        <v>165</v>
      </c>
      <c r="D2376" t="s">
        <v>130</v>
      </c>
      <c r="E2376" t="s">
        <v>38</v>
      </c>
      <c r="F2376" t="s">
        <v>39</v>
      </c>
      <c r="G2376" t="s">
        <v>1034</v>
      </c>
      <c r="H2376" t="s">
        <v>15</v>
      </c>
      <c r="I2376" s="1">
        <v>1</v>
      </c>
      <c r="J2376" s="2">
        <v>431.03</v>
      </c>
    </row>
    <row r="2377" spans="2:10" hidden="1" x14ac:dyDescent="0.2">
      <c r="B2377" t="s">
        <v>907</v>
      </c>
      <c r="C2377" t="s">
        <v>165</v>
      </c>
      <c r="D2377" t="s">
        <v>130</v>
      </c>
      <c r="E2377" t="s">
        <v>56</v>
      </c>
      <c r="F2377" t="s">
        <v>57</v>
      </c>
      <c r="G2377" t="s">
        <v>1034</v>
      </c>
      <c r="H2377" t="s">
        <v>15</v>
      </c>
      <c r="I2377" s="1">
        <v>1</v>
      </c>
      <c r="J2377" s="2">
        <v>431.03</v>
      </c>
    </row>
    <row r="2378" spans="2:10" hidden="1" x14ac:dyDescent="0.2">
      <c r="B2378" t="s">
        <v>907</v>
      </c>
      <c r="C2378" t="s">
        <v>166</v>
      </c>
      <c r="D2378" t="s">
        <v>908</v>
      </c>
      <c r="E2378" t="s">
        <v>44</v>
      </c>
      <c r="F2378" t="s">
        <v>45</v>
      </c>
      <c r="G2378" t="s">
        <v>1033</v>
      </c>
      <c r="H2378" t="s">
        <v>30</v>
      </c>
      <c r="I2378" s="1">
        <v>1</v>
      </c>
      <c r="J2378" s="2">
        <v>81.900000000000006</v>
      </c>
    </row>
    <row r="2379" spans="2:10" hidden="1" x14ac:dyDescent="0.2">
      <c r="B2379" t="s">
        <v>907</v>
      </c>
      <c r="C2379" t="s">
        <v>166</v>
      </c>
      <c r="D2379" t="s">
        <v>908</v>
      </c>
      <c r="E2379" t="s">
        <v>36</v>
      </c>
      <c r="F2379" t="s">
        <v>37</v>
      </c>
      <c r="G2379" t="s">
        <v>1034</v>
      </c>
      <c r="H2379" t="s">
        <v>15</v>
      </c>
      <c r="I2379" s="1">
        <v>1</v>
      </c>
      <c r="J2379" s="2">
        <v>301.72000000000003</v>
      </c>
    </row>
    <row r="2380" spans="2:10" hidden="1" x14ac:dyDescent="0.2">
      <c r="B2380" t="s">
        <v>907</v>
      </c>
      <c r="C2380" t="s">
        <v>166</v>
      </c>
      <c r="D2380" t="s">
        <v>908</v>
      </c>
      <c r="E2380" t="s">
        <v>74</v>
      </c>
      <c r="F2380" t="s">
        <v>75</v>
      </c>
      <c r="G2380" t="s">
        <v>76</v>
      </c>
      <c r="H2380" t="s">
        <v>60</v>
      </c>
      <c r="I2380" s="1">
        <v>1</v>
      </c>
      <c r="J2380" s="2">
        <v>344.83</v>
      </c>
    </row>
    <row r="2381" spans="2:10" hidden="1" x14ac:dyDescent="0.2">
      <c r="B2381" t="s">
        <v>907</v>
      </c>
      <c r="C2381" t="s">
        <v>166</v>
      </c>
      <c r="D2381" t="s">
        <v>908</v>
      </c>
      <c r="E2381" t="s">
        <v>61</v>
      </c>
      <c r="F2381" t="s">
        <v>62</v>
      </c>
      <c r="G2381" t="s">
        <v>1034</v>
      </c>
      <c r="H2381" t="s">
        <v>15</v>
      </c>
      <c r="I2381" s="1">
        <v>1</v>
      </c>
      <c r="J2381" s="2">
        <v>172.41</v>
      </c>
    </row>
    <row r="2382" spans="2:10" hidden="1" x14ac:dyDescent="0.2">
      <c r="B2382" t="s">
        <v>907</v>
      </c>
      <c r="C2382" t="s">
        <v>166</v>
      </c>
      <c r="D2382" t="s">
        <v>908</v>
      </c>
      <c r="E2382" t="s">
        <v>63</v>
      </c>
      <c r="F2382" t="s">
        <v>64</v>
      </c>
      <c r="G2382" t="s">
        <v>1034</v>
      </c>
      <c r="H2382" t="s">
        <v>15</v>
      </c>
      <c r="I2382" s="1">
        <v>1</v>
      </c>
      <c r="J2382" s="2">
        <v>172.41</v>
      </c>
    </row>
    <row r="2383" spans="2:10" hidden="1" x14ac:dyDescent="0.2">
      <c r="B2383" t="s">
        <v>907</v>
      </c>
      <c r="C2383" t="s">
        <v>166</v>
      </c>
      <c r="D2383" t="s">
        <v>908</v>
      </c>
      <c r="E2383" t="s">
        <v>16</v>
      </c>
      <c r="F2383" t="s">
        <v>17</v>
      </c>
      <c r="G2383" t="s">
        <v>1034</v>
      </c>
      <c r="H2383" t="s">
        <v>15</v>
      </c>
      <c r="I2383" s="1">
        <v>1</v>
      </c>
      <c r="J2383" s="2">
        <v>577.59</v>
      </c>
    </row>
    <row r="2384" spans="2:10" hidden="1" x14ac:dyDescent="0.2">
      <c r="B2384" t="s">
        <v>907</v>
      </c>
      <c r="C2384" t="s">
        <v>185</v>
      </c>
      <c r="D2384" t="s">
        <v>908</v>
      </c>
      <c r="E2384" t="s">
        <v>41</v>
      </c>
      <c r="F2384" t="s">
        <v>42</v>
      </c>
      <c r="G2384" t="s">
        <v>1033</v>
      </c>
      <c r="H2384" t="s">
        <v>30</v>
      </c>
      <c r="I2384" s="1">
        <v>2</v>
      </c>
      <c r="J2384" s="2">
        <v>68.97</v>
      </c>
    </row>
    <row r="2385" spans="2:10" hidden="1" x14ac:dyDescent="0.2">
      <c r="B2385" t="s">
        <v>907</v>
      </c>
      <c r="C2385" t="s">
        <v>185</v>
      </c>
      <c r="D2385" t="s">
        <v>908</v>
      </c>
      <c r="E2385" t="s">
        <v>19</v>
      </c>
      <c r="F2385" t="s">
        <v>20</v>
      </c>
      <c r="G2385" t="s">
        <v>14</v>
      </c>
      <c r="H2385" t="s">
        <v>21</v>
      </c>
      <c r="I2385" s="1">
        <v>1</v>
      </c>
      <c r="J2385" s="2">
        <v>431.04</v>
      </c>
    </row>
    <row r="2386" spans="2:10" hidden="1" x14ac:dyDescent="0.2">
      <c r="B2386" t="s">
        <v>907</v>
      </c>
      <c r="C2386" t="s">
        <v>185</v>
      </c>
      <c r="D2386" t="s">
        <v>908</v>
      </c>
      <c r="E2386" t="s">
        <v>46</v>
      </c>
      <c r="F2386" t="s">
        <v>47</v>
      </c>
      <c r="G2386" t="s">
        <v>1034</v>
      </c>
      <c r="H2386" t="s">
        <v>15</v>
      </c>
      <c r="I2386" s="1">
        <v>1</v>
      </c>
      <c r="J2386" s="2">
        <v>301.72000000000003</v>
      </c>
    </row>
    <row r="2387" spans="2:10" hidden="1" x14ac:dyDescent="0.2">
      <c r="B2387" t="s">
        <v>907</v>
      </c>
      <c r="C2387" t="s">
        <v>185</v>
      </c>
      <c r="D2387" t="s">
        <v>908</v>
      </c>
      <c r="E2387" t="s">
        <v>36</v>
      </c>
      <c r="F2387" t="s">
        <v>37</v>
      </c>
      <c r="G2387" t="s">
        <v>1034</v>
      </c>
      <c r="H2387" t="s">
        <v>15</v>
      </c>
      <c r="I2387" s="1">
        <v>1</v>
      </c>
      <c r="J2387" s="2">
        <v>301.72000000000003</v>
      </c>
    </row>
    <row r="2388" spans="2:10" hidden="1" x14ac:dyDescent="0.2">
      <c r="B2388" t="s">
        <v>907</v>
      </c>
      <c r="C2388" t="s">
        <v>185</v>
      </c>
      <c r="D2388" t="s">
        <v>908</v>
      </c>
      <c r="E2388" t="s">
        <v>336</v>
      </c>
      <c r="F2388" t="s">
        <v>337</v>
      </c>
      <c r="G2388" t="s">
        <v>1034</v>
      </c>
      <c r="H2388" t="s">
        <v>15</v>
      </c>
      <c r="I2388" s="1">
        <v>1</v>
      </c>
      <c r="J2388" s="2">
        <v>387.93</v>
      </c>
    </row>
    <row r="2389" spans="2:10" hidden="1" x14ac:dyDescent="0.2">
      <c r="B2389" t="s">
        <v>907</v>
      </c>
      <c r="C2389" t="s">
        <v>185</v>
      </c>
      <c r="D2389" t="s">
        <v>908</v>
      </c>
      <c r="E2389" t="s">
        <v>153</v>
      </c>
      <c r="F2389" t="s">
        <v>154</v>
      </c>
      <c r="G2389" t="s">
        <v>1034</v>
      </c>
      <c r="H2389" t="s">
        <v>15</v>
      </c>
      <c r="I2389" s="1">
        <v>1</v>
      </c>
      <c r="J2389" s="2">
        <v>387.93</v>
      </c>
    </row>
    <row r="2390" spans="2:10" hidden="1" x14ac:dyDescent="0.2">
      <c r="B2390" t="s">
        <v>907</v>
      </c>
      <c r="C2390" t="s">
        <v>185</v>
      </c>
      <c r="D2390" t="s">
        <v>908</v>
      </c>
      <c r="E2390" t="s">
        <v>312</v>
      </c>
      <c r="F2390" t="s">
        <v>313</v>
      </c>
      <c r="G2390" t="s">
        <v>1033</v>
      </c>
      <c r="H2390" t="s">
        <v>30</v>
      </c>
      <c r="I2390" s="1">
        <v>1</v>
      </c>
      <c r="J2390" s="2">
        <v>603.45000000000005</v>
      </c>
    </row>
    <row r="2391" spans="2:10" hidden="1" x14ac:dyDescent="0.2">
      <c r="B2391" t="s">
        <v>907</v>
      </c>
      <c r="C2391" t="s">
        <v>185</v>
      </c>
      <c r="D2391" t="s">
        <v>908</v>
      </c>
      <c r="E2391" t="s">
        <v>63</v>
      </c>
      <c r="F2391" t="s">
        <v>64</v>
      </c>
      <c r="G2391" t="s">
        <v>1034</v>
      </c>
      <c r="H2391" t="s">
        <v>15</v>
      </c>
      <c r="I2391" s="1">
        <v>1</v>
      </c>
      <c r="J2391" s="2">
        <v>172.41</v>
      </c>
    </row>
    <row r="2392" spans="2:10" hidden="1" x14ac:dyDescent="0.2">
      <c r="B2392" t="s">
        <v>907</v>
      </c>
      <c r="C2392" t="s">
        <v>185</v>
      </c>
      <c r="D2392" t="s">
        <v>908</v>
      </c>
      <c r="E2392" t="s">
        <v>762</v>
      </c>
      <c r="F2392" t="s">
        <v>763</v>
      </c>
      <c r="G2392" t="s">
        <v>1033</v>
      </c>
      <c r="H2392" t="s">
        <v>30</v>
      </c>
      <c r="I2392" s="1">
        <v>1</v>
      </c>
      <c r="J2392" s="2">
        <v>2396.5500000000002</v>
      </c>
    </row>
    <row r="2393" spans="2:10" hidden="1" x14ac:dyDescent="0.2">
      <c r="B2393" t="s">
        <v>907</v>
      </c>
      <c r="C2393" t="s">
        <v>335</v>
      </c>
      <c r="D2393" t="s">
        <v>908</v>
      </c>
      <c r="E2393" t="s">
        <v>917</v>
      </c>
      <c r="F2393" t="s">
        <v>918</v>
      </c>
      <c r="G2393" t="s">
        <v>1033</v>
      </c>
      <c r="H2393" t="s">
        <v>30</v>
      </c>
      <c r="I2393" s="1">
        <v>2</v>
      </c>
      <c r="J2393" s="2">
        <v>2258.62</v>
      </c>
    </row>
    <row r="2394" spans="2:10" hidden="1" x14ac:dyDescent="0.2">
      <c r="B2394" t="s">
        <v>907</v>
      </c>
      <c r="C2394" t="s">
        <v>335</v>
      </c>
      <c r="D2394" t="s">
        <v>908</v>
      </c>
      <c r="E2394" t="s">
        <v>214</v>
      </c>
      <c r="F2394" t="s">
        <v>215</v>
      </c>
      <c r="G2394" t="s">
        <v>1034</v>
      </c>
      <c r="H2394" t="s">
        <v>15</v>
      </c>
      <c r="I2394" s="1">
        <v>1</v>
      </c>
      <c r="J2394" s="2">
        <v>301.72000000000003</v>
      </c>
    </row>
    <row r="2395" spans="2:10" hidden="1" x14ac:dyDescent="0.2">
      <c r="B2395" t="s">
        <v>907</v>
      </c>
      <c r="C2395" t="s">
        <v>335</v>
      </c>
      <c r="D2395" t="s">
        <v>908</v>
      </c>
      <c r="E2395" t="s">
        <v>36</v>
      </c>
      <c r="F2395" t="s">
        <v>37</v>
      </c>
      <c r="G2395" t="s">
        <v>1034</v>
      </c>
      <c r="H2395" t="s">
        <v>15</v>
      </c>
      <c r="I2395" s="1">
        <v>1</v>
      </c>
      <c r="J2395" s="2">
        <v>301.72000000000003</v>
      </c>
    </row>
    <row r="2396" spans="2:10" hidden="1" x14ac:dyDescent="0.2">
      <c r="B2396" t="s">
        <v>907</v>
      </c>
      <c r="C2396" t="s">
        <v>335</v>
      </c>
      <c r="D2396" t="s">
        <v>908</v>
      </c>
      <c r="E2396" t="s">
        <v>255</v>
      </c>
      <c r="F2396" t="s">
        <v>256</v>
      </c>
      <c r="G2396" t="s">
        <v>1033</v>
      </c>
      <c r="H2396" t="s">
        <v>30</v>
      </c>
      <c r="I2396" s="1">
        <v>1</v>
      </c>
      <c r="J2396" s="2">
        <v>517.24</v>
      </c>
    </row>
    <row r="2397" spans="2:10" hidden="1" x14ac:dyDescent="0.2">
      <c r="B2397" t="s">
        <v>907</v>
      </c>
      <c r="C2397" t="s">
        <v>335</v>
      </c>
      <c r="D2397" t="s">
        <v>908</v>
      </c>
      <c r="E2397" t="s">
        <v>61</v>
      </c>
      <c r="F2397" t="s">
        <v>62</v>
      </c>
      <c r="G2397" t="s">
        <v>1034</v>
      </c>
      <c r="H2397" t="s">
        <v>15</v>
      </c>
      <c r="I2397" s="1">
        <v>1</v>
      </c>
      <c r="J2397" s="2">
        <v>172.41</v>
      </c>
    </row>
    <row r="2398" spans="2:10" hidden="1" x14ac:dyDescent="0.2">
      <c r="B2398" t="s">
        <v>907</v>
      </c>
      <c r="C2398" t="s">
        <v>418</v>
      </c>
      <c r="D2398" t="s">
        <v>908</v>
      </c>
      <c r="E2398" t="s">
        <v>590</v>
      </c>
      <c r="F2398" t="s">
        <v>591</v>
      </c>
      <c r="G2398" t="s">
        <v>14</v>
      </c>
      <c r="H2398" t="s">
        <v>35</v>
      </c>
      <c r="I2398" s="1">
        <v>1</v>
      </c>
      <c r="J2398" s="2">
        <v>77.59</v>
      </c>
    </row>
    <row r="2399" spans="2:10" hidden="1" x14ac:dyDescent="0.2">
      <c r="B2399" t="s">
        <v>907</v>
      </c>
      <c r="C2399" t="s">
        <v>418</v>
      </c>
      <c r="D2399" t="s">
        <v>908</v>
      </c>
      <c r="E2399" t="s">
        <v>214</v>
      </c>
      <c r="F2399" t="s">
        <v>215</v>
      </c>
      <c r="G2399" t="s">
        <v>1034</v>
      </c>
      <c r="H2399" t="s">
        <v>15</v>
      </c>
      <c r="I2399" s="1">
        <v>2</v>
      </c>
      <c r="J2399" s="2">
        <v>603.44000000000005</v>
      </c>
    </row>
    <row r="2400" spans="2:10" hidden="1" x14ac:dyDescent="0.2">
      <c r="B2400" t="s">
        <v>907</v>
      </c>
      <c r="C2400" t="s">
        <v>418</v>
      </c>
      <c r="D2400" t="s">
        <v>908</v>
      </c>
      <c r="E2400" t="s">
        <v>408</v>
      </c>
      <c r="F2400" t="s">
        <v>409</v>
      </c>
      <c r="G2400" t="s">
        <v>43</v>
      </c>
      <c r="H2400" t="s">
        <v>81</v>
      </c>
      <c r="I2400" s="1">
        <v>1</v>
      </c>
      <c r="J2400" s="2">
        <v>1465.52</v>
      </c>
    </row>
    <row r="2401" spans="2:10" hidden="1" x14ac:dyDescent="0.2">
      <c r="B2401" t="s">
        <v>907</v>
      </c>
      <c r="C2401" t="s">
        <v>186</v>
      </c>
      <c r="D2401" t="s">
        <v>130</v>
      </c>
      <c r="E2401" t="s">
        <v>318</v>
      </c>
      <c r="F2401" t="s">
        <v>319</v>
      </c>
      <c r="G2401" t="s">
        <v>1033</v>
      </c>
      <c r="H2401" t="s">
        <v>30</v>
      </c>
      <c r="I2401" s="1">
        <v>1</v>
      </c>
      <c r="J2401" s="2">
        <v>456.9</v>
      </c>
    </row>
    <row r="2402" spans="2:10" hidden="1" x14ac:dyDescent="0.2">
      <c r="B2402" t="s">
        <v>907</v>
      </c>
      <c r="C2402" t="s">
        <v>186</v>
      </c>
      <c r="D2402" t="s">
        <v>130</v>
      </c>
      <c r="E2402" t="s">
        <v>142</v>
      </c>
      <c r="F2402" t="s">
        <v>143</v>
      </c>
      <c r="G2402" t="s">
        <v>43</v>
      </c>
      <c r="H2402" t="s">
        <v>50</v>
      </c>
      <c r="I2402" s="1">
        <v>1</v>
      </c>
      <c r="J2402" s="2">
        <v>2155.17</v>
      </c>
    </row>
    <row r="2403" spans="2:10" hidden="1" x14ac:dyDescent="0.2">
      <c r="B2403" t="s">
        <v>907</v>
      </c>
      <c r="C2403" t="s">
        <v>186</v>
      </c>
      <c r="D2403" t="s">
        <v>130</v>
      </c>
      <c r="E2403" t="s">
        <v>46</v>
      </c>
      <c r="F2403" t="s">
        <v>47</v>
      </c>
      <c r="G2403" t="s">
        <v>1034</v>
      </c>
      <c r="H2403" t="s">
        <v>15</v>
      </c>
      <c r="I2403" s="1">
        <v>1</v>
      </c>
      <c r="J2403" s="2">
        <v>301.72000000000003</v>
      </c>
    </row>
    <row r="2404" spans="2:10" hidden="1" x14ac:dyDescent="0.2">
      <c r="B2404" t="s">
        <v>907</v>
      </c>
      <c r="C2404" t="s">
        <v>186</v>
      </c>
      <c r="D2404" t="s">
        <v>130</v>
      </c>
      <c r="E2404" t="s">
        <v>919</v>
      </c>
      <c r="F2404" t="s">
        <v>920</v>
      </c>
      <c r="G2404" t="s">
        <v>284</v>
      </c>
      <c r="H2404" t="s">
        <v>205</v>
      </c>
      <c r="I2404" s="1">
        <v>1</v>
      </c>
      <c r="J2404" s="2">
        <v>1047.4100000000001</v>
      </c>
    </row>
    <row r="2405" spans="2:10" hidden="1" x14ac:dyDescent="0.2">
      <c r="B2405" t="s">
        <v>907</v>
      </c>
      <c r="C2405" t="s">
        <v>186</v>
      </c>
      <c r="D2405" t="s">
        <v>130</v>
      </c>
      <c r="E2405" t="s">
        <v>72</v>
      </c>
      <c r="F2405" t="s">
        <v>73</v>
      </c>
      <c r="G2405" t="s">
        <v>1034</v>
      </c>
      <c r="H2405" t="s">
        <v>15</v>
      </c>
      <c r="I2405" s="1">
        <v>2</v>
      </c>
      <c r="J2405" s="2">
        <v>1551.72</v>
      </c>
    </row>
    <row r="2406" spans="2:10" hidden="1" x14ac:dyDescent="0.2">
      <c r="B2406" t="s">
        <v>907</v>
      </c>
      <c r="C2406" t="s">
        <v>186</v>
      </c>
      <c r="D2406" t="s">
        <v>130</v>
      </c>
      <c r="E2406" t="s">
        <v>153</v>
      </c>
      <c r="F2406" t="s">
        <v>154</v>
      </c>
      <c r="G2406" t="s">
        <v>1034</v>
      </c>
      <c r="H2406" t="s">
        <v>15</v>
      </c>
      <c r="I2406" s="1">
        <v>1</v>
      </c>
      <c r="J2406" s="2">
        <v>387.93</v>
      </c>
    </row>
    <row r="2407" spans="2:10" hidden="1" x14ac:dyDescent="0.2">
      <c r="B2407" t="s">
        <v>907</v>
      </c>
      <c r="C2407" t="s">
        <v>186</v>
      </c>
      <c r="D2407" t="s">
        <v>130</v>
      </c>
      <c r="E2407" t="s">
        <v>163</v>
      </c>
      <c r="F2407" t="s">
        <v>164</v>
      </c>
      <c r="G2407" t="s">
        <v>1034</v>
      </c>
      <c r="H2407" t="s">
        <v>15</v>
      </c>
      <c r="I2407" s="1">
        <v>1</v>
      </c>
      <c r="J2407" s="2">
        <v>431.03</v>
      </c>
    </row>
    <row r="2408" spans="2:10" hidden="1" x14ac:dyDescent="0.2">
      <c r="B2408" t="s">
        <v>907</v>
      </c>
      <c r="C2408" t="s">
        <v>186</v>
      </c>
      <c r="D2408" t="s">
        <v>130</v>
      </c>
      <c r="E2408" t="s">
        <v>61</v>
      </c>
      <c r="F2408" t="s">
        <v>62</v>
      </c>
      <c r="G2408" t="s">
        <v>1034</v>
      </c>
      <c r="H2408" t="s">
        <v>15</v>
      </c>
      <c r="I2408" s="1">
        <v>1</v>
      </c>
      <c r="J2408" s="2">
        <v>172.41</v>
      </c>
    </row>
    <row r="2409" spans="2:10" hidden="1" x14ac:dyDescent="0.2">
      <c r="B2409" t="s">
        <v>907</v>
      </c>
      <c r="C2409" t="s">
        <v>197</v>
      </c>
      <c r="D2409" t="s">
        <v>908</v>
      </c>
      <c r="E2409" t="s">
        <v>44</v>
      </c>
      <c r="F2409" t="s">
        <v>45</v>
      </c>
      <c r="G2409" t="s">
        <v>1033</v>
      </c>
      <c r="H2409" t="s">
        <v>30</v>
      </c>
      <c r="I2409" s="1">
        <v>1</v>
      </c>
      <c r="J2409" s="2">
        <v>81.900000000000006</v>
      </c>
    </row>
    <row r="2410" spans="2:10" hidden="1" x14ac:dyDescent="0.2">
      <c r="B2410" t="s">
        <v>907</v>
      </c>
      <c r="C2410" t="s">
        <v>197</v>
      </c>
      <c r="D2410" t="s">
        <v>908</v>
      </c>
      <c r="E2410" t="s">
        <v>36</v>
      </c>
      <c r="F2410" t="s">
        <v>37</v>
      </c>
      <c r="G2410" t="s">
        <v>1034</v>
      </c>
      <c r="H2410" t="s">
        <v>15</v>
      </c>
      <c r="I2410" s="1">
        <v>1</v>
      </c>
      <c r="J2410" s="2">
        <v>301.72000000000003</v>
      </c>
    </row>
    <row r="2411" spans="2:10" hidden="1" x14ac:dyDescent="0.2">
      <c r="B2411" t="s">
        <v>907</v>
      </c>
      <c r="C2411" t="s">
        <v>197</v>
      </c>
      <c r="D2411" t="s">
        <v>908</v>
      </c>
      <c r="E2411" t="s">
        <v>153</v>
      </c>
      <c r="F2411" t="s">
        <v>154</v>
      </c>
      <c r="G2411" t="s">
        <v>1034</v>
      </c>
      <c r="H2411" t="s">
        <v>15</v>
      </c>
      <c r="I2411" s="1">
        <v>1</v>
      </c>
      <c r="J2411" s="2">
        <v>387.93</v>
      </c>
    </row>
    <row r="2412" spans="2:10" hidden="1" x14ac:dyDescent="0.2">
      <c r="B2412" t="s">
        <v>907</v>
      </c>
      <c r="C2412" t="s">
        <v>197</v>
      </c>
      <c r="D2412" t="s">
        <v>908</v>
      </c>
      <c r="E2412" t="s">
        <v>38</v>
      </c>
      <c r="F2412" t="s">
        <v>39</v>
      </c>
      <c r="G2412" t="s">
        <v>1034</v>
      </c>
      <c r="H2412" t="s">
        <v>15</v>
      </c>
      <c r="I2412" s="1">
        <v>1</v>
      </c>
      <c r="J2412" s="2">
        <v>431.03</v>
      </c>
    </row>
    <row r="2413" spans="2:10" hidden="1" x14ac:dyDescent="0.2">
      <c r="B2413" t="s">
        <v>907</v>
      </c>
      <c r="C2413" t="s">
        <v>206</v>
      </c>
      <c r="D2413" t="s">
        <v>130</v>
      </c>
      <c r="E2413" t="s">
        <v>818</v>
      </c>
      <c r="F2413" t="s">
        <v>819</v>
      </c>
      <c r="G2413" t="s">
        <v>54</v>
      </c>
      <c r="H2413" t="s">
        <v>138</v>
      </c>
      <c r="I2413" s="1">
        <v>1</v>
      </c>
      <c r="J2413" s="2">
        <v>431.03</v>
      </c>
    </row>
    <row r="2414" spans="2:10" hidden="1" x14ac:dyDescent="0.2">
      <c r="B2414" t="s">
        <v>907</v>
      </c>
      <c r="C2414" t="s">
        <v>206</v>
      </c>
      <c r="D2414" t="s">
        <v>130</v>
      </c>
      <c r="E2414" t="s">
        <v>921</v>
      </c>
      <c r="F2414" t="s">
        <v>922</v>
      </c>
      <c r="G2414" t="s">
        <v>54</v>
      </c>
      <c r="H2414" t="s">
        <v>138</v>
      </c>
      <c r="I2414" s="1">
        <v>1</v>
      </c>
      <c r="J2414" s="2">
        <v>435.34</v>
      </c>
    </row>
    <row r="2415" spans="2:10" hidden="1" x14ac:dyDescent="0.2">
      <c r="B2415" t="s">
        <v>907</v>
      </c>
      <c r="C2415" t="s">
        <v>220</v>
      </c>
      <c r="D2415" t="s">
        <v>908</v>
      </c>
      <c r="E2415" t="s">
        <v>923</v>
      </c>
      <c r="F2415" t="s">
        <v>924</v>
      </c>
      <c r="G2415" t="s">
        <v>43</v>
      </c>
      <c r="H2415" t="s">
        <v>452</v>
      </c>
      <c r="I2415" s="1">
        <v>1</v>
      </c>
      <c r="J2415" s="2">
        <v>2586.21</v>
      </c>
    </row>
    <row r="2416" spans="2:10" hidden="1" x14ac:dyDescent="0.2">
      <c r="B2416" t="s">
        <v>907</v>
      </c>
      <c r="C2416" t="s">
        <v>220</v>
      </c>
      <c r="D2416" t="s">
        <v>908</v>
      </c>
      <c r="E2416" t="s">
        <v>328</v>
      </c>
      <c r="F2416" t="s">
        <v>329</v>
      </c>
      <c r="G2416" t="s">
        <v>1033</v>
      </c>
      <c r="H2416" t="s">
        <v>30</v>
      </c>
      <c r="I2416" s="1">
        <v>1</v>
      </c>
      <c r="J2416" s="2">
        <v>172.41</v>
      </c>
    </row>
    <row r="2417" spans="2:10" hidden="1" x14ac:dyDescent="0.2">
      <c r="B2417" t="s">
        <v>907</v>
      </c>
      <c r="C2417" t="s">
        <v>220</v>
      </c>
      <c r="D2417" t="s">
        <v>908</v>
      </c>
      <c r="E2417" t="s">
        <v>253</v>
      </c>
      <c r="F2417" t="s">
        <v>254</v>
      </c>
      <c r="G2417" t="s">
        <v>1034</v>
      </c>
      <c r="H2417" t="s">
        <v>15</v>
      </c>
      <c r="I2417" s="1">
        <v>2</v>
      </c>
      <c r="J2417" s="2">
        <v>1551.72</v>
      </c>
    </row>
    <row r="2418" spans="2:10" hidden="1" x14ac:dyDescent="0.2">
      <c r="B2418" t="s">
        <v>907</v>
      </c>
      <c r="C2418" t="s">
        <v>220</v>
      </c>
      <c r="D2418" t="s">
        <v>908</v>
      </c>
      <c r="E2418" t="s">
        <v>122</v>
      </c>
      <c r="F2418" t="s">
        <v>123</v>
      </c>
      <c r="G2418" t="s">
        <v>1034</v>
      </c>
      <c r="H2418" t="s">
        <v>15</v>
      </c>
      <c r="I2418" s="1">
        <v>1</v>
      </c>
      <c r="J2418" s="2">
        <v>387.93</v>
      </c>
    </row>
    <row r="2419" spans="2:10" hidden="1" x14ac:dyDescent="0.2">
      <c r="B2419" t="s">
        <v>907</v>
      </c>
      <c r="C2419" t="s">
        <v>220</v>
      </c>
      <c r="D2419" t="s">
        <v>908</v>
      </c>
      <c r="E2419" t="s">
        <v>61</v>
      </c>
      <c r="F2419" t="s">
        <v>62</v>
      </c>
      <c r="G2419" t="s">
        <v>1034</v>
      </c>
      <c r="H2419" t="s">
        <v>15</v>
      </c>
      <c r="I2419" s="1">
        <v>1</v>
      </c>
      <c r="J2419" s="2">
        <v>172.41</v>
      </c>
    </row>
    <row r="2420" spans="2:10" hidden="1" x14ac:dyDescent="0.2">
      <c r="B2420" t="s">
        <v>907</v>
      </c>
      <c r="C2420" t="s">
        <v>220</v>
      </c>
      <c r="D2420" t="s">
        <v>908</v>
      </c>
      <c r="E2420" t="s">
        <v>63</v>
      </c>
      <c r="F2420" t="s">
        <v>64</v>
      </c>
      <c r="G2420" t="s">
        <v>1034</v>
      </c>
      <c r="H2420" t="s">
        <v>15</v>
      </c>
      <c r="I2420" s="1">
        <v>1</v>
      </c>
      <c r="J2420" s="2">
        <v>172.41</v>
      </c>
    </row>
    <row r="2421" spans="2:10" hidden="1" x14ac:dyDescent="0.2">
      <c r="B2421" t="s">
        <v>907</v>
      </c>
      <c r="C2421" t="s">
        <v>220</v>
      </c>
      <c r="D2421" t="s">
        <v>908</v>
      </c>
      <c r="E2421" t="s">
        <v>925</v>
      </c>
      <c r="F2421" t="s">
        <v>926</v>
      </c>
      <c r="G2421" t="s">
        <v>43</v>
      </c>
      <c r="H2421" t="s">
        <v>128</v>
      </c>
      <c r="I2421" s="1">
        <v>1</v>
      </c>
      <c r="J2421" s="2">
        <v>2068.9699999999998</v>
      </c>
    </row>
    <row r="2422" spans="2:10" hidden="1" x14ac:dyDescent="0.2">
      <c r="B2422" t="s">
        <v>907</v>
      </c>
      <c r="C2422" t="s">
        <v>225</v>
      </c>
      <c r="D2422" t="s">
        <v>908</v>
      </c>
      <c r="E2422" t="s">
        <v>187</v>
      </c>
      <c r="F2422" t="s">
        <v>188</v>
      </c>
      <c r="G2422" t="s">
        <v>1033</v>
      </c>
      <c r="H2422" t="s">
        <v>30</v>
      </c>
      <c r="I2422" s="1">
        <v>1</v>
      </c>
      <c r="J2422" s="2">
        <v>258.62</v>
      </c>
    </row>
    <row r="2423" spans="2:10" hidden="1" x14ac:dyDescent="0.2">
      <c r="B2423" t="s">
        <v>907</v>
      </c>
      <c r="C2423" t="s">
        <v>225</v>
      </c>
      <c r="D2423" t="s">
        <v>908</v>
      </c>
      <c r="E2423" t="s">
        <v>927</v>
      </c>
      <c r="F2423" t="s">
        <v>928</v>
      </c>
      <c r="G2423" t="s">
        <v>54</v>
      </c>
      <c r="H2423" t="s">
        <v>138</v>
      </c>
      <c r="I2423" s="1">
        <v>1</v>
      </c>
      <c r="J2423" s="2">
        <v>301.72000000000003</v>
      </c>
    </row>
    <row r="2424" spans="2:10" hidden="1" x14ac:dyDescent="0.2">
      <c r="B2424" t="s">
        <v>907</v>
      </c>
      <c r="C2424" t="s">
        <v>225</v>
      </c>
      <c r="D2424" t="s">
        <v>908</v>
      </c>
      <c r="E2424" t="s">
        <v>324</v>
      </c>
      <c r="F2424" t="s">
        <v>325</v>
      </c>
      <c r="G2424" t="s">
        <v>1033</v>
      </c>
      <c r="H2424" t="s">
        <v>30</v>
      </c>
      <c r="I2424" s="1">
        <v>1</v>
      </c>
      <c r="J2424" s="2">
        <v>2000</v>
      </c>
    </row>
    <row r="2425" spans="2:10" hidden="1" x14ac:dyDescent="0.2">
      <c r="B2425" t="s">
        <v>907</v>
      </c>
      <c r="C2425" t="s">
        <v>225</v>
      </c>
      <c r="D2425" t="s">
        <v>908</v>
      </c>
      <c r="E2425" t="s">
        <v>70</v>
      </c>
      <c r="F2425" t="s">
        <v>71</v>
      </c>
      <c r="G2425" t="s">
        <v>1033</v>
      </c>
      <c r="H2425" t="s">
        <v>30</v>
      </c>
      <c r="I2425" s="1">
        <v>1</v>
      </c>
      <c r="J2425" s="2">
        <v>2112.0700000000002</v>
      </c>
    </row>
    <row r="2426" spans="2:10" hidden="1" x14ac:dyDescent="0.2">
      <c r="B2426" t="s">
        <v>907</v>
      </c>
      <c r="C2426" t="s">
        <v>225</v>
      </c>
      <c r="D2426" t="s">
        <v>908</v>
      </c>
      <c r="E2426" t="s">
        <v>120</v>
      </c>
      <c r="F2426" t="s">
        <v>121</v>
      </c>
      <c r="G2426" t="s">
        <v>1034</v>
      </c>
      <c r="H2426" t="s">
        <v>15</v>
      </c>
      <c r="I2426" s="1">
        <v>1</v>
      </c>
      <c r="J2426" s="2">
        <v>301.72000000000003</v>
      </c>
    </row>
    <row r="2427" spans="2:10" hidden="1" x14ac:dyDescent="0.2">
      <c r="B2427" t="s">
        <v>907</v>
      </c>
      <c r="C2427" t="s">
        <v>225</v>
      </c>
      <c r="D2427" t="s">
        <v>908</v>
      </c>
      <c r="E2427" t="s">
        <v>267</v>
      </c>
      <c r="F2427" t="s">
        <v>268</v>
      </c>
      <c r="G2427" t="s">
        <v>1034</v>
      </c>
      <c r="H2427" t="s">
        <v>15</v>
      </c>
      <c r="I2427" s="1">
        <v>1</v>
      </c>
      <c r="J2427" s="2">
        <v>258.62</v>
      </c>
    </row>
    <row r="2428" spans="2:10" hidden="1" x14ac:dyDescent="0.2">
      <c r="B2428" t="s">
        <v>907</v>
      </c>
      <c r="C2428" t="s">
        <v>225</v>
      </c>
      <c r="D2428" t="s">
        <v>908</v>
      </c>
      <c r="E2428" t="s">
        <v>36</v>
      </c>
      <c r="F2428" t="s">
        <v>37</v>
      </c>
      <c r="G2428" t="s">
        <v>1034</v>
      </c>
      <c r="H2428" t="s">
        <v>15</v>
      </c>
      <c r="I2428" s="1">
        <v>1</v>
      </c>
      <c r="J2428" s="2">
        <v>301.72000000000003</v>
      </c>
    </row>
    <row r="2429" spans="2:10" hidden="1" x14ac:dyDescent="0.2">
      <c r="B2429" t="s">
        <v>907</v>
      </c>
      <c r="C2429" t="s">
        <v>225</v>
      </c>
      <c r="D2429" t="s">
        <v>908</v>
      </c>
      <c r="E2429" t="s">
        <v>153</v>
      </c>
      <c r="F2429" t="s">
        <v>154</v>
      </c>
      <c r="G2429" t="s">
        <v>1034</v>
      </c>
      <c r="H2429" t="s">
        <v>15</v>
      </c>
      <c r="I2429" s="1">
        <v>1</v>
      </c>
      <c r="J2429" s="2">
        <v>387.93</v>
      </c>
    </row>
    <row r="2430" spans="2:10" hidden="1" x14ac:dyDescent="0.2">
      <c r="B2430" t="s">
        <v>907</v>
      </c>
      <c r="C2430" t="s">
        <v>225</v>
      </c>
      <c r="D2430" t="s">
        <v>908</v>
      </c>
      <c r="E2430" t="s">
        <v>273</v>
      </c>
      <c r="F2430" t="s">
        <v>274</v>
      </c>
      <c r="G2430" t="s">
        <v>1033</v>
      </c>
      <c r="H2430" t="s">
        <v>30</v>
      </c>
      <c r="I2430" s="1">
        <v>1</v>
      </c>
      <c r="J2430" s="2">
        <v>1293.0999999999999</v>
      </c>
    </row>
    <row r="2431" spans="2:10" hidden="1" x14ac:dyDescent="0.2">
      <c r="B2431" t="s">
        <v>907</v>
      </c>
      <c r="C2431" t="s">
        <v>225</v>
      </c>
      <c r="D2431" t="s">
        <v>908</v>
      </c>
      <c r="E2431" t="s">
        <v>28</v>
      </c>
      <c r="F2431" t="s">
        <v>29</v>
      </c>
      <c r="G2431" t="s">
        <v>1033</v>
      </c>
      <c r="H2431" t="s">
        <v>30</v>
      </c>
      <c r="I2431" s="1">
        <v>1</v>
      </c>
      <c r="J2431" s="2">
        <v>155.16999999999999</v>
      </c>
    </row>
    <row r="2432" spans="2:10" x14ac:dyDescent="0.2">
      <c r="B2432" t="s">
        <v>907</v>
      </c>
      <c r="C2432" t="s">
        <v>227</v>
      </c>
      <c r="D2432" t="s">
        <v>908</v>
      </c>
      <c r="E2432" t="s">
        <v>46</v>
      </c>
      <c r="F2432" t="s">
        <v>47</v>
      </c>
      <c r="G2432" t="s">
        <v>1034</v>
      </c>
      <c r="H2432" t="s">
        <v>15</v>
      </c>
      <c r="I2432" s="1">
        <v>1</v>
      </c>
      <c r="J2432" s="2">
        <v>301.72000000000003</v>
      </c>
    </row>
    <row r="2433" spans="2:10" x14ac:dyDescent="0.2">
      <c r="B2433" t="s">
        <v>907</v>
      </c>
      <c r="C2433" t="s">
        <v>227</v>
      </c>
      <c r="D2433" t="s">
        <v>908</v>
      </c>
      <c r="E2433" t="s">
        <v>120</v>
      </c>
      <c r="F2433" t="s">
        <v>121</v>
      </c>
      <c r="G2433" t="s">
        <v>1034</v>
      </c>
      <c r="H2433" t="s">
        <v>15</v>
      </c>
      <c r="I2433" s="1">
        <v>1</v>
      </c>
      <c r="J2433" s="2">
        <v>301.72000000000003</v>
      </c>
    </row>
    <row r="2434" spans="2:10" x14ac:dyDescent="0.2">
      <c r="B2434" t="s">
        <v>907</v>
      </c>
      <c r="C2434" t="s">
        <v>227</v>
      </c>
      <c r="D2434" t="s">
        <v>908</v>
      </c>
      <c r="E2434" t="s">
        <v>163</v>
      </c>
      <c r="F2434" t="s">
        <v>164</v>
      </c>
      <c r="G2434" t="s">
        <v>1034</v>
      </c>
      <c r="H2434" t="s">
        <v>15</v>
      </c>
      <c r="I2434" s="1">
        <v>1</v>
      </c>
      <c r="J2434" s="2">
        <v>431.03</v>
      </c>
    </row>
    <row r="2435" spans="2:10" x14ac:dyDescent="0.2">
      <c r="B2435" t="s">
        <v>907</v>
      </c>
      <c r="C2435" t="s">
        <v>227</v>
      </c>
      <c r="D2435" t="s">
        <v>908</v>
      </c>
      <c r="E2435" t="s">
        <v>929</v>
      </c>
      <c r="F2435" t="s">
        <v>930</v>
      </c>
      <c r="G2435" t="s">
        <v>1033</v>
      </c>
      <c r="H2435" t="s">
        <v>30</v>
      </c>
      <c r="I2435" s="1">
        <v>1</v>
      </c>
      <c r="J2435" s="2">
        <v>1853.45</v>
      </c>
    </row>
    <row r="2436" spans="2:10" x14ac:dyDescent="0.2">
      <c r="B2436" t="s">
        <v>907</v>
      </c>
      <c r="C2436" t="s">
        <v>227</v>
      </c>
      <c r="D2436" t="s">
        <v>908</v>
      </c>
      <c r="E2436" t="s">
        <v>28</v>
      </c>
      <c r="F2436" t="s">
        <v>29</v>
      </c>
      <c r="G2436" t="s">
        <v>1033</v>
      </c>
      <c r="H2436" t="s">
        <v>30</v>
      </c>
      <c r="I2436" s="1">
        <v>1</v>
      </c>
      <c r="J2436" s="2">
        <v>155.16999999999999</v>
      </c>
    </row>
    <row r="2437" spans="2:10" x14ac:dyDescent="0.2">
      <c r="B2437" t="s">
        <v>907</v>
      </c>
      <c r="C2437" t="s">
        <v>228</v>
      </c>
      <c r="D2437" t="s">
        <v>908</v>
      </c>
      <c r="E2437" t="s">
        <v>56</v>
      </c>
      <c r="F2437" t="s">
        <v>57</v>
      </c>
      <c r="G2437" t="s">
        <v>1034</v>
      </c>
      <c r="H2437" t="s">
        <v>15</v>
      </c>
      <c r="I2437" s="1">
        <v>1</v>
      </c>
      <c r="J2437" s="2">
        <v>431.03</v>
      </c>
    </row>
    <row r="2438" spans="2:10" x14ac:dyDescent="0.2">
      <c r="B2438" t="s">
        <v>907</v>
      </c>
      <c r="C2438" t="s">
        <v>233</v>
      </c>
      <c r="D2438" t="s">
        <v>908</v>
      </c>
      <c r="E2438" t="s">
        <v>931</v>
      </c>
      <c r="F2438" t="s">
        <v>932</v>
      </c>
      <c r="G2438" t="s">
        <v>1033</v>
      </c>
      <c r="H2438" t="s">
        <v>30</v>
      </c>
      <c r="I2438" s="1">
        <v>1</v>
      </c>
      <c r="J2438" s="2">
        <v>168.1</v>
      </c>
    </row>
    <row r="2439" spans="2:10" x14ac:dyDescent="0.2">
      <c r="B2439" t="s">
        <v>907</v>
      </c>
      <c r="C2439" t="s">
        <v>233</v>
      </c>
      <c r="D2439" t="s">
        <v>908</v>
      </c>
      <c r="E2439" t="s">
        <v>397</v>
      </c>
      <c r="F2439" t="s">
        <v>398</v>
      </c>
      <c r="G2439" t="s">
        <v>14</v>
      </c>
      <c r="H2439" t="s">
        <v>35</v>
      </c>
      <c r="I2439" s="1">
        <v>2</v>
      </c>
      <c r="J2439" s="2">
        <v>155.16999999999999</v>
      </c>
    </row>
    <row r="2440" spans="2:10" x14ac:dyDescent="0.2">
      <c r="B2440" t="s">
        <v>907</v>
      </c>
      <c r="C2440" t="s">
        <v>233</v>
      </c>
      <c r="D2440" t="s">
        <v>908</v>
      </c>
      <c r="E2440" t="s">
        <v>212</v>
      </c>
      <c r="F2440" t="s">
        <v>213</v>
      </c>
      <c r="G2440" t="s">
        <v>14</v>
      </c>
      <c r="H2440" t="s">
        <v>35</v>
      </c>
      <c r="I2440" s="1">
        <v>1</v>
      </c>
      <c r="J2440" s="2">
        <v>77.59</v>
      </c>
    </row>
    <row r="2441" spans="2:10" x14ac:dyDescent="0.2">
      <c r="B2441" t="s">
        <v>907</v>
      </c>
      <c r="C2441" t="s">
        <v>233</v>
      </c>
      <c r="D2441" t="s">
        <v>908</v>
      </c>
      <c r="E2441" t="s">
        <v>122</v>
      </c>
      <c r="F2441" t="s">
        <v>123</v>
      </c>
      <c r="G2441" t="s">
        <v>1034</v>
      </c>
      <c r="H2441" t="s">
        <v>15</v>
      </c>
      <c r="I2441" s="1">
        <v>1</v>
      </c>
      <c r="J2441" s="2">
        <v>387.93</v>
      </c>
    </row>
    <row r="2442" spans="2:10" x14ac:dyDescent="0.2">
      <c r="B2442" t="s">
        <v>907</v>
      </c>
      <c r="C2442" t="s">
        <v>233</v>
      </c>
      <c r="D2442" t="s">
        <v>908</v>
      </c>
      <c r="E2442" t="s">
        <v>153</v>
      </c>
      <c r="F2442" t="s">
        <v>154</v>
      </c>
      <c r="G2442" t="s">
        <v>1034</v>
      </c>
      <c r="H2442" t="s">
        <v>15</v>
      </c>
      <c r="I2442" s="1">
        <v>1</v>
      </c>
      <c r="J2442" s="2">
        <v>387.93</v>
      </c>
    </row>
    <row r="2443" spans="2:10" x14ac:dyDescent="0.2">
      <c r="B2443" t="s">
        <v>907</v>
      </c>
      <c r="C2443" t="s">
        <v>236</v>
      </c>
      <c r="D2443" t="s">
        <v>908</v>
      </c>
      <c r="E2443" t="s">
        <v>590</v>
      </c>
      <c r="F2443" t="s">
        <v>591</v>
      </c>
      <c r="G2443" t="s">
        <v>14</v>
      </c>
      <c r="H2443" t="s">
        <v>35</v>
      </c>
      <c r="I2443" s="1">
        <v>1</v>
      </c>
      <c r="J2443" s="2">
        <v>77.59</v>
      </c>
    </row>
    <row r="2444" spans="2:10" x14ac:dyDescent="0.2">
      <c r="B2444" t="s">
        <v>907</v>
      </c>
      <c r="C2444" t="s">
        <v>236</v>
      </c>
      <c r="D2444" t="s">
        <v>908</v>
      </c>
      <c r="E2444" t="s">
        <v>16</v>
      </c>
      <c r="F2444" t="s">
        <v>17</v>
      </c>
      <c r="G2444" t="s">
        <v>1034</v>
      </c>
      <c r="H2444" t="s">
        <v>15</v>
      </c>
      <c r="I2444" s="1">
        <v>3</v>
      </c>
      <c r="J2444" s="2">
        <v>1732.77</v>
      </c>
    </row>
    <row r="2445" spans="2:10" x14ac:dyDescent="0.2">
      <c r="B2445" t="s">
        <v>907</v>
      </c>
      <c r="C2445" t="s">
        <v>236</v>
      </c>
      <c r="D2445" t="s">
        <v>908</v>
      </c>
      <c r="E2445" t="s">
        <v>28</v>
      </c>
      <c r="F2445" t="s">
        <v>29</v>
      </c>
      <c r="G2445" t="s">
        <v>1033</v>
      </c>
      <c r="H2445" t="s">
        <v>30</v>
      </c>
      <c r="I2445" s="1">
        <v>1</v>
      </c>
      <c r="J2445" s="2">
        <v>155.16999999999999</v>
      </c>
    </row>
    <row r="2446" spans="2:10" x14ac:dyDescent="0.2">
      <c r="B2446" t="s">
        <v>907</v>
      </c>
      <c r="C2446" t="s">
        <v>237</v>
      </c>
      <c r="D2446" t="s">
        <v>908</v>
      </c>
      <c r="E2446" t="s">
        <v>609</v>
      </c>
      <c r="F2446" t="s">
        <v>610</v>
      </c>
      <c r="G2446" t="s">
        <v>1033</v>
      </c>
      <c r="H2446" t="s">
        <v>30</v>
      </c>
      <c r="I2446" s="1">
        <v>1</v>
      </c>
      <c r="J2446" s="2">
        <v>1267.24</v>
      </c>
    </row>
    <row r="2447" spans="2:10" x14ac:dyDescent="0.2">
      <c r="B2447" t="s">
        <v>907</v>
      </c>
      <c r="C2447" t="s">
        <v>237</v>
      </c>
      <c r="D2447" t="s">
        <v>908</v>
      </c>
      <c r="E2447" t="s">
        <v>46</v>
      </c>
      <c r="F2447" t="s">
        <v>47</v>
      </c>
      <c r="G2447" t="s">
        <v>1034</v>
      </c>
      <c r="H2447" t="s">
        <v>15</v>
      </c>
      <c r="I2447" s="1">
        <v>1</v>
      </c>
      <c r="J2447" s="2">
        <v>301.72000000000003</v>
      </c>
    </row>
    <row r="2448" spans="2:10" x14ac:dyDescent="0.2">
      <c r="B2448" t="s">
        <v>907</v>
      </c>
      <c r="C2448" t="s">
        <v>237</v>
      </c>
      <c r="D2448" t="s">
        <v>908</v>
      </c>
      <c r="E2448" t="s">
        <v>70</v>
      </c>
      <c r="F2448" t="s">
        <v>71</v>
      </c>
      <c r="G2448" t="s">
        <v>1033</v>
      </c>
      <c r="H2448" t="s">
        <v>30</v>
      </c>
      <c r="I2448" s="1">
        <v>1</v>
      </c>
      <c r="J2448" s="2">
        <v>2112.0700000000002</v>
      </c>
    </row>
    <row r="2449" spans="2:10" x14ac:dyDescent="0.2">
      <c r="B2449" t="s">
        <v>907</v>
      </c>
      <c r="C2449" t="s">
        <v>237</v>
      </c>
      <c r="D2449" t="s">
        <v>908</v>
      </c>
      <c r="E2449" t="s">
        <v>328</v>
      </c>
      <c r="F2449" t="s">
        <v>329</v>
      </c>
      <c r="G2449" t="s">
        <v>1033</v>
      </c>
      <c r="H2449" t="s">
        <v>30</v>
      </c>
      <c r="I2449" s="1">
        <v>1</v>
      </c>
      <c r="J2449" s="2">
        <v>172.41</v>
      </c>
    </row>
    <row r="2450" spans="2:10" x14ac:dyDescent="0.2">
      <c r="B2450" t="s">
        <v>907</v>
      </c>
      <c r="C2450" t="s">
        <v>237</v>
      </c>
      <c r="D2450" t="s">
        <v>908</v>
      </c>
      <c r="E2450" t="s">
        <v>214</v>
      </c>
      <c r="F2450" t="s">
        <v>215</v>
      </c>
      <c r="G2450" t="s">
        <v>1034</v>
      </c>
      <c r="H2450" t="s">
        <v>15</v>
      </c>
      <c r="I2450" s="1">
        <v>1</v>
      </c>
      <c r="J2450" s="2">
        <v>301.72000000000003</v>
      </c>
    </row>
    <row r="2451" spans="2:10" x14ac:dyDescent="0.2">
      <c r="B2451" t="s">
        <v>907</v>
      </c>
      <c r="C2451" t="s">
        <v>237</v>
      </c>
      <c r="D2451" t="s">
        <v>908</v>
      </c>
      <c r="E2451" t="s">
        <v>157</v>
      </c>
      <c r="F2451" t="s">
        <v>158</v>
      </c>
      <c r="G2451" t="s">
        <v>14</v>
      </c>
      <c r="H2451" t="s">
        <v>87</v>
      </c>
      <c r="I2451" s="1">
        <v>1</v>
      </c>
      <c r="J2451" s="2">
        <v>284.48</v>
      </c>
    </row>
    <row r="2452" spans="2:10" x14ac:dyDescent="0.2">
      <c r="B2452" t="s">
        <v>907</v>
      </c>
      <c r="C2452" t="s">
        <v>237</v>
      </c>
      <c r="D2452" t="s">
        <v>908</v>
      </c>
      <c r="E2452" t="s">
        <v>159</v>
      </c>
      <c r="F2452" t="s">
        <v>160</v>
      </c>
      <c r="G2452" t="s">
        <v>14</v>
      </c>
      <c r="H2452" t="s">
        <v>87</v>
      </c>
      <c r="I2452" s="1">
        <v>1</v>
      </c>
      <c r="J2452" s="2">
        <v>284.48</v>
      </c>
    </row>
    <row r="2453" spans="2:10" x14ac:dyDescent="0.2">
      <c r="B2453" t="s">
        <v>907</v>
      </c>
      <c r="C2453" t="s">
        <v>237</v>
      </c>
      <c r="D2453" t="s">
        <v>908</v>
      </c>
      <c r="E2453" t="s">
        <v>38</v>
      </c>
      <c r="F2453" t="s">
        <v>39</v>
      </c>
      <c r="G2453" t="s">
        <v>1034</v>
      </c>
      <c r="H2453" t="s">
        <v>15</v>
      </c>
      <c r="I2453" s="1">
        <v>1</v>
      </c>
      <c r="J2453" s="2">
        <v>431.03</v>
      </c>
    </row>
    <row r="2454" spans="2:10" x14ac:dyDescent="0.2">
      <c r="B2454" t="s">
        <v>907</v>
      </c>
      <c r="C2454" t="s">
        <v>237</v>
      </c>
      <c r="D2454" t="s">
        <v>908</v>
      </c>
      <c r="E2454" t="s">
        <v>16</v>
      </c>
      <c r="F2454" t="s">
        <v>17</v>
      </c>
      <c r="G2454" t="s">
        <v>1034</v>
      </c>
      <c r="H2454" t="s">
        <v>15</v>
      </c>
      <c r="I2454" s="1">
        <v>1</v>
      </c>
      <c r="J2454" s="2">
        <v>577.59</v>
      </c>
    </row>
    <row r="2455" spans="2:10" x14ac:dyDescent="0.2">
      <c r="B2455" t="s">
        <v>907</v>
      </c>
      <c r="C2455" t="s">
        <v>237</v>
      </c>
      <c r="D2455" t="s">
        <v>908</v>
      </c>
      <c r="E2455" t="s">
        <v>28</v>
      </c>
      <c r="F2455" t="s">
        <v>29</v>
      </c>
      <c r="G2455" t="s">
        <v>1033</v>
      </c>
      <c r="H2455" t="s">
        <v>30</v>
      </c>
      <c r="I2455" s="1">
        <v>1</v>
      </c>
      <c r="J2455" s="2">
        <v>155.16999999999999</v>
      </c>
    </row>
    <row r="2456" spans="2:10" x14ac:dyDescent="0.2">
      <c r="B2456" t="s">
        <v>907</v>
      </c>
      <c r="C2456" t="s">
        <v>248</v>
      </c>
      <c r="D2456" t="s">
        <v>908</v>
      </c>
      <c r="E2456" t="s">
        <v>44</v>
      </c>
      <c r="F2456" t="s">
        <v>45</v>
      </c>
      <c r="G2456" t="s">
        <v>1033</v>
      </c>
      <c r="H2456" t="s">
        <v>30</v>
      </c>
      <c r="I2456" s="1">
        <v>1</v>
      </c>
      <c r="J2456" s="2">
        <v>81.900000000000006</v>
      </c>
    </row>
    <row r="2457" spans="2:10" x14ac:dyDescent="0.2">
      <c r="B2457" t="s">
        <v>907</v>
      </c>
      <c r="C2457" t="s">
        <v>248</v>
      </c>
      <c r="D2457" t="s">
        <v>908</v>
      </c>
      <c r="E2457" t="s">
        <v>120</v>
      </c>
      <c r="F2457" t="s">
        <v>121</v>
      </c>
      <c r="G2457" t="s">
        <v>1034</v>
      </c>
      <c r="H2457" t="s">
        <v>15</v>
      </c>
      <c r="I2457" s="1">
        <v>1</v>
      </c>
      <c r="J2457" s="2">
        <v>301.72000000000003</v>
      </c>
    </row>
    <row r="2458" spans="2:10" x14ac:dyDescent="0.2">
      <c r="B2458" t="s">
        <v>907</v>
      </c>
      <c r="C2458" t="s">
        <v>248</v>
      </c>
      <c r="D2458" t="s">
        <v>908</v>
      </c>
      <c r="E2458" t="s">
        <v>406</v>
      </c>
      <c r="F2458" t="s">
        <v>407</v>
      </c>
      <c r="G2458" t="s">
        <v>14</v>
      </c>
      <c r="H2458" t="s">
        <v>104</v>
      </c>
      <c r="I2458" s="1">
        <v>3</v>
      </c>
      <c r="J2458" s="2">
        <v>51.72</v>
      </c>
    </row>
    <row r="2459" spans="2:10" x14ac:dyDescent="0.2">
      <c r="B2459" t="s">
        <v>907</v>
      </c>
      <c r="C2459" t="s">
        <v>248</v>
      </c>
      <c r="D2459" t="s">
        <v>908</v>
      </c>
      <c r="E2459" t="s">
        <v>28</v>
      </c>
      <c r="F2459" t="s">
        <v>29</v>
      </c>
      <c r="G2459" t="s">
        <v>1033</v>
      </c>
      <c r="H2459" t="s">
        <v>30</v>
      </c>
      <c r="I2459" s="1">
        <v>4</v>
      </c>
      <c r="J2459" s="2">
        <v>620.67999999999995</v>
      </c>
    </row>
    <row r="2460" spans="2:10" hidden="1" x14ac:dyDescent="0.2">
      <c r="B2460" t="s">
        <v>933</v>
      </c>
      <c r="C2460" t="s">
        <v>10</v>
      </c>
      <c r="D2460" t="s">
        <v>934</v>
      </c>
      <c r="E2460" t="s">
        <v>19</v>
      </c>
      <c r="F2460" t="s">
        <v>20</v>
      </c>
      <c r="G2460" t="s">
        <v>14</v>
      </c>
      <c r="H2460" t="s">
        <v>21</v>
      </c>
      <c r="I2460" s="1">
        <v>1</v>
      </c>
      <c r="J2460" s="2">
        <v>431.04</v>
      </c>
    </row>
    <row r="2461" spans="2:10" hidden="1" x14ac:dyDescent="0.2">
      <c r="B2461" t="s">
        <v>933</v>
      </c>
      <c r="C2461" t="s">
        <v>10</v>
      </c>
      <c r="D2461" t="s">
        <v>934</v>
      </c>
      <c r="E2461" t="s">
        <v>187</v>
      </c>
      <c r="F2461" t="s">
        <v>188</v>
      </c>
      <c r="G2461" t="s">
        <v>1033</v>
      </c>
      <c r="H2461" t="s">
        <v>30</v>
      </c>
      <c r="I2461" s="1">
        <v>1</v>
      </c>
      <c r="J2461" s="2">
        <v>258.62</v>
      </c>
    </row>
    <row r="2462" spans="2:10" hidden="1" x14ac:dyDescent="0.2">
      <c r="B2462" t="s">
        <v>933</v>
      </c>
      <c r="C2462" t="s">
        <v>10</v>
      </c>
      <c r="D2462" t="s">
        <v>934</v>
      </c>
      <c r="E2462" t="s">
        <v>838</v>
      </c>
      <c r="F2462" t="s">
        <v>839</v>
      </c>
      <c r="G2462" t="s">
        <v>14</v>
      </c>
      <c r="H2462" t="s">
        <v>87</v>
      </c>
      <c r="I2462" s="1">
        <v>1</v>
      </c>
      <c r="J2462" s="2">
        <v>120.69</v>
      </c>
    </row>
    <row r="2463" spans="2:10" hidden="1" x14ac:dyDescent="0.2">
      <c r="B2463" t="s">
        <v>933</v>
      </c>
      <c r="C2463" t="s">
        <v>10</v>
      </c>
      <c r="D2463" t="s">
        <v>934</v>
      </c>
      <c r="E2463" t="s">
        <v>293</v>
      </c>
      <c r="F2463" t="s">
        <v>294</v>
      </c>
      <c r="G2463" t="s">
        <v>43</v>
      </c>
      <c r="H2463" t="s">
        <v>128</v>
      </c>
      <c r="I2463" s="1">
        <v>1</v>
      </c>
      <c r="J2463" s="2">
        <v>5862.07</v>
      </c>
    </row>
    <row r="2464" spans="2:10" hidden="1" x14ac:dyDescent="0.2">
      <c r="B2464" t="s">
        <v>933</v>
      </c>
      <c r="C2464" t="s">
        <v>10</v>
      </c>
      <c r="D2464" t="s">
        <v>934</v>
      </c>
      <c r="E2464" t="s">
        <v>12</v>
      </c>
      <c r="F2464" t="s">
        <v>13</v>
      </c>
      <c r="G2464" t="s">
        <v>1034</v>
      </c>
      <c r="H2464" t="s">
        <v>15</v>
      </c>
      <c r="I2464" s="1">
        <v>1</v>
      </c>
      <c r="J2464" s="2">
        <v>1077.5899999999999</v>
      </c>
    </row>
    <row r="2465" spans="2:10" hidden="1" x14ac:dyDescent="0.2">
      <c r="B2465" t="s">
        <v>933</v>
      </c>
      <c r="C2465" t="s">
        <v>10</v>
      </c>
      <c r="D2465" t="s">
        <v>934</v>
      </c>
      <c r="E2465" t="s">
        <v>36</v>
      </c>
      <c r="F2465" t="s">
        <v>37</v>
      </c>
      <c r="G2465" t="s">
        <v>1034</v>
      </c>
      <c r="H2465" t="s">
        <v>15</v>
      </c>
      <c r="I2465" s="1">
        <v>2</v>
      </c>
      <c r="J2465" s="2">
        <v>603.44000000000005</v>
      </c>
    </row>
    <row r="2466" spans="2:10" hidden="1" x14ac:dyDescent="0.2">
      <c r="B2466" t="s">
        <v>933</v>
      </c>
      <c r="C2466" t="s">
        <v>10</v>
      </c>
      <c r="D2466" t="s">
        <v>934</v>
      </c>
      <c r="E2466" t="s">
        <v>72</v>
      </c>
      <c r="F2466" t="s">
        <v>73</v>
      </c>
      <c r="G2466" t="s">
        <v>1034</v>
      </c>
      <c r="H2466" t="s">
        <v>15</v>
      </c>
      <c r="I2466" s="1">
        <v>1</v>
      </c>
      <c r="J2466" s="2">
        <v>775.86</v>
      </c>
    </row>
    <row r="2467" spans="2:10" hidden="1" x14ac:dyDescent="0.2">
      <c r="B2467" t="s">
        <v>933</v>
      </c>
      <c r="C2467" t="s">
        <v>10</v>
      </c>
      <c r="D2467" t="s">
        <v>934</v>
      </c>
      <c r="E2467" t="s">
        <v>623</v>
      </c>
      <c r="F2467" t="s">
        <v>624</v>
      </c>
      <c r="G2467" t="s">
        <v>76</v>
      </c>
      <c r="H2467" t="s">
        <v>60</v>
      </c>
      <c r="I2467" s="1">
        <v>1</v>
      </c>
      <c r="J2467" s="2">
        <v>344.83</v>
      </c>
    </row>
    <row r="2468" spans="2:10" hidden="1" x14ac:dyDescent="0.2">
      <c r="B2468" t="s">
        <v>933</v>
      </c>
      <c r="C2468" t="s">
        <v>10</v>
      </c>
      <c r="D2468" t="s">
        <v>934</v>
      </c>
      <c r="E2468" t="s">
        <v>223</v>
      </c>
      <c r="F2468" t="s">
        <v>224</v>
      </c>
      <c r="G2468" t="s">
        <v>43</v>
      </c>
      <c r="H2468" t="s">
        <v>50</v>
      </c>
      <c r="I2468" s="1">
        <v>1</v>
      </c>
      <c r="J2468" s="2">
        <v>1637.93</v>
      </c>
    </row>
    <row r="2469" spans="2:10" hidden="1" x14ac:dyDescent="0.2">
      <c r="B2469" t="s">
        <v>933</v>
      </c>
      <c r="C2469" t="s">
        <v>10</v>
      </c>
      <c r="D2469" t="s">
        <v>934</v>
      </c>
      <c r="E2469" t="s">
        <v>310</v>
      </c>
      <c r="F2469" t="s">
        <v>311</v>
      </c>
      <c r="G2469" t="s">
        <v>1033</v>
      </c>
      <c r="H2469" t="s">
        <v>30</v>
      </c>
      <c r="I2469" s="1">
        <v>1</v>
      </c>
      <c r="J2469" s="2">
        <v>474.14</v>
      </c>
    </row>
    <row r="2470" spans="2:10" hidden="1" x14ac:dyDescent="0.2">
      <c r="B2470" t="s">
        <v>933</v>
      </c>
      <c r="C2470" t="s">
        <v>10</v>
      </c>
      <c r="D2470" t="s">
        <v>934</v>
      </c>
      <c r="E2470" t="s">
        <v>163</v>
      </c>
      <c r="F2470" t="s">
        <v>164</v>
      </c>
      <c r="G2470" t="s">
        <v>1034</v>
      </c>
      <c r="H2470" t="s">
        <v>15</v>
      </c>
      <c r="I2470" s="1">
        <v>1</v>
      </c>
      <c r="J2470" s="2">
        <v>431.03</v>
      </c>
    </row>
    <row r="2471" spans="2:10" hidden="1" x14ac:dyDescent="0.2">
      <c r="B2471" t="s">
        <v>933</v>
      </c>
      <c r="C2471" t="s">
        <v>10</v>
      </c>
      <c r="D2471" t="s">
        <v>934</v>
      </c>
      <c r="E2471" t="s">
        <v>16</v>
      </c>
      <c r="F2471" t="s">
        <v>17</v>
      </c>
      <c r="G2471" t="s">
        <v>1034</v>
      </c>
      <c r="H2471" t="s">
        <v>15</v>
      </c>
      <c r="I2471" s="1">
        <v>1</v>
      </c>
      <c r="J2471" s="2">
        <v>577.59</v>
      </c>
    </row>
    <row r="2472" spans="2:10" hidden="1" x14ac:dyDescent="0.2">
      <c r="B2472" t="s">
        <v>933</v>
      </c>
      <c r="C2472" t="s">
        <v>10</v>
      </c>
      <c r="D2472" t="s">
        <v>934</v>
      </c>
      <c r="E2472" t="s">
        <v>935</v>
      </c>
      <c r="F2472" t="s">
        <v>936</v>
      </c>
      <c r="G2472" t="s">
        <v>43</v>
      </c>
      <c r="H2472" t="s">
        <v>572</v>
      </c>
      <c r="I2472" s="1">
        <v>1</v>
      </c>
      <c r="J2472" s="2">
        <v>456.9</v>
      </c>
    </row>
    <row r="2473" spans="2:10" hidden="1" x14ac:dyDescent="0.2">
      <c r="B2473" t="s">
        <v>933</v>
      </c>
      <c r="C2473" t="s">
        <v>18</v>
      </c>
      <c r="D2473" t="s">
        <v>277</v>
      </c>
      <c r="E2473" t="s">
        <v>173</v>
      </c>
      <c r="F2473" t="s">
        <v>174</v>
      </c>
      <c r="G2473" t="s">
        <v>14</v>
      </c>
      <c r="H2473" t="s">
        <v>35</v>
      </c>
      <c r="I2473" s="1">
        <v>1</v>
      </c>
      <c r="J2473" s="2">
        <v>60.34</v>
      </c>
    </row>
    <row r="2474" spans="2:10" hidden="1" x14ac:dyDescent="0.2">
      <c r="B2474" t="s">
        <v>933</v>
      </c>
      <c r="C2474" t="s">
        <v>18</v>
      </c>
      <c r="D2474" t="s">
        <v>277</v>
      </c>
      <c r="E2474" t="s">
        <v>937</v>
      </c>
      <c r="F2474" t="s">
        <v>938</v>
      </c>
      <c r="G2474" t="s">
        <v>43</v>
      </c>
      <c r="H2474" t="s">
        <v>403</v>
      </c>
      <c r="I2474" s="1">
        <v>1</v>
      </c>
      <c r="J2474" s="2">
        <v>159.47999999999999</v>
      </c>
    </row>
    <row r="2475" spans="2:10" hidden="1" x14ac:dyDescent="0.2">
      <c r="B2475" t="s">
        <v>933</v>
      </c>
      <c r="C2475" t="s">
        <v>18</v>
      </c>
      <c r="D2475" t="s">
        <v>277</v>
      </c>
      <c r="E2475" t="s">
        <v>36</v>
      </c>
      <c r="F2475" t="s">
        <v>37</v>
      </c>
      <c r="G2475" t="s">
        <v>1034</v>
      </c>
      <c r="H2475" t="s">
        <v>15</v>
      </c>
      <c r="I2475" s="1">
        <v>1</v>
      </c>
      <c r="J2475" s="2">
        <v>301.72000000000003</v>
      </c>
    </row>
    <row r="2476" spans="2:10" hidden="1" x14ac:dyDescent="0.2">
      <c r="B2476" t="s">
        <v>933</v>
      </c>
      <c r="C2476" t="s">
        <v>18</v>
      </c>
      <c r="D2476" t="s">
        <v>277</v>
      </c>
      <c r="E2476" t="s">
        <v>153</v>
      </c>
      <c r="F2476" t="s">
        <v>154</v>
      </c>
      <c r="G2476" t="s">
        <v>1034</v>
      </c>
      <c r="H2476" t="s">
        <v>15</v>
      </c>
      <c r="I2476" s="1">
        <v>1</v>
      </c>
      <c r="J2476" s="2">
        <v>387.93</v>
      </c>
    </row>
    <row r="2477" spans="2:10" hidden="1" x14ac:dyDescent="0.2">
      <c r="B2477" t="s">
        <v>933</v>
      </c>
      <c r="C2477" t="s">
        <v>18</v>
      </c>
      <c r="D2477" t="s">
        <v>277</v>
      </c>
      <c r="E2477" t="s">
        <v>56</v>
      </c>
      <c r="F2477" t="s">
        <v>57</v>
      </c>
      <c r="G2477" t="s">
        <v>1034</v>
      </c>
      <c r="H2477" t="s">
        <v>15</v>
      </c>
      <c r="I2477" s="1">
        <v>1</v>
      </c>
      <c r="J2477" s="2">
        <v>431.03</v>
      </c>
    </row>
    <row r="2478" spans="2:10" hidden="1" x14ac:dyDescent="0.2">
      <c r="B2478" t="s">
        <v>933</v>
      </c>
      <c r="C2478" t="s">
        <v>18</v>
      </c>
      <c r="D2478" t="s">
        <v>277</v>
      </c>
      <c r="E2478" t="s">
        <v>63</v>
      </c>
      <c r="F2478" t="s">
        <v>64</v>
      </c>
      <c r="G2478" t="s">
        <v>1034</v>
      </c>
      <c r="H2478" t="s">
        <v>15</v>
      </c>
      <c r="I2478" s="1">
        <v>1</v>
      </c>
      <c r="J2478" s="2">
        <v>172.41</v>
      </c>
    </row>
    <row r="2479" spans="2:10" hidden="1" x14ac:dyDescent="0.2">
      <c r="B2479" t="s">
        <v>933</v>
      </c>
      <c r="C2479" t="s">
        <v>18</v>
      </c>
      <c r="D2479" t="s">
        <v>277</v>
      </c>
      <c r="E2479" t="s">
        <v>16</v>
      </c>
      <c r="F2479" t="s">
        <v>17</v>
      </c>
      <c r="G2479" t="s">
        <v>1034</v>
      </c>
      <c r="H2479" t="s">
        <v>15</v>
      </c>
      <c r="I2479" s="1">
        <v>1</v>
      </c>
      <c r="J2479" s="2">
        <v>577.59</v>
      </c>
    </row>
    <row r="2480" spans="2:10" hidden="1" x14ac:dyDescent="0.2">
      <c r="B2480" t="s">
        <v>933</v>
      </c>
      <c r="C2480" t="s">
        <v>31</v>
      </c>
      <c r="D2480" t="s">
        <v>934</v>
      </c>
      <c r="E2480" t="s">
        <v>167</v>
      </c>
      <c r="F2480" t="s">
        <v>168</v>
      </c>
      <c r="G2480" t="s">
        <v>1033</v>
      </c>
      <c r="H2480" t="s">
        <v>30</v>
      </c>
      <c r="I2480" s="1">
        <v>1</v>
      </c>
      <c r="J2480" s="2">
        <v>1267.24</v>
      </c>
    </row>
    <row r="2481" spans="2:10" hidden="1" x14ac:dyDescent="0.2">
      <c r="B2481" t="s">
        <v>933</v>
      </c>
      <c r="C2481" t="s">
        <v>31</v>
      </c>
      <c r="D2481" t="s">
        <v>934</v>
      </c>
      <c r="E2481" t="s">
        <v>19</v>
      </c>
      <c r="F2481" t="s">
        <v>20</v>
      </c>
      <c r="G2481" t="s">
        <v>14</v>
      </c>
      <c r="H2481" t="s">
        <v>21</v>
      </c>
      <c r="I2481" s="1">
        <v>1</v>
      </c>
      <c r="J2481" s="2">
        <v>431.04</v>
      </c>
    </row>
    <row r="2482" spans="2:10" hidden="1" x14ac:dyDescent="0.2">
      <c r="B2482" t="s">
        <v>933</v>
      </c>
      <c r="C2482" t="s">
        <v>31</v>
      </c>
      <c r="D2482" t="s">
        <v>934</v>
      </c>
      <c r="E2482" t="s">
        <v>70</v>
      </c>
      <c r="F2482" t="s">
        <v>71</v>
      </c>
      <c r="G2482" t="s">
        <v>1033</v>
      </c>
      <c r="H2482" t="s">
        <v>30</v>
      </c>
      <c r="I2482" s="1">
        <v>1</v>
      </c>
      <c r="J2482" s="2">
        <v>2112.0700000000002</v>
      </c>
    </row>
    <row r="2483" spans="2:10" hidden="1" x14ac:dyDescent="0.2">
      <c r="B2483" t="s">
        <v>933</v>
      </c>
      <c r="C2483" t="s">
        <v>31</v>
      </c>
      <c r="D2483" t="s">
        <v>934</v>
      </c>
      <c r="E2483" t="s">
        <v>36</v>
      </c>
      <c r="F2483" t="s">
        <v>37</v>
      </c>
      <c r="G2483" t="s">
        <v>1034</v>
      </c>
      <c r="H2483" t="s">
        <v>15</v>
      </c>
      <c r="I2483" s="1">
        <v>3</v>
      </c>
      <c r="J2483" s="2">
        <v>905.16000000000008</v>
      </c>
    </row>
    <row r="2484" spans="2:10" hidden="1" x14ac:dyDescent="0.2">
      <c r="B2484" t="s">
        <v>933</v>
      </c>
      <c r="C2484" t="s">
        <v>31</v>
      </c>
      <c r="D2484" t="s">
        <v>934</v>
      </c>
      <c r="E2484" t="s">
        <v>223</v>
      </c>
      <c r="F2484" t="s">
        <v>224</v>
      </c>
      <c r="G2484" t="s">
        <v>43</v>
      </c>
      <c r="H2484" t="s">
        <v>50</v>
      </c>
      <c r="I2484" s="1">
        <v>1</v>
      </c>
      <c r="J2484" s="2">
        <v>1637.93</v>
      </c>
    </row>
    <row r="2485" spans="2:10" hidden="1" x14ac:dyDescent="0.2">
      <c r="B2485" t="s">
        <v>933</v>
      </c>
      <c r="C2485" t="s">
        <v>31</v>
      </c>
      <c r="D2485" t="s">
        <v>934</v>
      </c>
      <c r="E2485" t="s">
        <v>231</v>
      </c>
      <c r="F2485" t="s">
        <v>232</v>
      </c>
      <c r="G2485" t="s">
        <v>43</v>
      </c>
      <c r="H2485" t="s">
        <v>50</v>
      </c>
      <c r="I2485" s="1">
        <v>1</v>
      </c>
      <c r="J2485" s="2">
        <v>3017.24</v>
      </c>
    </row>
    <row r="2486" spans="2:10" hidden="1" x14ac:dyDescent="0.2">
      <c r="B2486" t="s">
        <v>933</v>
      </c>
      <c r="C2486" t="s">
        <v>31</v>
      </c>
      <c r="D2486" t="s">
        <v>934</v>
      </c>
      <c r="E2486" t="s">
        <v>61</v>
      </c>
      <c r="F2486" t="s">
        <v>62</v>
      </c>
      <c r="G2486" t="s">
        <v>1034</v>
      </c>
      <c r="H2486" t="s">
        <v>15</v>
      </c>
      <c r="I2486" s="1">
        <v>1</v>
      </c>
      <c r="J2486" s="2">
        <v>172.41</v>
      </c>
    </row>
    <row r="2487" spans="2:10" hidden="1" x14ac:dyDescent="0.2">
      <c r="B2487" t="s">
        <v>933</v>
      </c>
      <c r="C2487" t="s">
        <v>31</v>
      </c>
      <c r="D2487" t="s">
        <v>934</v>
      </c>
      <c r="E2487" t="s">
        <v>16</v>
      </c>
      <c r="F2487" t="s">
        <v>17</v>
      </c>
      <c r="G2487" t="s">
        <v>1034</v>
      </c>
      <c r="H2487" t="s">
        <v>15</v>
      </c>
      <c r="I2487" s="1">
        <v>2</v>
      </c>
      <c r="J2487" s="2">
        <v>1155.18</v>
      </c>
    </row>
    <row r="2488" spans="2:10" hidden="1" x14ac:dyDescent="0.2">
      <c r="B2488" t="s">
        <v>933</v>
      </c>
      <c r="C2488" t="s">
        <v>31</v>
      </c>
      <c r="D2488" t="s">
        <v>934</v>
      </c>
      <c r="E2488" t="s">
        <v>193</v>
      </c>
      <c r="F2488" t="s">
        <v>194</v>
      </c>
      <c r="G2488" t="s">
        <v>1034</v>
      </c>
      <c r="H2488" t="s">
        <v>15</v>
      </c>
      <c r="I2488" s="1">
        <v>1</v>
      </c>
      <c r="J2488" s="2">
        <v>1293.0999999999999</v>
      </c>
    </row>
    <row r="2489" spans="2:10" hidden="1" x14ac:dyDescent="0.2">
      <c r="B2489" t="s">
        <v>933</v>
      </c>
      <c r="C2489" t="s">
        <v>40</v>
      </c>
      <c r="D2489" t="s">
        <v>934</v>
      </c>
      <c r="E2489" t="s">
        <v>798</v>
      </c>
      <c r="F2489" t="s">
        <v>799</v>
      </c>
      <c r="G2489" t="s">
        <v>14</v>
      </c>
      <c r="H2489" t="s">
        <v>60</v>
      </c>
      <c r="I2489" s="1">
        <v>1</v>
      </c>
      <c r="J2489" s="2">
        <v>327.58999999999997</v>
      </c>
    </row>
    <row r="2490" spans="2:10" hidden="1" x14ac:dyDescent="0.2">
      <c r="B2490" t="s">
        <v>933</v>
      </c>
      <c r="C2490" t="s">
        <v>40</v>
      </c>
      <c r="D2490" t="s">
        <v>934</v>
      </c>
      <c r="E2490" t="s">
        <v>72</v>
      </c>
      <c r="F2490" t="s">
        <v>73</v>
      </c>
      <c r="G2490" t="s">
        <v>1034</v>
      </c>
      <c r="H2490" t="s">
        <v>15</v>
      </c>
      <c r="I2490" s="1">
        <v>1</v>
      </c>
      <c r="J2490" s="2">
        <v>775.86</v>
      </c>
    </row>
    <row r="2491" spans="2:10" hidden="1" x14ac:dyDescent="0.2">
      <c r="B2491" t="s">
        <v>933</v>
      </c>
      <c r="C2491" t="s">
        <v>40</v>
      </c>
      <c r="D2491" t="s">
        <v>934</v>
      </c>
      <c r="E2491" t="s">
        <v>122</v>
      </c>
      <c r="F2491" t="s">
        <v>123</v>
      </c>
      <c r="G2491" t="s">
        <v>1034</v>
      </c>
      <c r="H2491" t="s">
        <v>15</v>
      </c>
      <c r="I2491" s="1">
        <v>1</v>
      </c>
      <c r="J2491" s="2">
        <v>387.93</v>
      </c>
    </row>
    <row r="2492" spans="2:10" hidden="1" x14ac:dyDescent="0.2">
      <c r="B2492" t="s">
        <v>933</v>
      </c>
      <c r="C2492" t="s">
        <v>40</v>
      </c>
      <c r="D2492" t="s">
        <v>934</v>
      </c>
      <c r="E2492" t="s">
        <v>74</v>
      </c>
      <c r="F2492" t="s">
        <v>75</v>
      </c>
      <c r="G2492" t="s">
        <v>76</v>
      </c>
      <c r="H2492" t="s">
        <v>60</v>
      </c>
      <c r="I2492" s="1">
        <v>1</v>
      </c>
      <c r="J2492" s="2">
        <v>344.83</v>
      </c>
    </row>
    <row r="2493" spans="2:10" hidden="1" x14ac:dyDescent="0.2">
      <c r="B2493" t="s">
        <v>933</v>
      </c>
      <c r="C2493" t="s">
        <v>40</v>
      </c>
      <c r="D2493" t="s">
        <v>934</v>
      </c>
      <c r="E2493" t="s">
        <v>22</v>
      </c>
      <c r="F2493" t="s">
        <v>23</v>
      </c>
      <c r="G2493" t="s">
        <v>14</v>
      </c>
      <c r="H2493" t="s">
        <v>24</v>
      </c>
      <c r="I2493" s="1">
        <v>1</v>
      </c>
      <c r="J2493" s="2">
        <v>215.52</v>
      </c>
    </row>
    <row r="2494" spans="2:10" hidden="1" x14ac:dyDescent="0.2">
      <c r="B2494" t="s">
        <v>933</v>
      </c>
      <c r="C2494" t="s">
        <v>40</v>
      </c>
      <c r="D2494" t="s">
        <v>934</v>
      </c>
      <c r="E2494" t="s">
        <v>157</v>
      </c>
      <c r="F2494" t="s">
        <v>158</v>
      </c>
      <c r="G2494" t="s">
        <v>14</v>
      </c>
      <c r="H2494" t="s">
        <v>87</v>
      </c>
      <c r="I2494" s="1">
        <v>1</v>
      </c>
      <c r="J2494" s="2">
        <v>284.48</v>
      </c>
    </row>
    <row r="2495" spans="2:10" hidden="1" x14ac:dyDescent="0.2">
      <c r="B2495" t="s">
        <v>933</v>
      </c>
      <c r="C2495" t="s">
        <v>40</v>
      </c>
      <c r="D2495" t="s">
        <v>934</v>
      </c>
      <c r="E2495" t="s">
        <v>38</v>
      </c>
      <c r="F2495" t="s">
        <v>39</v>
      </c>
      <c r="G2495" t="s">
        <v>1034</v>
      </c>
      <c r="H2495" t="s">
        <v>15</v>
      </c>
      <c r="I2495" s="1">
        <v>2</v>
      </c>
      <c r="J2495" s="2">
        <v>862.06</v>
      </c>
    </row>
    <row r="2496" spans="2:10" hidden="1" x14ac:dyDescent="0.2">
      <c r="B2496" t="s">
        <v>933</v>
      </c>
      <c r="C2496" t="s">
        <v>40</v>
      </c>
      <c r="D2496" t="s">
        <v>934</v>
      </c>
      <c r="E2496" t="s">
        <v>16</v>
      </c>
      <c r="F2496" t="s">
        <v>17</v>
      </c>
      <c r="G2496" t="s">
        <v>1034</v>
      </c>
      <c r="H2496" t="s">
        <v>15</v>
      </c>
      <c r="I2496" s="1">
        <v>3</v>
      </c>
      <c r="J2496" s="2">
        <v>1732.77</v>
      </c>
    </row>
    <row r="2497" spans="2:10" hidden="1" x14ac:dyDescent="0.2">
      <c r="B2497" t="s">
        <v>933</v>
      </c>
      <c r="C2497" t="s">
        <v>40</v>
      </c>
      <c r="D2497" t="s">
        <v>934</v>
      </c>
      <c r="E2497" t="s">
        <v>344</v>
      </c>
      <c r="F2497" t="s">
        <v>345</v>
      </c>
      <c r="G2497" t="s">
        <v>1033</v>
      </c>
      <c r="H2497" t="s">
        <v>30</v>
      </c>
      <c r="I2497" s="1">
        <v>1</v>
      </c>
      <c r="J2497" s="2">
        <v>2163.79</v>
      </c>
    </row>
    <row r="2498" spans="2:10" hidden="1" x14ac:dyDescent="0.2">
      <c r="B2498" t="s">
        <v>933</v>
      </c>
      <c r="C2498" t="s">
        <v>51</v>
      </c>
      <c r="D2498" t="s">
        <v>934</v>
      </c>
      <c r="E2498" t="s">
        <v>724</v>
      </c>
      <c r="F2498" t="s">
        <v>725</v>
      </c>
      <c r="G2498" t="s">
        <v>43</v>
      </c>
      <c r="H2498" t="s">
        <v>50</v>
      </c>
      <c r="I2498" s="1">
        <v>1</v>
      </c>
      <c r="J2498" s="2">
        <v>1810.34</v>
      </c>
    </row>
    <row r="2499" spans="2:10" hidden="1" x14ac:dyDescent="0.2">
      <c r="B2499" t="s">
        <v>933</v>
      </c>
      <c r="C2499" t="s">
        <v>51</v>
      </c>
      <c r="D2499" t="s">
        <v>934</v>
      </c>
      <c r="E2499" t="s">
        <v>251</v>
      </c>
      <c r="F2499" t="s">
        <v>252</v>
      </c>
      <c r="G2499" t="s">
        <v>1033</v>
      </c>
      <c r="H2499" t="s">
        <v>30</v>
      </c>
      <c r="I2499" s="1">
        <v>1</v>
      </c>
      <c r="J2499" s="2">
        <v>1500</v>
      </c>
    </row>
    <row r="2500" spans="2:10" hidden="1" x14ac:dyDescent="0.2">
      <c r="B2500" t="s">
        <v>933</v>
      </c>
      <c r="C2500" t="s">
        <v>51</v>
      </c>
      <c r="D2500" t="s">
        <v>934</v>
      </c>
      <c r="E2500" t="s">
        <v>72</v>
      </c>
      <c r="F2500" t="s">
        <v>73</v>
      </c>
      <c r="G2500" t="s">
        <v>1034</v>
      </c>
      <c r="H2500" t="s">
        <v>15</v>
      </c>
      <c r="I2500" s="1">
        <v>1</v>
      </c>
      <c r="J2500" s="2">
        <v>775.86</v>
      </c>
    </row>
    <row r="2501" spans="2:10" hidden="1" x14ac:dyDescent="0.2">
      <c r="B2501" t="s">
        <v>933</v>
      </c>
      <c r="C2501" t="s">
        <v>51</v>
      </c>
      <c r="D2501" t="s">
        <v>934</v>
      </c>
      <c r="E2501" t="s">
        <v>122</v>
      </c>
      <c r="F2501" t="s">
        <v>123</v>
      </c>
      <c r="G2501" t="s">
        <v>1034</v>
      </c>
      <c r="H2501" t="s">
        <v>15</v>
      </c>
      <c r="I2501" s="1">
        <v>1</v>
      </c>
      <c r="J2501" s="2">
        <v>387.93</v>
      </c>
    </row>
    <row r="2502" spans="2:10" hidden="1" x14ac:dyDescent="0.2">
      <c r="B2502" t="s">
        <v>933</v>
      </c>
      <c r="C2502" t="s">
        <v>51</v>
      </c>
      <c r="D2502" t="s">
        <v>934</v>
      </c>
      <c r="E2502" t="s">
        <v>312</v>
      </c>
      <c r="F2502" t="s">
        <v>313</v>
      </c>
      <c r="G2502" t="s">
        <v>1033</v>
      </c>
      <c r="H2502" t="s">
        <v>30</v>
      </c>
      <c r="I2502" s="1">
        <v>1</v>
      </c>
      <c r="J2502" s="2">
        <v>603.45000000000005</v>
      </c>
    </row>
    <row r="2503" spans="2:10" hidden="1" x14ac:dyDescent="0.2">
      <c r="B2503" t="s">
        <v>933</v>
      </c>
      <c r="C2503" t="s">
        <v>51</v>
      </c>
      <c r="D2503" t="s">
        <v>934</v>
      </c>
      <c r="E2503" t="s">
        <v>231</v>
      </c>
      <c r="F2503" t="s">
        <v>232</v>
      </c>
      <c r="G2503" t="s">
        <v>43</v>
      </c>
      <c r="H2503" t="s">
        <v>50</v>
      </c>
      <c r="I2503" s="1">
        <v>1</v>
      </c>
      <c r="J2503" s="2">
        <v>3017.24</v>
      </c>
    </row>
    <row r="2504" spans="2:10" hidden="1" x14ac:dyDescent="0.2">
      <c r="B2504" t="s">
        <v>933</v>
      </c>
      <c r="C2504" t="s">
        <v>51</v>
      </c>
      <c r="D2504" t="s">
        <v>934</v>
      </c>
      <c r="E2504" t="s">
        <v>16</v>
      </c>
      <c r="F2504" t="s">
        <v>17</v>
      </c>
      <c r="G2504" t="s">
        <v>1034</v>
      </c>
      <c r="H2504" t="s">
        <v>15</v>
      </c>
      <c r="I2504" s="1">
        <v>1</v>
      </c>
      <c r="J2504" s="2">
        <v>577.59</v>
      </c>
    </row>
    <row r="2505" spans="2:10" hidden="1" x14ac:dyDescent="0.2">
      <c r="B2505" t="s">
        <v>933</v>
      </c>
      <c r="C2505" t="s">
        <v>51</v>
      </c>
      <c r="D2505" t="s">
        <v>934</v>
      </c>
      <c r="E2505" t="s">
        <v>416</v>
      </c>
      <c r="F2505" t="s">
        <v>417</v>
      </c>
      <c r="G2505" t="s">
        <v>1033</v>
      </c>
      <c r="H2505" t="s">
        <v>30</v>
      </c>
      <c r="I2505" s="1">
        <v>1</v>
      </c>
      <c r="J2505" s="2">
        <v>2258.62</v>
      </c>
    </row>
    <row r="2506" spans="2:10" hidden="1" x14ac:dyDescent="0.2">
      <c r="B2506" t="s">
        <v>933</v>
      </c>
      <c r="C2506" t="s">
        <v>65</v>
      </c>
      <c r="D2506" t="s">
        <v>934</v>
      </c>
      <c r="E2506" t="s">
        <v>19</v>
      </c>
      <c r="F2506" t="s">
        <v>20</v>
      </c>
      <c r="G2506" t="s">
        <v>14</v>
      </c>
      <c r="H2506" t="s">
        <v>21</v>
      </c>
      <c r="I2506" s="1">
        <v>1</v>
      </c>
      <c r="J2506" s="2">
        <v>431.04</v>
      </c>
    </row>
    <row r="2507" spans="2:10" hidden="1" x14ac:dyDescent="0.2">
      <c r="B2507" t="s">
        <v>933</v>
      </c>
      <c r="C2507" t="s">
        <v>65</v>
      </c>
      <c r="D2507" t="s">
        <v>934</v>
      </c>
      <c r="E2507" t="s">
        <v>122</v>
      </c>
      <c r="F2507" t="s">
        <v>123</v>
      </c>
      <c r="G2507" t="s">
        <v>1034</v>
      </c>
      <c r="H2507" t="s">
        <v>15</v>
      </c>
      <c r="I2507" s="1">
        <v>1</v>
      </c>
      <c r="J2507" s="2">
        <v>387.93</v>
      </c>
    </row>
    <row r="2508" spans="2:10" hidden="1" x14ac:dyDescent="0.2">
      <c r="B2508" t="s">
        <v>933</v>
      </c>
      <c r="C2508" t="s">
        <v>65</v>
      </c>
      <c r="D2508" t="s">
        <v>934</v>
      </c>
      <c r="E2508" t="s">
        <v>38</v>
      </c>
      <c r="F2508" t="s">
        <v>39</v>
      </c>
      <c r="G2508" t="s">
        <v>1034</v>
      </c>
      <c r="H2508" t="s">
        <v>15</v>
      </c>
      <c r="I2508" s="1">
        <v>1</v>
      </c>
      <c r="J2508" s="2">
        <v>431.03</v>
      </c>
    </row>
    <row r="2509" spans="2:10" hidden="1" x14ac:dyDescent="0.2">
      <c r="B2509" t="s">
        <v>933</v>
      </c>
      <c r="C2509" t="s">
        <v>82</v>
      </c>
      <c r="D2509" t="s">
        <v>934</v>
      </c>
      <c r="E2509" t="s">
        <v>318</v>
      </c>
      <c r="F2509" t="s">
        <v>319</v>
      </c>
      <c r="G2509" t="s">
        <v>1033</v>
      </c>
      <c r="H2509" t="s">
        <v>30</v>
      </c>
      <c r="I2509" s="1">
        <v>1</v>
      </c>
      <c r="J2509" s="2">
        <v>456.9</v>
      </c>
    </row>
    <row r="2510" spans="2:10" hidden="1" x14ac:dyDescent="0.2">
      <c r="B2510" t="s">
        <v>933</v>
      </c>
      <c r="C2510" t="s">
        <v>82</v>
      </c>
      <c r="D2510" t="s">
        <v>934</v>
      </c>
      <c r="E2510" t="s">
        <v>44</v>
      </c>
      <c r="F2510" t="s">
        <v>45</v>
      </c>
      <c r="G2510" t="s">
        <v>1033</v>
      </c>
      <c r="H2510" t="s">
        <v>30</v>
      </c>
      <c r="I2510" s="1">
        <v>1</v>
      </c>
      <c r="J2510" s="2">
        <v>81.900000000000006</v>
      </c>
    </row>
    <row r="2511" spans="2:10" hidden="1" x14ac:dyDescent="0.2">
      <c r="B2511" t="s">
        <v>933</v>
      </c>
      <c r="C2511" t="s">
        <v>82</v>
      </c>
      <c r="D2511" t="s">
        <v>934</v>
      </c>
      <c r="E2511" t="s">
        <v>169</v>
      </c>
      <c r="F2511" t="s">
        <v>170</v>
      </c>
      <c r="G2511" t="s">
        <v>1033</v>
      </c>
      <c r="H2511" t="s">
        <v>30</v>
      </c>
      <c r="I2511" s="1">
        <v>1</v>
      </c>
      <c r="J2511" s="2">
        <v>258.62</v>
      </c>
    </row>
    <row r="2512" spans="2:10" hidden="1" x14ac:dyDescent="0.2">
      <c r="B2512" t="s">
        <v>933</v>
      </c>
      <c r="C2512" t="s">
        <v>82</v>
      </c>
      <c r="D2512" t="s">
        <v>934</v>
      </c>
      <c r="E2512" t="s">
        <v>573</v>
      </c>
      <c r="F2512" t="s">
        <v>574</v>
      </c>
      <c r="G2512" t="s">
        <v>1033</v>
      </c>
      <c r="H2512" t="s">
        <v>30</v>
      </c>
      <c r="I2512" s="1">
        <v>1</v>
      </c>
      <c r="J2512" s="2">
        <v>775.86</v>
      </c>
    </row>
    <row r="2513" spans="2:10" hidden="1" x14ac:dyDescent="0.2">
      <c r="B2513" t="s">
        <v>933</v>
      </c>
      <c r="C2513" t="s">
        <v>82</v>
      </c>
      <c r="D2513" t="s">
        <v>934</v>
      </c>
      <c r="E2513" t="s">
        <v>36</v>
      </c>
      <c r="F2513" t="s">
        <v>37</v>
      </c>
      <c r="G2513" t="s">
        <v>1034</v>
      </c>
      <c r="H2513" t="s">
        <v>15</v>
      </c>
      <c r="I2513" s="1">
        <v>1</v>
      </c>
      <c r="J2513" s="2">
        <v>301.72000000000003</v>
      </c>
    </row>
    <row r="2514" spans="2:10" hidden="1" x14ac:dyDescent="0.2">
      <c r="B2514" t="s">
        <v>933</v>
      </c>
      <c r="C2514" t="s">
        <v>82</v>
      </c>
      <c r="D2514" t="s">
        <v>934</v>
      </c>
      <c r="E2514" t="s">
        <v>101</v>
      </c>
      <c r="F2514" t="s">
        <v>102</v>
      </c>
      <c r="G2514" t="s">
        <v>103</v>
      </c>
      <c r="H2514" t="s">
        <v>104</v>
      </c>
      <c r="I2514" s="1">
        <v>7</v>
      </c>
      <c r="J2514" s="2">
        <v>7.0000000000000007E-2</v>
      </c>
    </row>
    <row r="2515" spans="2:10" hidden="1" x14ac:dyDescent="0.2">
      <c r="B2515" t="s">
        <v>933</v>
      </c>
      <c r="C2515" t="s">
        <v>82</v>
      </c>
      <c r="D2515" t="s">
        <v>934</v>
      </c>
      <c r="E2515" t="s">
        <v>336</v>
      </c>
      <c r="F2515" t="s">
        <v>337</v>
      </c>
      <c r="G2515" t="s">
        <v>1034</v>
      </c>
      <c r="H2515" t="s">
        <v>15</v>
      </c>
      <c r="I2515" s="1">
        <v>1</v>
      </c>
      <c r="J2515" s="2">
        <v>387.93</v>
      </c>
    </row>
    <row r="2516" spans="2:10" hidden="1" x14ac:dyDescent="0.2">
      <c r="B2516" t="s">
        <v>933</v>
      </c>
      <c r="C2516" t="s">
        <v>82</v>
      </c>
      <c r="D2516" t="s">
        <v>934</v>
      </c>
      <c r="E2516" t="s">
        <v>122</v>
      </c>
      <c r="F2516" t="s">
        <v>123</v>
      </c>
      <c r="G2516" t="s">
        <v>1034</v>
      </c>
      <c r="H2516" t="s">
        <v>15</v>
      </c>
      <c r="I2516" s="1">
        <v>1</v>
      </c>
      <c r="J2516" s="2">
        <v>387.93</v>
      </c>
    </row>
    <row r="2517" spans="2:10" hidden="1" x14ac:dyDescent="0.2">
      <c r="B2517" t="s">
        <v>933</v>
      </c>
      <c r="C2517" t="s">
        <v>82</v>
      </c>
      <c r="D2517" t="s">
        <v>934</v>
      </c>
      <c r="E2517" t="s">
        <v>153</v>
      </c>
      <c r="F2517" t="s">
        <v>154</v>
      </c>
      <c r="G2517" t="s">
        <v>1034</v>
      </c>
      <c r="H2517" t="s">
        <v>15</v>
      </c>
      <c r="I2517" s="1">
        <v>1</v>
      </c>
      <c r="J2517" s="2">
        <v>387.93</v>
      </c>
    </row>
    <row r="2518" spans="2:10" hidden="1" x14ac:dyDescent="0.2">
      <c r="B2518" t="s">
        <v>933</v>
      </c>
      <c r="C2518" t="s">
        <v>82</v>
      </c>
      <c r="D2518" t="s">
        <v>934</v>
      </c>
      <c r="E2518" t="s">
        <v>56</v>
      </c>
      <c r="F2518" t="s">
        <v>57</v>
      </c>
      <c r="G2518" t="s">
        <v>1034</v>
      </c>
      <c r="H2518" t="s">
        <v>15</v>
      </c>
      <c r="I2518" s="1">
        <v>3</v>
      </c>
      <c r="J2518" s="2">
        <v>1293.0999999999999</v>
      </c>
    </row>
    <row r="2519" spans="2:10" hidden="1" x14ac:dyDescent="0.2">
      <c r="B2519" t="s">
        <v>933</v>
      </c>
      <c r="C2519" t="s">
        <v>82</v>
      </c>
      <c r="D2519" t="s">
        <v>934</v>
      </c>
      <c r="E2519" t="s">
        <v>61</v>
      </c>
      <c r="F2519" t="s">
        <v>62</v>
      </c>
      <c r="G2519" t="s">
        <v>1034</v>
      </c>
      <c r="H2519" t="s">
        <v>15</v>
      </c>
      <c r="I2519" s="1">
        <v>1</v>
      </c>
      <c r="J2519" s="2">
        <v>172.41</v>
      </c>
    </row>
    <row r="2520" spans="2:10" hidden="1" x14ac:dyDescent="0.2">
      <c r="B2520" t="s">
        <v>933</v>
      </c>
      <c r="C2520" t="s">
        <v>82</v>
      </c>
      <c r="D2520" t="s">
        <v>934</v>
      </c>
      <c r="E2520" t="s">
        <v>63</v>
      </c>
      <c r="F2520" t="s">
        <v>64</v>
      </c>
      <c r="G2520" t="s">
        <v>1034</v>
      </c>
      <c r="H2520" t="s">
        <v>15</v>
      </c>
      <c r="I2520" s="1">
        <v>1</v>
      </c>
      <c r="J2520" s="2">
        <v>172.41</v>
      </c>
    </row>
    <row r="2521" spans="2:10" hidden="1" x14ac:dyDescent="0.2">
      <c r="B2521" t="s">
        <v>933</v>
      </c>
      <c r="C2521" t="s">
        <v>88</v>
      </c>
      <c r="D2521" t="s">
        <v>277</v>
      </c>
      <c r="E2521" t="s">
        <v>167</v>
      </c>
      <c r="F2521" t="s">
        <v>168</v>
      </c>
      <c r="G2521" t="s">
        <v>1033</v>
      </c>
      <c r="H2521" t="s">
        <v>30</v>
      </c>
      <c r="I2521" s="1">
        <v>1</v>
      </c>
      <c r="J2521" s="2">
        <v>1267.24</v>
      </c>
    </row>
    <row r="2522" spans="2:10" hidden="1" x14ac:dyDescent="0.2">
      <c r="B2522" t="s">
        <v>933</v>
      </c>
      <c r="C2522" t="s">
        <v>88</v>
      </c>
      <c r="D2522" t="s">
        <v>277</v>
      </c>
      <c r="E2522" t="s">
        <v>621</v>
      </c>
      <c r="F2522" t="s">
        <v>622</v>
      </c>
      <c r="G2522" t="s">
        <v>14</v>
      </c>
      <c r="H2522" t="s">
        <v>27</v>
      </c>
      <c r="I2522" s="1">
        <v>1</v>
      </c>
      <c r="J2522" s="2">
        <v>413.79</v>
      </c>
    </row>
    <row r="2523" spans="2:10" hidden="1" x14ac:dyDescent="0.2">
      <c r="B2523" t="s">
        <v>933</v>
      </c>
      <c r="C2523" t="s">
        <v>88</v>
      </c>
      <c r="D2523" t="s">
        <v>277</v>
      </c>
      <c r="E2523" t="s">
        <v>221</v>
      </c>
      <c r="F2523" t="s">
        <v>222</v>
      </c>
      <c r="G2523" t="s">
        <v>1034</v>
      </c>
      <c r="H2523" t="s">
        <v>15</v>
      </c>
      <c r="I2523" s="1">
        <v>1</v>
      </c>
      <c r="J2523" s="2">
        <v>431.03</v>
      </c>
    </row>
    <row r="2524" spans="2:10" hidden="1" x14ac:dyDescent="0.2">
      <c r="B2524" t="s">
        <v>933</v>
      </c>
      <c r="C2524" t="s">
        <v>88</v>
      </c>
      <c r="D2524" t="s">
        <v>277</v>
      </c>
      <c r="E2524" t="s">
        <v>573</v>
      </c>
      <c r="F2524" t="s">
        <v>574</v>
      </c>
      <c r="G2524" t="s">
        <v>1033</v>
      </c>
      <c r="H2524" t="s">
        <v>30</v>
      </c>
      <c r="I2524" s="1">
        <v>1</v>
      </c>
      <c r="J2524" s="2">
        <v>775.86</v>
      </c>
    </row>
    <row r="2525" spans="2:10" hidden="1" x14ac:dyDescent="0.2">
      <c r="B2525" t="s">
        <v>933</v>
      </c>
      <c r="C2525" t="s">
        <v>88</v>
      </c>
      <c r="D2525" t="s">
        <v>277</v>
      </c>
      <c r="E2525" t="s">
        <v>72</v>
      </c>
      <c r="F2525" t="s">
        <v>73</v>
      </c>
      <c r="G2525" t="s">
        <v>1034</v>
      </c>
      <c r="H2525" t="s">
        <v>15</v>
      </c>
      <c r="I2525" s="1">
        <v>1</v>
      </c>
      <c r="J2525" s="2">
        <v>775.86</v>
      </c>
    </row>
    <row r="2526" spans="2:10" hidden="1" x14ac:dyDescent="0.2">
      <c r="B2526" t="s">
        <v>933</v>
      </c>
      <c r="C2526" t="s">
        <v>88</v>
      </c>
      <c r="D2526" t="s">
        <v>277</v>
      </c>
      <c r="E2526" t="s">
        <v>285</v>
      </c>
      <c r="F2526" t="s">
        <v>286</v>
      </c>
      <c r="G2526" t="s">
        <v>1033</v>
      </c>
      <c r="H2526" t="s">
        <v>30</v>
      </c>
      <c r="I2526" s="1">
        <v>1</v>
      </c>
      <c r="J2526" s="2">
        <v>1034.48</v>
      </c>
    </row>
    <row r="2527" spans="2:10" hidden="1" x14ac:dyDescent="0.2">
      <c r="B2527" t="s">
        <v>933</v>
      </c>
      <c r="C2527" t="s">
        <v>88</v>
      </c>
      <c r="D2527" t="s">
        <v>277</v>
      </c>
      <c r="E2527" t="s">
        <v>22</v>
      </c>
      <c r="F2527" t="s">
        <v>23</v>
      </c>
      <c r="G2527" t="s">
        <v>14</v>
      </c>
      <c r="H2527" t="s">
        <v>24</v>
      </c>
      <c r="I2527" s="1">
        <v>1</v>
      </c>
      <c r="J2527" s="2">
        <v>215.52</v>
      </c>
    </row>
    <row r="2528" spans="2:10" hidden="1" x14ac:dyDescent="0.2">
      <c r="B2528" t="s">
        <v>933</v>
      </c>
      <c r="C2528" t="s">
        <v>88</v>
      </c>
      <c r="D2528" t="s">
        <v>277</v>
      </c>
      <c r="E2528" t="s">
        <v>56</v>
      </c>
      <c r="F2528" t="s">
        <v>57</v>
      </c>
      <c r="G2528" t="s">
        <v>1034</v>
      </c>
      <c r="H2528" t="s">
        <v>15</v>
      </c>
      <c r="I2528" s="1">
        <v>1</v>
      </c>
      <c r="J2528" s="2">
        <v>431.03</v>
      </c>
    </row>
    <row r="2529" spans="2:10" hidden="1" x14ac:dyDescent="0.2">
      <c r="B2529" t="s">
        <v>933</v>
      </c>
      <c r="C2529" t="s">
        <v>88</v>
      </c>
      <c r="D2529" t="s">
        <v>277</v>
      </c>
      <c r="E2529" t="s">
        <v>521</v>
      </c>
      <c r="F2529" t="s">
        <v>522</v>
      </c>
      <c r="G2529" t="s">
        <v>14</v>
      </c>
      <c r="H2529" t="s">
        <v>104</v>
      </c>
      <c r="I2529" s="1">
        <v>2</v>
      </c>
      <c r="J2529" s="2">
        <v>43.1</v>
      </c>
    </row>
    <row r="2530" spans="2:10" hidden="1" x14ac:dyDescent="0.2">
      <c r="B2530" t="s">
        <v>933</v>
      </c>
      <c r="C2530" t="s">
        <v>88</v>
      </c>
      <c r="D2530" t="s">
        <v>277</v>
      </c>
      <c r="E2530" t="s">
        <v>406</v>
      </c>
      <c r="F2530" t="s">
        <v>407</v>
      </c>
      <c r="G2530" t="s">
        <v>14</v>
      </c>
      <c r="H2530" t="s">
        <v>104</v>
      </c>
      <c r="I2530" s="1">
        <v>2</v>
      </c>
      <c r="J2530" s="2">
        <v>34.479999999999997</v>
      </c>
    </row>
    <row r="2531" spans="2:10" hidden="1" x14ac:dyDescent="0.2">
      <c r="B2531" t="s">
        <v>933</v>
      </c>
      <c r="C2531" t="s">
        <v>88</v>
      </c>
      <c r="D2531" t="s">
        <v>277</v>
      </c>
      <c r="E2531" t="s">
        <v>193</v>
      </c>
      <c r="F2531" t="s">
        <v>194</v>
      </c>
      <c r="G2531" t="s">
        <v>1034</v>
      </c>
      <c r="H2531" t="s">
        <v>15</v>
      </c>
      <c r="I2531" s="1">
        <v>1</v>
      </c>
      <c r="J2531" s="2">
        <v>1293.0999999999999</v>
      </c>
    </row>
    <row r="2532" spans="2:10" hidden="1" x14ac:dyDescent="0.2">
      <c r="B2532" t="s">
        <v>933</v>
      </c>
      <c r="C2532" t="s">
        <v>117</v>
      </c>
      <c r="D2532" t="s">
        <v>934</v>
      </c>
      <c r="E2532" t="s">
        <v>44</v>
      </c>
      <c r="F2532" t="s">
        <v>45</v>
      </c>
      <c r="G2532" t="s">
        <v>1033</v>
      </c>
      <c r="H2532" t="s">
        <v>30</v>
      </c>
      <c r="I2532" s="1">
        <v>1</v>
      </c>
      <c r="J2532" s="2">
        <v>81.900000000000006</v>
      </c>
    </row>
    <row r="2533" spans="2:10" hidden="1" x14ac:dyDescent="0.2">
      <c r="B2533" t="s">
        <v>933</v>
      </c>
      <c r="C2533" t="s">
        <v>117</v>
      </c>
      <c r="D2533" t="s">
        <v>934</v>
      </c>
      <c r="E2533" t="s">
        <v>19</v>
      </c>
      <c r="F2533" t="s">
        <v>20</v>
      </c>
      <c r="G2533" t="s">
        <v>14</v>
      </c>
      <c r="H2533" t="s">
        <v>21</v>
      </c>
      <c r="I2533" s="1">
        <v>1</v>
      </c>
      <c r="J2533" s="2">
        <v>431.04</v>
      </c>
    </row>
    <row r="2534" spans="2:10" hidden="1" x14ac:dyDescent="0.2">
      <c r="B2534" t="s">
        <v>933</v>
      </c>
      <c r="C2534" t="s">
        <v>117</v>
      </c>
      <c r="D2534" t="s">
        <v>934</v>
      </c>
      <c r="E2534" t="s">
        <v>36</v>
      </c>
      <c r="F2534" t="s">
        <v>37</v>
      </c>
      <c r="G2534" t="s">
        <v>1034</v>
      </c>
      <c r="H2534" t="s">
        <v>15</v>
      </c>
      <c r="I2534" s="1">
        <v>1</v>
      </c>
      <c r="J2534" s="2">
        <v>301.72000000000003</v>
      </c>
    </row>
    <row r="2535" spans="2:10" hidden="1" x14ac:dyDescent="0.2">
      <c r="B2535" t="s">
        <v>933</v>
      </c>
      <c r="C2535" t="s">
        <v>117</v>
      </c>
      <c r="D2535" t="s">
        <v>934</v>
      </c>
      <c r="E2535" t="s">
        <v>83</v>
      </c>
      <c r="F2535" t="s">
        <v>84</v>
      </c>
      <c r="G2535" t="s">
        <v>1034</v>
      </c>
      <c r="H2535" t="s">
        <v>15</v>
      </c>
      <c r="I2535" s="1">
        <v>1</v>
      </c>
      <c r="J2535" s="2">
        <v>387.93</v>
      </c>
    </row>
    <row r="2536" spans="2:10" hidden="1" x14ac:dyDescent="0.2">
      <c r="B2536" t="s">
        <v>933</v>
      </c>
      <c r="C2536" t="s">
        <v>117</v>
      </c>
      <c r="D2536" t="s">
        <v>934</v>
      </c>
      <c r="E2536" t="s">
        <v>444</v>
      </c>
      <c r="F2536" t="s">
        <v>445</v>
      </c>
      <c r="G2536" t="s">
        <v>14</v>
      </c>
      <c r="H2536" t="s">
        <v>27</v>
      </c>
      <c r="I2536" s="1">
        <v>1</v>
      </c>
      <c r="J2536" s="2">
        <v>508.62</v>
      </c>
    </row>
    <row r="2537" spans="2:10" hidden="1" x14ac:dyDescent="0.2">
      <c r="B2537" t="s">
        <v>933</v>
      </c>
      <c r="C2537" t="s">
        <v>117</v>
      </c>
      <c r="D2537" t="s">
        <v>934</v>
      </c>
      <c r="E2537" t="s">
        <v>22</v>
      </c>
      <c r="F2537" t="s">
        <v>23</v>
      </c>
      <c r="G2537" t="s">
        <v>14</v>
      </c>
      <c r="H2537" t="s">
        <v>24</v>
      </c>
      <c r="I2537" s="1">
        <v>1</v>
      </c>
      <c r="J2537" s="2">
        <v>215.52</v>
      </c>
    </row>
    <row r="2538" spans="2:10" hidden="1" x14ac:dyDescent="0.2">
      <c r="B2538" t="s">
        <v>933</v>
      </c>
      <c r="C2538" t="s">
        <v>117</v>
      </c>
      <c r="D2538" t="s">
        <v>934</v>
      </c>
      <c r="E2538" t="s">
        <v>38</v>
      </c>
      <c r="F2538" t="s">
        <v>39</v>
      </c>
      <c r="G2538" t="s">
        <v>1034</v>
      </c>
      <c r="H2538" t="s">
        <v>15</v>
      </c>
      <c r="I2538" s="1">
        <v>1</v>
      </c>
      <c r="J2538" s="2">
        <v>431.03</v>
      </c>
    </row>
    <row r="2539" spans="2:10" hidden="1" x14ac:dyDescent="0.2">
      <c r="B2539" t="s">
        <v>933</v>
      </c>
      <c r="C2539" t="s">
        <v>117</v>
      </c>
      <c r="D2539" t="s">
        <v>934</v>
      </c>
      <c r="E2539" t="s">
        <v>56</v>
      </c>
      <c r="F2539" t="s">
        <v>57</v>
      </c>
      <c r="G2539" t="s">
        <v>1034</v>
      </c>
      <c r="H2539" t="s">
        <v>15</v>
      </c>
      <c r="I2539" s="1">
        <v>3</v>
      </c>
      <c r="J2539" s="2">
        <v>1293.0899999999999</v>
      </c>
    </row>
    <row r="2540" spans="2:10" hidden="1" x14ac:dyDescent="0.2">
      <c r="B2540" t="s">
        <v>933</v>
      </c>
      <c r="C2540" t="s">
        <v>117</v>
      </c>
      <c r="D2540" t="s">
        <v>934</v>
      </c>
      <c r="E2540" t="s">
        <v>715</v>
      </c>
      <c r="F2540" t="s">
        <v>716</v>
      </c>
      <c r="G2540" t="s">
        <v>43</v>
      </c>
      <c r="H2540" t="s">
        <v>81</v>
      </c>
      <c r="I2540" s="1">
        <v>1</v>
      </c>
      <c r="J2540" s="2">
        <v>1637.93</v>
      </c>
    </row>
    <row r="2541" spans="2:10" hidden="1" x14ac:dyDescent="0.2">
      <c r="B2541" t="s">
        <v>933</v>
      </c>
      <c r="C2541" t="s">
        <v>117</v>
      </c>
      <c r="D2541" t="s">
        <v>934</v>
      </c>
      <c r="E2541" t="s">
        <v>110</v>
      </c>
      <c r="F2541" t="s">
        <v>111</v>
      </c>
      <c r="G2541" t="s">
        <v>14</v>
      </c>
      <c r="H2541" t="s">
        <v>112</v>
      </c>
      <c r="I2541" s="1">
        <v>1</v>
      </c>
      <c r="J2541" s="2">
        <v>301.72000000000003</v>
      </c>
    </row>
    <row r="2542" spans="2:10" hidden="1" x14ac:dyDescent="0.2">
      <c r="B2542" t="s">
        <v>933</v>
      </c>
      <c r="C2542" t="s">
        <v>129</v>
      </c>
      <c r="D2542" t="s">
        <v>934</v>
      </c>
      <c r="E2542" t="s">
        <v>46</v>
      </c>
      <c r="F2542" t="s">
        <v>47</v>
      </c>
      <c r="G2542" t="s">
        <v>1034</v>
      </c>
      <c r="H2542" t="s">
        <v>15</v>
      </c>
      <c r="I2542" s="1">
        <v>1</v>
      </c>
      <c r="J2542" s="2">
        <v>301.72000000000003</v>
      </c>
    </row>
    <row r="2543" spans="2:10" hidden="1" x14ac:dyDescent="0.2">
      <c r="B2543" t="s">
        <v>933</v>
      </c>
      <c r="C2543" t="s">
        <v>129</v>
      </c>
      <c r="D2543" t="s">
        <v>934</v>
      </c>
      <c r="E2543" t="s">
        <v>251</v>
      </c>
      <c r="F2543" t="s">
        <v>252</v>
      </c>
      <c r="G2543" t="s">
        <v>1033</v>
      </c>
      <c r="H2543" t="s">
        <v>30</v>
      </c>
      <c r="I2543" s="1">
        <v>1</v>
      </c>
      <c r="J2543" s="2">
        <v>1500</v>
      </c>
    </row>
    <row r="2544" spans="2:10" hidden="1" x14ac:dyDescent="0.2">
      <c r="B2544" t="s">
        <v>933</v>
      </c>
      <c r="C2544" t="s">
        <v>129</v>
      </c>
      <c r="D2544" t="s">
        <v>934</v>
      </c>
      <c r="E2544" t="s">
        <v>38</v>
      </c>
      <c r="F2544" t="s">
        <v>39</v>
      </c>
      <c r="G2544" t="s">
        <v>1034</v>
      </c>
      <c r="H2544" t="s">
        <v>15</v>
      </c>
      <c r="I2544" s="1">
        <v>1</v>
      </c>
      <c r="J2544" s="2">
        <v>431.03</v>
      </c>
    </row>
    <row r="2545" spans="2:10" hidden="1" x14ac:dyDescent="0.2">
      <c r="B2545" t="s">
        <v>933</v>
      </c>
      <c r="C2545" t="s">
        <v>129</v>
      </c>
      <c r="D2545" t="s">
        <v>934</v>
      </c>
      <c r="E2545" t="s">
        <v>774</v>
      </c>
      <c r="F2545" t="s">
        <v>775</v>
      </c>
      <c r="G2545" t="s">
        <v>1033</v>
      </c>
      <c r="H2545" t="s">
        <v>30</v>
      </c>
      <c r="I2545" s="1">
        <v>1</v>
      </c>
      <c r="J2545" s="2">
        <v>853.45</v>
      </c>
    </row>
    <row r="2546" spans="2:10" hidden="1" x14ac:dyDescent="0.2">
      <c r="B2546" t="s">
        <v>933</v>
      </c>
      <c r="C2546" t="s">
        <v>135</v>
      </c>
      <c r="D2546" t="s">
        <v>934</v>
      </c>
      <c r="E2546" t="s">
        <v>19</v>
      </c>
      <c r="F2546" t="s">
        <v>20</v>
      </c>
      <c r="G2546" t="s">
        <v>14</v>
      </c>
      <c r="H2546" t="s">
        <v>21</v>
      </c>
      <c r="I2546" s="1">
        <v>1</v>
      </c>
      <c r="J2546" s="2">
        <v>431.04</v>
      </c>
    </row>
    <row r="2547" spans="2:10" hidden="1" x14ac:dyDescent="0.2">
      <c r="B2547" t="s">
        <v>933</v>
      </c>
      <c r="C2547" t="s">
        <v>135</v>
      </c>
      <c r="D2547" t="s">
        <v>934</v>
      </c>
      <c r="E2547" t="s">
        <v>142</v>
      </c>
      <c r="F2547" t="s">
        <v>143</v>
      </c>
      <c r="G2547" t="s">
        <v>43</v>
      </c>
      <c r="H2547" t="s">
        <v>50</v>
      </c>
      <c r="I2547" s="1">
        <v>1</v>
      </c>
      <c r="J2547" s="2">
        <v>2155.17</v>
      </c>
    </row>
    <row r="2548" spans="2:10" hidden="1" x14ac:dyDescent="0.2">
      <c r="B2548" t="s">
        <v>933</v>
      </c>
      <c r="C2548" t="s">
        <v>135</v>
      </c>
      <c r="D2548" t="s">
        <v>934</v>
      </c>
      <c r="E2548" t="s">
        <v>36</v>
      </c>
      <c r="F2548" t="s">
        <v>37</v>
      </c>
      <c r="G2548" t="s">
        <v>1034</v>
      </c>
      <c r="H2548" t="s">
        <v>15</v>
      </c>
      <c r="I2548" s="1">
        <v>1</v>
      </c>
      <c r="J2548" s="2">
        <v>301.72000000000003</v>
      </c>
    </row>
    <row r="2549" spans="2:10" hidden="1" x14ac:dyDescent="0.2">
      <c r="B2549" t="s">
        <v>933</v>
      </c>
      <c r="C2549" t="s">
        <v>135</v>
      </c>
      <c r="D2549" t="s">
        <v>934</v>
      </c>
      <c r="E2549" t="s">
        <v>56</v>
      </c>
      <c r="F2549" t="s">
        <v>57</v>
      </c>
      <c r="G2549" t="s">
        <v>1034</v>
      </c>
      <c r="H2549" t="s">
        <v>15</v>
      </c>
      <c r="I2549" s="1">
        <v>1</v>
      </c>
      <c r="J2549" s="2">
        <v>431.03</v>
      </c>
    </row>
    <row r="2550" spans="2:10" hidden="1" x14ac:dyDescent="0.2">
      <c r="B2550" t="s">
        <v>933</v>
      </c>
      <c r="C2550" t="s">
        <v>135</v>
      </c>
      <c r="D2550" t="s">
        <v>934</v>
      </c>
      <c r="E2550" t="s">
        <v>63</v>
      </c>
      <c r="F2550" t="s">
        <v>64</v>
      </c>
      <c r="G2550" t="s">
        <v>1034</v>
      </c>
      <c r="H2550" t="s">
        <v>15</v>
      </c>
      <c r="I2550" s="1">
        <v>1</v>
      </c>
      <c r="J2550" s="2">
        <v>172.41</v>
      </c>
    </row>
    <row r="2551" spans="2:10" hidden="1" x14ac:dyDescent="0.2">
      <c r="B2551" t="s">
        <v>933</v>
      </c>
      <c r="C2551" t="s">
        <v>141</v>
      </c>
      <c r="D2551" t="s">
        <v>934</v>
      </c>
      <c r="E2551" t="s">
        <v>611</v>
      </c>
      <c r="F2551" t="s">
        <v>612</v>
      </c>
      <c r="G2551" t="s">
        <v>1033</v>
      </c>
      <c r="H2551" t="s">
        <v>30</v>
      </c>
      <c r="I2551" s="1">
        <v>1</v>
      </c>
      <c r="J2551" s="2">
        <v>793.1</v>
      </c>
    </row>
    <row r="2552" spans="2:10" hidden="1" x14ac:dyDescent="0.2">
      <c r="B2552" t="s">
        <v>933</v>
      </c>
      <c r="C2552" t="s">
        <v>141</v>
      </c>
      <c r="D2552" t="s">
        <v>934</v>
      </c>
      <c r="E2552" t="s">
        <v>46</v>
      </c>
      <c r="F2552" t="s">
        <v>47</v>
      </c>
      <c r="G2552" t="s">
        <v>1034</v>
      </c>
      <c r="H2552" t="s">
        <v>15</v>
      </c>
      <c r="I2552" s="1">
        <v>2</v>
      </c>
      <c r="J2552" s="2">
        <v>603.44000000000005</v>
      </c>
    </row>
    <row r="2553" spans="2:10" hidden="1" x14ac:dyDescent="0.2">
      <c r="B2553" t="s">
        <v>933</v>
      </c>
      <c r="C2553" t="s">
        <v>141</v>
      </c>
      <c r="D2553" t="s">
        <v>934</v>
      </c>
      <c r="E2553" t="s">
        <v>101</v>
      </c>
      <c r="F2553" t="s">
        <v>102</v>
      </c>
      <c r="G2553" t="s">
        <v>103</v>
      </c>
      <c r="H2553" t="s">
        <v>104</v>
      </c>
      <c r="I2553" s="1">
        <v>3</v>
      </c>
      <c r="J2553" s="2">
        <v>0.03</v>
      </c>
    </row>
    <row r="2554" spans="2:10" hidden="1" x14ac:dyDescent="0.2">
      <c r="B2554" t="s">
        <v>933</v>
      </c>
      <c r="C2554" t="s">
        <v>141</v>
      </c>
      <c r="D2554" t="s">
        <v>934</v>
      </c>
      <c r="E2554" t="s">
        <v>83</v>
      </c>
      <c r="F2554" t="s">
        <v>84</v>
      </c>
      <c r="G2554" t="s">
        <v>1034</v>
      </c>
      <c r="H2554" t="s">
        <v>15</v>
      </c>
      <c r="I2554" s="1">
        <v>1</v>
      </c>
      <c r="J2554" s="2">
        <v>387.93</v>
      </c>
    </row>
    <row r="2555" spans="2:10" hidden="1" x14ac:dyDescent="0.2">
      <c r="B2555" t="s">
        <v>933</v>
      </c>
      <c r="C2555" t="s">
        <v>141</v>
      </c>
      <c r="D2555" t="s">
        <v>934</v>
      </c>
      <c r="E2555" t="s">
        <v>153</v>
      </c>
      <c r="F2555" t="s">
        <v>154</v>
      </c>
      <c r="G2555" t="s">
        <v>1034</v>
      </c>
      <c r="H2555" t="s">
        <v>15</v>
      </c>
      <c r="I2555" s="1">
        <v>1</v>
      </c>
      <c r="J2555" s="2">
        <v>387.93</v>
      </c>
    </row>
    <row r="2556" spans="2:10" hidden="1" x14ac:dyDescent="0.2">
      <c r="B2556" t="s">
        <v>933</v>
      </c>
      <c r="C2556" t="s">
        <v>141</v>
      </c>
      <c r="D2556" t="s">
        <v>934</v>
      </c>
      <c r="E2556" t="s">
        <v>56</v>
      </c>
      <c r="F2556" t="s">
        <v>57</v>
      </c>
      <c r="G2556" t="s">
        <v>1034</v>
      </c>
      <c r="H2556" t="s">
        <v>15</v>
      </c>
      <c r="I2556" s="1">
        <v>2</v>
      </c>
      <c r="J2556" s="2">
        <v>862.06</v>
      </c>
    </row>
    <row r="2557" spans="2:10" hidden="1" x14ac:dyDescent="0.2">
      <c r="B2557" t="s">
        <v>933</v>
      </c>
      <c r="C2557" t="s">
        <v>141</v>
      </c>
      <c r="D2557" t="s">
        <v>934</v>
      </c>
      <c r="E2557" t="s">
        <v>181</v>
      </c>
      <c r="F2557" t="s">
        <v>182</v>
      </c>
      <c r="G2557" t="s">
        <v>43</v>
      </c>
      <c r="H2557" t="s">
        <v>81</v>
      </c>
      <c r="I2557" s="1">
        <v>1</v>
      </c>
      <c r="J2557" s="2">
        <v>1379.31</v>
      </c>
    </row>
    <row r="2558" spans="2:10" hidden="1" x14ac:dyDescent="0.2">
      <c r="B2558" t="s">
        <v>933</v>
      </c>
      <c r="C2558" t="s">
        <v>141</v>
      </c>
      <c r="D2558" t="s">
        <v>934</v>
      </c>
      <c r="E2558" t="s">
        <v>939</v>
      </c>
      <c r="F2558" t="s">
        <v>940</v>
      </c>
      <c r="G2558" t="s">
        <v>1033</v>
      </c>
      <c r="H2558" t="s">
        <v>30</v>
      </c>
      <c r="I2558" s="1">
        <v>1</v>
      </c>
      <c r="J2558" s="2">
        <v>1508.62</v>
      </c>
    </row>
    <row r="2559" spans="2:10" hidden="1" x14ac:dyDescent="0.2">
      <c r="B2559" t="s">
        <v>933</v>
      </c>
      <c r="C2559" t="s">
        <v>144</v>
      </c>
      <c r="D2559" t="s">
        <v>934</v>
      </c>
      <c r="E2559" t="s">
        <v>535</v>
      </c>
      <c r="F2559" t="s">
        <v>536</v>
      </c>
      <c r="G2559" t="s">
        <v>14</v>
      </c>
      <c r="H2559" t="s">
        <v>60</v>
      </c>
      <c r="I2559" s="1">
        <v>1</v>
      </c>
      <c r="J2559" s="2">
        <v>327.58999999999997</v>
      </c>
    </row>
    <row r="2560" spans="2:10" hidden="1" x14ac:dyDescent="0.2">
      <c r="B2560" t="s">
        <v>933</v>
      </c>
      <c r="C2560" t="s">
        <v>144</v>
      </c>
      <c r="D2560" t="s">
        <v>934</v>
      </c>
      <c r="E2560" t="s">
        <v>142</v>
      </c>
      <c r="F2560" t="s">
        <v>143</v>
      </c>
      <c r="G2560" t="s">
        <v>43</v>
      </c>
      <c r="H2560" t="s">
        <v>50</v>
      </c>
      <c r="I2560" s="1">
        <v>1</v>
      </c>
      <c r="J2560" s="2">
        <v>2155.17</v>
      </c>
    </row>
    <row r="2561" spans="2:10" hidden="1" x14ac:dyDescent="0.2">
      <c r="B2561" t="s">
        <v>933</v>
      </c>
      <c r="C2561" t="s">
        <v>144</v>
      </c>
      <c r="D2561" t="s">
        <v>934</v>
      </c>
      <c r="E2561" t="s">
        <v>941</v>
      </c>
      <c r="F2561" t="s">
        <v>942</v>
      </c>
      <c r="G2561" t="s">
        <v>54</v>
      </c>
      <c r="H2561" t="s">
        <v>138</v>
      </c>
      <c r="I2561" s="1">
        <v>1</v>
      </c>
      <c r="J2561" s="2">
        <v>508.62</v>
      </c>
    </row>
    <row r="2562" spans="2:10" hidden="1" x14ac:dyDescent="0.2">
      <c r="B2562" t="s">
        <v>933</v>
      </c>
      <c r="C2562" t="s">
        <v>144</v>
      </c>
      <c r="D2562" t="s">
        <v>934</v>
      </c>
      <c r="E2562" t="s">
        <v>36</v>
      </c>
      <c r="F2562" t="s">
        <v>37</v>
      </c>
      <c r="G2562" t="s">
        <v>1034</v>
      </c>
      <c r="H2562" t="s">
        <v>15</v>
      </c>
      <c r="I2562" s="1">
        <v>1</v>
      </c>
      <c r="J2562" s="2">
        <v>301.72000000000003</v>
      </c>
    </row>
    <row r="2563" spans="2:10" hidden="1" x14ac:dyDescent="0.2">
      <c r="B2563" t="s">
        <v>933</v>
      </c>
      <c r="C2563" t="s">
        <v>144</v>
      </c>
      <c r="D2563" t="s">
        <v>934</v>
      </c>
      <c r="E2563" t="s">
        <v>83</v>
      </c>
      <c r="F2563" t="s">
        <v>84</v>
      </c>
      <c r="G2563" t="s">
        <v>1034</v>
      </c>
      <c r="H2563" t="s">
        <v>15</v>
      </c>
      <c r="I2563" s="1">
        <v>1</v>
      </c>
      <c r="J2563" s="2">
        <v>387.93</v>
      </c>
    </row>
    <row r="2564" spans="2:10" hidden="1" x14ac:dyDescent="0.2">
      <c r="B2564" t="s">
        <v>933</v>
      </c>
      <c r="C2564" t="s">
        <v>165</v>
      </c>
      <c r="D2564" t="s">
        <v>934</v>
      </c>
      <c r="E2564" t="s">
        <v>316</v>
      </c>
      <c r="F2564" t="s">
        <v>317</v>
      </c>
      <c r="G2564" t="s">
        <v>14</v>
      </c>
      <c r="H2564" t="s">
        <v>27</v>
      </c>
      <c r="I2564" s="1">
        <v>1</v>
      </c>
      <c r="J2564" s="2">
        <v>413.79</v>
      </c>
    </row>
    <row r="2565" spans="2:10" hidden="1" x14ac:dyDescent="0.2">
      <c r="B2565" t="s">
        <v>933</v>
      </c>
      <c r="C2565" t="s">
        <v>165</v>
      </c>
      <c r="D2565" t="s">
        <v>934</v>
      </c>
      <c r="E2565" t="s">
        <v>101</v>
      </c>
      <c r="F2565" t="s">
        <v>102</v>
      </c>
      <c r="G2565" t="s">
        <v>103</v>
      </c>
      <c r="H2565" t="s">
        <v>104</v>
      </c>
      <c r="I2565" s="1">
        <v>3</v>
      </c>
      <c r="J2565" s="2">
        <v>0.03</v>
      </c>
    </row>
    <row r="2566" spans="2:10" hidden="1" x14ac:dyDescent="0.2">
      <c r="B2566" t="s">
        <v>933</v>
      </c>
      <c r="C2566" t="s">
        <v>165</v>
      </c>
      <c r="D2566" t="s">
        <v>934</v>
      </c>
      <c r="E2566" t="s">
        <v>153</v>
      </c>
      <c r="F2566" t="s">
        <v>154</v>
      </c>
      <c r="G2566" t="s">
        <v>1034</v>
      </c>
      <c r="H2566" t="s">
        <v>15</v>
      </c>
      <c r="I2566" s="1">
        <v>1</v>
      </c>
      <c r="J2566" s="2">
        <v>387.93</v>
      </c>
    </row>
    <row r="2567" spans="2:10" hidden="1" x14ac:dyDescent="0.2">
      <c r="B2567" t="s">
        <v>933</v>
      </c>
      <c r="C2567" t="s">
        <v>165</v>
      </c>
      <c r="D2567" t="s">
        <v>934</v>
      </c>
      <c r="E2567" t="s">
        <v>623</v>
      </c>
      <c r="F2567" t="s">
        <v>624</v>
      </c>
      <c r="G2567" t="s">
        <v>76</v>
      </c>
      <c r="H2567" t="s">
        <v>60</v>
      </c>
      <c r="I2567" s="1">
        <v>1</v>
      </c>
      <c r="J2567" s="2">
        <v>344.83</v>
      </c>
    </row>
    <row r="2568" spans="2:10" hidden="1" x14ac:dyDescent="0.2">
      <c r="B2568" t="s">
        <v>933</v>
      </c>
      <c r="C2568" t="s">
        <v>165</v>
      </c>
      <c r="D2568" t="s">
        <v>934</v>
      </c>
      <c r="E2568" t="s">
        <v>38</v>
      </c>
      <c r="F2568" t="s">
        <v>39</v>
      </c>
      <c r="G2568" t="s">
        <v>1034</v>
      </c>
      <c r="H2568" t="s">
        <v>15</v>
      </c>
      <c r="I2568" s="1">
        <v>1</v>
      </c>
      <c r="J2568" s="2">
        <v>431.03</v>
      </c>
    </row>
    <row r="2569" spans="2:10" hidden="1" x14ac:dyDescent="0.2">
      <c r="B2569" t="s">
        <v>933</v>
      </c>
      <c r="C2569" t="s">
        <v>165</v>
      </c>
      <c r="D2569" t="s">
        <v>934</v>
      </c>
      <c r="E2569" t="s">
        <v>56</v>
      </c>
      <c r="F2569" t="s">
        <v>57</v>
      </c>
      <c r="G2569" t="s">
        <v>1034</v>
      </c>
      <c r="H2569" t="s">
        <v>15</v>
      </c>
      <c r="I2569" s="1">
        <v>1</v>
      </c>
      <c r="J2569" s="2">
        <v>431.03</v>
      </c>
    </row>
    <row r="2570" spans="2:10" hidden="1" x14ac:dyDescent="0.2">
      <c r="B2570" t="s">
        <v>933</v>
      </c>
      <c r="C2570" t="s">
        <v>166</v>
      </c>
      <c r="D2570" t="s">
        <v>226</v>
      </c>
      <c r="E2570" t="s">
        <v>352</v>
      </c>
      <c r="F2570" t="s">
        <v>353</v>
      </c>
      <c r="G2570" t="s">
        <v>1033</v>
      </c>
      <c r="H2570" t="s">
        <v>30</v>
      </c>
      <c r="I2570" s="1">
        <v>1</v>
      </c>
      <c r="J2570" s="2">
        <v>1422.41</v>
      </c>
    </row>
    <row r="2571" spans="2:10" hidden="1" x14ac:dyDescent="0.2">
      <c r="B2571" t="s">
        <v>933</v>
      </c>
      <c r="C2571" t="s">
        <v>166</v>
      </c>
      <c r="D2571" t="s">
        <v>226</v>
      </c>
      <c r="E2571" t="s">
        <v>44</v>
      </c>
      <c r="F2571" t="s">
        <v>45</v>
      </c>
      <c r="G2571" t="s">
        <v>1033</v>
      </c>
      <c r="H2571" t="s">
        <v>30</v>
      </c>
      <c r="I2571" s="1">
        <v>1</v>
      </c>
      <c r="J2571" s="2">
        <v>81.900000000000006</v>
      </c>
    </row>
    <row r="2572" spans="2:10" hidden="1" x14ac:dyDescent="0.2">
      <c r="B2572" t="s">
        <v>933</v>
      </c>
      <c r="C2572" t="s">
        <v>166</v>
      </c>
      <c r="D2572" t="s">
        <v>226</v>
      </c>
      <c r="E2572" t="s">
        <v>943</v>
      </c>
      <c r="F2572" t="s">
        <v>944</v>
      </c>
      <c r="G2572" t="s">
        <v>54</v>
      </c>
      <c r="H2572" t="s">
        <v>138</v>
      </c>
      <c r="I2572" s="1">
        <v>1</v>
      </c>
      <c r="J2572" s="2">
        <v>517.24</v>
      </c>
    </row>
    <row r="2573" spans="2:10" hidden="1" x14ac:dyDescent="0.2">
      <c r="B2573" t="s">
        <v>933</v>
      </c>
      <c r="C2573" t="s">
        <v>166</v>
      </c>
      <c r="D2573" t="s">
        <v>226</v>
      </c>
      <c r="E2573" t="s">
        <v>212</v>
      </c>
      <c r="F2573" t="s">
        <v>213</v>
      </c>
      <c r="G2573" t="s">
        <v>14</v>
      </c>
      <c r="H2573" t="s">
        <v>35</v>
      </c>
      <c r="I2573" s="1">
        <v>1</v>
      </c>
      <c r="J2573" s="2">
        <v>77.59</v>
      </c>
    </row>
    <row r="2574" spans="2:10" hidden="1" x14ac:dyDescent="0.2">
      <c r="B2574" t="s">
        <v>933</v>
      </c>
      <c r="C2574" t="s">
        <v>166</v>
      </c>
      <c r="D2574" t="s">
        <v>226</v>
      </c>
      <c r="E2574" t="s">
        <v>36</v>
      </c>
      <c r="F2574" t="s">
        <v>37</v>
      </c>
      <c r="G2574" t="s">
        <v>1034</v>
      </c>
      <c r="H2574" t="s">
        <v>15</v>
      </c>
      <c r="I2574" s="1">
        <v>1</v>
      </c>
      <c r="J2574" s="2">
        <v>301.72000000000003</v>
      </c>
    </row>
    <row r="2575" spans="2:10" hidden="1" x14ac:dyDescent="0.2">
      <c r="B2575" t="s">
        <v>933</v>
      </c>
      <c r="C2575" t="s">
        <v>166</v>
      </c>
      <c r="D2575" t="s">
        <v>226</v>
      </c>
      <c r="E2575" t="s">
        <v>216</v>
      </c>
      <c r="F2575" t="s">
        <v>217</v>
      </c>
      <c r="G2575" t="s">
        <v>14</v>
      </c>
      <c r="H2575" t="s">
        <v>104</v>
      </c>
      <c r="I2575" s="1">
        <v>1</v>
      </c>
      <c r="J2575" s="2">
        <v>17.239999999999998</v>
      </c>
    </row>
    <row r="2576" spans="2:10" hidden="1" x14ac:dyDescent="0.2">
      <c r="B2576" t="s">
        <v>933</v>
      </c>
      <c r="C2576" t="s">
        <v>166</v>
      </c>
      <c r="D2576" t="s">
        <v>226</v>
      </c>
      <c r="E2576" t="s">
        <v>22</v>
      </c>
      <c r="F2576" t="s">
        <v>23</v>
      </c>
      <c r="G2576" t="s">
        <v>14</v>
      </c>
      <c r="H2576" t="s">
        <v>24</v>
      </c>
      <c r="I2576" s="1">
        <v>2</v>
      </c>
      <c r="J2576" s="2">
        <v>431.03</v>
      </c>
    </row>
    <row r="2577" spans="2:10" hidden="1" x14ac:dyDescent="0.2">
      <c r="B2577" t="s">
        <v>933</v>
      </c>
      <c r="C2577" t="s">
        <v>166</v>
      </c>
      <c r="D2577" t="s">
        <v>226</v>
      </c>
      <c r="E2577" t="s">
        <v>521</v>
      </c>
      <c r="F2577" t="s">
        <v>522</v>
      </c>
      <c r="G2577" t="s">
        <v>14</v>
      </c>
      <c r="H2577" t="s">
        <v>104</v>
      </c>
      <c r="I2577" s="1">
        <v>2</v>
      </c>
      <c r="J2577" s="2">
        <v>43.1</v>
      </c>
    </row>
    <row r="2578" spans="2:10" hidden="1" x14ac:dyDescent="0.2">
      <c r="B2578" t="s">
        <v>933</v>
      </c>
      <c r="C2578" t="s">
        <v>166</v>
      </c>
      <c r="D2578" t="s">
        <v>226</v>
      </c>
      <c r="E2578" t="s">
        <v>61</v>
      </c>
      <c r="F2578" t="s">
        <v>62</v>
      </c>
      <c r="G2578" t="s">
        <v>1034</v>
      </c>
      <c r="H2578" t="s">
        <v>15</v>
      </c>
      <c r="I2578" s="1">
        <v>1</v>
      </c>
      <c r="J2578" s="2">
        <v>172.41</v>
      </c>
    </row>
    <row r="2579" spans="2:10" hidden="1" x14ac:dyDescent="0.2">
      <c r="B2579" t="s">
        <v>933</v>
      </c>
      <c r="C2579" t="s">
        <v>166</v>
      </c>
      <c r="D2579" t="s">
        <v>226</v>
      </c>
      <c r="E2579" t="s">
        <v>16</v>
      </c>
      <c r="F2579" t="s">
        <v>17</v>
      </c>
      <c r="G2579" t="s">
        <v>1034</v>
      </c>
      <c r="H2579" t="s">
        <v>15</v>
      </c>
      <c r="I2579" s="1">
        <v>3</v>
      </c>
      <c r="J2579" s="2">
        <v>1732.77</v>
      </c>
    </row>
    <row r="2580" spans="2:10" hidden="1" x14ac:dyDescent="0.2">
      <c r="B2580" t="s">
        <v>933</v>
      </c>
      <c r="C2580" t="s">
        <v>185</v>
      </c>
      <c r="D2580" t="s">
        <v>226</v>
      </c>
      <c r="E2580" t="s">
        <v>214</v>
      </c>
      <c r="F2580" t="s">
        <v>215</v>
      </c>
      <c r="G2580" t="s">
        <v>1034</v>
      </c>
      <c r="H2580" t="s">
        <v>15</v>
      </c>
      <c r="I2580" s="1">
        <v>1</v>
      </c>
      <c r="J2580" s="2">
        <v>301.72000000000003</v>
      </c>
    </row>
    <row r="2581" spans="2:10" hidden="1" x14ac:dyDescent="0.2">
      <c r="B2581" t="s">
        <v>933</v>
      </c>
      <c r="C2581" t="s">
        <v>185</v>
      </c>
      <c r="D2581" t="s">
        <v>226</v>
      </c>
      <c r="E2581" t="s">
        <v>61</v>
      </c>
      <c r="F2581" t="s">
        <v>62</v>
      </c>
      <c r="G2581" t="s">
        <v>1034</v>
      </c>
      <c r="H2581" t="s">
        <v>15</v>
      </c>
      <c r="I2581" s="1">
        <v>1</v>
      </c>
      <c r="J2581" s="2">
        <v>172.41</v>
      </c>
    </row>
    <row r="2582" spans="2:10" hidden="1" x14ac:dyDescent="0.2">
      <c r="B2582" t="s">
        <v>933</v>
      </c>
      <c r="C2582" t="s">
        <v>185</v>
      </c>
      <c r="D2582" t="s">
        <v>226</v>
      </c>
      <c r="E2582" t="s">
        <v>945</v>
      </c>
      <c r="F2582" t="s">
        <v>946</v>
      </c>
      <c r="G2582" t="s">
        <v>43</v>
      </c>
      <c r="H2582" t="s">
        <v>947</v>
      </c>
      <c r="I2582" s="1">
        <v>1</v>
      </c>
      <c r="J2582" s="2">
        <v>1293.0999999999999</v>
      </c>
    </row>
    <row r="2583" spans="2:10" hidden="1" x14ac:dyDescent="0.2">
      <c r="B2583" t="s">
        <v>933</v>
      </c>
      <c r="C2583" t="s">
        <v>335</v>
      </c>
      <c r="D2583" t="s">
        <v>934</v>
      </c>
      <c r="E2583" t="s">
        <v>46</v>
      </c>
      <c r="F2583" t="s">
        <v>47</v>
      </c>
      <c r="G2583" t="s">
        <v>1034</v>
      </c>
      <c r="H2583" t="s">
        <v>15</v>
      </c>
      <c r="I2583" s="1">
        <v>1</v>
      </c>
      <c r="J2583" s="2">
        <v>301.72000000000003</v>
      </c>
    </row>
    <row r="2584" spans="2:10" hidden="1" x14ac:dyDescent="0.2">
      <c r="B2584" t="s">
        <v>933</v>
      </c>
      <c r="C2584" t="s">
        <v>335</v>
      </c>
      <c r="D2584" t="s">
        <v>934</v>
      </c>
      <c r="E2584" t="s">
        <v>120</v>
      </c>
      <c r="F2584" t="s">
        <v>121</v>
      </c>
      <c r="G2584" t="s">
        <v>1034</v>
      </c>
      <c r="H2584" t="s">
        <v>15</v>
      </c>
      <c r="I2584" s="1">
        <v>1</v>
      </c>
      <c r="J2584" s="2">
        <v>301.72000000000003</v>
      </c>
    </row>
    <row r="2585" spans="2:10" hidden="1" x14ac:dyDescent="0.2">
      <c r="B2585" t="s">
        <v>933</v>
      </c>
      <c r="C2585" t="s">
        <v>335</v>
      </c>
      <c r="D2585" t="s">
        <v>934</v>
      </c>
      <c r="E2585" t="s">
        <v>36</v>
      </c>
      <c r="F2585" t="s">
        <v>37</v>
      </c>
      <c r="G2585" t="s">
        <v>1034</v>
      </c>
      <c r="H2585" t="s">
        <v>15</v>
      </c>
      <c r="I2585" s="1">
        <v>1</v>
      </c>
      <c r="J2585" s="2">
        <v>301.72000000000003</v>
      </c>
    </row>
    <row r="2586" spans="2:10" hidden="1" x14ac:dyDescent="0.2">
      <c r="B2586" t="s">
        <v>933</v>
      </c>
      <c r="C2586" t="s">
        <v>335</v>
      </c>
      <c r="D2586" t="s">
        <v>934</v>
      </c>
      <c r="E2586" t="s">
        <v>623</v>
      </c>
      <c r="F2586" t="s">
        <v>624</v>
      </c>
      <c r="G2586" t="s">
        <v>76</v>
      </c>
      <c r="H2586" t="s">
        <v>60</v>
      </c>
      <c r="I2586" s="1">
        <v>1</v>
      </c>
      <c r="J2586" s="2">
        <v>344.83</v>
      </c>
    </row>
    <row r="2587" spans="2:10" hidden="1" x14ac:dyDescent="0.2">
      <c r="B2587" t="s">
        <v>933</v>
      </c>
      <c r="C2587" t="s">
        <v>335</v>
      </c>
      <c r="D2587" t="s">
        <v>934</v>
      </c>
      <c r="E2587" t="s">
        <v>216</v>
      </c>
      <c r="F2587" t="s">
        <v>217</v>
      </c>
      <c r="G2587" t="s">
        <v>14</v>
      </c>
      <c r="H2587" t="s">
        <v>104</v>
      </c>
      <c r="I2587" s="1">
        <v>2</v>
      </c>
      <c r="J2587" s="2">
        <v>34.479999999999997</v>
      </c>
    </row>
    <row r="2588" spans="2:10" hidden="1" x14ac:dyDescent="0.2">
      <c r="B2588" t="s">
        <v>933</v>
      </c>
      <c r="C2588" t="s">
        <v>335</v>
      </c>
      <c r="D2588" t="s">
        <v>934</v>
      </c>
      <c r="E2588" t="s">
        <v>223</v>
      </c>
      <c r="F2588" t="s">
        <v>224</v>
      </c>
      <c r="G2588" t="s">
        <v>43</v>
      </c>
      <c r="H2588" t="s">
        <v>50</v>
      </c>
      <c r="I2588" s="1">
        <v>1</v>
      </c>
      <c r="J2588" s="2">
        <v>1637.93</v>
      </c>
    </row>
    <row r="2589" spans="2:10" hidden="1" x14ac:dyDescent="0.2">
      <c r="B2589" t="s">
        <v>933</v>
      </c>
      <c r="C2589" t="s">
        <v>335</v>
      </c>
      <c r="D2589" t="s">
        <v>934</v>
      </c>
      <c r="E2589" t="s">
        <v>231</v>
      </c>
      <c r="F2589" t="s">
        <v>232</v>
      </c>
      <c r="G2589" t="s">
        <v>43</v>
      </c>
      <c r="H2589" t="s">
        <v>50</v>
      </c>
      <c r="I2589" s="1">
        <v>1</v>
      </c>
      <c r="J2589" s="2">
        <v>3017.24</v>
      </c>
    </row>
    <row r="2590" spans="2:10" hidden="1" x14ac:dyDescent="0.2">
      <c r="B2590" t="s">
        <v>933</v>
      </c>
      <c r="C2590" t="s">
        <v>335</v>
      </c>
      <c r="D2590" t="s">
        <v>934</v>
      </c>
      <c r="E2590" t="s">
        <v>16</v>
      </c>
      <c r="F2590" t="s">
        <v>17</v>
      </c>
      <c r="G2590" t="s">
        <v>1034</v>
      </c>
      <c r="H2590" t="s">
        <v>15</v>
      </c>
      <c r="I2590" s="1">
        <v>1</v>
      </c>
      <c r="J2590" s="2">
        <v>577.59</v>
      </c>
    </row>
    <row r="2591" spans="2:10" hidden="1" x14ac:dyDescent="0.2">
      <c r="B2591" t="s">
        <v>933</v>
      </c>
      <c r="C2591" t="s">
        <v>335</v>
      </c>
      <c r="D2591" t="s">
        <v>934</v>
      </c>
      <c r="E2591" t="s">
        <v>28</v>
      </c>
      <c r="F2591" t="s">
        <v>29</v>
      </c>
      <c r="G2591" t="s">
        <v>1033</v>
      </c>
      <c r="H2591" t="s">
        <v>30</v>
      </c>
      <c r="I2591" s="1">
        <v>1</v>
      </c>
      <c r="J2591" s="2">
        <v>155.16999999999999</v>
      </c>
    </row>
    <row r="2592" spans="2:10" hidden="1" x14ac:dyDescent="0.2">
      <c r="B2592" t="s">
        <v>933</v>
      </c>
      <c r="C2592" t="s">
        <v>418</v>
      </c>
      <c r="D2592" t="s">
        <v>934</v>
      </c>
      <c r="E2592" t="s">
        <v>731</v>
      </c>
      <c r="F2592" t="s">
        <v>732</v>
      </c>
      <c r="G2592" t="s">
        <v>14</v>
      </c>
      <c r="H2592" t="s">
        <v>27</v>
      </c>
      <c r="I2592" s="1">
        <v>1</v>
      </c>
      <c r="J2592" s="2">
        <v>413.79</v>
      </c>
    </row>
    <row r="2593" spans="2:10" hidden="1" x14ac:dyDescent="0.2">
      <c r="B2593" t="s">
        <v>933</v>
      </c>
      <c r="C2593" t="s">
        <v>418</v>
      </c>
      <c r="D2593" t="s">
        <v>934</v>
      </c>
      <c r="E2593" t="s">
        <v>203</v>
      </c>
      <c r="F2593" t="s">
        <v>204</v>
      </c>
      <c r="G2593" t="s">
        <v>43</v>
      </c>
      <c r="H2593" t="s">
        <v>205</v>
      </c>
      <c r="I2593" s="1">
        <v>2</v>
      </c>
      <c r="J2593" s="2">
        <v>689.66</v>
      </c>
    </row>
    <row r="2594" spans="2:10" hidden="1" x14ac:dyDescent="0.2">
      <c r="B2594" t="s">
        <v>933</v>
      </c>
      <c r="C2594" t="s">
        <v>186</v>
      </c>
      <c r="D2594" t="s">
        <v>934</v>
      </c>
      <c r="E2594" t="s">
        <v>46</v>
      </c>
      <c r="F2594" t="s">
        <v>47</v>
      </c>
      <c r="G2594" t="s">
        <v>1034</v>
      </c>
      <c r="H2594" t="s">
        <v>15</v>
      </c>
      <c r="I2594" s="1">
        <v>1</v>
      </c>
      <c r="J2594" s="2">
        <v>301.72000000000003</v>
      </c>
    </row>
    <row r="2595" spans="2:10" hidden="1" x14ac:dyDescent="0.2">
      <c r="B2595" t="s">
        <v>933</v>
      </c>
      <c r="C2595" t="s">
        <v>186</v>
      </c>
      <c r="D2595" t="s">
        <v>934</v>
      </c>
      <c r="E2595" t="s">
        <v>328</v>
      </c>
      <c r="F2595" t="s">
        <v>329</v>
      </c>
      <c r="G2595" t="s">
        <v>1033</v>
      </c>
      <c r="H2595" t="s">
        <v>30</v>
      </c>
      <c r="I2595" s="1">
        <v>3</v>
      </c>
      <c r="J2595" s="2">
        <v>517.24</v>
      </c>
    </row>
    <row r="2596" spans="2:10" hidden="1" x14ac:dyDescent="0.2">
      <c r="B2596" t="s">
        <v>933</v>
      </c>
      <c r="C2596" t="s">
        <v>186</v>
      </c>
      <c r="D2596" t="s">
        <v>934</v>
      </c>
      <c r="E2596" t="s">
        <v>573</v>
      </c>
      <c r="F2596" t="s">
        <v>574</v>
      </c>
      <c r="G2596" t="s">
        <v>1033</v>
      </c>
      <c r="H2596" t="s">
        <v>30</v>
      </c>
      <c r="I2596" s="1">
        <v>1</v>
      </c>
      <c r="J2596" s="2">
        <v>775.86</v>
      </c>
    </row>
    <row r="2597" spans="2:10" hidden="1" x14ac:dyDescent="0.2">
      <c r="B2597" t="s">
        <v>933</v>
      </c>
      <c r="C2597" t="s">
        <v>186</v>
      </c>
      <c r="D2597" t="s">
        <v>934</v>
      </c>
      <c r="E2597" t="s">
        <v>605</v>
      </c>
      <c r="F2597" t="s">
        <v>606</v>
      </c>
      <c r="G2597" t="s">
        <v>1033</v>
      </c>
      <c r="H2597" t="s">
        <v>30</v>
      </c>
      <c r="I2597" s="1">
        <v>1</v>
      </c>
      <c r="J2597" s="2">
        <v>465.52</v>
      </c>
    </row>
    <row r="2598" spans="2:10" hidden="1" x14ac:dyDescent="0.2">
      <c r="B2598" t="s">
        <v>933</v>
      </c>
      <c r="C2598" t="s">
        <v>186</v>
      </c>
      <c r="D2598" t="s">
        <v>934</v>
      </c>
      <c r="E2598" t="s">
        <v>120</v>
      </c>
      <c r="F2598" t="s">
        <v>121</v>
      </c>
      <c r="G2598" t="s">
        <v>1034</v>
      </c>
      <c r="H2598" t="s">
        <v>15</v>
      </c>
      <c r="I2598" s="1">
        <v>1</v>
      </c>
      <c r="J2598" s="2">
        <v>301.72000000000003</v>
      </c>
    </row>
    <row r="2599" spans="2:10" hidden="1" x14ac:dyDescent="0.2">
      <c r="B2599" t="s">
        <v>933</v>
      </c>
      <c r="C2599" t="s">
        <v>186</v>
      </c>
      <c r="D2599" t="s">
        <v>934</v>
      </c>
      <c r="E2599" t="s">
        <v>406</v>
      </c>
      <c r="F2599" t="s">
        <v>407</v>
      </c>
      <c r="G2599" t="s">
        <v>14</v>
      </c>
      <c r="H2599" t="s">
        <v>104</v>
      </c>
      <c r="I2599" s="1">
        <v>4</v>
      </c>
      <c r="J2599" s="2">
        <v>68.959999999999994</v>
      </c>
    </row>
    <row r="2600" spans="2:10" hidden="1" x14ac:dyDescent="0.2">
      <c r="B2600" t="s">
        <v>933</v>
      </c>
      <c r="C2600" t="s">
        <v>186</v>
      </c>
      <c r="D2600" t="s">
        <v>934</v>
      </c>
      <c r="E2600" t="s">
        <v>63</v>
      </c>
      <c r="F2600" t="s">
        <v>64</v>
      </c>
      <c r="G2600" t="s">
        <v>1034</v>
      </c>
      <c r="H2600" t="s">
        <v>15</v>
      </c>
      <c r="I2600" s="1">
        <v>1</v>
      </c>
      <c r="J2600" s="2">
        <v>172.41</v>
      </c>
    </row>
    <row r="2601" spans="2:10" hidden="1" x14ac:dyDescent="0.2">
      <c r="B2601" t="s">
        <v>933</v>
      </c>
      <c r="C2601" t="s">
        <v>186</v>
      </c>
      <c r="D2601" t="s">
        <v>934</v>
      </c>
      <c r="E2601" t="s">
        <v>16</v>
      </c>
      <c r="F2601" t="s">
        <v>17</v>
      </c>
      <c r="G2601" t="s">
        <v>1034</v>
      </c>
      <c r="H2601" t="s">
        <v>15</v>
      </c>
      <c r="I2601" s="1">
        <v>1</v>
      </c>
      <c r="J2601" s="2">
        <v>577.59</v>
      </c>
    </row>
    <row r="2602" spans="2:10" hidden="1" x14ac:dyDescent="0.2">
      <c r="B2602" t="s">
        <v>933</v>
      </c>
      <c r="C2602" t="s">
        <v>197</v>
      </c>
      <c r="D2602" t="s">
        <v>934</v>
      </c>
      <c r="E2602" t="s">
        <v>798</v>
      </c>
      <c r="F2602" t="s">
        <v>799</v>
      </c>
      <c r="G2602" t="s">
        <v>14</v>
      </c>
      <c r="H2602" t="s">
        <v>60</v>
      </c>
      <c r="I2602" s="1">
        <v>1</v>
      </c>
      <c r="J2602" s="2">
        <v>327.58999999999997</v>
      </c>
    </row>
    <row r="2603" spans="2:10" hidden="1" x14ac:dyDescent="0.2">
      <c r="B2603" t="s">
        <v>933</v>
      </c>
      <c r="C2603" t="s">
        <v>197</v>
      </c>
      <c r="D2603" t="s">
        <v>934</v>
      </c>
      <c r="E2603" t="s">
        <v>318</v>
      </c>
      <c r="F2603" t="s">
        <v>319</v>
      </c>
      <c r="G2603" t="s">
        <v>1033</v>
      </c>
      <c r="H2603" t="s">
        <v>30</v>
      </c>
      <c r="I2603" s="1">
        <v>1</v>
      </c>
      <c r="J2603" s="2">
        <v>456.9</v>
      </c>
    </row>
    <row r="2604" spans="2:10" hidden="1" x14ac:dyDescent="0.2">
      <c r="B2604" t="s">
        <v>933</v>
      </c>
      <c r="C2604" t="s">
        <v>197</v>
      </c>
      <c r="D2604" t="s">
        <v>934</v>
      </c>
      <c r="E2604" t="s">
        <v>46</v>
      </c>
      <c r="F2604" t="s">
        <v>47</v>
      </c>
      <c r="G2604" t="s">
        <v>1034</v>
      </c>
      <c r="H2604" t="s">
        <v>15</v>
      </c>
      <c r="I2604" s="1">
        <v>1</v>
      </c>
      <c r="J2604" s="2">
        <v>301.72000000000003</v>
      </c>
    </row>
    <row r="2605" spans="2:10" hidden="1" x14ac:dyDescent="0.2">
      <c r="B2605" t="s">
        <v>933</v>
      </c>
      <c r="C2605" t="s">
        <v>197</v>
      </c>
      <c r="D2605" t="s">
        <v>934</v>
      </c>
      <c r="E2605" t="s">
        <v>249</v>
      </c>
      <c r="F2605" t="s">
        <v>250</v>
      </c>
      <c r="G2605" t="s">
        <v>1033</v>
      </c>
      <c r="H2605" t="s">
        <v>30</v>
      </c>
      <c r="I2605" s="1">
        <v>1</v>
      </c>
      <c r="J2605" s="2">
        <v>517.24</v>
      </c>
    </row>
    <row r="2606" spans="2:10" hidden="1" x14ac:dyDescent="0.2">
      <c r="B2606" t="s">
        <v>933</v>
      </c>
      <c r="C2606" t="s">
        <v>197</v>
      </c>
      <c r="D2606" t="s">
        <v>934</v>
      </c>
      <c r="E2606" t="s">
        <v>738</v>
      </c>
      <c r="F2606" t="s">
        <v>739</v>
      </c>
      <c r="G2606" t="s">
        <v>1033</v>
      </c>
      <c r="H2606" t="s">
        <v>30</v>
      </c>
      <c r="I2606" s="1">
        <v>1</v>
      </c>
      <c r="J2606" s="2">
        <v>1329.11</v>
      </c>
    </row>
    <row r="2607" spans="2:10" hidden="1" x14ac:dyDescent="0.2">
      <c r="B2607" t="s">
        <v>933</v>
      </c>
      <c r="C2607" t="s">
        <v>197</v>
      </c>
      <c r="D2607" t="s">
        <v>934</v>
      </c>
      <c r="E2607" t="s">
        <v>573</v>
      </c>
      <c r="F2607" t="s">
        <v>574</v>
      </c>
      <c r="G2607" t="s">
        <v>1033</v>
      </c>
      <c r="H2607" t="s">
        <v>30</v>
      </c>
      <c r="I2607" s="1">
        <v>1</v>
      </c>
      <c r="J2607" s="2">
        <v>775.86</v>
      </c>
    </row>
    <row r="2608" spans="2:10" hidden="1" x14ac:dyDescent="0.2">
      <c r="B2608" t="s">
        <v>933</v>
      </c>
      <c r="C2608" t="s">
        <v>197</v>
      </c>
      <c r="D2608" t="s">
        <v>934</v>
      </c>
      <c r="E2608" t="s">
        <v>948</v>
      </c>
      <c r="F2608" t="s">
        <v>949</v>
      </c>
      <c r="G2608" t="s">
        <v>54</v>
      </c>
      <c r="H2608" t="s">
        <v>439</v>
      </c>
      <c r="I2608" s="1">
        <v>1</v>
      </c>
      <c r="J2608" s="2">
        <v>198.28</v>
      </c>
    </row>
    <row r="2609" spans="2:10" hidden="1" x14ac:dyDescent="0.2">
      <c r="B2609" t="s">
        <v>933</v>
      </c>
      <c r="C2609" t="s">
        <v>197</v>
      </c>
      <c r="D2609" t="s">
        <v>934</v>
      </c>
      <c r="E2609" t="s">
        <v>120</v>
      </c>
      <c r="F2609" t="s">
        <v>121</v>
      </c>
      <c r="G2609" t="s">
        <v>1034</v>
      </c>
      <c r="H2609" t="s">
        <v>15</v>
      </c>
      <c r="I2609" s="1">
        <v>1</v>
      </c>
      <c r="J2609" s="2">
        <v>301.72000000000003</v>
      </c>
    </row>
    <row r="2610" spans="2:10" hidden="1" x14ac:dyDescent="0.2">
      <c r="B2610" t="s">
        <v>933</v>
      </c>
      <c r="C2610" t="s">
        <v>197</v>
      </c>
      <c r="D2610" t="s">
        <v>934</v>
      </c>
      <c r="E2610" t="s">
        <v>72</v>
      </c>
      <c r="F2610" t="s">
        <v>73</v>
      </c>
      <c r="G2610" t="s">
        <v>1034</v>
      </c>
      <c r="H2610" t="s">
        <v>15</v>
      </c>
      <c r="I2610" s="1">
        <v>1</v>
      </c>
      <c r="J2610" s="2">
        <v>775.86</v>
      </c>
    </row>
    <row r="2611" spans="2:10" hidden="1" x14ac:dyDescent="0.2">
      <c r="B2611" t="s">
        <v>933</v>
      </c>
      <c r="C2611" t="s">
        <v>197</v>
      </c>
      <c r="D2611" t="s">
        <v>934</v>
      </c>
      <c r="E2611" t="s">
        <v>336</v>
      </c>
      <c r="F2611" t="s">
        <v>337</v>
      </c>
      <c r="G2611" t="s">
        <v>1034</v>
      </c>
      <c r="H2611" t="s">
        <v>15</v>
      </c>
      <c r="I2611" s="1">
        <v>1</v>
      </c>
      <c r="J2611" s="2">
        <v>387.93</v>
      </c>
    </row>
    <row r="2612" spans="2:10" hidden="1" x14ac:dyDescent="0.2">
      <c r="B2612" t="s">
        <v>933</v>
      </c>
      <c r="C2612" t="s">
        <v>197</v>
      </c>
      <c r="D2612" t="s">
        <v>934</v>
      </c>
      <c r="E2612" t="s">
        <v>950</v>
      </c>
      <c r="F2612" t="s">
        <v>951</v>
      </c>
      <c r="G2612" t="s">
        <v>54</v>
      </c>
      <c r="H2612" t="s">
        <v>952</v>
      </c>
      <c r="I2612" s="1">
        <v>1</v>
      </c>
      <c r="J2612" s="2">
        <v>172.41</v>
      </c>
    </row>
    <row r="2613" spans="2:10" hidden="1" x14ac:dyDescent="0.2">
      <c r="B2613" t="s">
        <v>933</v>
      </c>
      <c r="C2613" t="s">
        <v>197</v>
      </c>
      <c r="D2613" t="s">
        <v>934</v>
      </c>
      <c r="E2613" t="s">
        <v>38</v>
      </c>
      <c r="F2613" t="s">
        <v>39</v>
      </c>
      <c r="G2613" t="s">
        <v>1034</v>
      </c>
      <c r="H2613" t="s">
        <v>15</v>
      </c>
      <c r="I2613" s="1">
        <v>1</v>
      </c>
      <c r="J2613" s="2">
        <v>431.03</v>
      </c>
    </row>
    <row r="2614" spans="2:10" hidden="1" x14ac:dyDescent="0.2">
      <c r="B2614" t="s">
        <v>933</v>
      </c>
      <c r="C2614" t="s">
        <v>197</v>
      </c>
      <c r="D2614" t="s">
        <v>934</v>
      </c>
      <c r="E2614" t="s">
        <v>163</v>
      </c>
      <c r="F2614" t="s">
        <v>164</v>
      </c>
      <c r="G2614" t="s">
        <v>1034</v>
      </c>
      <c r="H2614" t="s">
        <v>15</v>
      </c>
      <c r="I2614" s="1">
        <v>2</v>
      </c>
      <c r="J2614" s="2">
        <v>862.06</v>
      </c>
    </row>
    <row r="2615" spans="2:10" hidden="1" x14ac:dyDescent="0.2">
      <c r="B2615" t="s">
        <v>933</v>
      </c>
      <c r="C2615" t="s">
        <v>197</v>
      </c>
      <c r="D2615" t="s">
        <v>934</v>
      </c>
      <c r="E2615" t="s">
        <v>63</v>
      </c>
      <c r="F2615" t="s">
        <v>64</v>
      </c>
      <c r="G2615" t="s">
        <v>1034</v>
      </c>
      <c r="H2615" t="s">
        <v>15</v>
      </c>
      <c r="I2615" s="1">
        <v>1</v>
      </c>
      <c r="J2615" s="2">
        <v>172.41</v>
      </c>
    </row>
    <row r="2616" spans="2:10" hidden="1" x14ac:dyDescent="0.2">
      <c r="B2616" t="s">
        <v>933</v>
      </c>
      <c r="C2616" t="s">
        <v>197</v>
      </c>
      <c r="D2616" t="s">
        <v>934</v>
      </c>
      <c r="E2616" t="s">
        <v>16</v>
      </c>
      <c r="F2616" t="s">
        <v>17</v>
      </c>
      <c r="G2616" t="s">
        <v>1034</v>
      </c>
      <c r="H2616" t="s">
        <v>15</v>
      </c>
      <c r="I2616" s="1">
        <v>2</v>
      </c>
      <c r="J2616" s="2">
        <v>1155.18</v>
      </c>
    </row>
    <row r="2617" spans="2:10" hidden="1" x14ac:dyDescent="0.2">
      <c r="B2617" t="s">
        <v>933</v>
      </c>
      <c r="C2617" t="s">
        <v>206</v>
      </c>
      <c r="D2617" t="s">
        <v>277</v>
      </c>
      <c r="E2617" t="s">
        <v>46</v>
      </c>
      <c r="F2617" t="s">
        <v>47</v>
      </c>
      <c r="G2617" t="s">
        <v>1034</v>
      </c>
      <c r="H2617" t="s">
        <v>15</v>
      </c>
      <c r="I2617" s="1">
        <v>1</v>
      </c>
      <c r="J2617" s="2">
        <v>301.72000000000003</v>
      </c>
    </row>
    <row r="2618" spans="2:10" hidden="1" x14ac:dyDescent="0.2">
      <c r="B2618" t="s">
        <v>933</v>
      </c>
      <c r="C2618" t="s">
        <v>206</v>
      </c>
      <c r="D2618" t="s">
        <v>277</v>
      </c>
      <c r="E2618" t="s">
        <v>414</v>
      </c>
      <c r="F2618" t="s">
        <v>415</v>
      </c>
      <c r="G2618" t="s">
        <v>1033</v>
      </c>
      <c r="H2618" t="s">
        <v>30</v>
      </c>
      <c r="I2618" s="1">
        <v>1</v>
      </c>
      <c r="J2618" s="2">
        <v>646.54999999999995</v>
      </c>
    </row>
    <row r="2619" spans="2:10" hidden="1" x14ac:dyDescent="0.2">
      <c r="B2619" t="s">
        <v>933</v>
      </c>
      <c r="C2619" t="s">
        <v>206</v>
      </c>
      <c r="D2619" t="s">
        <v>277</v>
      </c>
      <c r="E2619" t="s">
        <v>324</v>
      </c>
      <c r="F2619" t="s">
        <v>325</v>
      </c>
      <c r="G2619" t="s">
        <v>1033</v>
      </c>
      <c r="H2619" t="s">
        <v>30</v>
      </c>
      <c r="I2619" s="1">
        <v>1</v>
      </c>
      <c r="J2619" s="2">
        <v>2000</v>
      </c>
    </row>
    <row r="2620" spans="2:10" hidden="1" x14ac:dyDescent="0.2">
      <c r="B2620" t="s">
        <v>933</v>
      </c>
      <c r="C2620" t="s">
        <v>206</v>
      </c>
      <c r="D2620" t="s">
        <v>277</v>
      </c>
      <c r="E2620" t="s">
        <v>36</v>
      </c>
      <c r="F2620" t="s">
        <v>37</v>
      </c>
      <c r="G2620" t="s">
        <v>1034</v>
      </c>
      <c r="H2620" t="s">
        <v>15</v>
      </c>
      <c r="I2620" s="1">
        <v>1</v>
      </c>
      <c r="J2620" s="2">
        <v>301.72000000000003</v>
      </c>
    </row>
    <row r="2621" spans="2:10" hidden="1" x14ac:dyDescent="0.2">
      <c r="B2621" t="s">
        <v>933</v>
      </c>
      <c r="C2621" t="s">
        <v>206</v>
      </c>
      <c r="D2621" t="s">
        <v>277</v>
      </c>
      <c r="E2621" t="s">
        <v>72</v>
      </c>
      <c r="F2621" t="s">
        <v>73</v>
      </c>
      <c r="G2621" t="s">
        <v>1034</v>
      </c>
      <c r="H2621" t="s">
        <v>15</v>
      </c>
      <c r="I2621" s="1">
        <v>1</v>
      </c>
      <c r="J2621" s="2">
        <v>775.86</v>
      </c>
    </row>
    <row r="2622" spans="2:10" hidden="1" x14ac:dyDescent="0.2">
      <c r="B2622" t="s">
        <v>933</v>
      </c>
      <c r="C2622" t="s">
        <v>206</v>
      </c>
      <c r="D2622" t="s">
        <v>277</v>
      </c>
      <c r="E2622" t="s">
        <v>16</v>
      </c>
      <c r="F2622" t="s">
        <v>17</v>
      </c>
      <c r="G2622" t="s">
        <v>1034</v>
      </c>
      <c r="H2622" t="s">
        <v>15</v>
      </c>
      <c r="I2622" s="1">
        <v>1</v>
      </c>
      <c r="J2622" s="2">
        <v>577.59</v>
      </c>
    </row>
    <row r="2623" spans="2:10" hidden="1" x14ac:dyDescent="0.2">
      <c r="B2623" t="s">
        <v>933</v>
      </c>
      <c r="C2623" t="s">
        <v>220</v>
      </c>
      <c r="D2623" t="s">
        <v>934</v>
      </c>
      <c r="E2623" t="s">
        <v>167</v>
      </c>
      <c r="F2623" t="s">
        <v>168</v>
      </c>
      <c r="G2623" t="s">
        <v>1033</v>
      </c>
      <c r="H2623" t="s">
        <v>30</v>
      </c>
      <c r="I2623" s="1">
        <v>1</v>
      </c>
      <c r="J2623" s="2">
        <v>1267.24</v>
      </c>
    </row>
    <row r="2624" spans="2:10" hidden="1" x14ac:dyDescent="0.2">
      <c r="B2624" t="s">
        <v>933</v>
      </c>
      <c r="C2624" t="s">
        <v>220</v>
      </c>
      <c r="D2624" t="s">
        <v>934</v>
      </c>
      <c r="E2624" t="s">
        <v>44</v>
      </c>
      <c r="F2624" t="s">
        <v>45</v>
      </c>
      <c r="G2624" t="s">
        <v>1033</v>
      </c>
      <c r="H2624" t="s">
        <v>30</v>
      </c>
      <c r="I2624" s="1">
        <v>2</v>
      </c>
      <c r="J2624" s="2">
        <v>163.80000000000001</v>
      </c>
    </row>
    <row r="2625" spans="2:10" hidden="1" x14ac:dyDescent="0.2">
      <c r="B2625" t="s">
        <v>933</v>
      </c>
      <c r="C2625" t="s">
        <v>220</v>
      </c>
      <c r="D2625" t="s">
        <v>934</v>
      </c>
      <c r="E2625" t="s">
        <v>943</v>
      </c>
      <c r="F2625" t="s">
        <v>944</v>
      </c>
      <c r="G2625" t="s">
        <v>54</v>
      </c>
      <c r="H2625" t="s">
        <v>138</v>
      </c>
      <c r="I2625" s="1">
        <v>1</v>
      </c>
      <c r="J2625" s="2">
        <v>517.24</v>
      </c>
    </row>
    <row r="2626" spans="2:10" hidden="1" x14ac:dyDescent="0.2">
      <c r="B2626" t="s">
        <v>933</v>
      </c>
      <c r="C2626" t="s">
        <v>220</v>
      </c>
      <c r="D2626" t="s">
        <v>934</v>
      </c>
      <c r="E2626" t="s">
        <v>613</v>
      </c>
      <c r="F2626" t="s">
        <v>614</v>
      </c>
      <c r="G2626" t="s">
        <v>1034</v>
      </c>
      <c r="H2626" t="s">
        <v>15</v>
      </c>
      <c r="I2626" s="1">
        <v>1</v>
      </c>
      <c r="J2626" s="2">
        <v>431.03</v>
      </c>
    </row>
    <row r="2627" spans="2:10" hidden="1" x14ac:dyDescent="0.2">
      <c r="B2627" t="s">
        <v>933</v>
      </c>
      <c r="C2627" t="s">
        <v>220</v>
      </c>
      <c r="D2627" t="s">
        <v>934</v>
      </c>
      <c r="E2627" t="s">
        <v>214</v>
      </c>
      <c r="F2627" t="s">
        <v>215</v>
      </c>
      <c r="G2627" t="s">
        <v>1034</v>
      </c>
      <c r="H2627" t="s">
        <v>15</v>
      </c>
      <c r="I2627" s="1">
        <v>1</v>
      </c>
      <c r="J2627" s="2">
        <v>301.72000000000003</v>
      </c>
    </row>
    <row r="2628" spans="2:10" hidden="1" x14ac:dyDescent="0.2">
      <c r="B2628" t="s">
        <v>933</v>
      </c>
      <c r="C2628" t="s">
        <v>220</v>
      </c>
      <c r="D2628" t="s">
        <v>934</v>
      </c>
      <c r="E2628" t="s">
        <v>36</v>
      </c>
      <c r="F2628" t="s">
        <v>37</v>
      </c>
      <c r="G2628" t="s">
        <v>1034</v>
      </c>
      <c r="H2628" t="s">
        <v>15</v>
      </c>
      <c r="I2628" s="1">
        <v>1</v>
      </c>
      <c r="J2628" s="2">
        <v>301.72000000000003</v>
      </c>
    </row>
    <row r="2629" spans="2:10" hidden="1" x14ac:dyDescent="0.2">
      <c r="B2629" t="s">
        <v>933</v>
      </c>
      <c r="C2629" t="s">
        <v>225</v>
      </c>
      <c r="D2629" t="s">
        <v>934</v>
      </c>
      <c r="E2629" t="s">
        <v>214</v>
      </c>
      <c r="F2629" t="s">
        <v>215</v>
      </c>
      <c r="G2629" t="s">
        <v>1034</v>
      </c>
      <c r="H2629" t="s">
        <v>15</v>
      </c>
      <c r="I2629" s="1">
        <v>1</v>
      </c>
      <c r="J2629" s="2">
        <v>301.72000000000003</v>
      </c>
    </row>
    <row r="2630" spans="2:10" hidden="1" x14ac:dyDescent="0.2">
      <c r="B2630" t="s">
        <v>933</v>
      </c>
      <c r="C2630" t="s">
        <v>225</v>
      </c>
      <c r="D2630" t="s">
        <v>934</v>
      </c>
      <c r="E2630" t="s">
        <v>16</v>
      </c>
      <c r="F2630" t="s">
        <v>17</v>
      </c>
      <c r="G2630" t="s">
        <v>1034</v>
      </c>
      <c r="H2630" t="s">
        <v>15</v>
      </c>
      <c r="I2630" s="1">
        <v>1</v>
      </c>
      <c r="J2630" s="2">
        <v>577.59</v>
      </c>
    </row>
    <row r="2631" spans="2:10" x14ac:dyDescent="0.2">
      <c r="B2631" t="s">
        <v>933</v>
      </c>
      <c r="C2631" t="s">
        <v>227</v>
      </c>
      <c r="D2631" t="s">
        <v>934</v>
      </c>
      <c r="E2631" t="s">
        <v>600</v>
      </c>
      <c r="F2631" t="s">
        <v>601</v>
      </c>
      <c r="G2631" t="s">
        <v>1033</v>
      </c>
      <c r="H2631" t="s">
        <v>30</v>
      </c>
      <c r="I2631" s="1">
        <v>1</v>
      </c>
      <c r="J2631" s="2">
        <v>301.72000000000003</v>
      </c>
    </row>
    <row r="2632" spans="2:10" x14ac:dyDescent="0.2">
      <c r="B2632" t="s">
        <v>933</v>
      </c>
      <c r="C2632" t="s">
        <v>227</v>
      </c>
      <c r="D2632" t="s">
        <v>934</v>
      </c>
      <c r="E2632" t="s">
        <v>101</v>
      </c>
      <c r="F2632" t="s">
        <v>102</v>
      </c>
      <c r="G2632" t="s">
        <v>103</v>
      </c>
      <c r="H2632" t="s">
        <v>104</v>
      </c>
      <c r="I2632" s="1">
        <v>2</v>
      </c>
      <c r="J2632" s="2">
        <v>0.02</v>
      </c>
    </row>
    <row r="2633" spans="2:10" x14ac:dyDescent="0.2">
      <c r="B2633" t="s">
        <v>933</v>
      </c>
      <c r="C2633" t="s">
        <v>227</v>
      </c>
      <c r="D2633" t="s">
        <v>934</v>
      </c>
      <c r="E2633" t="s">
        <v>216</v>
      </c>
      <c r="F2633" t="s">
        <v>217</v>
      </c>
      <c r="G2633" t="s">
        <v>14</v>
      </c>
      <c r="H2633" t="s">
        <v>104</v>
      </c>
      <c r="I2633" s="1">
        <v>1</v>
      </c>
      <c r="J2633" s="2">
        <v>17.239999999999998</v>
      </c>
    </row>
    <row r="2634" spans="2:10" x14ac:dyDescent="0.2">
      <c r="B2634" t="s">
        <v>933</v>
      </c>
      <c r="C2634" t="s">
        <v>227</v>
      </c>
      <c r="D2634" t="s">
        <v>934</v>
      </c>
      <c r="E2634" t="s">
        <v>521</v>
      </c>
      <c r="F2634" t="s">
        <v>522</v>
      </c>
      <c r="G2634" t="s">
        <v>14</v>
      </c>
      <c r="H2634" t="s">
        <v>104</v>
      </c>
      <c r="I2634" s="1">
        <v>1</v>
      </c>
      <c r="J2634" s="2">
        <v>21.55</v>
      </c>
    </row>
    <row r="2635" spans="2:10" x14ac:dyDescent="0.2">
      <c r="B2635" t="s">
        <v>933</v>
      </c>
      <c r="C2635" t="s">
        <v>227</v>
      </c>
      <c r="D2635" t="s">
        <v>934</v>
      </c>
      <c r="E2635" t="s">
        <v>16</v>
      </c>
      <c r="F2635" t="s">
        <v>17</v>
      </c>
      <c r="G2635" t="s">
        <v>1034</v>
      </c>
      <c r="H2635" t="s">
        <v>15</v>
      </c>
      <c r="I2635" s="1">
        <v>4</v>
      </c>
      <c r="J2635" s="2">
        <v>2310.36</v>
      </c>
    </row>
    <row r="2636" spans="2:10" x14ac:dyDescent="0.2">
      <c r="B2636" t="s">
        <v>933</v>
      </c>
      <c r="C2636" t="s">
        <v>228</v>
      </c>
      <c r="D2636" t="s">
        <v>934</v>
      </c>
      <c r="E2636" t="s">
        <v>669</v>
      </c>
      <c r="F2636" t="s">
        <v>670</v>
      </c>
      <c r="G2636" t="s">
        <v>14</v>
      </c>
      <c r="H2636" t="s">
        <v>27</v>
      </c>
      <c r="I2636" s="1">
        <v>1</v>
      </c>
      <c r="J2636" s="2">
        <v>448.28</v>
      </c>
    </row>
    <row r="2637" spans="2:10" x14ac:dyDescent="0.2">
      <c r="B2637" t="s">
        <v>933</v>
      </c>
      <c r="C2637" t="s">
        <v>228</v>
      </c>
      <c r="D2637" t="s">
        <v>934</v>
      </c>
      <c r="E2637" t="s">
        <v>44</v>
      </c>
      <c r="F2637" t="s">
        <v>45</v>
      </c>
      <c r="G2637" t="s">
        <v>1033</v>
      </c>
      <c r="H2637" t="s">
        <v>30</v>
      </c>
      <c r="I2637" s="1">
        <v>1</v>
      </c>
      <c r="J2637" s="2">
        <v>81.900000000000006</v>
      </c>
    </row>
    <row r="2638" spans="2:10" x14ac:dyDescent="0.2">
      <c r="B2638" t="s">
        <v>933</v>
      </c>
      <c r="C2638" t="s">
        <v>228</v>
      </c>
      <c r="D2638" t="s">
        <v>934</v>
      </c>
      <c r="E2638" t="s">
        <v>120</v>
      </c>
      <c r="F2638" t="s">
        <v>121</v>
      </c>
      <c r="G2638" t="s">
        <v>1034</v>
      </c>
      <c r="H2638" t="s">
        <v>15</v>
      </c>
      <c r="I2638" s="1">
        <v>1</v>
      </c>
      <c r="J2638" s="2">
        <v>301.72000000000003</v>
      </c>
    </row>
    <row r="2639" spans="2:10" x14ac:dyDescent="0.2">
      <c r="B2639" t="s">
        <v>933</v>
      </c>
      <c r="C2639" t="s">
        <v>228</v>
      </c>
      <c r="D2639" t="s">
        <v>934</v>
      </c>
      <c r="E2639" t="s">
        <v>72</v>
      </c>
      <c r="F2639" t="s">
        <v>73</v>
      </c>
      <c r="G2639" t="s">
        <v>1034</v>
      </c>
      <c r="H2639" t="s">
        <v>15</v>
      </c>
      <c r="I2639" s="1">
        <v>1</v>
      </c>
      <c r="J2639" s="2">
        <v>775.86</v>
      </c>
    </row>
    <row r="2640" spans="2:10" x14ac:dyDescent="0.2">
      <c r="B2640" t="s">
        <v>933</v>
      </c>
      <c r="C2640" t="s">
        <v>228</v>
      </c>
      <c r="D2640" t="s">
        <v>934</v>
      </c>
      <c r="E2640" t="s">
        <v>101</v>
      </c>
      <c r="F2640" t="s">
        <v>102</v>
      </c>
      <c r="G2640" t="s">
        <v>103</v>
      </c>
      <c r="H2640" t="s">
        <v>104</v>
      </c>
      <c r="I2640" s="1">
        <v>1</v>
      </c>
      <c r="J2640" s="2">
        <v>0.01</v>
      </c>
    </row>
    <row r="2641" spans="2:10" x14ac:dyDescent="0.2">
      <c r="B2641" t="s">
        <v>933</v>
      </c>
      <c r="C2641" t="s">
        <v>228</v>
      </c>
      <c r="D2641" t="s">
        <v>934</v>
      </c>
      <c r="E2641" t="s">
        <v>74</v>
      </c>
      <c r="F2641" t="s">
        <v>75</v>
      </c>
      <c r="G2641" t="s">
        <v>76</v>
      </c>
      <c r="H2641" t="s">
        <v>60</v>
      </c>
      <c r="I2641" s="1">
        <v>1</v>
      </c>
      <c r="J2641" s="2">
        <v>344.83</v>
      </c>
    </row>
    <row r="2642" spans="2:10" x14ac:dyDescent="0.2">
      <c r="B2642" t="s">
        <v>933</v>
      </c>
      <c r="C2642" t="s">
        <v>228</v>
      </c>
      <c r="D2642" t="s">
        <v>934</v>
      </c>
      <c r="E2642" t="s">
        <v>61</v>
      </c>
      <c r="F2642" t="s">
        <v>62</v>
      </c>
      <c r="G2642" t="s">
        <v>1034</v>
      </c>
      <c r="H2642" t="s">
        <v>15</v>
      </c>
      <c r="I2642" s="1">
        <v>1</v>
      </c>
      <c r="J2642" s="2">
        <v>172.41</v>
      </c>
    </row>
    <row r="2643" spans="2:10" x14ac:dyDescent="0.2">
      <c r="B2643" t="s">
        <v>933</v>
      </c>
      <c r="C2643" t="s">
        <v>228</v>
      </c>
      <c r="D2643" t="s">
        <v>934</v>
      </c>
      <c r="E2643" t="s">
        <v>16</v>
      </c>
      <c r="F2643" t="s">
        <v>17</v>
      </c>
      <c r="G2643" t="s">
        <v>1034</v>
      </c>
      <c r="H2643" t="s">
        <v>15</v>
      </c>
      <c r="I2643" s="1">
        <v>2</v>
      </c>
      <c r="J2643" s="2">
        <v>1155.18</v>
      </c>
    </row>
    <row r="2644" spans="2:10" x14ac:dyDescent="0.2">
      <c r="B2644" t="s">
        <v>933</v>
      </c>
      <c r="C2644" t="s">
        <v>228</v>
      </c>
      <c r="D2644" t="s">
        <v>934</v>
      </c>
      <c r="E2644" t="s">
        <v>333</v>
      </c>
      <c r="F2644" t="s">
        <v>334</v>
      </c>
      <c r="G2644" t="s">
        <v>1033</v>
      </c>
      <c r="H2644" t="s">
        <v>30</v>
      </c>
      <c r="I2644" s="1">
        <v>1</v>
      </c>
      <c r="J2644" s="2">
        <v>2413.79</v>
      </c>
    </row>
    <row r="2645" spans="2:10" x14ac:dyDescent="0.2">
      <c r="B2645" t="s">
        <v>933</v>
      </c>
      <c r="C2645" t="s">
        <v>233</v>
      </c>
      <c r="D2645" t="s">
        <v>934</v>
      </c>
      <c r="E2645" t="s">
        <v>210</v>
      </c>
      <c r="F2645" t="s">
        <v>211</v>
      </c>
      <c r="G2645" t="s">
        <v>1033</v>
      </c>
      <c r="H2645" t="s">
        <v>30</v>
      </c>
      <c r="I2645" s="1">
        <v>1</v>
      </c>
      <c r="J2645" s="2">
        <v>301.72000000000003</v>
      </c>
    </row>
    <row r="2646" spans="2:10" x14ac:dyDescent="0.2">
      <c r="B2646" t="s">
        <v>933</v>
      </c>
      <c r="C2646" t="s">
        <v>233</v>
      </c>
      <c r="D2646" t="s">
        <v>934</v>
      </c>
      <c r="E2646" t="s">
        <v>214</v>
      </c>
      <c r="F2646" t="s">
        <v>215</v>
      </c>
      <c r="G2646" t="s">
        <v>1034</v>
      </c>
      <c r="H2646" t="s">
        <v>15</v>
      </c>
      <c r="I2646" s="1">
        <v>1</v>
      </c>
      <c r="J2646" s="2">
        <v>301.72000000000003</v>
      </c>
    </row>
    <row r="2647" spans="2:10" x14ac:dyDescent="0.2">
      <c r="B2647" t="s">
        <v>933</v>
      </c>
      <c r="C2647" t="s">
        <v>233</v>
      </c>
      <c r="D2647" t="s">
        <v>934</v>
      </c>
      <c r="E2647" t="s">
        <v>72</v>
      </c>
      <c r="F2647" t="s">
        <v>73</v>
      </c>
      <c r="G2647" t="s">
        <v>1034</v>
      </c>
      <c r="H2647" t="s">
        <v>15</v>
      </c>
      <c r="I2647" s="1">
        <v>2</v>
      </c>
      <c r="J2647" s="2">
        <v>1551.72</v>
      </c>
    </row>
    <row r="2648" spans="2:10" x14ac:dyDescent="0.2">
      <c r="B2648" t="s">
        <v>933</v>
      </c>
      <c r="C2648" t="s">
        <v>233</v>
      </c>
      <c r="D2648" t="s">
        <v>934</v>
      </c>
      <c r="E2648" t="s">
        <v>179</v>
      </c>
      <c r="F2648" t="s">
        <v>180</v>
      </c>
      <c r="G2648" t="s">
        <v>76</v>
      </c>
      <c r="H2648" t="s">
        <v>60</v>
      </c>
      <c r="I2648" s="1">
        <v>1</v>
      </c>
      <c r="J2648" s="2">
        <v>344.83</v>
      </c>
    </row>
    <row r="2649" spans="2:10" x14ac:dyDescent="0.2">
      <c r="B2649" t="s">
        <v>933</v>
      </c>
      <c r="C2649" t="s">
        <v>233</v>
      </c>
      <c r="D2649" t="s">
        <v>934</v>
      </c>
      <c r="E2649" t="s">
        <v>56</v>
      </c>
      <c r="F2649" t="s">
        <v>57</v>
      </c>
      <c r="G2649" t="s">
        <v>1034</v>
      </c>
      <c r="H2649" t="s">
        <v>15</v>
      </c>
      <c r="I2649" s="1">
        <v>1</v>
      </c>
      <c r="J2649" s="2">
        <v>431.03</v>
      </c>
    </row>
    <row r="2650" spans="2:10" x14ac:dyDescent="0.2">
      <c r="B2650" t="s">
        <v>933</v>
      </c>
      <c r="C2650" t="s">
        <v>233</v>
      </c>
      <c r="D2650" t="s">
        <v>934</v>
      </c>
      <c r="E2650" t="s">
        <v>406</v>
      </c>
      <c r="F2650" t="s">
        <v>407</v>
      </c>
      <c r="G2650" t="s">
        <v>14</v>
      </c>
      <c r="H2650" t="s">
        <v>104</v>
      </c>
      <c r="I2650" s="1">
        <v>1</v>
      </c>
      <c r="J2650" s="2">
        <v>17.239999999999998</v>
      </c>
    </row>
    <row r="2651" spans="2:10" x14ac:dyDescent="0.2">
      <c r="B2651" t="s">
        <v>933</v>
      </c>
      <c r="C2651" t="s">
        <v>233</v>
      </c>
      <c r="D2651" t="s">
        <v>934</v>
      </c>
      <c r="E2651" t="s">
        <v>16</v>
      </c>
      <c r="F2651" t="s">
        <v>17</v>
      </c>
      <c r="G2651" t="s">
        <v>1034</v>
      </c>
      <c r="H2651" t="s">
        <v>15</v>
      </c>
      <c r="I2651" s="1">
        <v>1</v>
      </c>
      <c r="J2651" s="2">
        <v>577.59</v>
      </c>
    </row>
    <row r="2652" spans="2:10" x14ac:dyDescent="0.2">
      <c r="B2652" t="s">
        <v>933</v>
      </c>
      <c r="C2652" t="s">
        <v>236</v>
      </c>
      <c r="D2652" t="s">
        <v>934</v>
      </c>
      <c r="E2652" t="s">
        <v>575</v>
      </c>
      <c r="F2652" t="s">
        <v>576</v>
      </c>
      <c r="G2652" t="s">
        <v>1033</v>
      </c>
      <c r="H2652" t="s">
        <v>30</v>
      </c>
      <c r="I2652" s="1">
        <v>1</v>
      </c>
      <c r="J2652" s="2">
        <v>474.14</v>
      </c>
    </row>
    <row r="2653" spans="2:10" x14ac:dyDescent="0.2">
      <c r="B2653" t="s">
        <v>933</v>
      </c>
      <c r="C2653" t="s">
        <v>236</v>
      </c>
      <c r="D2653" t="s">
        <v>934</v>
      </c>
      <c r="E2653" t="s">
        <v>302</v>
      </c>
      <c r="F2653" t="s">
        <v>303</v>
      </c>
      <c r="G2653" t="s">
        <v>1033</v>
      </c>
      <c r="H2653" t="s">
        <v>30</v>
      </c>
      <c r="I2653" s="1">
        <v>1</v>
      </c>
      <c r="J2653" s="2">
        <v>474.14</v>
      </c>
    </row>
    <row r="2654" spans="2:10" x14ac:dyDescent="0.2">
      <c r="B2654" t="s">
        <v>933</v>
      </c>
      <c r="C2654" t="s">
        <v>236</v>
      </c>
      <c r="D2654" t="s">
        <v>934</v>
      </c>
      <c r="E2654" t="s">
        <v>523</v>
      </c>
      <c r="F2654" t="s">
        <v>524</v>
      </c>
      <c r="G2654" t="s">
        <v>14</v>
      </c>
      <c r="H2654" t="s">
        <v>35</v>
      </c>
      <c r="I2654" s="1">
        <v>1</v>
      </c>
      <c r="J2654" s="2">
        <v>60.34</v>
      </c>
    </row>
    <row r="2655" spans="2:10" x14ac:dyDescent="0.2">
      <c r="B2655" t="s">
        <v>933</v>
      </c>
      <c r="C2655" t="s">
        <v>236</v>
      </c>
      <c r="D2655" t="s">
        <v>934</v>
      </c>
      <c r="E2655" t="s">
        <v>201</v>
      </c>
      <c r="F2655" t="s">
        <v>202</v>
      </c>
      <c r="G2655" t="s">
        <v>1033</v>
      </c>
      <c r="H2655" t="s">
        <v>30</v>
      </c>
      <c r="I2655" s="1">
        <v>1</v>
      </c>
      <c r="J2655" s="2">
        <v>948.28</v>
      </c>
    </row>
    <row r="2656" spans="2:10" x14ac:dyDescent="0.2">
      <c r="B2656" t="s">
        <v>933</v>
      </c>
      <c r="C2656" t="s">
        <v>236</v>
      </c>
      <c r="D2656" t="s">
        <v>934</v>
      </c>
      <c r="E2656" t="s">
        <v>358</v>
      </c>
      <c r="F2656" t="s">
        <v>359</v>
      </c>
      <c r="G2656" t="s">
        <v>1033</v>
      </c>
      <c r="H2656" t="s">
        <v>30</v>
      </c>
      <c r="I2656" s="1">
        <v>1</v>
      </c>
      <c r="J2656" s="2">
        <v>1500</v>
      </c>
    </row>
    <row r="2657" spans="2:10" x14ac:dyDescent="0.2">
      <c r="B2657" t="s">
        <v>933</v>
      </c>
      <c r="C2657" t="s">
        <v>236</v>
      </c>
      <c r="D2657" t="s">
        <v>934</v>
      </c>
      <c r="E2657" t="s">
        <v>101</v>
      </c>
      <c r="F2657" t="s">
        <v>102</v>
      </c>
      <c r="G2657" t="s">
        <v>103</v>
      </c>
      <c r="H2657" t="s">
        <v>104</v>
      </c>
      <c r="I2657" s="1">
        <v>3</v>
      </c>
      <c r="J2657" s="2">
        <v>0.03</v>
      </c>
    </row>
    <row r="2658" spans="2:10" x14ac:dyDescent="0.2">
      <c r="B2658" t="s">
        <v>933</v>
      </c>
      <c r="C2658" t="s">
        <v>236</v>
      </c>
      <c r="D2658" t="s">
        <v>934</v>
      </c>
      <c r="E2658" t="s">
        <v>304</v>
      </c>
      <c r="F2658" t="s">
        <v>305</v>
      </c>
      <c r="G2658" t="s">
        <v>76</v>
      </c>
      <c r="H2658" t="s">
        <v>60</v>
      </c>
      <c r="I2658" s="1">
        <v>1</v>
      </c>
      <c r="J2658" s="2">
        <v>344.83</v>
      </c>
    </row>
    <row r="2659" spans="2:10" x14ac:dyDescent="0.2">
      <c r="B2659" t="s">
        <v>933</v>
      </c>
      <c r="C2659" t="s">
        <v>236</v>
      </c>
      <c r="D2659" t="s">
        <v>934</v>
      </c>
      <c r="E2659" t="s">
        <v>406</v>
      </c>
      <c r="F2659" t="s">
        <v>407</v>
      </c>
      <c r="G2659" t="s">
        <v>14</v>
      </c>
      <c r="H2659" t="s">
        <v>104</v>
      </c>
      <c r="I2659" s="1">
        <v>1</v>
      </c>
      <c r="J2659" s="2">
        <v>17.239999999999998</v>
      </c>
    </row>
    <row r="2660" spans="2:10" x14ac:dyDescent="0.2">
      <c r="B2660" t="s">
        <v>933</v>
      </c>
      <c r="C2660" t="s">
        <v>236</v>
      </c>
      <c r="D2660" t="s">
        <v>934</v>
      </c>
      <c r="E2660" t="s">
        <v>63</v>
      </c>
      <c r="F2660" t="s">
        <v>64</v>
      </c>
      <c r="G2660" t="s">
        <v>1034</v>
      </c>
      <c r="H2660" t="s">
        <v>15</v>
      </c>
      <c r="I2660" s="1">
        <v>1</v>
      </c>
      <c r="J2660" s="2">
        <v>172.41</v>
      </c>
    </row>
    <row r="2661" spans="2:10" x14ac:dyDescent="0.2">
      <c r="B2661" t="s">
        <v>933</v>
      </c>
      <c r="C2661" t="s">
        <v>237</v>
      </c>
      <c r="D2661" t="s">
        <v>934</v>
      </c>
      <c r="E2661" t="s">
        <v>953</v>
      </c>
      <c r="F2661" t="s">
        <v>954</v>
      </c>
      <c r="G2661" t="s">
        <v>54</v>
      </c>
      <c r="H2661" t="s">
        <v>138</v>
      </c>
      <c r="I2661" s="1">
        <v>1</v>
      </c>
      <c r="J2661" s="2">
        <v>465.52</v>
      </c>
    </row>
    <row r="2662" spans="2:10" x14ac:dyDescent="0.2">
      <c r="B2662" t="s">
        <v>933</v>
      </c>
      <c r="C2662" t="s">
        <v>237</v>
      </c>
      <c r="D2662" t="s">
        <v>934</v>
      </c>
      <c r="E2662" t="s">
        <v>72</v>
      </c>
      <c r="F2662" t="s">
        <v>73</v>
      </c>
      <c r="G2662" t="s">
        <v>1034</v>
      </c>
      <c r="H2662" t="s">
        <v>15</v>
      </c>
      <c r="I2662" s="1">
        <v>1</v>
      </c>
      <c r="J2662" s="2">
        <v>775.86</v>
      </c>
    </row>
    <row r="2663" spans="2:10" x14ac:dyDescent="0.2">
      <c r="B2663" t="s">
        <v>933</v>
      </c>
      <c r="C2663" t="s">
        <v>237</v>
      </c>
      <c r="D2663" t="s">
        <v>934</v>
      </c>
      <c r="E2663" t="s">
        <v>74</v>
      </c>
      <c r="F2663" t="s">
        <v>75</v>
      </c>
      <c r="G2663" t="s">
        <v>76</v>
      </c>
      <c r="H2663" t="s">
        <v>60</v>
      </c>
      <c r="I2663" s="1">
        <v>1</v>
      </c>
      <c r="J2663" s="2">
        <v>344.83</v>
      </c>
    </row>
    <row r="2664" spans="2:10" x14ac:dyDescent="0.2">
      <c r="B2664" t="s">
        <v>933</v>
      </c>
      <c r="C2664" t="s">
        <v>237</v>
      </c>
      <c r="D2664" t="s">
        <v>934</v>
      </c>
      <c r="E2664" t="s">
        <v>61</v>
      </c>
      <c r="F2664" t="s">
        <v>62</v>
      </c>
      <c r="G2664" t="s">
        <v>1034</v>
      </c>
      <c r="H2664" t="s">
        <v>15</v>
      </c>
      <c r="I2664" s="1">
        <v>7</v>
      </c>
      <c r="J2664" s="2">
        <v>1206.8700000000001</v>
      </c>
    </row>
    <row r="2665" spans="2:10" x14ac:dyDescent="0.2">
      <c r="B2665" t="s">
        <v>933</v>
      </c>
      <c r="C2665" t="s">
        <v>237</v>
      </c>
      <c r="D2665" t="s">
        <v>934</v>
      </c>
      <c r="E2665" t="s">
        <v>63</v>
      </c>
      <c r="F2665" t="s">
        <v>64</v>
      </c>
      <c r="G2665" t="s">
        <v>1034</v>
      </c>
      <c r="H2665" t="s">
        <v>15</v>
      </c>
      <c r="I2665" s="1">
        <v>1</v>
      </c>
      <c r="J2665" s="2">
        <v>172.41</v>
      </c>
    </row>
    <row r="2666" spans="2:10" x14ac:dyDescent="0.2">
      <c r="B2666" t="s">
        <v>933</v>
      </c>
      <c r="C2666" t="s">
        <v>237</v>
      </c>
      <c r="D2666" t="s">
        <v>934</v>
      </c>
      <c r="E2666" t="s">
        <v>16</v>
      </c>
      <c r="F2666" t="s">
        <v>17</v>
      </c>
      <c r="G2666" t="s">
        <v>1034</v>
      </c>
      <c r="H2666" t="s">
        <v>15</v>
      </c>
      <c r="I2666" s="1">
        <v>1</v>
      </c>
      <c r="J2666" s="2">
        <v>577.59</v>
      </c>
    </row>
    <row r="2667" spans="2:10" x14ac:dyDescent="0.2">
      <c r="B2667" t="s">
        <v>933</v>
      </c>
      <c r="C2667" t="s">
        <v>248</v>
      </c>
      <c r="D2667" t="s">
        <v>277</v>
      </c>
      <c r="E2667" t="s">
        <v>613</v>
      </c>
      <c r="F2667" t="s">
        <v>614</v>
      </c>
      <c r="G2667" t="s">
        <v>1034</v>
      </c>
      <c r="H2667" t="s">
        <v>15</v>
      </c>
      <c r="I2667" s="1">
        <v>1</v>
      </c>
      <c r="J2667" s="2">
        <v>431.03</v>
      </c>
    </row>
    <row r="2668" spans="2:10" x14ac:dyDescent="0.2">
      <c r="B2668" t="s">
        <v>933</v>
      </c>
      <c r="C2668" t="s">
        <v>248</v>
      </c>
      <c r="D2668" t="s">
        <v>277</v>
      </c>
      <c r="E2668" t="s">
        <v>48</v>
      </c>
      <c r="F2668" t="s">
        <v>49</v>
      </c>
      <c r="G2668" t="s">
        <v>43</v>
      </c>
      <c r="H2668" t="s">
        <v>50</v>
      </c>
      <c r="I2668" s="1">
        <v>1</v>
      </c>
      <c r="J2668" s="2">
        <v>1318.97</v>
      </c>
    </row>
    <row r="2669" spans="2:10" x14ac:dyDescent="0.2">
      <c r="B2669" t="s">
        <v>933</v>
      </c>
      <c r="C2669" t="s">
        <v>248</v>
      </c>
      <c r="D2669" t="s">
        <v>277</v>
      </c>
      <c r="E2669" t="s">
        <v>16</v>
      </c>
      <c r="F2669" t="s">
        <v>17</v>
      </c>
      <c r="G2669" t="s">
        <v>1034</v>
      </c>
      <c r="H2669" t="s">
        <v>15</v>
      </c>
      <c r="I2669" s="1">
        <v>1</v>
      </c>
      <c r="J2669" s="2">
        <v>577.59</v>
      </c>
    </row>
    <row r="2670" spans="2:10" hidden="1" x14ac:dyDescent="0.2">
      <c r="B2670" t="s">
        <v>955</v>
      </c>
      <c r="C2670" t="s">
        <v>10</v>
      </c>
      <c r="D2670" t="s">
        <v>956</v>
      </c>
      <c r="E2670" t="s">
        <v>44</v>
      </c>
      <c r="F2670" t="s">
        <v>45</v>
      </c>
      <c r="G2670" t="s">
        <v>1033</v>
      </c>
      <c r="H2670" t="s">
        <v>30</v>
      </c>
      <c r="I2670" s="1">
        <v>2</v>
      </c>
      <c r="J2670" s="2">
        <v>163.80000000000001</v>
      </c>
    </row>
    <row r="2671" spans="2:10" hidden="1" x14ac:dyDescent="0.2">
      <c r="B2671" t="s">
        <v>955</v>
      </c>
      <c r="C2671" t="s">
        <v>10</v>
      </c>
      <c r="D2671" t="s">
        <v>956</v>
      </c>
      <c r="E2671" t="s">
        <v>46</v>
      </c>
      <c r="F2671" t="s">
        <v>47</v>
      </c>
      <c r="G2671" t="s">
        <v>1034</v>
      </c>
      <c r="H2671" t="s">
        <v>15</v>
      </c>
      <c r="I2671" s="1">
        <v>1</v>
      </c>
      <c r="J2671" s="2">
        <v>301.72000000000003</v>
      </c>
    </row>
    <row r="2672" spans="2:10" hidden="1" x14ac:dyDescent="0.2">
      <c r="B2672" t="s">
        <v>955</v>
      </c>
      <c r="C2672" t="s">
        <v>10</v>
      </c>
      <c r="D2672" t="s">
        <v>956</v>
      </c>
      <c r="E2672" t="s">
        <v>203</v>
      </c>
      <c r="F2672" t="s">
        <v>204</v>
      </c>
      <c r="G2672" t="s">
        <v>43</v>
      </c>
      <c r="H2672" t="s">
        <v>205</v>
      </c>
      <c r="I2672" s="1">
        <v>1</v>
      </c>
      <c r="J2672" s="2">
        <v>344.83</v>
      </c>
    </row>
    <row r="2673" spans="2:10" hidden="1" x14ac:dyDescent="0.2">
      <c r="B2673" t="s">
        <v>955</v>
      </c>
      <c r="C2673" t="s">
        <v>10</v>
      </c>
      <c r="D2673" t="s">
        <v>956</v>
      </c>
      <c r="E2673" t="s">
        <v>120</v>
      </c>
      <c r="F2673" t="s">
        <v>121</v>
      </c>
      <c r="G2673" t="s">
        <v>1034</v>
      </c>
      <c r="H2673" t="s">
        <v>15</v>
      </c>
      <c r="I2673" s="1">
        <v>1</v>
      </c>
      <c r="J2673" s="2">
        <v>301.72000000000003</v>
      </c>
    </row>
    <row r="2674" spans="2:10" hidden="1" x14ac:dyDescent="0.2">
      <c r="B2674" t="s">
        <v>955</v>
      </c>
      <c r="C2674" t="s">
        <v>10</v>
      </c>
      <c r="D2674" t="s">
        <v>956</v>
      </c>
      <c r="E2674" t="s">
        <v>253</v>
      </c>
      <c r="F2674" t="s">
        <v>254</v>
      </c>
      <c r="G2674" t="s">
        <v>1034</v>
      </c>
      <c r="H2674" t="s">
        <v>15</v>
      </c>
      <c r="I2674" s="1">
        <v>1</v>
      </c>
      <c r="J2674" s="2">
        <v>775.86</v>
      </c>
    </row>
    <row r="2675" spans="2:10" hidden="1" x14ac:dyDescent="0.2">
      <c r="B2675" t="s">
        <v>955</v>
      </c>
      <c r="C2675" t="s">
        <v>10</v>
      </c>
      <c r="D2675" t="s">
        <v>956</v>
      </c>
      <c r="E2675" t="s">
        <v>72</v>
      </c>
      <c r="F2675" t="s">
        <v>73</v>
      </c>
      <c r="G2675" t="s">
        <v>1034</v>
      </c>
      <c r="H2675" t="s">
        <v>15</v>
      </c>
      <c r="I2675" s="1">
        <v>1</v>
      </c>
      <c r="J2675" s="2">
        <v>775.86</v>
      </c>
    </row>
    <row r="2676" spans="2:10" hidden="1" x14ac:dyDescent="0.2">
      <c r="B2676" t="s">
        <v>955</v>
      </c>
      <c r="C2676" t="s">
        <v>10</v>
      </c>
      <c r="D2676" t="s">
        <v>956</v>
      </c>
      <c r="E2676" t="s">
        <v>336</v>
      </c>
      <c r="F2676" t="s">
        <v>337</v>
      </c>
      <c r="G2676" t="s">
        <v>1034</v>
      </c>
      <c r="H2676" t="s">
        <v>15</v>
      </c>
      <c r="I2676" s="1">
        <v>1</v>
      </c>
      <c r="J2676" s="2">
        <v>387.93</v>
      </c>
    </row>
    <row r="2677" spans="2:10" hidden="1" x14ac:dyDescent="0.2">
      <c r="B2677" t="s">
        <v>955</v>
      </c>
      <c r="C2677" t="s">
        <v>10</v>
      </c>
      <c r="D2677" t="s">
        <v>956</v>
      </c>
      <c r="E2677" t="s">
        <v>442</v>
      </c>
      <c r="F2677" t="s">
        <v>443</v>
      </c>
      <c r="G2677" t="s">
        <v>1033</v>
      </c>
      <c r="H2677" t="s">
        <v>30</v>
      </c>
      <c r="I2677" s="1">
        <v>1</v>
      </c>
      <c r="J2677" s="2">
        <v>2500</v>
      </c>
    </row>
    <row r="2678" spans="2:10" hidden="1" x14ac:dyDescent="0.2">
      <c r="B2678" t="s">
        <v>955</v>
      </c>
      <c r="C2678" t="s">
        <v>10</v>
      </c>
      <c r="D2678" t="s">
        <v>956</v>
      </c>
      <c r="E2678" t="s">
        <v>312</v>
      </c>
      <c r="F2678" t="s">
        <v>313</v>
      </c>
      <c r="G2678" t="s">
        <v>1033</v>
      </c>
      <c r="H2678" t="s">
        <v>30</v>
      </c>
      <c r="I2678" s="1">
        <v>1</v>
      </c>
      <c r="J2678" s="2">
        <v>603.45000000000005</v>
      </c>
    </row>
    <row r="2679" spans="2:10" hidden="1" x14ac:dyDescent="0.2">
      <c r="B2679" t="s">
        <v>955</v>
      </c>
      <c r="C2679" t="s">
        <v>10</v>
      </c>
      <c r="D2679" t="s">
        <v>956</v>
      </c>
      <c r="E2679" t="s">
        <v>56</v>
      </c>
      <c r="F2679" t="s">
        <v>57</v>
      </c>
      <c r="G2679" t="s">
        <v>1034</v>
      </c>
      <c r="H2679" t="s">
        <v>15</v>
      </c>
      <c r="I2679" s="1">
        <v>1</v>
      </c>
      <c r="J2679" s="2">
        <v>431.03</v>
      </c>
    </row>
    <row r="2680" spans="2:10" hidden="1" x14ac:dyDescent="0.2">
      <c r="B2680" t="s">
        <v>955</v>
      </c>
      <c r="C2680" t="s">
        <v>10</v>
      </c>
      <c r="D2680" t="s">
        <v>956</v>
      </c>
      <c r="E2680" t="s">
        <v>61</v>
      </c>
      <c r="F2680" t="s">
        <v>62</v>
      </c>
      <c r="G2680" t="s">
        <v>1034</v>
      </c>
      <c r="H2680" t="s">
        <v>15</v>
      </c>
      <c r="I2680" s="1">
        <v>1</v>
      </c>
      <c r="J2680" s="2">
        <v>172.41</v>
      </c>
    </row>
    <row r="2681" spans="2:10" hidden="1" x14ac:dyDescent="0.2">
      <c r="B2681" t="s">
        <v>955</v>
      </c>
      <c r="C2681" t="s">
        <v>10</v>
      </c>
      <c r="D2681" t="s">
        <v>956</v>
      </c>
      <c r="E2681" t="s">
        <v>63</v>
      </c>
      <c r="F2681" t="s">
        <v>64</v>
      </c>
      <c r="G2681" t="s">
        <v>1034</v>
      </c>
      <c r="H2681" t="s">
        <v>15</v>
      </c>
      <c r="I2681" s="1">
        <v>1</v>
      </c>
      <c r="J2681" s="2">
        <v>172.41</v>
      </c>
    </row>
    <row r="2682" spans="2:10" hidden="1" x14ac:dyDescent="0.2">
      <c r="B2682" t="s">
        <v>955</v>
      </c>
      <c r="C2682" t="s">
        <v>10</v>
      </c>
      <c r="D2682" t="s">
        <v>956</v>
      </c>
      <c r="E2682" t="s">
        <v>372</v>
      </c>
      <c r="F2682" t="s">
        <v>373</v>
      </c>
      <c r="G2682" t="s">
        <v>1033</v>
      </c>
      <c r="H2682" t="s">
        <v>30</v>
      </c>
      <c r="I2682" s="1">
        <v>1</v>
      </c>
      <c r="J2682" s="2">
        <v>2465.52</v>
      </c>
    </row>
    <row r="2683" spans="2:10" hidden="1" x14ac:dyDescent="0.2">
      <c r="B2683" t="s">
        <v>955</v>
      </c>
      <c r="C2683" t="s">
        <v>18</v>
      </c>
      <c r="D2683" t="s">
        <v>956</v>
      </c>
      <c r="E2683" t="s">
        <v>701</v>
      </c>
      <c r="F2683" t="s">
        <v>702</v>
      </c>
      <c r="G2683" t="s">
        <v>43</v>
      </c>
      <c r="H2683" t="s">
        <v>50</v>
      </c>
      <c r="I2683" s="1">
        <v>1</v>
      </c>
      <c r="J2683" s="2">
        <v>4482.76</v>
      </c>
    </row>
    <row r="2684" spans="2:10" hidden="1" x14ac:dyDescent="0.2">
      <c r="B2684" t="s">
        <v>955</v>
      </c>
      <c r="C2684" t="s">
        <v>18</v>
      </c>
      <c r="D2684" t="s">
        <v>956</v>
      </c>
      <c r="E2684" t="s">
        <v>44</v>
      </c>
      <c r="F2684" t="s">
        <v>45</v>
      </c>
      <c r="G2684" t="s">
        <v>1033</v>
      </c>
      <c r="H2684" t="s">
        <v>30</v>
      </c>
      <c r="I2684" s="1">
        <v>1</v>
      </c>
      <c r="J2684" s="2">
        <v>81.900000000000006</v>
      </c>
    </row>
    <row r="2685" spans="2:10" hidden="1" x14ac:dyDescent="0.2">
      <c r="B2685" t="s">
        <v>955</v>
      </c>
      <c r="C2685" t="s">
        <v>18</v>
      </c>
      <c r="D2685" t="s">
        <v>956</v>
      </c>
      <c r="E2685" t="s">
        <v>97</v>
      </c>
      <c r="F2685" t="s">
        <v>98</v>
      </c>
      <c r="G2685" t="s">
        <v>1033</v>
      </c>
      <c r="H2685" t="s">
        <v>30</v>
      </c>
      <c r="I2685" s="1">
        <v>1</v>
      </c>
      <c r="J2685" s="2">
        <v>2500</v>
      </c>
    </row>
    <row r="2686" spans="2:10" hidden="1" x14ac:dyDescent="0.2">
      <c r="B2686" t="s">
        <v>955</v>
      </c>
      <c r="C2686" t="s">
        <v>18</v>
      </c>
      <c r="D2686" t="s">
        <v>956</v>
      </c>
      <c r="E2686" t="s">
        <v>957</v>
      </c>
      <c r="F2686" t="s">
        <v>958</v>
      </c>
      <c r="G2686" t="s">
        <v>43</v>
      </c>
      <c r="H2686" t="s">
        <v>735</v>
      </c>
      <c r="I2686" s="1">
        <v>1</v>
      </c>
      <c r="J2686" s="2">
        <v>2482.7600000000002</v>
      </c>
    </row>
    <row r="2687" spans="2:10" hidden="1" x14ac:dyDescent="0.2">
      <c r="B2687" t="s">
        <v>955</v>
      </c>
      <c r="C2687" t="s">
        <v>18</v>
      </c>
      <c r="D2687" t="s">
        <v>956</v>
      </c>
      <c r="E2687" t="s">
        <v>948</v>
      </c>
      <c r="F2687" t="s">
        <v>949</v>
      </c>
      <c r="G2687" t="s">
        <v>54</v>
      </c>
      <c r="H2687" t="s">
        <v>439</v>
      </c>
      <c r="I2687" s="1">
        <v>1</v>
      </c>
      <c r="J2687" s="2">
        <v>198.28</v>
      </c>
    </row>
    <row r="2688" spans="2:10" hidden="1" x14ac:dyDescent="0.2">
      <c r="B2688" t="s">
        <v>955</v>
      </c>
      <c r="C2688" t="s">
        <v>18</v>
      </c>
      <c r="D2688" t="s">
        <v>956</v>
      </c>
      <c r="E2688" t="s">
        <v>214</v>
      </c>
      <c r="F2688" t="s">
        <v>215</v>
      </c>
      <c r="G2688" t="s">
        <v>1034</v>
      </c>
      <c r="H2688" t="s">
        <v>15</v>
      </c>
      <c r="I2688" s="1">
        <v>1</v>
      </c>
      <c r="J2688" s="2">
        <v>301.72000000000003</v>
      </c>
    </row>
    <row r="2689" spans="2:10" hidden="1" x14ac:dyDescent="0.2">
      <c r="B2689" t="s">
        <v>955</v>
      </c>
      <c r="C2689" t="s">
        <v>18</v>
      </c>
      <c r="D2689" t="s">
        <v>956</v>
      </c>
      <c r="E2689" t="s">
        <v>959</v>
      </c>
      <c r="F2689" t="s">
        <v>960</v>
      </c>
      <c r="G2689" t="s">
        <v>14</v>
      </c>
      <c r="H2689" t="s">
        <v>509</v>
      </c>
      <c r="I2689" s="1">
        <v>1</v>
      </c>
      <c r="J2689" s="2">
        <v>784.48</v>
      </c>
    </row>
    <row r="2690" spans="2:10" hidden="1" x14ac:dyDescent="0.2">
      <c r="B2690" t="s">
        <v>955</v>
      </c>
      <c r="C2690" t="s">
        <v>18</v>
      </c>
      <c r="D2690" t="s">
        <v>956</v>
      </c>
      <c r="E2690" t="s">
        <v>122</v>
      </c>
      <c r="F2690" t="s">
        <v>123</v>
      </c>
      <c r="G2690" t="s">
        <v>1034</v>
      </c>
      <c r="H2690" t="s">
        <v>15</v>
      </c>
      <c r="I2690" s="1">
        <v>1</v>
      </c>
      <c r="J2690" s="2">
        <v>387.93</v>
      </c>
    </row>
    <row r="2691" spans="2:10" hidden="1" x14ac:dyDescent="0.2">
      <c r="B2691" t="s">
        <v>955</v>
      </c>
      <c r="C2691" t="s">
        <v>18</v>
      </c>
      <c r="D2691" t="s">
        <v>956</v>
      </c>
      <c r="E2691" t="s">
        <v>83</v>
      </c>
      <c r="F2691" t="s">
        <v>84</v>
      </c>
      <c r="G2691" t="s">
        <v>1034</v>
      </c>
      <c r="H2691" t="s">
        <v>15</v>
      </c>
      <c r="I2691" s="1">
        <v>1</v>
      </c>
      <c r="J2691" s="2">
        <v>387.93</v>
      </c>
    </row>
    <row r="2692" spans="2:10" hidden="1" x14ac:dyDescent="0.2">
      <c r="B2692" t="s">
        <v>955</v>
      </c>
      <c r="C2692" t="s">
        <v>18</v>
      </c>
      <c r="D2692" t="s">
        <v>956</v>
      </c>
      <c r="E2692" t="s">
        <v>216</v>
      </c>
      <c r="F2692" t="s">
        <v>217</v>
      </c>
      <c r="G2692" t="s">
        <v>14</v>
      </c>
      <c r="H2692" t="s">
        <v>104</v>
      </c>
      <c r="I2692" s="1">
        <v>1</v>
      </c>
      <c r="J2692" s="2">
        <v>17.239999999999998</v>
      </c>
    </row>
    <row r="2693" spans="2:10" hidden="1" x14ac:dyDescent="0.2">
      <c r="B2693" t="s">
        <v>955</v>
      </c>
      <c r="C2693" t="s">
        <v>18</v>
      </c>
      <c r="D2693" t="s">
        <v>956</v>
      </c>
      <c r="E2693" t="s">
        <v>312</v>
      </c>
      <c r="F2693" t="s">
        <v>313</v>
      </c>
      <c r="G2693" t="s">
        <v>1033</v>
      </c>
      <c r="H2693" t="s">
        <v>30</v>
      </c>
      <c r="I2693" s="1">
        <v>1</v>
      </c>
      <c r="J2693" s="2">
        <v>603.45000000000005</v>
      </c>
    </row>
    <row r="2694" spans="2:10" hidden="1" x14ac:dyDescent="0.2">
      <c r="B2694" t="s">
        <v>955</v>
      </c>
      <c r="C2694" t="s">
        <v>18</v>
      </c>
      <c r="D2694" t="s">
        <v>956</v>
      </c>
      <c r="E2694" t="s">
        <v>56</v>
      </c>
      <c r="F2694" t="s">
        <v>57</v>
      </c>
      <c r="G2694" t="s">
        <v>1034</v>
      </c>
      <c r="H2694" t="s">
        <v>15</v>
      </c>
      <c r="I2694" s="1">
        <v>2</v>
      </c>
      <c r="J2694" s="2">
        <v>862.06</v>
      </c>
    </row>
    <row r="2695" spans="2:10" hidden="1" x14ac:dyDescent="0.2">
      <c r="B2695" t="s">
        <v>955</v>
      </c>
      <c r="C2695" t="s">
        <v>18</v>
      </c>
      <c r="D2695" t="s">
        <v>956</v>
      </c>
      <c r="E2695" t="s">
        <v>61</v>
      </c>
      <c r="F2695" t="s">
        <v>62</v>
      </c>
      <c r="G2695" t="s">
        <v>1034</v>
      </c>
      <c r="H2695" t="s">
        <v>15</v>
      </c>
      <c r="I2695" s="1">
        <v>4</v>
      </c>
      <c r="J2695" s="2">
        <v>689.64</v>
      </c>
    </row>
    <row r="2696" spans="2:10" hidden="1" x14ac:dyDescent="0.2">
      <c r="B2696" t="s">
        <v>955</v>
      </c>
      <c r="C2696" t="s">
        <v>18</v>
      </c>
      <c r="D2696" t="s">
        <v>956</v>
      </c>
      <c r="E2696" t="s">
        <v>63</v>
      </c>
      <c r="F2696" t="s">
        <v>64</v>
      </c>
      <c r="G2696" t="s">
        <v>1034</v>
      </c>
      <c r="H2696" t="s">
        <v>15</v>
      </c>
      <c r="I2696" s="1">
        <v>1</v>
      </c>
      <c r="J2696" s="2">
        <v>172.41</v>
      </c>
    </row>
    <row r="2697" spans="2:10" hidden="1" x14ac:dyDescent="0.2">
      <c r="B2697" t="s">
        <v>955</v>
      </c>
      <c r="C2697" t="s">
        <v>18</v>
      </c>
      <c r="D2697" t="s">
        <v>956</v>
      </c>
      <c r="E2697" t="s">
        <v>715</v>
      </c>
      <c r="F2697" t="s">
        <v>716</v>
      </c>
      <c r="G2697" t="s">
        <v>43</v>
      </c>
      <c r="H2697" t="s">
        <v>81</v>
      </c>
      <c r="I2697" s="1">
        <v>1</v>
      </c>
      <c r="J2697" s="2">
        <v>1637.93</v>
      </c>
    </row>
    <row r="2698" spans="2:10" hidden="1" x14ac:dyDescent="0.2">
      <c r="B2698" t="s">
        <v>955</v>
      </c>
      <c r="C2698" t="s">
        <v>18</v>
      </c>
      <c r="D2698" t="s">
        <v>956</v>
      </c>
      <c r="E2698" t="s">
        <v>28</v>
      </c>
      <c r="F2698" t="s">
        <v>29</v>
      </c>
      <c r="G2698" t="s">
        <v>1033</v>
      </c>
      <c r="H2698" t="s">
        <v>30</v>
      </c>
      <c r="I2698" s="1">
        <v>2</v>
      </c>
      <c r="J2698" s="2">
        <v>310.33999999999997</v>
      </c>
    </row>
    <row r="2699" spans="2:10" hidden="1" x14ac:dyDescent="0.2">
      <c r="B2699" t="s">
        <v>955</v>
      </c>
      <c r="C2699" t="s">
        <v>31</v>
      </c>
      <c r="D2699" t="s">
        <v>277</v>
      </c>
      <c r="E2699" t="s">
        <v>953</v>
      </c>
      <c r="F2699" t="s">
        <v>954</v>
      </c>
      <c r="G2699" t="s">
        <v>54</v>
      </c>
      <c r="H2699" t="s">
        <v>138</v>
      </c>
      <c r="I2699" s="1">
        <v>1</v>
      </c>
      <c r="J2699" s="2">
        <v>465.52</v>
      </c>
    </row>
    <row r="2700" spans="2:10" hidden="1" x14ac:dyDescent="0.2">
      <c r="B2700" t="s">
        <v>955</v>
      </c>
      <c r="C2700" t="s">
        <v>31</v>
      </c>
      <c r="D2700" t="s">
        <v>277</v>
      </c>
      <c r="E2700" t="s">
        <v>592</v>
      </c>
      <c r="F2700" t="s">
        <v>593</v>
      </c>
      <c r="G2700" t="s">
        <v>54</v>
      </c>
      <c r="H2700" t="s">
        <v>138</v>
      </c>
      <c r="I2700" s="1">
        <v>1</v>
      </c>
      <c r="J2700" s="2">
        <v>387.93</v>
      </c>
    </row>
    <row r="2701" spans="2:10" hidden="1" x14ac:dyDescent="0.2">
      <c r="B2701" t="s">
        <v>955</v>
      </c>
      <c r="C2701" t="s">
        <v>31</v>
      </c>
      <c r="D2701" t="s">
        <v>277</v>
      </c>
      <c r="E2701" t="s">
        <v>46</v>
      </c>
      <c r="F2701" t="s">
        <v>47</v>
      </c>
      <c r="G2701" t="s">
        <v>1034</v>
      </c>
      <c r="H2701" t="s">
        <v>15</v>
      </c>
      <c r="I2701" s="1">
        <v>1</v>
      </c>
      <c r="J2701" s="2">
        <v>301.72000000000003</v>
      </c>
    </row>
    <row r="2702" spans="2:10" hidden="1" x14ac:dyDescent="0.2">
      <c r="B2702" t="s">
        <v>955</v>
      </c>
      <c r="C2702" t="s">
        <v>31</v>
      </c>
      <c r="D2702" t="s">
        <v>277</v>
      </c>
      <c r="E2702" t="s">
        <v>12</v>
      </c>
      <c r="F2702" t="s">
        <v>13</v>
      </c>
      <c r="G2702" t="s">
        <v>1034</v>
      </c>
      <c r="H2702" t="s">
        <v>15</v>
      </c>
      <c r="I2702" s="1">
        <v>1</v>
      </c>
      <c r="J2702" s="2">
        <v>1077.5899999999999</v>
      </c>
    </row>
    <row r="2703" spans="2:10" hidden="1" x14ac:dyDescent="0.2">
      <c r="B2703" t="s">
        <v>955</v>
      </c>
      <c r="C2703" t="s">
        <v>31</v>
      </c>
      <c r="D2703" t="s">
        <v>277</v>
      </c>
      <c r="E2703" t="s">
        <v>38</v>
      </c>
      <c r="F2703" t="s">
        <v>39</v>
      </c>
      <c r="G2703" t="s">
        <v>1034</v>
      </c>
      <c r="H2703" t="s">
        <v>15</v>
      </c>
      <c r="I2703" s="1">
        <v>1</v>
      </c>
      <c r="J2703" s="2">
        <v>431.03</v>
      </c>
    </row>
    <row r="2704" spans="2:10" hidden="1" x14ac:dyDescent="0.2">
      <c r="B2704" t="s">
        <v>955</v>
      </c>
      <c r="C2704" t="s">
        <v>31</v>
      </c>
      <c r="D2704" t="s">
        <v>277</v>
      </c>
      <c r="E2704" t="s">
        <v>370</v>
      </c>
      <c r="F2704" t="s">
        <v>371</v>
      </c>
      <c r="G2704" t="s">
        <v>1033</v>
      </c>
      <c r="H2704" t="s">
        <v>30</v>
      </c>
      <c r="I2704" s="1">
        <v>1</v>
      </c>
      <c r="J2704" s="2">
        <v>1034.48</v>
      </c>
    </row>
    <row r="2705" spans="2:10" hidden="1" x14ac:dyDescent="0.2">
      <c r="B2705" t="s">
        <v>955</v>
      </c>
      <c r="C2705" t="s">
        <v>31</v>
      </c>
      <c r="D2705" t="s">
        <v>277</v>
      </c>
      <c r="E2705" t="s">
        <v>961</v>
      </c>
      <c r="F2705" t="s">
        <v>962</v>
      </c>
      <c r="G2705" t="s">
        <v>1033</v>
      </c>
      <c r="H2705" t="s">
        <v>30</v>
      </c>
      <c r="I2705" s="1">
        <v>1</v>
      </c>
      <c r="J2705" s="2">
        <v>2577.59</v>
      </c>
    </row>
    <row r="2706" spans="2:10" hidden="1" x14ac:dyDescent="0.2">
      <c r="B2706" t="s">
        <v>955</v>
      </c>
      <c r="C2706" t="s">
        <v>31</v>
      </c>
      <c r="D2706" t="s">
        <v>277</v>
      </c>
      <c r="E2706" t="s">
        <v>28</v>
      </c>
      <c r="F2706" t="s">
        <v>29</v>
      </c>
      <c r="G2706" t="s">
        <v>1033</v>
      </c>
      <c r="H2706" t="s">
        <v>30</v>
      </c>
      <c r="I2706" s="1">
        <v>2</v>
      </c>
      <c r="J2706" s="2">
        <v>310.33999999999997</v>
      </c>
    </row>
    <row r="2707" spans="2:10" hidden="1" x14ac:dyDescent="0.2">
      <c r="B2707" t="s">
        <v>955</v>
      </c>
      <c r="C2707" t="s">
        <v>40</v>
      </c>
      <c r="D2707" t="s">
        <v>956</v>
      </c>
      <c r="E2707" t="s">
        <v>318</v>
      </c>
      <c r="F2707" t="s">
        <v>319</v>
      </c>
      <c r="G2707" t="s">
        <v>1033</v>
      </c>
      <c r="H2707" t="s">
        <v>30</v>
      </c>
      <c r="I2707" s="1">
        <v>1</v>
      </c>
      <c r="J2707" s="2">
        <v>456.9</v>
      </c>
    </row>
    <row r="2708" spans="2:10" hidden="1" x14ac:dyDescent="0.2">
      <c r="B2708" t="s">
        <v>955</v>
      </c>
      <c r="C2708" t="s">
        <v>40</v>
      </c>
      <c r="D2708" t="s">
        <v>956</v>
      </c>
      <c r="E2708" t="s">
        <v>41</v>
      </c>
      <c r="F2708" t="s">
        <v>42</v>
      </c>
      <c r="G2708" t="s">
        <v>1033</v>
      </c>
      <c r="H2708" t="s">
        <v>30</v>
      </c>
      <c r="I2708" s="1">
        <v>1</v>
      </c>
      <c r="J2708" s="2">
        <v>34.479999999999997</v>
      </c>
    </row>
    <row r="2709" spans="2:10" hidden="1" x14ac:dyDescent="0.2">
      <c r="B2709" t="s">
        <v>955</v>
      </c>
      <c r="C2709" t="s">
        <v>40</v>
      </c>
      <c r="D2709" t="s">
        <v>956</v>
      </c>
      <c r="E2709" t="s">
        <v>19</v>
      </c>
      <c r="F2709" t="s">
        <v>20</v>
      </c>
      <c r="G2709" t="s">
        <v>14</v>
      </c>
      <c r="H2709" t="s">
        <v>21</v>
      </c>
      <c r="I2709" s="1">
        <v>1</v>
      </c>
      <c r="J2709" s="2">
        <v>431.04</v>
      </c>
    </row>
    <row r="2710" spans="2:10" hidden="1" x14ac:dyDescent="0.2">
      <c r="B2710" t="s">
        <v>955</v>
      </c>
      <c r="C2710" t="s">
        <v>40</v>
      </c>
      <c r="D2710" t="s">
        <v>956</v>
      </c>
      <c r="E2710" t="s">
        <v>46</v>
      </c>
      <c r="F2710" t="s">
        <v>47</v>
      </c>
      <c r="G2710" t="s">
        <v>1034</v>
      </c>
      <c r="H2710" t="s">
        <v>15</v>
      </c>
      <c r="I2710" s="1">
        <v>1</v>
      </c>
      <c r="J2710" s="2">
        <v>301.72000000000003</v>
      </c>
    </row>
    <row r="2711" spans="2:10" hidden="1" x14ac:dyDescent="0.2">
      <c r="B2711" t="s">
        <v>955</v>
      </c>
      <c r="C2711" t="s">
        <v>40</v>
      </c>
      <c r="D2711" t="s">
        <v>956</v>
      </c>
      <c r="E2711" t="s">
        <v>97</v>
      </c>
      <c r="F2711" t="s">
        <v>98</v>
      </c>
      <c r="G2711" t="s">
        <v>1033</v>
      </c>
      <c r="H2711" t="s">
        <v>30</v>
      </c>
      <c r="I2711" s="1">
        <v>1</v>
      </c>
      <c r="J2711" s="2">
        <v>2500</v>
      </c>
    </row>
    <row r="2712" spans="2:10" hidden="1" x14ac:dyDescent="0.2">
      <c r="B2712" t="s">
        <v>955</v>
      </c>
      <c r="C2712" t="s">
        <v>40</v>
      </c>
      <c r="D2712" t="s">
        <v>956</v>
      </c>
      <c r="E2712" t="s">
        <v>221</v>
      </c>
      <c r="F2712" t="s">
        <v>222</v>
      </c>
      <c r="G2712" t="s">
        <v>1034</v>
      </c>
      <c r="H2712" t="s">
        <v>15</v>
      </c>
      <c r="I2712" s="1">
        <v>1</v>
      </c>
      <c r="J2712" s="2">
        <v>431.03</v>
      </c>
    </row>
    <row r="2713" spans="2:10" hidden="1" x14ac:dyDescent="0.2">
      <c r="B2713" t="s">
        <v>955</v>
      </c>
      <c r="C2713" t="s">
        <v>40</v>
      </c>
      <c r="D2713" t="s">
        <v>956</v>
      </c>
      <c r="E2713" t="s">
        <v>120</v>
      </c>
      <c r="F2713" t="s">
        <v>121</v>
      </c>
      <c r="G2713" t="s">
        <v>1034</v>
      </c>
      <c r="H2713" t="s">
        <v>15</v>
      </c>
      <c r="I2713" s="1">
        <v>1</v>
      </c>
      <c r="J2713" s="2">
        <v>301.72000000000003</v>
      </c>
    </row>
    <row r="2714" spans="2:10" hidden="1" x14ac:dyDescent="0.2">
      <c r="B2714" t="s">
        <v>955</v>
      </c>
      <c r="C2714" t="s">
        <v>40</v>
      </c>
      <c r="D2714" t="s">
        <v>956</v>
      </c>
      <c r="E2714" t="s">
        <v>38</v>
      </c>
      <c r="F2714" t="s">
        <v>39</v>
      </c>
      <c r="G2714" t="s">
        <v>1034</v>
      </c>
      <c r="H2714" t="s">
        <v>15</v>
      </c>
      <c r="I2714" s="1">
        <v>1</v>
      </c>
      <c r="J2714" s="2">
        <v>431.03</v>
      </c>
    </row>
    <row r="2715" spans="2:10" hidden="1" x14ac:dyDescent="0.2">
      <c r="B2715" t="s">
        <v>955</v>
      </c>
      <c r="C2715" t="s">
        <v>40</v>
      </c>
      <c r="D2715" t="s">
        <v>956</v>
      </c>
      <c r="E2715" t="s">
        <v>56</v>
      </c>
      <c r="F2715" t="s">
        <v>57</v>
      </c>
      <c r="G2715" t="s">
        <v>1034</v>
      </c>
      <c r="H2715" t="s">
        <v>15</v>
      </c>
      <c r="I2715" s="1">
        <v>1</v>
      </c>
      <c r="J2715" s="2">
        <v>431.03</v>
      </c>
    </row>
    <row r="2716" spans="2:10" hidden="1" x14ac:dyDescent="0.2">
      <c r="B2716" t="s">
        <v>955</v>
      </c>
      <c r="C2716" t="s">
        <v>40</v>
      </c>
      <c r="D2716" t="s">
        <v>956</v>
      </c>
      <c r="E2716" t="s">
        <v>193</v>
      </c>
      <c r="F2716" t="s">
        <v>194</v>
      </c>
      <c r="G2716" t="s">
        <v>1034</v>
      </c>
      <c r="H2716" t="s">
        <v>15</v>
      </c>
      <c r="I2716" s="1">
        <v>1</v>
      </c>
      <c r="J2716" s="2">
        <v>1293.0999999999999</v>
      </c>
    </row>
    <row r="2717" spans="2:10" hidden="1" x14ac:dyDescent="0.2">
      <c r="B2717" t="s">
        <v>955</v>
      </c>
      <c r="C2717" t="s">
        <v>40</v>
      </c>
      <c r="D2717" t="s">
        <v>956</v>
      </c>
      <c r="E2717" t="s">
        <v>300</v>
      </c>
      <c r="F2717" t="s">
        <v>301</v>
      </c>
      <c r="G2717" t="s">
        <v>1033</v>
      </c>
      <c r="H2717" t="s">
        <v>30</v>
      </c>
      <c r="I2717" s="1">
        <v>1</v>
      </c>
      <c r="J2717" s="2">
        <v>2413.79</v>
      </c>
    </row>
    <row r="2718" spans="2:10" hidden="1" x14ac:dyDescent="0.2">
      <c r="B2718" t="s">
        <v>955</v>
      </c>
      <c r="C2718" t="s">
        <v>51</v>
      </c>
      <c r="D2718" t="s">
        <v>956</v>
      </c>
      <c r="E2718" t="s">
        <v>44</v>
      </c>
      <c r="F2718" t="s">
        <v>45</v>
      </c>
      <c r="G2718" t="s">
        <v>1033</v>
      </c>
      <c r="H2718" t="s">
        <v>30</v>
      </c>
      <c r="I2718" s="1">
        <v>1</v>
      </c>
      <c r="J2718" s="2">
        <v>81.900000000000006</v>
      </c>
    </row>
    <row r="2719" spans="2:10" hidden="1" x14ac:dyDescent="0.2">
      <c r="B2719" t="s">
        <v>955</v>
      </c>
      <c r="C2719" t="s">
        <v>51</v>
      </c>
      <c r="D2719" t="s">
        <v>956</v>
      </c>
      <c r="E2719" t="s">
        <v>494</v>
      </c>
      <c r="F2719" t="s">
        <v>495</v>
      </c>
      <c r="G2719" t="s">
        <v>1033</v>
      </c>
      <c r="H2719" t="s">
        <v>30</v>
      </c>
      <c r="I2719" s="1">
        <v>1</v>
      </c>
      <c r="J2719" s="2">
        <v>301.72000000000003</v>
      </c>
    </row>
    <row r="2720" spans="2:10" hidden="1" x14ac:dyDescent="0.2">
      <c r="B2720" t="s">
        <v>955</v>
      </c>
      <c r="C2720" t="s">
        <v>51</v>
      </c>
      <c r="D2720" t="s">
        <v>956</v>
      </c>
      <c r="E2720" t="s">
        <v>650</v>
      </c>
      <c r="F2720" t="s">
        <v>651</v>
      </c>
      <c r="G2720" t="s">
        <v>43</v>
      </c>
      <c r="H2720" t="s">
        <v>205</v>
      </c>
      <c r="I2720" s="1">
        <v>1</v>
      </c>
      <c r="J2720" s="2">
        <v>275.86</v>
      </c>
    </row>
    <row r="2721" spans="2:10" hidden="1" x14ac:dyDescent="0.2">
      <c r="B2721" t="s">
        <v>955</v>
      </c>
      <c r="C2721" t="s">
        <v>51</v>
      </c>
      <c r="D2721" t="s">
        <v>956</v>
      </c>
      <c r="E2721" t="s">
        <v>122</v>
      </c>
      <c r="F2721" t="s">
        <v>123</v>
      </c>
      <c r="G2721" t="s">
        <v>1034</v>
      </c>
      <c r="H2721" t="s">
        <v>15</v>
      </c>
      <c r="I2721" s="1">
        <v>1</v>
      </c>
      <c r="J2721" s="2">
        <v>387.93</v>
      </c>
    </row>
    <row r="2722" spans="2:10" hidden="1" x14ac:dyDescent="0.2">
      <c r="B2722" t="s">
        <v>955</v>
      </c>
      <c r="C2722" t="s">
        <v>51</v>
      </c>
      <c r="D2722" t="s">
        <v>956</v>
      </c>
      <c r="E2722" t="s">
        <v>56</v>
      </c>
      <c r="F2722" t="s">
        <v>57</v>
      </c>
      <c r="G2722" t="s">
        <v>1034</v>
      </c>
      <c r="H2722" t="s">
        <v>15</v>
      </c>
      <c r="I2722" s="1">
        <v>1</v>
      </c>
      <c r="J2722" s="2">
        <v>431.03</v>
      </c>
    </row>
    <row r="2723" spans="2:10" hidden="1" x14ac:dyDescent="0.2">
      <c r="B2723" t="s">
        <v>955</v>
      </c>
      <c r="C2723" t="s">
        <v>51</v>
      </c>
      <c r="D2723" t="s">
        <v>956</v>
      </c>
      <c r="E2723" t="s">
        <v>28</v>
      </c>
      <c r="F2723" t="s">
        <v>29</v>
      </c>
      <c r="G2723" t="s">
        <v>1033</v>
      </c>
      <c r="H2723" t="s">
        <v>30</v>
      </c>
      <c r="I2723" s="1">
        <v>1</v>
      </c>
      <c r="J2723" s="2">
        <v>155.16999999999999</v>
      </c>
    </row>
    <row r="2724" spans="2:10" hidden="1" x14ac:dyDescent="0.2">
      <c r="B2724" t="s">
        <v>955</v>
      </c>
      <c r="C2724" t="s">
        <v>65</v>
      </c>
      <c r="D2724" t="s">
        <v>956</v>
      </c>
      <c r="E2724" t="s">
        <v>701</v>
      </c>
      <c r="F2724" t="s">
        <v>702</v>
      </c>
      <c r="G2724" t="s">
        <v>43</v>
      </c>
      <c r="H2724" t="s">
        <v>50</v>
      </c>
      <c r="I2724" s="1">
        <v>1</v>
      </c>
      <c r="J2724" s="2">
        <v>4482.76</v>
      </c>
    </row>
    <row r="2725" spans="2:10" hidden="1" x14ac:dyDescent="0.2">
      <c r="B2725" t="s">
        <v>955</v>
      </c>
      <c r="C2725" t="s">
        <v>65</v>
      </c>
      <c r="D2725" t="s">
        <v>956</v>
      </c>
      <c r="E2725" t="s">
        <v>953</v>
      </c>
      <c r="F2725" t="s">
        <v>954</v>
      </c>
      <c r="G2725" t="s">
        <v>54</v>
      </c>
      <c r="H2725" t="s">
        <v>138</v>
      </c>
      <c r="I2725" s="1">
        <v>1</v>
      </c>
      <c r="J2725" s="2">
        <v>465.52</v>
      </c>
    </row>
    <row r="2726" spans="2:10" hidden="1" x14ac:dyDescent="0.2">
      <c r="B2726" t="s">
        <v>955</v>
      </c>
      <c r="C2726" t="s">
        <v>65</v>
      </c>
      <c r="D2726" t="s">
        <v>956</v>
      </c>
      <c r="E2726" t="s">
        <v>46</v>
      </c>
      <c r="F2726" t="s">
        <v>47</v>
      </c>
      <c r="G2726" t="s">
        <v>1034</v>
      </c>
      <c r="H2726" t="s">
        <v>15</v>
      </c>
      <c r="I2726" s="1">
        <v>2</v>
      </c>
      <c r="J2726" s="2">
        <v>603.44000000000005</v>
      </c>
    </row>
    <row r="2727" spans="2:10" hidden="1" x14ac:dyDescent="0.2">
      <c r="B2727" t="s">
        <v>955</v>
      </c>
      <c r="C2727" t="s">
        <v>65</v>
      </c>
      <c r="D2727" t="s">
        <v>956</v>
      </c>
      <c r="E2727" t="s">
        <v>494</v>
      </c>
      <c r="F2727" t="s">
        <v>495</v>
      </c>
      <c r="G2727" t="s">
        <v>1033</v>
      </c>
      <c r="H2727" t="s">
        <v>30</v>
      </c>
      <c r="I2727" s="1">
        <v>1</v>
      </c>
      <c r="J2727" s="2">
        <v>301.72000000000003</v>
      </c>
    </row>
    <row r="2728" spans="2:10" hidden="1" x14ac:dyDescent="0.2">
      <c r="B2728" t="s">
        <v>955</v>
      </c>
      <c r="C2728" t="s">
        <v>65</v>
      </c>
      <c r="D2728" t="s">
        <v>956</v>
      </c>
      <c r="E2728" t="s">
        <v>70</v>
      </c>
      <c r="F2728" t="s">
        <v>71</v>
      </c>
      <c r="G2728" t="s">
        <v>1033</v>
      </c>
      <c r="H2728" t="s">
        <v>30</v>
      </c>
      <c r="I2728" s="1">
        <v>1</v>
      </c>
      <c r="J2728" s="2">
        <v>2112.0700000000002</v>
      </c>
    </row>
    <row r="2729" spans="2:10" hidden="1" x14ac:dyDescent="0.2">
      <c r="B2729" t="s">
        <v>955</v>
      </c>
      <c r="C2729" t="s">
        <v>65</v>
      </c>
      <c r="D2729" t="s">
        <v>956</v>
      </c>
      <c r="E2729" t="s">
        <v>963</v>
      </c>
      <c r="F2729" t="s">
        <v>964</v>
      </c>
      <c r="G2729" t="s">
        <v>54</v>
      </c>
      <c r="H2729" t="s">
        <v>138</v>
      </c>
      <c r="I2729" s="1">
        <v>2</v>
      </c>
      <c r="J2729" s="2">
        <v>862.06</v>
      </c>
    </row>
    <row r="2730" spans="2:10" hidden="1" x14ac:dyDescent="0.2">
      <c r="B2730" t="s">
        <v>955</v>
      </c>
      <c r="C2730" t="s">
        <v>65</v>
      </c>
      <c r="D2730" t="s">
        <v>956</v>
      </c>
      <c r="E2730" t="s">
        <v>965</v>
      </c>
      <c r="F2730" t="s">
        <v>966</v>
      </c>
      <c r="G2730" t="s">
        <v>699</v>
      </c>
      <c r="H2730" t="s">
        <v>967</v>
      </c>
      <c r="I2730" s="1">
        <v>1</v>
      </c>
      <c r="J2730" s="2">
        <v>86.21</v>
      </c>
    </row>
    <row r="2731" spans="2:10" hidden="1" x14ac:dyDescent="0.2">
      <c r="B2731" t="s">
        <v>955</v>
      </c>
      <c r="C2731" t="s">
        <v>65</v>
      </c>
      <c r="D2731" t="s">
        <v>956</v>
      </c>
      <c r="E2731" t="s">
        <v>968</v>
      </c>
      <c r="F2731" t="s">
        <v>969</v>
      </c>
      <c r="G2731" t="s">
        <v>14</v>
      </c>
      <c r="H2731" t="s">
        <v>60</v>
      </c>
      <c r="I2731" s="1">
        <v>1</v>
      </c>
      <c r="J2731" s="2">
        <v>603.45000000000005</v>
      </c>
    </row>
    <row r="2732" spans="2:10" hidden="1" x14ac:dyDescent="0.2">
      <c r="B2732" t="s">
        <v>955</v>
      </c>
      <c r="C2732" t="s">
        <v>65</v>
      </c>
      <c r="D2732" t="s">
        <v>956</v>
      </c>
      <c r="E2732" t="s">
        <v>72</v>
      </c>
      <c r="F2732" t="s">
        <v>73</v>
      </c>
      <c r="G2732" t="s">
        <v>1034</v>
      </c>
      <c r="H2732" t="s">
        <v>15</v>
      </c>
      <c r="I2732" s="1">
        <v>1</v>
      </c>
      <c r="J2732" s="2">
        <v>775.86</v>
      </c>
    </row>
    <row r="2733" spans="2:10" hidden="1" x14ac:dyDescent="0.2">
      <c r="B2733" t="s">
        <v>955</v>
      </c>
      <c r="C2733" t="s">
        <v>65</v>
      </c>
      <c r="D2733" t="s">
        <v>956</v>
      </c>
      <c r="E2733" t="s">
        <v>56</v>
      </c>
      <c r="F2733" t="s">
        <v>57</v>
      </c>
      <c r="G2733" t="s">
        <v>1034</v>
      </c>
      <c r="H2733" t="s">
        <v>15</v>
      </c>
      <c r="I2733" s="1">
        <v>2</v>
      </c>
      <c r="J2733" s="2">
        <v>862.06</v>
      </c>
    </row>
    <row r="2734" spans="2:10" hidden="1" x14ac:dyDescent="0.2">
      <c r="B2734" t="s">
        <v>955</v>
      </c>
      <c r="C2734" t="s">
        <v>65</v>
      </c>
      <c r="D2734" t="s">
        <v>956</v>
      </c>
      <c r="E2734" t="s">
        <v>193</v>
      </c>
      <c r="F2734" t="s">
        <v>194</v>
      </c>
      <c r="G2734" t="s">
        <v>1034</v>
      </c>
      <c r="H2734" t="s">
        <v>15</v>
      </c>
      <c r="I2734" s="1">
        <v>1</v>
      </c>
      <c r="J2734" s="2">
        <v>1293.0999999999999</v>
      </c>
    </row>
    <row r="2735" spans="2:10" hidden="1" x14ac:dyDescent="0.2">
      <c r="B2735" t="s">
        <v>955</v>
      </c>
      <c r="C2735" t="s">
        <v>65</v>
      </c>
      <c r="D2735" t="s">
        <v>956</v>
      </c>
      <c r="E2735" t="s">
        <v>970</v>
      </c>
      <c r="F2735" t="s">
        <v>971</v>
      </c>
      <c r="G2735" t="s">
        <v>1033</v>
      </c>
      <c r="H2735" t="s">
        <v>30</v>
      </c>
      <c r="I2735" s="1">
        <v>1</v>
      </c>
      <c r="J2735" s="2">
        <v>2801.72</v>
      </c>
    </row>
    <row r="2736" spans="2:10" hidden="1" x14ac:dyDescent="0.2">
      <c r="B2736" t="s">
        <v>955</v>
      </c>
      <c r="C2736" t="s">
        <v>82</v>
      </c>
      <c r="D2736" t="s">
        <v>32</v>
      </c>
      <c r="E2736" t="s">
        <v>19</v>
      </c>
      <c r="F2736" t="s">
        <v>20</v>
      </c>
      <c r="G2736" t="s">
        <v>14</v>
      </c>
      <c r="H2736" t="s">
        <v>21</v>
      </c>
      <c r="I2736" s="1">
        <v>1</v>
      </c>
      <c r="J2736" s="2">
        <v>431.04</v>
      </c>
    </row>
    <row r="2737" spans="2:10" hidden="1" x14ac:dyDescent="0.2">
      <c r="B2737" t="s">
        <v>955</v>
      </c>
      <c r="C2737" t="s">
        <v>82</v>
      </c>
      <c r="D2737" t="s">
        <v>32</v>
      </c>
      <c r="E2737" t="s">
        <v>972</v>
      </c>
      <c r="F2737" t="s">
        <v>973</v>
      </c>
      <c r="G2737" t="s">
        <v>54</v>
      </c>
      <c r="H2737" t="s">
        <v>138</v>
      </c>
      <c r="I2737" s="1">
        <v>1</v>
      </c>
      <c r="J2737" s="2">
        <v>646.54999999999995</v>
      </c>
    </row>
    <row r="2738" spans="2:10" hidden="1" x14ac:dyDescent="0.2">
      <c r="B2738" t="s">
        <v>955</v>
      </c>
      <c r="C2738" t="s">
        <v>82</v>
      </c>
      <c r="D2738" t="s">
        <v>32</v>
      </c>
      <c r="E2738" t="s">
        <v>298</v>
      </c>
      <c r="F2738" t="s">
        <v>299</v>
      </c>
      <c r="G2738" t="s">
        <v>14</v>
      </c>
      <c r="H2738" t="s">
        <v>27</v>
      </c>
      <c r="I2738" s="1">
        <v>1</v>
      </c>
      <c r="J2738" s="2">
        <v>387.93</v>
      </c>
    </row>
    <row r="2739" spans="2:10" hidden="1" x14ac:dyDescent="0.2">
      <c r="B2739" t="s">
        <v>955</v>
      </c>
      <c r="C2739" t="s">
        <v>82</v>
      </c>
      <c r="D2739" t="s">
        <v>32</v>
      </c>
      <c r="E2739" t="s">
        <v>844</v>
      </c>
      <c r="F2739" t="s">
        <v>845</v>
      </c>
      <c r="G2739" t="s">
        <v>1033</v>
      </c>
      <c r="H2739" t="s">
        <v>30</v>
      </c>
      <c r="I2739" s="1">
        <v>1</v>
      </c>
      <c r="J2739" s="2">
        <v>1810.34</v>
      </c>
    </row>
    <row r="2740" spans="2:10" hidden="1" x14ac:dyDescent="0.2">
      <c r="B2740" t="s">
        <v>955</v>
      </c>
      <c r="C2740" t="s">
        <v>82</v>
      </c>
      <c r="D2740" t="s">
        <v>32</v>
      </c>
      <c r="E2740" t="s">
        <v>122</v>
      </c>
      <c r="F2740" t="s">
        <v>123</v>
      </c>
      <c r="G2740" t="s">
        <v>1034</v>
      </c>
      <c r="H2740" t="s">
        <v>15</v>
      </c>
      <c r="I2740" s="1">
        <v>1</v>
      </c>
      <c r="J2740" s="2">
        <v>387.93</v>
      </c>
    </row>
    <row r="2741" spans="2:10" hidden="1" x14ac:dyDescent="0.2">
      <c r="B2741" t="s">
        <v>955</v>
      </c>
      <c r="C2741" t="s">
        <v>82</v>
      </c>
      <c r="D2741" t="s">
        <v>32</v>
      </c>
      <c r="E2741" t="s">
        <v>656</v>
      </c>
      <c r="F2741" t="s">
        <v>657</v>
      </c>
      <c r="G2741" t="s">
        <v>43</v>
      </c>
      <c r="H2741" t="s">
        <v>50</v>
      </c>
      <c r="I2741" s="1">
        <v>1</v>
      </c>
      <c r="J2741" s="2">
        <v>181.03</v>
      </c>
    </row>
    <row r="2742" spans="2:10" hidden="1" x14ac:dyDescent="0.2">
      <c r="B2742" t="s">
        <v>955</v>
      </c>
      <c r="C2742" t="s">
        <v>82</v>
      </c>
      <c r="D2742" t="s">
        <v>32</v>
      </c>
      <c r="E2742" t="s">
        <v>596</v>
      </c>
      <c r="F2742" t="s">
        <v>597</v>
      </c>
      <c r="G2742" t="s">
        <v>43</v>
      </c>
      <c r="H2742" t="s">
        <v>50</v>
      </c>
      <c r="I2742" s="1">
        <v>1</v>
      </c>
      <c r="J2742" s="2">
        <v>181.03</v>
      </c>
    </row>
    <row r="2743" spans="2:10" hidden="1" x14ac:dyDescent="0.2">
      <c r="B2743" t="s">
        <v>955</v>
      </c>
      <c r="C2743" t="s">
        <v>82</v>
      </c>
      <c r="D2743" t="s">
        <v>32</v>
      </c>
      <c r="E2743" t="s">
        <v>974</v>
      </c>
      <c r="F2743" t="s">
        <v>975</v>
      </c>
      <c r="G2743" t="s">
        <v>1034</v>
      </c>
      <c r="H2743" t="s">
        <v>15</v>
      </c>
      <c r="I2743" s="1">
        <v>1</v>
      </c>
      <c r="J2743" s="2">
        <v>431.03</v>
      </c>
    </row>
    <row r="2744" spans="2:10" hidden="1" x14ac:dyDescent="0.2">
      <c r="B2744" t="s">
        <v>955</v>
      </c>
      <c r="C2744" t="s">
        <v>82</v>
      </c>
      <c r="D2744" t="s">
        <v>32</v>
      </c>
      <c r="E2744" t="s">
        <v>774</v>
      </c>
      <c r="F2744" t="s">
        <v>775</v>
      </c>
      <c r="G2744" t="s">
        <v>1033</v>
      </c>
      <c r="H2744" t="s">
        <v>30</v>
      </c>
      <c r="I2744" s="1">
        <v>1</v>
      </c>
      <c r="J2744" s="2">
        <v>853.45</v>
      </c>
    </row>
    <row r="2745" spans="2:10" hidden="1" x14ac:dyDescent="0.2">
      <c r="B2745" t="s">
        <v>955</v>
      </c>
      <c r="C2745" t="s">
        <v>82</v>
      </c>
      <c r="D2745" t="s">
        <v>32</v>
      </c>
      <c r="E2745" t="s">
        <v>56</v>
      </c>
      <c r="F2745" t="s">
        <v>57</v>
      </c>
      <c r="G2745" t="s">
        <v>1034</v>
      </c>
      <c r="H2745" t="s">
        <v>15</v>
      </c>
      <c r="I2745" s="1">
        <v>2</v>
      </c>
      <c r="J2745" s="2">
        <v>862.06</v>
      </c>
    </row>
    <row r="2746" spans="2:10" hidden="1" x14ac:dyDescent="0.2">
      <c r="B2746" t="s">
        <v>955</v>
      </c>
      <c r="C2746" t="s">
        <v>82</v>
      </c>
      <c r="D2746" t="s">
        <v>32</v>
      </c>
      <c r="E2746" t="s">
        <v>461</v>
      </c>
      <c r="F2746" t="s">
        <v>462</v>
      </c>
      <c r="G2746" t="s">
        <v>43</v>
      </c>
      <c r="H2746" t="s">
        <v>50</v>
      </c>
      <c r="I2746" s="1">
        <v>1</v>
      </c>
      <c r="J2746" s="2">
        <v>3879.31</v>
      </c>
    </row>
    <row r="2747" spans="2:10" hidden="1" x14ac:dyDescent="0.2">
      <c r="B2747" t="s">
        <v>955</v>
      </c>
      <c r="C2747" t="s">
        <v>82</v>
      </c>
      <c r="D2747" t="s">
        <v>956</v>
      </c>
      <c r="E2747" t="s">
        <v>399</v>
      </c>
      <c r="F2747" t="s">
        <v>400</v>
      </c>
      <c r="G2747" t="s">
        <v>1033</v>
      </c>
      <c r="H2747" t="s">
        <v>30</v>
      </c>
      <c r="I2747" s="1">
        <v>1</v>
      </c>
      <c r="J2747" s="2">
        <v>818.97</v>
      </c>
    </row>
    <row r="2748" spans="2:10" hidden="1" x14ac:dyDescent="0.2">
      <c r="B2748" t="s">
        <v>955</v>
      </c>
      <c r="C2748" t="s">
        <v>82</v>
      </c>
      <c r="D2748" t="s">
        <v>956</v>
      </c>
      <c r="E2748" t="s">
        <v>99</v>
      </c>
      <c r="F2748" t="s">
        <v>100</v>
      </c>
      <c r="G2748" t="s">
        <v>43</v>
      </c>
      <c r="H2748" t="s">
        <v>50</v>
      </c>
      <c r="I2748" s="1">
        <v>1</v>
      </c>
      <c r="J2748" s="2">
        <v>3275.86</v>
      </c>
    </row>
    <row r="2749" spans="2:10" hidden="1" x14ac:dyDescent="0.2">
      <c r="B2749" t="s">
        <v>955</v>
      </c>
      <c r="C2749" t="s">
        <v>82</v>
      </c>
      <c r="D2749" t="s">
        <v>956</v>
      </c>
      <c r="E2749" t="s">
        <v>72</v>
      </c>
      <c r="F2749" t="s">
        <v>73</v>
      </c>
      <c r="G2749" t="s">
        <v>1034</v>
      </c>
      <c r="H2749" t="s">
        <v>15</v>
      </c>
      <c r="I2749" s="1">
        <v>1</v>
      </c>
      <c r="J2749" s="2">
        <v>775.86</v>
      </c>
    </row>
    <row r="2750" spans="2:10" hidden="1" x14ac:dyDescent="0.2">
      <c r="B2750" t="s">
        <v>955</v>
      </c>
      <c r="C2750" t="s">
        <v>82</v>
      </c>
      <c r="D2750" t="s">
        <v>956</v>
      </c>
      <c r="E2750" t="s">
        <v>246</v>
      </c>
      <c r="F2750" t="s">
        <v>247</v>
      </c>
      <c r="G2750" t="s">
        <v>1033</v>
      </c>
      <c r="H2750" t="s">
        <v>30</v>
      </c>
      <c r="I2750" s="1">
        <v>1</v>
      </c>
      <c r="J2750" s="2">
        <v>2008.62</v>
      </c>
    </row>
    <row r="2751" spans="2:10" hidden="1" x14ac:dyDescent="0.2">
      <c r="B2751" t="s">
        <v>955</v>
      </c>
      <c r="C2751" t="s">
        <v>88</v>
      </c>
      <c r="D2751" t="s">
        <v>956</v>
      </c>
      <c r="E2751" t="s">
        <v>976</v>
      </c>
      <c r="F2751" t="s">
        <v>977</v>
      </c>
      <c r="G2751" t="s">
        <v>54</v>
      </c>
      <c r="H2751" t="s">
        <v>138</v>
      </c>
      <c r="I2751" s="1">
        <v>1</v>
      </c>
      <c r="J2751" s="2">
        <v>560.34</v>
      </c>
    </row>
    <row r="2752" spans="2:10" hidden="1" x14ac:dyDescent="0.2">
      <c r="B2752" t="s">
        <v>955</v>
      </c>
      <c r="C2752" t="s">
        <v>88</v>
      </c>
      <c r="D2752" t="s">
        <v>956</v>
      </c>
      <c r="E2752" t="s">
        <v>12</v>
      </c>
      <c r="F2752" t="s">
        <v>13</v>
      </c>
      <c r="G2752" t="s">
        <v>1034</v>
      </c>
      <c r="H2752" t="s">
        <v>15</v>
      </c>
      <c r="I2752" s="1">
        <v>1</v>
      </c>
      <c r="J2752" s="2">
        <v>1077.5899999999999</v>
      </c>
    </row>
    <row r="2753" spans="2:10" hidden="1" x14ac:dyDescent="0.2">
      <c r="B2753" t="s">
        <v>955</v>
      </c>
      <c r="C2753" t="s">
        <v>88</v>
      </c>
      <c r="D2753" t="s">
        <v>956</v>
      </c>
      <c r="E2753" t="s">
        <v>72</v>
      </c>
      <c r="F2753" t="s">
        <v>73</v>
      </c>
      <c r="G2753" t="s">
        <v>1034</v>
      </c>
      <c r="H2753" t="s">
        <v>15</v>
      </c>
      <c r="I2753" s="1">
        <v>1</v>
      </c>
      <c r="J2753" s="2">
        <v>775.86</v>
      </c>
    </row>
    <row r="2754" spans="2:10" hidden="1" x14ac:dyDescent="0.2">
      <c r="B2754" t="s">
        <v>955</v>
      </c>
      <c r="C2754" t="s">
        <v>88</v>
      </c>
      <c r="D2754" t="s">
        <v>956</v>
      </c>
      <c r="E2754" t="s">
        <v>978</v>
      </c>
      <c r="F2754" t="s">
        <v>979</v>
      </c>
      <c r="G2754" t="s">
        <v>54</v>
      </c>
      <c r="H2754" t="s">
        <v>138</v>
      </c>
      <c r="I2754" s="1">
        <v>1</v>
      </c>
      <c r="J2754" s="2">
        <v>250</v>
      </c>
    </row>
    <row r="2755" spans="2:10" hidden="1" x14ac:dyDescent="0.2">
      <c r="B2755" t="s">
        <v>955</v>
      </c>
      <c r="C2755" t="s">
        <v>88</v>
      </c>
      <c r="D2755" t="s">
        <v>956</v>
      </c>
      <c r="E2755" t="s">
        <v>980</v>
      </c>
      <c r="F2755" t="s">
        <v>981</v>
      </c>
      <c r="G2755" t="s">
        <v>1033</v>
      </c>
      <c r="H2755" t="s">
        <v>30</v>
      </c>
      <c r="I2755" s="1">
        <v>1</v>
      </c>
      <c r="J2755" s="2">
        <v>1508.62</v>
      </c>
    </row>
    <row r="2756" spans="2:10" hidden="1" x14ac:dyDescent="0.2">
      <c r="B2756" t="s">
        <v>955</v>
      </c>
      <c r="C2756" t="s">
        <v>88</v>
      </c>
      <c r="D2756" t="s">
        <v>956</v>
      </c>
      <c r="E2756" t="s">
        <v>406</v>
      </c>
      <c r="F2756" t="s">
        <v>407</v>
      </c>
      <c r="G2756" t="s">
        <v>14</v>
      </c>
      <c r="H2756" t="s">
        <v>104</v>
      </c>
      <c r="I2756" s="1">
        <v>5</v>
      </c>
      <c r="J2756" s="2">
        <v>86.2</v>
      </c>
    </row>
    <row r="2757" spans="2:10" hidden="1" x14ac:dyDescent="0.2">
      <c r="B2757" t="s">
        <v>955</v>
      </c>
      <c r="C2757" t="s">
        <v>88</v>
      </c>
      <c r="D2757" t="s">
        <v>956</v>
      </c>
      <c r="E2757" t="s">
        <v>163</v>
      </c>
      <c r="F2757" t="s">
        <v>164</v>
      </c>
      <c r="G2757" t="s">
        <v>1034</v>
      </c>
      <c r="H2757" t="s">
        <v>15</v>
      </c>
      <c r="I2757" s="1">
        <v>1</v>
      </c>
      <c r="J2757" s="2">
        <v>431.03</v>
      </c>
    </row>
    <row r="2758" spans="2:10" hidden="1" x14ac:dyDescent="0.2">
      <c r="B2758" t="s">
        <v>955</v>
      </c>
      <c r="C2758" t="s">
        <v>88</v>
      </c>
      <c r="D2758" t="s">
        <v>956</v>
      </c>
      <c r="E2758" t="s">
        <v>63</v>
      </c>
      <c r="F2758" t="s">
        <v>64</v>
      </c>
      <c r="G2758" t="s">
        <v>1034</v>
      </c>
      <c r="H2758" t="s">
        <v>15</v>
      </c>
      <c r="I2758" s="1">
        <v>1</v>
      </c>
      <c r="J2758" s="2">
        <v>172.41</v>
      </c>
    </row>
    <row r="2759" spans="2:10" hidden="1" x14ac:dyDescent="0.2">
      <c r="B2759" t="s">
        <v>955</v>
      </c>
      <c r="C2759" t="s">
        <v>117</v>
      </c>
      <c r="D2759" t="s">
        <v>956</v>
      </c>
      <c r="E2759" t="s">
        <v>302</v>
      </c>
      <c r="F2759" t="s">
        <v>303</v>
      </c>
      <c r="G2759" t="s">
        <v>1033</v>
      </c>
      <c r="H2759" t="s">
        <v>30</v>
      </c>
      <c r="I2759" s="1">
        <v>1</v>
      </c>
      <c r="J2759" s="2">
        <v>474.14</v>
      </c>
    </row>
    <row r="2760" spans="2:10" hidden="1" x14ac:dyDescent="0.2">
      <c r="B2760" t="s">
        <v>955</v>
      </c>
      <c r="C2760" t="s">
        <v>117</v>
      </c>
      <c r="D2760" t="s">
        <v>956</v>
      </c>
      <c r="E2760" t="s">
        <v>982</v>
      </c>
      <c r="F2760" t="s">
        <v>983</v>
      </c>
      <c r="G2760" t="s">
        <v>54</v>
      </c>
      <c r="H2760" t="s">
        <v>694</v>
      </c>
      <c r="I2760" s="1">
        <v>1</v>
      </c>
      <c r="J2760" s="2">
        <v>444</v>
      </c>
    </row>
    <row r="2761" spans="2:10" hidden="1" x14ac:dyDescent="0.2">
      <c r="B2761" t="s">
        <v>955</v>
      </c>
      <c r="C2761" t="s">
        <v>117</v>
      </c>
      <c r="D2761" t="s">
        <v>956</v>
      </c>
      <c r="E2761" t="s">
        <v>46</v>
      </c>
      <c r="F2761" t="s">
        <v>47</v>
      </c>
      <c r="G2761" t="s">
        <v>1034</v>
      </c>
      <c r="H2761" t="s">
        <v>15</v>
      </c>
      <c r="I2761" s="1">
        <v>2</v>
      </c>
      <c r="J2761" s="2">
        <v>603.44000000000005</v>
      </c>
    </row>
    <row r="2762" spans="2:10" hidden="1" x14ac:dyDescent="0.2">
      <c r="B2762" t="s">
        <v>955</v>
      </c>
      <c r="C2762" t="s">
        <v>117</v>
      </c>
      <c r="D2762" t="s">
        <v>956</v>
      </c>
      <c r="E2762" t="s">
        <v>70</v>
      </c>
      <c r="F2762" t="s">
        <v>71</v>
      </c>
      <c r="G2762" t="s">
        <v>1033</v>
      </c>
      <c r="H2762" t="s">
        <v>30</v>
      </c>
      <c r="I2762" s="1">
        <v>1</v>
      </c>
      <c r="J2762" s="2">
        <v>2112.0700000000002</v>
      </c>
    </row>
    <row r="2763" spans="2:10" hidden="1" x14ac:dyDescent="0.2">
      <c r="B2763" t="s">
        <v>955</v>
      </c>
      <c r="C2763" t="s">
        <v>117</v>
      </c>
      <c r="D2763" t="s">
        <v>956</v>
      </c>
      <c r="E2763" t="s">
        <v>293</v>
      </c>
      <c r="F2763" t="s">
        <v>294</v>
      </c>
      <c r="G2763" t="s">
        <v>43</v>
      </c>
      <c r="H2763" t="s">
        <v>128</v>
      </c>
      <c r="I2763" s="1">
        <v>1</v>
      </c>
      <c r="J2763" s="2">
        <v>5862.07</v>
      </c>
    </row>
    <row r="2764" spans="2:10" hidden="1" x14ac:dyDescent="0.2">
      <c r="B2764" t="s">
        <v>955</v>
      </c>
      <c r="C2764" t="s">
        <v>117</v>
      </c>
      <c r="D2764" t="s">
        <v>956</v>
      </c>
      <c r="E2764" t="s">
        <v>221</v>
      </c>
      <c r="F2764" t="s">
        <v>222</v>
      </c>
      <c r="G2764" t="s">
        <v>1034</v>
      </c>
      <c r="H2764" t="s">
        <v>15</v>
      </c>
      <c r="I2764" s="1">
        <v>1</v>
      </c>
      <c r="J2764" s="2">
        <v>431.03</v>
      </c>
    </row>
    <row r="2765" spans="2:10" hidden="1" x14ac:dyDescent="0.2">
      <c r="B2765" t="s">
        <v>955</v>
      </c>
      <c r="C2765" t="s">
        <v>117</v>
      </c>
      <c r="D2765" t="s">
        <v>956</v>
      </c>
      <c r="E2765" t="s">
        <v>12</v>
      </c>
      <c r="F2765" t="s">
        <v>13</v>
      </c>
      <c r="G2765" t="s">
        <v>1034</v>
      </c>
      <c r="H2765" t="s">
        <v>15</v>
      </c>
      <c r="I2765" s="1">
        <v>1</v>
      </c>
      <c r="J2765" s="2">
        <v>1077.5899999999999</v>
      </c>
    </row>
    <row r="2766" spans="2:10" hidden="1" x14ac:dyDescent="0.2">
      <c r="B2766" t="s">
        <v>955</v>
      </c>
      <c r="C2766" t="s">
        <v>117</v>
      </c>
      <c r="D2766" t="s">
        <v>956</v>
      </c>
      <c r="E2766" t="s">
        <v>253</v>
      </c>
      <c r="F2766" t="s">
        <v>254</v>
      </c>
      <c r="G2766" t="s">
        <v>1034</v>
      </c>
      <c r="H2766" t="s">
        <v>15</v>
      </c>
      <c r="I2766" s="1">
        <v>1</v>
      </c>
      <c r="J2766" s="2">
        <v>775.86</v>
      </c>
    </row>
    <row r="2767" spans="2:10" hidden="1" x14ac:dyDescent="0.2">
      <c r="B2767" t="s">
        <v>955</v>
      </c>
      <c r="C2767" t="s">
        <v>117</v>
      </c>
      <c r="D2767" t="s">
        <v>956</v>
      </c>
      <c r="E2767" t="s">
        <v>72</v>
      </c>
      <c r="F2767" t="s">
        <v>73</v>
      </c>
      <c r="G2767" t="s">
        <v>1034</v>
      </c>
      <c r="H2767" t="s">
        <v>15</v>
      </c>
      <c r="I2767" s="1">
        <v>3</v>
      </c>
      <c r="J2767" s="2">
        <v>2327.58</v>
      </c>
    </row>
    <row r="2768" spans="2:10" hidden="1" x14ac:dyDescent="0.2">
      <c r="B2768" t="s">
        <v>955</v>
      </c>
      <c r="C2768" t="s">
        <v>117</v>
      </c>
      <c r="D2768" t="s">
        <v>956</v>
      </c>
      <c r="E2768" t="s">
        <v>153</v>
      </c>
      <c r="F2768" t="s">
        <v>154</v>
      </c>
      <c r="G2768" t="s">
        <v>1034</v>
      </c>
      <c r="H2768" t="s">
        <v>15</v>
      </c>
      <c r="I2768" s="1">
        <v>1</v>
      </c>
      <c r="J2768" s="2">
        <v>387.93</v>
      </c>
    </row>
    <row r="2769" spans="2:10" hidden="1" x14ac:dyDescent="0.2">
      <c r="B2769" t="s">
        <v>955</v>
      </c>
      <c r="C2769" t="s">
        <v>117</v>
      </c>
      <c r="D2769" t="s">
        <v>956</v>
      </c>
      <c r="E2769" t="s">
        <v>656</v>
      </c>
      <c r="F2769" t="s">
        <v>657</v>
      </c>
      <c r="G2769" t="s">
        <v>43</v>
      </c>
      <c r="H2769" t="s">
        <v>50</v>
      </c>
      <c r="I2769" s="1">
        <v>1</v>
      </c>
      <c r="J2769" s="2">
        <v>181.03</v>
      </c>
    </row>
    <row r="2770" spans="2:10" hidden="1" x14ac:dyDescent="0.2">
      <c r="B2770" t="s">
        <v>955</v>
      </c>
      <c r="C2770" t="s">
        <v>117</v>
      </c>
      <c r="D2770" t="s">
        <v>956</v>
      </c>
      <c r="E2770" t="s">
        <v>596</v>
      </c>
      <c r="F2770" t="s">
        <v>597</v>
      </c>
      <c r="G2770" t="s">
        <v>43</v>
      </c>
      <c r="H2770" t="s">
        <v>50</v>
      </c>
      <c r="I2770" s="1">
        <v>1</v>
      </c>
      <c r="J2770" s="2">
        <v>181.03</v>
      </c>
    </row>
    <row r="2771" spans="2:10" hidden="1" x14ac:dyDescent="0.2">
      <c r="B2771" t="s">
        <v>955</v>
      </c>
      <c r="C2771" t="s">
        <v>117</v>
      </c>
      <c r="D2771" t="s">
        <v>956</v>
      </c>
      <c r="E2771" t="s">
        <v>312</v>
      </c>
      <c r="F2771" t="s">
        <v>313</v>
      </c>
      <c r="G2771" t="s">
        <v>1033</v>
      </c>
      <c r="H2771" t="s">
        <v>30</v>
      </c>
      <c r="I2771" s="1">
        <v>1</v>
      </c>
      <c r="J2771" s="2">
        <v>603.45000000000005</v>
      </c>
    </row>
    <row r="2772" spans="2:10" hidden="1" x14ac:dyDescent="0.2">
      <c r="B2772" t="s">
        <v>955</v>
      </c>
      <c r="C2772" t="s">
        <v>117</v>
      </c>
      <c r="D2772" t="s">
        <v>956</v>
      </c>
      <c r="E2772" t="s">
        <v>875</v>
      </c>
      <c r="F2772" t="s">
        <v>876</v>
      </c>
      <c r="G2772" t="s">
        <v>14</v>
      </c>
      <c r="H2772" t="s">
        <v>60</v>
      </c>
      <c r="I2772" s="1">
        <v>1</v>
      </c>
      <c r="J2772" s="2">
        <v>310.35000000000002</v>
      </c>
    </row>
    <row r="2773" spans="2:10" hidden="1" x14ac:dyDescent="0.2">
      <c r="B2773" t="s">
        <v>955</v>
      </c>
      <c r="C2773" t="s">
        <v>117</v>
      </c>
      <c r="D2773" t="s">
        <v>956</v>
      </c>
      <c r="E2773" t="s">
        <v>56</v>
      </c>
      <c r="F2773" t="s">
        <v>57</v>
      </c>
      <c r="G2773" t="s">
        <v>1034</v>
      </c>
      <c r="H2773" t="s">
        <v>15</v>
      </c>
      <c r="I2773" s="1">
        <v>1</v>
      </c>
      <c r="J2773" s="2">
        <v>431.03</v>
      </c>
    </row>
    <row r="2774" spans="2:10" hidden="1" x14ac:dyDescent="0.2">
      <c r="B2774" t="s">
        <v>955</v>
      </c>
      <c r="C2774" t="s">
        <v>117</v>
      </c>
      <c r="D2774" t="s">
        <v>956</v>
      </c>
      <c r="E2774" t="s">
        <v>163</v>
      </c>
      <c r="F2774" t="s">
        <v>164</v>
      </c>
      <c r="G2774" t="s">
        <v>1034</v>
      </c>
      <c r="H2774" t="s">
        <v>15</v>
      </c>
      <c r="I2774" s="1">
        <v>1</v>
      </c>
      <c r="J2774" s="2">
        <v>431.03</v>
      </c>
    </row>
    <row r="2775" spans="2:10" hidden="1" x14ac:dyDescent="0.2">
      <c r="B2775" t="s">
        <v>955</v>
      </c>
      <c r="C2775" t="s">
        <v>129</v>
      </c>
      <c r="D2775" t="s">
        <v>277</v>
      </c>
      <c r="E2775" t="s">
        <v>46</v>
      </c>
      <c r="F2775" t="s">
        <v>47</v>
      </c>
      <c r="G2775" t="s">
        <v>1034</v>
      </c>
      <c r="H2775" t="s">
        <v>15</v>
      </c>
      <c r="I2775" s="1">
        <v>1</v>
      </c>
      <c r="J2775" s="2">
        <v>301.72000000000003</v>
      </c>
    </row>
    <row r="2776" spans="2:10" hidden="1" x14ac:dyDescent="0.2">
      <c r="B2776" t="s">
        <v>955</v>
      </c>
      <c r="C2776" t="s">
        <v>129</v>
      </c>
      <c r="D2776" t="s">
        <v>277</v>
      </c>
      <c r="E2776" t="s">
        <v>419</v>
      </c>
      <c r="F2776" t="s">
        <v>420</v>
      </c>
      <c r="G2776" t="s">
        <v>14</v>
      </c>
      <c r="H2776" t="s">
        <v>35</v>
      </c>
      <c r="I2776" s="1">
        <v>1</v>
      </c>
      <c r="J2776" s="2">
        <v>77.59</v>
      </c>
    </row>
    <row r="2777" spans="2:10" hidden="1" x14ac:dyDescent="0.2">
      <c r="B2777" t="s">
        <v>955</v>
      </c>
      <c r="C2777" t="s">
        <v>129</v>
      </c>
      <c r="D2777" t="s">
        <v>277</v>
      </c>
      <c r="E2777" t="s">
        <v>221</v>
      </c>
      <c r="F2777" t="s">
        <v>222</v>
      </c>
      <c r="G2777" t="s">
        <v>1034</v>
      </c>
      <c r="H2777" t="s">
        <v>15</v>
      </c>
      <c r="I2777" s="1">
        <v>2</v>
      </c>
      <c r="J2777" s="2">
        <v>862.06</v>
      </c>
    </row>
    <row r="2778" spans="2:10" hidden="1" x14ac:dyDescent="0.2">
      <c r="B2778" t="s">
        <v>955</v>
      </c>
      <c r="C2778" t="s">
        <v>129</v>
      </c>
      <c r="D2778" t="s">
        <v>277</v>
      </c>
      <c r="E2778" t="s">
        <v>72</v>
      </c>
      <c r="F2778" t="s">
        <v>73</v>
      </c>
      <c r="G2778" t="s">
        <v>1034</v>
      </c>
      <c r="H2778" t="s">
        <v>15</v>
      </c>
      <c r="I2778" s="1">
        <v>2</v>
      </c>
      <c r="J2778" s="2">
        <v>1551.72</v>
      </c>
    </row>
    <row r="2779" spans="2:10" hidden="1" x14ac:dyDescent="0.2">
      <c r="B2779" t="s">
        <v>955</v>
      </c>
      <c r="C2779" t="s">
        <v>129</v>
      </c>
      <c r="D2779" t="s">
        <v>277</v>
      </c>
      <c r="E2779" t="s">
        <v>122</v>
      </c>
      <c r="F2779" t="s">
        <v>123</v>
      </c>
      <c r="G2779" t="s">
        <v>1034</v>
      </c>
      <c r="H2779" t="s">
        <v>15</v>
      </c>
      <c r="I2779" s="1">
        <v>1</v>
      </c>
      <c r="J2779" s="2">
        <v>387.93</v>
      </c>
    </row>
    <row r="2780" spans="2:10" hidden="1" x14ac:dyDescent="0.2">
      <c r="B2780" t="s">
        <v>955</v>
      </c>
      <c r="C2780" t="s">
        <v>129</v>
      </c>
      <c r="D2780" t="s">
        <v>277</v>
      </c>
      <c r="E2780" t="s">
        <v>56</v>
      </c>
      <c r="F2780" t="s">
        <v>57</v>
      </c>
      <c r="G2780" t="s">
        <v>1034</v>
      </c>
      <c r="H2780" t="s">
        <v>15</v>
      </c>
      <c r="I2780" s="1">
        <v>4</v>
      </c>
      <c r="J2780" s="2">
        <v>1724.1299999999999</v>
      </c>
    </row>
    <row r="2781" spans="2:10" hidden="1" x14ac:dyDescent="0.2">
      <c r="B2781" t="s">
        <v>955</v>
      </c>
      <c r="C2781" t="s">
        <v>129</v>
      </c>
      <c r="D2781" t="s">
        <v>277</v>
      </c>
      <c r="E2781" t="s">
        <v>984</v>
      </c>
      <c r="F2781" t="s">
        <v>985</v>
      </c>
      <c r="G2781" t="s">
        <v>43</v>
      </c>
      <c r="H2781" t="s">
        <v>55</v>
      </c>
      <c r="I2781" s="1">
        <v>1</v>
      </c>
      <c r="J2781" s="2">
        <v>1448.28</v>
      </c>
    </row>
    <row r="2782" spans="2:10" hidden="1" x14ac:dyDescent="0.2">
      <c r="B2782" t="s">
        <v>955</v>
      </c>
      <c r="C2782" t="s">
        <v>129</v>
      </c>
      <c r="D2782" t="s">
        <v>277</v>
      </c>
      <c r="E2782" t="s">
        <v>527</v>
      </c>
      <c r="F2782" t="s">
        <v>528</v>
      </c>
      <c r="G2782" t="s">
        <v>1034</v>
      </c>
      <c r="H2782" t="s">
        <v>15</v>
      </c>
      <c r="I2782" s="1">
        <v>1</v>
      </c>
      <c r="J2782" s="2">
        <v>241.38</v>
      </c>
    </row>
    <row r="2783" spans="2:10" hidden="1" x14ac:dyDescent="0.2">
      <c r="B2783" t="s">
        <v>955</v>
      </c>
      <c r="C2783" t="s">
        <v>129</v>
      </c>
      <c r="D2783" t="s">
        <v>277</v>
      </c>
      <c r="E2783" t="s">
        <v>986</v>
      </c>
      <c r="F2783" t="s">
        <v>987</v>
      </c>
      <c r="G2783" t="s">
        <v>43</v>
      </c>
      <c r="H2783" t="s">
        <v>205</v>
      </c>
      <c r="I2783" s="1">
        <v>1</v>
      </c>
      <c r="J2783" s="2">
        <v>2038.79</v>
      </c>
    </row>
    <row r="2784" spans="2:10" hidden="1" x14ac:dyDescent="0.2">
      <c r="B2784" t="s">
        <v>955</v>
      </c>
      <c r="C2784" t="s">
        <v>134</v>
      </c>
      <c r="D2784" t="s">
        <v>956</v>
      </c>
      <c r="E2784" t="s">
        <v>293</v>
      </c>
      <c r="F2784" t="s">
        <v>294</v>
      </c>
      <c r="G2784" t="s">
        <v>43</v>
      </c>
      <c r="H2784" t="s">
        <v>128</v>
      </c>
      <c r="I2784" s="1">
        <v>1</v>
      </c>
      <c r="J2784" s="2">
        <v>5862.07</v>
      </c>
    </row>
    <row r="2785" spans="2:10" hidden="1" x14ac:dyDescent="0.2">
      <c r="B2785" t="s">
        <v>955</v>
      </c>
      <c r="C2785" t="s">
        <v>134</v>
      </c>
      <c r="D2785" t="s">
        <v>956</v>
      </c>
      <c r="E2785" t="s">
        <v>72</v>
      </c>
      <c r="F2785" t="s">
        <v>73</v>
      </c>
      <c r="G2785" t="s">
        <v>1034</v>
      </c>
      <c r="H2785" t="s">
        <v>15</v>
      </c>
      <c r="I2785" s="1">
        <v>1</v>
      </c>
      <c r="J2785" s="2">
        <v>775.86</v>
      </c>
    </row>
    <row r="2786" spans="2:10" hidden="1" x14ac:dyDescent="0.2">
      <c r="B2786" t="s">
        <v>955</v>
      </c>
      <c r="C2786" t="s">
        <v>134</v>
      </c>
      <c r="D2786" t="s">
        <v>956</v>
      </c>
      <c r="E2786" t="s">
        <v>122</v>
      </c>
      <c r="F2786" t="s">
        <v>123</v>
      </c>
      <c r="G2786" t="s">
        <v>1034</v>
      </c>
      <c r="H2786" t="s">
        <v>15</v>
      </c>
      <c r="I2786" s="1">
        <v>1</v>
      </c>
      <c r="J2786" s="2">
        <v>387.93</v>
      </c>
    </row>
    <row r="2787" spans="2:10" hidden="1" x14ac:dyDescent="0.2">
      <c r="B2787" t="s">
        <v>955</v>
      </c>
      <c r="C2787" t="s">
        <v>134</v>
      </c>
      <c r="D2787" t="s">
        <v>956</v>
      </c>
      <c r="E2787" t="s">
        <v>507</v>
      </c>
      <c r="F2787" t="s">
        <v>508</v>
      </c>
      <c r="G2787" t="s">
        <v>14</v>
      </c>
      <c r="H2787" t="s">
        <v>509</v>
      </c>
      <c r="I2787" s="1">
        <v>1</v>
      </c>
      <c r="J2787" s="2">
        <v>775.86</v>
      </c>
    </row>
    <row r="2788" spans="2:10" hidden="1" x14ac:dyDescent="0.2">
      <c r="B2788" t="s">
        <v>955</v>
      </c>
      <c r="C2788" t="s">
        <v>134</v>
      </c>
      <c r="D2788" t="s">
        <v>956</v>
      </c>
      <c r="E2788" t="s">
        <v>974</v>
      </c>
      <c r="F2788" t="s">
        <v>975</v>
      </c>
      <c r="G2788" t="s">
        <v>1034</v>
      </c>
      <c r="H2788" t="s">
        <v>15</v>
      </c>
      <c r="I2788" s="1">
        <v>1</v>
      </c>
      <c r="J2788" s="2">
        <v>431.03</v>
      </c>
    </row>
    <row r="2789" spans="2:10" hidden="1" x14ac:dyDescent="0.2">
      <c r="B2789" t="s">
        <v>955</v>
      </c>
      <c r="C2789" t="s">
        <v>134</v>
      </c>
      <c r="D2789" t="s">
        <v>956</v>
      </c>
      <c r="E2789" t="s">
        <v>163</v>
      </c>
      <c r="F2789" t="s">
        <v>164</v>
      </c>
      <c r="G2789" t="s">
        <v>1034</v>
      </c>
      <c r="H2789" t="s">
        <v>15</v>
      </c>
      <c r="I2789" s="1">
        <v>1</v>
      </c>
      <c r="J2789" s="2">
        <v>431.03</v>
      </c>
    </row>
    <row r="2790" spans="2:10" hidden="1" x14ac:dyDescent="0.2">
      <c r="B2790" t="s">
        <v>955</v>
      </c>
      <c r="C2790" t="s">
        <v>135</v>
      </c>
      <c r="D2790" t="s">
        <v>956</v>
      </c>
      <c r="E2790" t="s">
        <v>41</v>
      </c>
      <c r="F2790" t="s">
        <v>42</v>
      </c>
      <c r="G2790" t="s">
        <v>1033</v>
      </c>
      <c r="H2790" t="s">
        <v>30</v>
      </c>
      <c r="I2790" s="1">
        <v>1</v>
      </c>
      <c r="J2790" s="2">
        <v>34.479999999999997</v>
      </c>
    </row>
    <row r="2791" spans="2:10" hidden="1" x14ac:dyDescent="0.2">
      <c r="B2791" t="s">
        <v>955</v>
      </c>
      <c r="C2791" t="s">
        <v>135</v>
      </c>
      <c r="D2791" t="s">
        <v>956</v>
      </c>
      <c r="E2791" t="s">
        <v>350</v>
      </c>
      <c r="F2791" t="s">
        <v>351</v>
      </c>
      <c r="G2791" t="s">
        <v>1033</v>
      </c>
      <c r="H2791" t="s">
        <v>30</v>
      </c>
      <c r="I2791" s="1">
        <v>1</v>
      </c>
      <c r="J2791" s="2">
        <v>818.97</v>
      </c>
    </row>
    <row r="2792" spans="2:10" hidden="1" x14ac:dyDescent="0.2">
      <c r="B2792" t="s">
        <v>955</v>
      </c>
      <c r="C2792" t="s">
        <v>135</v>
      </c>
      <c r="D2792" t="s">
        <v>956</v>
      </c>
      <c r="E2792" t="s">
        <v>36</v>
      </c>
      <c r="F2792" t="s">
        <v>37</v>
      </c>
      <c r="G2792" t="s">
        <v>1034</v>
      </c>
      <c r="H2792" t="s">
        <v>15</v>
      </c>
      <c r="I2792" s="1">
        <v>1</v>
      </c>
      <c r="J2792" s="2">
        <v>301.72000000000003</v>
      </c>
    </row>
    <row r="2793" spans="2:10" hidden="1" x14ac:dyDescent="0.2">
      <c r="B2793" t="s">
        <v>955</v>
      </c>
      <c r="C2793" t="s">
        <v>135</v>
      </c>
      <c r="D2793" t="s">
        <v>956</v>
      </c>
      <c r="E2793" t="s">
        <v>72</v>
      </c>
      <c r="F2793" t="s">
        <v>73</v>
      </c>
      <c r="G2793" t="s">
        <v>1034</v>
      </c>
      <c r="H2793" t="s">
        <v>15</v>
      </c>
      <c r="I2793" s="1">
        <v>1</v>
      </c>
      <c r="J2793" s="2">
        <v>775.86</v>
      </c>
    </row>
    <row r="2794" spans="2:10" hidden="1" x14ac:dyDescent="0.2">
      <c r="B2794" t="s">
        <v>955</v>
      </c>
      <c r="C2794" t="s">
        <v>135</v>
      </c>
      <c r="D2794" t="s">
        <v>956</v>
      </c>
      <c r="E2794" t="s">
        <v>988</v>
      </c>
      <c r="F2794" t="s">
        <v>989</v>
      </c>
      <c r="G2794" t="s">
        <v>14</v>
      </c>
      <c r="H2794" t="s">
        <v>509</v>
      </c>
      <c r="I2794" s="1">
        <v>1</v>
      </c>
      <c r="J2794" s="2">
        <v>620.69000000000005</v>
      </c>
    </row>
    <row r="2795" spans="2:10" hidden="1" x14ac:dyDescent="0.2">
      <c r="B2795" t="s">
        <v>955</v>
      </c>
      <c r="C2795" t="s">
        <v>135</v>
      </c>
      <c r="D2795" t="s">
        <v>956</v>
      </c>
      <c r="E2795" t="s">
        <v>83</v>
      </c>
      <c r="F2795" t="s">
        <v>84</v>
      </c>
      <c r="G2795" t="s">
        <v>1034</v>
      </c>
      <c r="H2795" t="s">
        <v>15</v>
      </c>
      <c r="I2795" s="1">
        <v>1</v>
      </c>
      <c r="J2795" s="2">
        <v>387.93</v>
      </c>
    </row>
    <row r="2796" spans="2:10" hidden="1" x14ac:dyDescent="0.2">
      <c r="B2796" t="s">
        <v>955</v>
      </c>
      <c r="C2796" t="s">
        <v>135</v>
      </c>
      <c r="D2796" t="s">
        <v>956</v>
      </c>
      <c r="E2796" t="s">
        <v>500</v>
      </c>
      <c r="F2796" t="s">
        <v>501</v>
      </c>
      <c r="G2796" t="s">
        <v>1033</v>
      </c>
      <c r="H2796" t="s">
        <v>30</v>
      </c>
      <c r="I2796" s="1">
        <v>1</v>
      </c>
      <c r="J2796" s="2">
        <v>3017.24</v>
      </c>
    </row>
    <row r="2797" spans="2:10" hidden="1" x14ac:dyDescent="0.2">
      <c r="B2797" t="s">
        <v>955</v>
      </c>
      <c r="C2797" t="s">
        <v>135</v>
      </c>
      <c r="D2797" t="s">
        <v>956</v>
      </c>
      <c r="E2797" t="s">
        <v>990</v>
      </c>
      <c r="F2797" t="s">
        <v>991</v>
      </c>
      <c r="G2797" t="s">
        <v>992</v>
      </c>
      <c r="H2797" t="s">
        <v>993</v>
      </c>
      <c r="I2797" s="1">
        <v>1</v>
      </c>
      <c r="J2797" s="2">
        <v>43.1</v>
      </c>
    </row>
    <row r="2798" spans="2:10" hidden="1" x14ac:dyDescent="0.2">
      <c r="B2798" t="s">
        <v>955</v>
      </c>
      <c r="C2798" t="s">
        <v>135</v>
      </c>
      <c r="D2798" t="s">
        <v>956</v>
      </c>
      <c r="E2798" t="s">
        <v>873</v>
      </c>
      <c r="F2798" t="s">
        <v>874</v>
      </c>
      <c r="G2798" t="s">
        <v>43</v>
      </c>
      <c r="H2798" t="s">
        <v>755</v>
      </c>
      <c r="I2798" s="1">
        <v>1</v>
      </c>
      <c r="J2798" s="2">
        <v>3448.28</v>
      </c>
    </row>
    <row r="2799" spans="2:10" hidden="1" x14ac:dyDescent="0.2">
      <c r="B2799" t="s">
        <v>955</v>
      </c>
      <c r="C2799" t="s">
        <v>135</v>
      </c>
      <c r="D2799" t="s">
        <v>956</v>
      </c>
      <c r="E2799" t="s">
        <v>79</v>
      </c>
      <c r="F2799" t="s">
        <v>80</v>
      </c>
      <c r="G2799" t="s">
        <v>43</v>
      </c>
      <c r="H2799" t="s">
        <v>81</v>
      </c>
      <c r="I2799" s="1">
        <v>1</v>
      </c>
      <c r="J2799" s="2">
        <v>1810.34</v>
      </c>
    </row>
    <row r="2800" spans="2:10" hidden="1" x14ac:dyDescent="0.2">
      <c r="B2800" t="s">
        <v>955</v>
      </c>
      <c r="C2800" t="s">
        <v>135</v>
      </c>
      <c r="D2800" t="s">
        <v>956</v>
      </c>
      <c r="E2800" t="s">
        <v>994</v>
      </c>
      <c r="F2800" t="s">
        <v>995</v>
      </c>
      <c r="G2800" t="s">
        <v>43</v>
      </c>
      <c r="H2800" t="s">
        <v>755</v>
      </c>
      <c r="I2800" s="1">
        <v>1</v>
      </c>
      <c r="J2800" s="2">
        <v>5172.41</v>
      </c>
    </row>
    <row r="2801" spans="2:10" hidden="1" x14ac:dyDescent="0.2">
      <c r="B2801" t="s">
        <v>955</v>
      </c>
      <c r="C2801" t="s">
        <v>135</v>
      </c>
      <c r="D2801" t="s">
        <v>956</v>
      </c>
      <c r="E2801" t="s">
        <v>28</v>
      </c>
      <c r="F2801" t="s">
        <v>29</v>
      </c>
      <c r="G2801" t="s">
        <v>1033</v>
      </c>
      <c r="H2801" t="s">
        <v>30</v>
      </c>
      <c r="I2801" s="1">
        <v>2</v>
      </c>
      <c r="J2801" s="2">
        <v>310.33999999999997</v>
      </c>
    </row>
    <row r="2802" spans="2:10" hidden="1" x14ac:dyDescent="0.2">
      <c r="B2802" t="s">
        <v>955</v>
      </c>
      <c r="C2802" t="s">
        <v>141</v>
      </c>
      <c r="D2802" t="s">
        <v>956</v>
      </c>
      <c r="E2802" t="s">
        <v>308</v>
      </c>
      <c r="F2802" t="s">
        <v>309</v>
      </c>
      <c r="G2802" t="s">
        <v>1033</v>
      </c>
      <c r="H2802" t="s">
        <v>30</v>
      </c>
      <c r="I2802" s="1">
        <v>1</v>
      </c>
      <c r="J2802" s="2">
        <v>818.97</v>
      </c>
    </row>
    <row r="2803" spans="2:10" hidden="1" x14ac:dyDescent="0.2">
      <c r="B2803" t="s">
        <v>955</v>
      </c>
      <c r="C2803" t="s">
        <v>141</v>
      </c>
      <c r="D2803" t="s">
        <v>956</v>
      </c>
      <c r="E2803" t="s">
        <v>120</v>
      </c>
      <c r="F2803" t="s">
        <v>121</v>
      </c>
      <c r="G2803" t="s">
        <v>1034</v>
      </c>
      <c r="H2803" t="s">
        <v>15</v>
      </c>
      <c r="I2803" s="1">
        <v>1</v>
      </c>
      <c r="J2803" s="2">
        <v>301.72000000000003</v>
      </c>
    </row>
    <row r="2804" spans="2:10" hidden="1" x14ac:dyDescent="0.2">
      <c r="B2804" t="s">
        <v>955</v>
      </c>
      <c r="C2804" t="s">
        <v>141</v>
      </c>
      <c r="D2804" t="s">
        <v>956</v>
      </c>
      <c r="E2804" t="s">
        <v>12</v>
      </c>
      <c r="F2804" t="s">
        <v>13</v>
      </c>
      <c r="G2804" t="s">
        <v>1034</v>
      </c>
      <c r="H2804" t="s">
        <v>15</v>
      </c>
      <c r="I2804" s="1">
        <v>1</v>
      </c>
      <c r="J2804" s="2">
        <v>1077.5899999999999</v>
      </c>
    </row>
    <row r="2805" spans="2:10" hidden="1" x14ac:dyDescent="0.2">
      <c r="B2805" t="s">
        <v>955</v>
      </c>
      <c r="C2805" t="s">
        <v>141</v>
      </c>
      <c r="D2805" t="s">
        <v>956</v>
      </c>
      <c r="E2805" t="s">
        <v>36</v>
      </c>
      <c r="F2805" t="s">
        <v>37</v>
      </c>
      <c r="G2805" t="s">
        <v>1034</v>
      </c>
      <c r="H2805" t="s">
        <v>15</v>
      </c>
      <c r="I2805" s="1">
        <v>2</v>
      </c>
      <c r="J2805" s="2">
        <v>603.44000000000005</v>
      </c>
    </row>
    <row r="2806" spans="2:10" hidden="1" x14ac:dyDescent="0.2">
      <c r="B2806" t="s">
        <v>955</v>
      </c>
      <c r="C2806" t="s">
        <v>141</v>
      </c>
      <c r="D2806" t="s">
        <v>956</v>
      </c>
      <c r="E2806" t="s">
        <v>72</v>
      </c>
      <c r="F2806" t="s">
        <v>73</v>
      </c>
      <c r="G2806" t="s">
        <v>1034</v>
      </c>
      <c r="H2806" t="s">
        <v>15</v>
      </c>
      <c r="I2806" s="1">
        <v>2</v>
      </c>
      <c r="J2806" s="2">
        <v>1551.72</v>
      </c>
    </row>
    <row r="2807" spans="2:10" hidden="1" x14ac:dyDescent="0.2">
      <c r="B2807" t="s">
        <v>955</v>
      </c>
      <c r="C2807" t="s">
        <v>141</v>
      </c>
      <c r="D2807" t="s">
        <v>956</v>
      </c>
      <c r="E2807" t="s">
        <v>885</v>
      </c>
      <c r="F2807" t="s">
        <v>886</v>
      </c>
      <c r="G2807" t="s">
        <v>14</v>
      </c>
      <c r="H2807" t="s">
        <v>60</v>
      </c>
      <c r="I2807" s="1">
        <v>1</v>
      </c>
      <c r="J2807" s="2">
        <v>310.35000000000002</v>
      </c>
    </row>
    <row r="2808" spans="2:10" hidden="1" x14ac:dyDescent="0.2">
      <c r="B2808" t="s">
        <v>955</v>
      </c>
      <c r="C2808" t="s">
        <v>141</v>
      </c>
      <c r="D2808" t="s">
        <v>956</v>
      </c>
      <c r="E2808" t="s">
        <v>163</v>
      </c>
      <c r="F2808" t="s">
        <v>164</v>
      </c>
      <c r="G2808" t="s">
        <v>1034</v>
      </c>
      <c r="H2808" t="s">
        <v>15</v>
      </c>
      <c r="I2808" s="1">
        <v>1</v>
      </c>
      <c r="J2808" s="2">
        <v>431.03</v>
      </c>
    </row>
    <row r="2809" spans="2:10" hidden="1" x14ac:dyDescent="0.2">
      <c r="B2809" t="s">
        <v>955</v>
      </c>
      <c r="C2809" t="s">
        <v>141</v>
      </c>
      <c r="D2809" t="s">
        <v>956</v>
      </c>
      <c r="E2809" t="s">
        <v>996</v>
      </c>
      <c r="F2809" t="s">
        <v>997</v>
      </c>
      <c r="G2809" t="s">
        <v>43</v>
      </c>
      <c r="H2809" t="s">
        <v>128</v>
      </c>
      <c r="I2809" s="1">
        <v>1</v>
      </c>
      <c r="J2809" s="2">
        <v>4396.55</v>
      </c>
    </row>
    <row r="2810" spans="2:10" hidden="1" x14ac:dyDescent="0.2">
      <c r="B2810" t="s">
        <v>955</v>
      </c>
      <c r="C2810" t="s">
        <v>141</v>
      </c>
      <c r="D2810" t="s">
        <v>956</v>
      </c>
      <c r="E2810" t="s">
        <v>218</v>
      </c>
      <c r="F2810" t="s">
        <v>219</v>
      </c>
      <c r="G2810" t="s">
        <v>43</v>
      </c>
      <c r="H2810" t="s">
        <v>128</v>
      </c>
      <c r="I2810" s="1">
        <v>1</v>
      </c>
      <c r="J2810" s="2">
        <v>4396.55</v>
      </c>
    </row>
    <row r="2811" spans="2:10" hidden="1" x14ac:dyDescent="0.2">
      <c r="B2811" t="s">
        <v>955</v>
      </c>
      <c r="C2811" t="s">
        <v>141</v>
      </c>
      <c r="D2811" t="s">
        <v>956</v>
      </c>
      <c r="E2811" t="s">
        <v>461</v>
      </c>
      <c r="F2811" t="s">
        <v>462</v>
      </c>
      <c r="G2811" t="s">
        <v>43</v>
      </c>
      <c r="H2811" t="s">
        <v>50</v>
      </c>
      <c r="I2811" s="1">
        <v>1</v>
      </c>
      <c r="J2811" s="2">
        <v>3879.31</v>
      </c>
    </row>
    <row r="2812" spans="2:10" hidden="1" x14ac:dyDescent="0.2">
      <c r="B2812" t="s">
        <v>955</v>
      </c>
      <c r="C2812" t="s">
        <v>141</v>
      </c>
      <c r="D2812" t="s">
        <v>956</v>
      </c>
      <c r="E2812" t="s">
        <v>961</v>
      </c>
      <c r="F2812" t="s">
        <v>962</v>
      </c>
      <c r="G2812" t="s">
        <v>1033</v>
      </c>
      <c r="H2812" t="s">
        <v>30</v>
      </c>
      <c r="I2812" s="1">
        <v>1</v>
      </c>
      <c r="J2812" s="2">
        <v>2577.59</v>
      </c>
    </row>
    <row r="2813" spans="2:10" hidden="1" x14ac:dyDescent="0.2">
      <c r="B2813" t="s">
        <v>955</v>
      </c>
      <c r="C2813" t="s">
        <v>144</v>
      </c>
      <c r="D2813" t="s">
        <v>956</v>
      </c>
      <c r="E2813" t="s">
        <v>318</v>
      </c>
      <c r="F2813" t="s">
        <v>319</v>
      </c>
      <c r="G2813" t="s">
        <v>1033</v>
      </c>
      <c r="H2813" t="s">
        <v>30</v>
      </c>
      <c r="I2813" s="1">
        <v>1</v>
      </c>
      <c r="J2813" s="2">
        <v>456.9</v>
      </c>
    </row>
    <row r="2814" spans="2:10" hidden="1" x14ac:dyDescent="0.2">
      <c r="B2814" t="s">
        <v>955</v>
      </c>
      <c r="C2814" t="s">
        <v>144</v>
      </c>
      <c r="D2814" t="s">
        <v>956</v>
      </c>
      <c r="E2814" t="s">
        <v>19</v>
      </c>
      <c r="F2814" t="s">
        <v>20</v>
      </c>
      <c r="G2814" t="s">
        <v>14</v>
      </c>
      <c r="H2814" t="s">
        <v>21</v>
      </c>
      <c r="I2814" s="1">
        <v>1</v>
      </c>
      <c r="J2814" s="2">
        <v>431.04</v>
      </c>
    </row>
    <row r="2815" spans="2:10" hidden="1" x14ac:dyDescent="0.2">
      <c r="B2815" t="s">
        <v>955</v>
      </c>
      <c r="C2815" t="s">
        <v>144</v>
      </c>
      <c r="D2815" t="s">
        <v>956</v>
      </c>
      <c r="E2815" t="s">
        <v>998</v>
      </c>
      <c r="F2815" t="s">
        <v>999</v>
      </c>
      <c r="G2815" t="s">
        <v>54</v>
      </c>
      <c r="H2815" t="s">
        <v>138</v>
      </c>
      <c r="I2815" s="1">
        <v>1</v>
      </c>
      <c r="J2815" s="2">
        <v>534.48</v>
      </c>
    </row>
    <row r="2816" spans="2:10" hidden="1" x14ac:dyDescent="0.2">
      <c r="B2816" t="s">
        <v>955</v>
      </c>
      <c r="C2816" t="s">
        <v>144</v>
      </c>
      <c r="D2816" t="s">
        <v>956</v>
      </c>
      <c r="E2816" t="s">
        <v>99</v>
      </c>
      <c r="F2816" t="s">
        <v>100</v>
      </c>
      <c r="G2816" t="s">
        <v>43</v>
      </c>
      <c r="H2816" t="s">
        <v>50</v>
      </c>
      <c r="I2816" s="1">
        <v>1</v>
      </c>
      <c r="J2816" s="2">
        <v>3275.86</v>
      </c>
    </row>
    <row r="2817" spans="2:10" hidden="1" x14ac:dyDescent="0.2">
      <c r="B2817" t="s">
        <v>955</v>
      </c>
      <c r="C2817" t="s">
        <v>144</v>
      </c>
      <c r="D2817" t="s">
        <v>956</v>
      </c>
      <c r="E2817" t="s">
        <v>474</v>
      </c>
      <c r="F2817" t="s">
        <v>475</v>
      </c>
      <c r="G2817" t="s">
        <v>43</v>
      </c>
      <c r="H2817" t="s">
        <v>128</v>
      </c>
      <c r="I2817" s="1">
        <v>1</v>
      </c>
      <c r="J2817" s="2">
        <v>5172.41</v>
      </c>
    </row>
    <row r="2818" spans="2:10" hidden="1" x14ac:dyDescent="0.2">
      <c r="B2818" t="s">
        <v>955</v>
      </c>
      <c r="C2818" t="s">
        <v>144</v>
      </c>
      <c r="D2818" t="s">
        <v>956</v>
      </c>
      <c r="E2818" t="s">
        <v>36</v>
      </c>
      <c r="F2818" t="s">
        <v>37</v>
      </c>
      <c r="G2818" t="s">
        <v>1034</v>
      </c>
      <c r="H2818" t="s">
        <v>15</v>
      </c>
      <c r="I2818" s="1">
        <v>1</v>
      </c>
      <c r="J2818" s="2">
        <v>301.72000000000003</v>
      </c>
    </row>
    <row r="2819" spans="2:10" hidden="1" x14ac:dyDescent="0.2">
      <c r="B2819" t="s">
        <v>955</v>
      </c>
      <c r="C2819" t="s">
        <v>144</v>
      </c>
      <c r="D2819" t="s">
        <v>956</v>
      </c>
      <c r="E2819" t="s">
        <v>72</v>
      </c>
      <c r="F2819" t="s">
        <v>73</v>
      </c>
      <c r="G2819" t="s">
        <v>1034</v>
      </c>
      <c r="H2819" t="s">
        <v>15</v>
      </c>
      <c r="I2819" s="1">
        <v>1</v>
      </c>
      <c r="J2819" s="2">
        <v>775.86</v>
      </c>
    </row>
    <row r="2820" spans="2:10" hidden="1" x14ac:dyDescent="0.2">
      <c r="B2820" t="s">
        <v>955</v>
      </c>
      <c r="C2820" t="s">
        <v>144</v>
      </c>
      <c r="D2820" t="s">
        <v>956</v>
      </c>
      <c r="E2820" t="s">
        <v>56</v>
      </c>
      <c r="F2820" t="s">
        <v>57</v>
      </c>
      <c r="G2820" t="s">
        <v>1034</v>
      </c>
      <c r="H2820" t="s">
        <v>15</v>
      </c>
      <c r="I2820" s="1">
        <v>2</v>
      </c>
      <c r="J2820" s="2">
        <v>862.06</v>
      </c>
    </row>
    <row r="2821" spans="2:10" hidden="1" x14ac:dyDescent="0.2">
      <c r="B2821" t="s">
        <v>955</v>
      </c>
      <c r="C2821" t="s">
        <v>165</v>
      </c>
      <c r="D2821" t="s">
        <v>277</v>
      </c>
      <c r="E2821" t="s">
        <v>318</v>
      </c>
      <c r="F2821" t="s">
        <v>319</v>
      </c>
      <c r="G2821" t="s">
        <v>1033</v>
      </c>
      <c r="H2821" t="s">
        <v>30</v>
      </c>
      <c r="I2821" s="1">
        <v>1</v>
      </c>
      <c r="J2821" s="2">
        <v>456.9</v>
      </c>
    </row>
    <row r="2822" spans="2:10" hidden="1" x14ac:dyDescent="0.2">
      <c r="B2822" t="s">
        <v>955</v>
      </c>
      <c r="C2822" t="s">
        <v>165</v>
      </c>
      <c r="D2822" t="s">
        <v>277</v>
      </c>
      <c r="E2822" t="s">
        <v>280</v>
      </c>
      <c r="F2822" t="s">
        <v>281</v>
      </c>
      <c r="G2822" t="s">
        <v>1033</v>
      </c>
      <c r="H2822" t="s">
        <v>30</v>
      </c>
      <c r="I2822" s="1">
        <v>1</v>
      </c>
      <c r="J2822" s="2">
        <v>474.14</v>
      </c>
    </row>
    <row r="2823" spans="2:10" hidden="1" x14ac:dyDescent="0.2">
      <c r="B2823" t="s">
        <v>955</v>
      </c>
      <c r="C2823" t="s">
        <v>165</v>
      </c>
      <c r="D2823" t="s">
        <v>277</v>
      </c>
      <c r="E2823" t="s">
        <v>12</v>
      </c>
      <c r="F2823" t="s">
        <v>13</v>
      </c>
      <c r="G2823" t="s">
        <v>1034</v>
      </c>
      <c r="H2823" t="s">
        <v>15</v>
      </c>
      <c r="I2823" s="1">
        <v>1</v>
      </c>
      <c r="J2823" s="2">
        <v>1077.5899999999999</v>
      </c>
    </row>
    <row r="2824" spans="2:10" hidden="1" x14ac:dyDescent="0.2">
      <c r="B2824" t="s">
        <v>955</v>
      </c>
      <c r="C2824" t="s">
        <v>165</v>
      </c>
      <c r="D2824" t="s">
        <v>277</v>
      </c>
      <c r="E2824" t="s">
        <v>72</v>
      </c>
      <c r="F2824" t="s">
        <v>73</v>
      </c>
      <c r="G2824" t="s">
        <v>1034</v>
      </c>
      <c r="H2824" t="s">
        <v>15</v>
      </c>
      <c r="I2824" s="1">
        <v>1</v>
      </c>
      <c r="J2824" s="2">
        <v>775.86</v>
      </c>
    </row>
    <row r="2825" spans="2:10" hidden="1" x14ac:dyDescent="0.2">
      <c r="B2825" t="s">
        <v>955</v>
      </c>
      <c r="C2825" t="s">
        <v>165</v>
      </c>
      <c r="D2825" t="s">
        <v>277</v>
      </c>
      <c r="E2825" t="s">
        <v>83</v>
      </c>
      <c r="F2825" t="s">
        <v>84</v>
      </c>
      <c r="G2825" t="s">
        <v>1034</v>
      </c>
      <c r="H2825" t="s">
        <v>15</v>
      </c>
      <c r="I2825" s="1">
        <v>1</v>
      </c>
      <c r="J2825" s="2">
        <v>387.93</v>
      </c>
    </row>
    <row r="2826" spans="2:10" hidden="1" x14ac:dyDescent="0.2">
      <c r="B2826" t="s">
        <v>955</v>
      </c>
      <c r="C2826" t="s">
        <v>165</v>
      </c>
      <c r="D2826" t="s">
        <v>277</v>
      </c>
      <c r="E2826" t="s">
        <v>56</v>
      </c>
      <c r="F2826" t="s">
        <v>57</v>
      </c>
      <c r="G2826" t="s">
        <v>1034</v>
      </c>
      <c r="H2826" t="s">
        <v>15</v>
      </c>
      <c r="I2826" s="1">
        <v>1</v>
      </c>
      <c r="J2826" s="2">
        <v>431.03</v>
      </c>
    </row>
    <row r="2827" spans="2:10" hidden="1" x14ac:dyDescent="0.2">
      <c r="B2827" t="s">
        <v>955</v>
      </c>
      <c r="C2827" t="s">
        <v>166</v>
      </c>
      <c r="D2827" t="s">
        <v>956</v>
      </c>
      <c r="E2827" t="s">
        <v>167</v>
      </c>
      <c r="F2827" t="s">
        <v>168</v>
      </c>
      <c r="G2827" t="s">
        <v>1033</v>
      </c>
      <c r="H2827" t="s">
        <v>30</v>
      </c>
      <c r="I2827" s="1">
        <v>1</v>
      </c>
      <c r="J2827" s="2">
        <v>1267.24</v>
      </c>
    </row>
    <row r="2828" spans="2:10" hidden="1" x14ac:dyDescent="0.2">
      <c r="B2828" t="s">
        <v>955</v>
      </c>
      <c r="C2828" t="s">
        <v>166</v>
      </c>
      <c r="D2828" t="s">
        <v>956</v>
      </c>
      <c r="E2828" t="s">
        <v>46</v>
      </c>
      <c r="F2828" t="s">
        <v>47</v>
      </c>
      <c r="G2828" t="s">
        <v>1034</v>
      </c>
      <c r="H2828" t="s">
        <v>15</v>
      </c>
      <c r="I2828" s="1">
        <v>1</v>
      </c>
      <c r="J2828" s="2">
        <v>301.72000000000003</v>
      </c>
    </row>
    <row r="2829" spans="2:10" hidden="1" x14ac:dyDescent="0.2">
      <c r="B2829" t="s">
        <v>955</v>
      </c>
      <c r="C2829" t="s">
        <v>166</v>
      </c>
      <c r="D2829" t="s">
        <v>956</v>
      </c>
      <c r="E2829" t="s">
        <v>425</v>
      </c>
      <c r="F2829" t="s">
        <v>426</v>
      </c>
      <c r="G2829" t="s">
        <v>1033</v>
      </c>
      <c r="H2829" t="s">
        <v>30</v>
      </c>
      <c r="I2829" s="1">
        <v>1</v>
      </c>
      <c r="J2829" s="2">
        <v>1137.93</v>
      </c>
    </row>
    <row r="2830" spans="2:10" hidden="1" x14ac:dyDescent="0.2">
      <c r="B2830" t="s">
        <v>955</v>
      </c>
      <c r="C2830" t="s">
        <v>166</v>
      </c>
      <c r="D2830" t="s">
        <v>956</v>
      </c>
      <c r="E2830" t="s">
        <v>656</v>
      </c>
      <c r="F2830" t="s">
        <v>657</v>
      </c>
      <c r="G2830" t="s">
        <v>43</v>
      </c>
      <c r="H2830" t="s">
        <v>50</v>
      </c>
      <c r="I2830" s="1">
        <v>1</v>
      </c>
      <c r="J2830" s="2">
        <v>181.03</v>
      </c>
    </row>
    <row r="2831" spans="2:10" hidden="1" x14ac:dyDescent="0.2">
      <c r="B2831" t="s">
        <v>955</v>
      </c>
      <c r="C2831" t="s">
        <v>166</v>
      </c>
      <c r="D2831" t="s">
        <v>956</v>
      </c>
      <c r="E2831" t="s">
        <v>596</v>
      </c>
      <c r="F2831" t="s">
        <v>597</v>
      </c>
      <c r="G2831" t="s">
        <v>43</v>
      </c>
      <c r="H2831" t="s">
        <v>50</v>
      </c>
      <c r="I2831" s="1">
        <v>1</v>
      </c>
      <c r="J2831" s="2">
        <v>181.03</v>
      </c>
    </row>
    <row r="2832" spans="2:10" hidden="1" x14ac:dyDescent="0.2">
      <c r="B2832" t="s">
        <v>955</v>
      </c>
      <c r="C2832" t="s">
        <v>166</v>
      </c>
      <c r="D2832" t="s">
        <v>956</v>
      </c>
      <c r="E2832" t="s">
        <v>257</v>
      </c>
      <c r="F2832" t="s">
        <v>258</v>
      </c>
      <c r="G2832" t="s">
        <v>1033</v>
      </c>
      <c r="H2832" t="s">
        <v>30</v>
      </c>
      <c r="I2832" s="1">
        <v>1</v>
      </c>
      <c r="J2832" s="2">
        <v>1577.59</v>
      </c>
    </row>
    <row r="2833" spans="2:10" hidden="1" x14ac:dyDescent="0.2">
      <c r="B2833" t="s">
        <v>955</v>
      </c>
      <c r="C2833" t="s">
        <v>185</v>
      </c>
      <c r="D2833" t="s">
        <v>277</v>
      </c>
      <c r="E2833" t="s">
        <v>173</v>
      </c>
      <c r="F2833" t="s">
        <v>174</v>
      </c>
      <c r="G2833" t="s">
        <v>14</v>
      </c>
      <c r="H2833" t="s">
        <v>35</v>
      </c>
      <c r="I2833" s="1">
        <v>1</v>
      </c>
      <c r="J2833" s="2">
        <v>60.34</v>
      </c>
    </row>
    <row r="2834" spans="2:10" hidden="1" x14ac:dyDescent="0.2">
      <c r="B2834" t="s">
        <v>955</v>
      </c>
      <c r="C2834" t="s">
        <v>185</v>
      </c>
      <c r="D2834" t="s">
        <v>277</v>
      </c>
      <c r="E2834" t="s">
        <v>12</v>
      </c>
      <c r="F2834" t="s">
        <v>13</v>
      </c>
      <c r="G2834" t="s">
        <v>1034</v>
      </c>
      <c r="H2834" t="s">
        <v>15</v>
      </c>
      <c r="I2834" s="1">
        <v>1</v>
      </c>
      <c r="J2834" s="2">
        <v>1077.5899999999999</v>
      </c>
    </row>
    <row r="2835" spans="2:10" hidden="1" x14ac:dyDescent="0.2">
      <c r="B2835" t="s">
        <v>955</v>
      </c>
      <c r="C2835" t="s">
        <v>185</v>
      </c>
      <c r="D2835" t="s">
        <v>277</v>
      </c>
      <c r="E2835" t="s">
        <v>974</v>
      </c>
      <c r="F2835" t="s">
        <v>975</v>
      </c>
      <c r="G2835" t="s">
        <v>1034</v>
      </c>
      <c r="H2835" t="s">
        <v>15</v>
      </c>
      <c r="I2835" s="1">
        <v>1</v>
      </c>
      <c r="J2835" s="2">
        <v>431.03</v>
      </c>
    </row>
    <row r="2836" spans="2:10" hidden="1" x14ac:dyDescent="0.2">
      <c r="B2836" t="s">
        <v>955</v>
      </c>
      <c r="C2836" t="s">
        <v>185</v>
      </c>
      <c r="D2836" t="s">
        <v>277</v>
      </c>
      <c r="E2836" t="s">
        <v>16</v>
      </c>
      <c r="F2836" t="s">
        <v>17</v>
      </c>
      <c r="G2836" t="s">
        <v>1034</v>
      </c>
      <c r="H2836" t="s">
        <v>15</v>
      </c>
      <c r="I2836" s="1">
        <v>2</v>
      </c>
      <c r="J2836" s="2">
        <v>1155.18</v>
      </c>
    </row>
    <row r="2837" spans="2:10" hidden="1" x14ac:dyDescent="0.2">
      <c r="B2837" t="s">
        <v>955</v>
      </c>
      <c r="C2837" t="s">
        <v>335</v>
      </c>
      <c r="D2837" t="s">
        <v>956</v>
      </c>
      <c r="E2837" t="s">
        <v>12</v>
      </c>
      <c r="F2837" t="s">
        <v>13</v>
      </c>
      <c r="G2837" t="s">
        <v>1034</v>
      </c>
      <c r="H2837" t="s">
        <v>15</v>
      </c>
      <c r="I2837" s="1">
        <v>1</v>
      </c>
      <c r="J2837" s="2">
        <v>1077.5899999999999</v>
      </c>
    </row>
    <row r="2838" spans="2:10" hidden="1" x14ac:dyDescent="0.2">
      <c r="B2838" t="s">
        <v>955</v>
      </c>
      <c r="C2838" t="s">
        <v>335</v>
      </c>
      <c r="D2838" t="s">
        <v>956</v>
      </c>
      <c r="E2838" t="s">
        <v>72</v>
      </c>
      <c r="F2838" t="s">
        <v>73</v>
      </c>
      <c r="G2838" t="s">
        <v>1034</v>
      </c>
      <c r="H2838" t="s">
        <v>15</v>
      </c>
      <c r="I2838" s="1">
        <v>1</v>
      </c>
      <c r="J2838" s="2">
        <v>775.86</v>
      </c>
    </row>
    <row r="2839" spans="2:10" hidden="1" x14ac:dyDescent="0.2">
      <c r="B2839" t="s">
        <v>955</v>
      </c>
      <c r="C2839" t="s">
        <v>335</v>
      </c>
      <c r="D2839" t="s">
        <v>956</v>
      </c>
      <c r="E2839" t="s">
        <v>1000</v>
      </c>
      <c r="F2839" t="s">
        <v>1001</v>
      </c>
      <c r="G2839" t="s">
        <v>1033</v>
      </c>
      <c r="H2839" t="s">
        <v>30</v>
      </c>
      <c r="I2839" s="1">
        <v>1</v>
      </c>
      <c r="J2839" s="2">
        <v>2672.41</v>
      </c>
    </row>
    <row r="2840" spans="2:10" hidden="1" x14ac:dyDescent="0.2">
      <c r="B2840" t="s">
        <v>955</v>
      </c>
      <c r="C2840" t="s">
        <v>335</v>
      </c>
      <c r="D2840" t="s">
        <v>956</v>
      </c>
      <c r="E2840" t="s">
        <v>342</v>
      </c>
      <c r="F2840" t="s">
        <v>343</v>
      </c>
      <c r="G2840" t="s">
        <v>1033</v>
      </c>
      <c r="H2840" t="s">
        <v>30</v>
      </c>
      <c r="I2840" s="1">
        <v>1</v>
      </c>
      <c r="J2840" s="2">
        <v>1681.03</v>
      </c>
    </row>
    <row r="2841" spans="2:10" hidden="1" x14ac:dyDescent="0.2">
      <c r="B2841" t="s">
        <v>955</v>
      </c>
      <c r="C2841" t="s">
        <v>335</v>
      </c>
      <c r="D2841" t="s">
        <v>956</v>
      </c>
      <c r="E2841" t="s">
        <v>163</v>
      </c>
      <c r="F2841" t="s">
        <v>164</v>
      </c>
      <c r="G2841" t="s">
        <v>1034</v>
      </c>
      <c r="H2841" t="s">
        <v>15</v>
      </c>
      <c r="I2841" s="1">
        <v>1</v>
      </c>
      <c r="J2841" s="2">
        <v>431.03</v>
      </c>
    </row>
    <row r="2842" spans="2:10" hidden="1" x14ac:dyDescent="0.2">
      <c r="B2842" t="s">
        <v>955</v>
      </c>
      <c r="C2842" t="s">
        <v>335</v>
      </c>
      <c r="D2842" t="s">
        <v>956</v>
      </c>
      <c r="E2842" t="s">
        <v>193</v>
      </c>
      <c r="F2842" t="s">
        <v>194</v>
      </c>
      <c r="G2842" t="s">
        <v>1034</v>
      </c>
      <c r="H2842" t="s">
        <v>15</v>
      </c>
      <c r="I2842" s="1">
        <v>1</v>
      </c>
      <c r="J2842" s="2">
        <v>1293.0999999999999</v>
      </c>
    </row>
    <row r="2843" spans="2:10" hidden="1" x14ac:dyDescent="0.2">
      <c r="B2843" t="s">
        <v>955</v>
      </c>
      <c r="C2843" t="s">
        <v>335</v>
      </c>
      <c r="D2843" t="s">
        <v>956</v>
      </c>
      <c r="E2843" t="s">
        <v>28</v>
      </c>
      <c r="F2843" t="s">
        <v>29</v>
      </c>
      <c r="G2843" t="s">
        <v>1033</v>
      </c>
      <c r="H2843" t="s">
        <v>30</v>
      </c>
      <c r="I2843" s="1">
        <v>1</v>
      </c>
      <c r="J2843" s="2">
        <v>155.16999999999999</v>
      </c>
    </row>
    <row r="2844" spans="2:10" hidden="1" x14ac:dyDescent="0.2">
      <c r="B2844" t="s">
        <v>955</v>
      </c>
      <c r="C2844" t="s">
        <v>418</v>
      </c>
      <c r="D2844" t="s">
        <v>130</v>
      </c>
      <c r="E2844" t="s">
        <v>302</v>
      </c>
      <c r="F2844" t="s">
        <v>303</v>
      </c>
      <c r="G2844" t="s">
        <v>1033</v>
      </c>
      <c r="H2844" t="s">
        <v>30</v>
      </c>
      <c r="I2844" s="1">
        <v>1</v>
      </c>
      <c r="J2844" s="2">
        <v>474.14</v>
      </c>
    </row>
    <row r="2845" spans="2:10" hidden="1" x14ac:dyDescent="0.2">
      <c r="B2845" t="s">
        <v>955</v>
      </c>
      <c r="C2845" t="s">
        <v>418</v>
      </c>
      <c r="D2845" t="s">
        <v>130</v>
      </c>
      <c r="E2845" t="s">
        <v>189</v>
      </c>
      <c r="F2845" t="s">
        <v>190</v>
      </c>
      <c r="G2845" t="s">
        <v>1033</v>
      </c>
      <c r="H2845" t="s">
        <v>30</v>
      </c>
      <c r="I2845" s="1">
        <v>1</v>
      </c>
      <c r="J2845" s="2">
        <v>818.97</v>
      </c>
    </row>
    <row r="2846" spans="2:10" hidden="1" x14ac:dyDescent="0.2">
      <c r="B2846" t="s">
        <v>955</v>
      </c>
      <c r="C2846" t="s">
        <v>418</v>
      </c>
      <c r="D2846" t="s">
        <v>130</v>
      </c>
      <c r="E2846" t="s">
        <v>72</v>
      </c>
      <c r="F2846" t="s">
        <v>73</v>
      </c>
      <c r="G2846" t="s">
        <v>1034</v>
      </c>
      <c r="H2846" t="s">
        <v>15</v>
      </c>
      <c r="I2846" s="1">
        <v>1</v>
      </c>
      <c r="J2846" s="2">
        <v>775.86</v>
      </c>
    </row>
    <row r="2847" spans="2:10" hidden="1" x14ac:dyDescent="0.2">
      <c r="B2847" t="s">
        <v>955</v>
      </c>
      <c r="C2847" t="s">
        <v>418</v>
      </c>
      <c r="D2847" t="s">
        <v>130</v>
      </c>
      <c r="E2847" t="s">
        <v>83</v>
      </c>
      <c r="F2847" t="s">
        <v>84</v>
      </c>
      <c r="G2847" t="s">
        <v>1034</v>
      </c>
      <c r="H2847" t="s">
        <v>15</v>
      </c>
      <c r="I2847" s="1">
        <v>1</v>
      </c>
      <c r="J2847" s="2">
        <v>387.93</v>
      </c>
    </row>
    <row r="2848" spans="2:10" hidden="1" x14ac:dyDescent="0.2">
      <c r="B2848" t="s">
        <v>955</v>
      </c>
      <c r="C2848" t="s">
        <v>418</v>
      </c>
      <c r="D2848" t="s">
        <v>956</v>
      </c>
      <c r="E2848" t="s">
        <v>83</v>
      </c>
      <c r="F2848" t="s">
        <v>84</v>
      </c>
      <c r="G2848" t="s">
        <v>1034</v>
      </c>
      <c r="H2848" t="s">
        <v>15</v>
      </c>
      <c r="I2848" s="1">
        <v>1</v>
      </c>
      <c r="J2848" s="2">
        <v>387.93</v>
      </c>
    </row>
    <row r="2849" spans="2:10" hidden="1" x14ac:dyDescent="0.2">
      <c r="B2849" t="s">
        <v>955</v>
      </c>
      <c r="C2849" t="s">
        <v>418</v>
      </c>
      <c r="D2849" t="s">
        <v>956</v>
      </c>
      <c r="E2849" t="s">
        <v>16</v>
      </c>
      <c r="F2849" t="s">
        <v>17</v>
      </c>
      <c r="G2849" t="s">
        <v>1034</v>
      </c>
      <c r="H2849" t="s">
        <v>15</v>
      </c>
      <c r="I2849" s="1">
        <v>2</v>
      </c>
      <c r="J2849" s="2">
        <v>1155.18</v>
      </c>
    </row>
    <row r="2850" spans="2:10" hidden="1" x14ac:dyDescent="0.2">
      <c r="B2850" t="s">
        <v>955</v>
      </c>
      <c r="C2850" t="s">
        <v>186</v>
      </c>
      <c r="D2850" t="s">
        <v>956</v>
      </c>
      <c r="E2850" t="s">
        <v>974</v>
      </c>
      <c r="F2850" t="s">
        <v>975</v>
      </c>
      <c r="G2850" t="s">
        <v>1034</v>
      </c>
      <c r="H2850" t="s">
        <v>15</v>
      </c>
      <c r="I2850" s="1">
        <v>1</v>
      </c>
      <c r="J2850" s="2">
        <v>431.03</v>
      </c>
    </row>
    <row r="2851" spans="2:10" hidden="1" x14ac:dyDescent="0.2">
      <c r="B2851" t="s">
        <v>955</v>
      </c>
      <c r="C2851" t="s">
        <v>186</v>
      </c>
      <c r="D2851" t="s">
        <v>956</v>
      </c>
      <c r="E2851" t="s">
        <v>56</v>
      </c>
      <c r="F2851" t="s">
        <v>57</v>
      </c>
      <c r="G2851" t="s">
        <v>1034</v>
      </c>
      <c r="H2851" t="s">
        <v>15</v>
      </c>
      <c r="I2851" s="1">
        <v>1</v>
      </c>
      <c r="J2851" s="2">
        <v>431.03</v>
      </c>
    </row>
    <row r="2852" spans="2:10" hidden="1" x14ac:dyDescent="0.2">
      <c r="B2852" t="s">
        <v>955</v>
      </c>
      <c r="C2852" t="s">
        <v>186</v>
      </c>
      <c r="D2852" t="s">
        <v>956</v>
      </c>
      <c r="E2852" t="s">
        <v>16</v>
      </c>
      <c r="F2852" t="s">
        <v>17</v>
      </c>
      <c r="G2852" t="s">
        <v>1034</v>
      </c>
      <c r="H2852" t="s">
        <v>15</v>
      </c>
      <c r="I2852" s="1">
        <v>1</v>
      </c>
      <c r="J2852" s="2">
        <v>577.59</v>
      </c>
    </row>
    <row r="2853" spans="2:10" hidden="1" x14ac:dyDescent="0.2">
      <c r="B2853" t="s">
        <v>955</v>
      </c>
      <c r="C2853" t="s">
        <v>186</v>
      </c>
      <c r="D2853" t="s">
        <v>956</v>
      </c>
      <c r="E2853" t="s">
        <v>28</v>
      </c>
      <c r="F2853" t="s">
        <v>29</v>
      </c>
      <c r="G2853" t="s">
        <v>1033</v>
      </c>
      <c r="H2853" t="s">
        <v>30</v>
      </c>
      <c r="I2853" s="1">
        <v>3</v>
      </c>
      <c r="J2853" s="2">
        <v>465.52</v>
      </c>
    </row>
    <row r="2854" spans="2:10" hidden="1" x14ac:dyDescent="0.2">
      <c r="B2854" t="s">
        <v>955</v>
      </c>
      <c r="C2854" t="s">
        <v>197</v>
      </c>
      <c r="D2854" t="s">
        <v>956</v>
      </c>
      <c r="E2854" t="s">
        <v>308</v>
      </c>
      <c r="F2854" t="s">
        <v>309</v>
      </c>
      <c r="G2854" t="s">
        <v>1033</v>
      </c>
      <c r="H2854" t="s">
        <v>30</v>
      </c>
      <c r="I2854" s="1">
        <v>1</v>
      </c>
      <c r="J2854" s="2">
        <v>818.97</v>
      </c>
    </row>
    <row r="2855" spans="2:10" hidden="1" x14ac:dyDescent="0.2">
      <c r="B2855" t="s">
        <v>955</v>
      </c>
      <c r="C2855" t="s">
        <v>197</v>
      </c>
      <c r="D2855" t="s">
        <v>956</v>
      </c>
      <c r="E2855" t="s">
        <v>974</v>
      </c>
      <c r="F2855" t="s">
        <v>975</v>
      </c>
      <c r="G2855" t="s">
        <v>1034</v>
      </c>
      <c r="H2855" t="s">
        <v>15</v>
      </c>
      <c r="I2855" s="1">
        <v>1</v>
      </c>
      <c r="J2855" s="2">
        <v>431.03</v>
      </c>
    </row>
    <row r="2856" spans="2:10" hidden="1" x14ac:dyDescent="0.2">
      <c r="B2856" t="s">
        <v>955</v>
      </c>
      <c r="C2856" t="s">
        <v>197</v>
      </c>
      <c r="D2856" t="s">
        <v>956</v>
      </c>
      <c r="E2856" t="s">
        <v>16</v>
      </c>
      <c r="F2856" t="s">
        <v>17</v>
      </c>
      <c r="G2856" t="s">
        <v>1034</v>
      </c>
      <c r="H2856" t="s">
        <v>15</v>
      </c>
      <c r="I2856" s="1">
        <v>2</v>
      </c>
      <c r="J2856" s="2">
        <v>1155.18</v>
      </c>
    </row>
    <row r="2857" spans="2:10" hidden="1" x14ac:dyDescent="0.2">
      <c r="B2857" t="s">
        <v>955</v>
      </c>
      <c r="C2857" t="s">
        <v>206</v>
      </c>
      <c r="D2857" t="s">
        <v>956</v>
      </c>
      <c r="E2857" t="s">
        <v>414</v>
      </c>
      <c r="F2857" t="s">
        <v>415</v>
      </c>
      <c r="G2857" t="s">
        <v>1033</v>
      </c>
      <c r="H2857" t="s">
        <v>30</v>
      </c>
      <c r="I2857" s="1">
        <v>1</v>
      </c>
      <c r="J2857" s="2">
        <v>646.54999999999995</v>
      </c>
    </row>
    <row r="2858" spans="2:10" hidden="1" x14ac:dyDescent="0.2">
      <c r="B2858" t="s">
        <v>955</v>
      </c>
      <c r="C2858" t="s">
        <v>206</v>
      </c>
      <c r="D2858" t="s">
        <v>956</v>
      </c>
      <c r="E2858" t="s">
        <v>72</v>
      </c>
      <c r="F2858" t="s">
        <v>73</v>
      </c>
      <c r="G2858" t="s">
        <v>1034</v>
      </c>
      <c r="H2858" t="s">
        <v>15</v>
      </c>
      <c r="I2858" s="1">
        <v>3</v>
      </c>
      <c r="J2858" s="2">
        <v>2327.58</v>
      </c>
    </row>
    <row r="2859" spans="2:10" hidden="1" x14ac:dyDescent="0.2">
      <c r="B2859" t="s">
        <v>955</v>
      </c>
      <c r="C2859" t="s">
        <v>206</v>
      </c>
      <c r="D2859" t="s">
        <v>956</v>
      </c>
      <c r="E2859" t="s">
        <v>83</v>
      </c>
      <c r="F2859" t="s">
        <v>84</v>
      </c>
      <c r="G2859" t="s">
        <v>1034</v>
      </c>
      <c r="H2859" t="s">
        <v>15</v>
      </c>
      <c r="I2859" s="1">
        <v>1</v>
      </c>
      <c r="J2859" s="2">
        <v>387.93</v>
      </c>
    </row>
    <row r="2860" spans="2:10" hidden="1" x14ac:dyDescent="0.2">
      <c r="B2860" t="s">
        <v>955</v>
      </c>
      <c r="C2860" t="s">
        <v>206</v>
      </c>
      <c r="D2860" t="s">
        <v>956</v>
      </c>
      <c r="E2860" t="s">
        <v>231</v>
      </c>
      <c r="F2860" t="s">
        <v>232</v>
      </c>
      <c r="G2860" t="s">
        <v>43</v>
      </c>
      <c r="H2860" t="s">
        <v>50</v>
      </c>
      <c r="I2860" s="1">
        <v>1</v>
      </c>
      <c r="J2860" s="2">
        <v>3017.24</v>
      </c>
    </row>
    <row r="2861" spans="2:10" hidden="1" x14ac:dyDescent="0.2">
      <c r="B2861" t="s">
        <v>955</v>
      </c>
      <c r="C2861" t="s">
        <v>206</v>
      </c>
      <c r="D2861" t="s">
        <v>956</v>
      </c>
      <c r="E2861" t="s">
        <v>16</v>
      </c>
      <c r="F2861" t="s">
        <v>17</v>
      </c>
      <c r="G2861" t="s">
        <v>1034</v>
      </c>
      <c r="H2861" t="s">
        <v>15</v>
      </c>
      <c r="I2861" s="1">
        <v>1</v>
      </c>
      <c r="J2861" s="2">
        <v>577.59</v>
      </c>
    </row>
    <row r="2862" spans="2:10" hidden="1" x14ac:dyDescent="0.2">
      <c r="B2862" t="s">
        <v>955</v>
      </c>
      <c r="C2862" t="s">
        <v>206</v>
      </c>
      <c r="D2862" t="s">
        <v>956</v>
      </c>
      <c r="E2862" t="s">
        <v>193</v>
      </c>
      <c r="F2862" t="s">
        <v>194</v>
      </c>
      <c r="G2862" t="s">
        <v>1034</v>
      </c>
      <c r="H2862" t="s">
        <v>15</v>
      </c>
      <c r="I2862" s="1">
        <v>1</v>
      </c>
      <c r="J2862" s="2">
        <v>1293.0999999999999</v>
      </c>
    </row>
    <row r="2863" spans="2:10" hidden="1" x14ac:dyDescent="0.2">
      <c r="B2863" t="s">
        <v>955</v>
      </c>
      <c r="C2863" t="s">
        <v>206</v>
      </c>
      <c r="D2863" t="s">
        <v>956</v>
      </c>
      <c r="E2863" t="s">
        <v>333</v>
      </c>
      <c r="F2863" t="s">
        <v>334</v>
      </c>
      <c r="G2863" t="s">
        <v>1033</v>
      </c>
      <c r="H2863" t="s">
        <v>30</v>
      </c>
      <c r="I2863" s="1">
        <v>1</v>
      </c>
      <c r="J2863" s="2">
        <v>2413.79</v>
      </c>
    </row>
    <row r="2864" spans="2:10" hidden="1" x14ac:dyDescent="0.2">
      <c r="B2864" t="s">
        <v>955</v>
      </c>
      <c r="C2864" t="s">
        <v>220</v>
      </c>
      <c r="D2864" t="s">
        <v>956</v>
      </c>
      <c r="E2864" t="s">
        <v>167</v>
      </c>
      <c r="F2864" t="s">
        <v>168</v>
      </c>
      <c r="G2864" t="s">
        <v>1033</v>
      </c>
      <c r="H2864" t="s">
        <v>30</v>
      </c>
      <c r="I2864" s="1">
        <v>1</v>
      </c>
      <c r="J2864" s="2">
        <v>1267.24</v>
      </c>
    </row>
    <row r="2865" spans="2:10" hidden="1" x14ac:dyDescent="0.2">
      <c r="B2865" t="s">
        <v>955</v>
      </c>
      <c r="C2865" t="s">
        <v>220</v>
      </c>
      <c r="D2865" t="s">
        <v>956</v>
      </c>
      <c r="E2865" t="s">
        <v>352</v>
      </c>
      <c r="F2865" t="s">
        <v>353</v>
      </c>
      <c r="G2865" t="s">
        <v>1033</v>
      </c>
      <c r="H2865" t="s">
        <v>30</v>
      </c>
      <c r="I2865" s="1">
        <v>1</v>
      </c>
      <c r="J2865" s="2">
        <v>1422.41</v>
      </c>
    </row>
    <row r="2866" spans="2:10" hidden="1" x14ac:dyDescent="0.2">
      <c r="B2866" t="s">
        <v>955</v>
      </c>
      <c r="C2866" t="s">
        <v>220</v>
      </c>
      <c r="D2866" t="s">
        <v>956</v>
      </c>
      <c r="E2866" t="s">
        <v>1002</v>
      </c>
      <c r="F2866" t="s">
        <v>1003</v>
      </c>
      <c r="G2866" t="s">
        <v>699</v>
      </c>
      <c r="H2866" t="s">
        <v>1004</v>
      </c>
      <c r="I2866" s="1">
        <v>1</v>
      </c>
      <c r="J2866" s="2">
        <v>413.79</v>
      </c>
    </row>
    <row r="2867" spans="2:10" hidden="1" x14ac:dyDescent="0.2">
      <c r="B2867" t="s">
        <v>955</v>
      </c>
      <c r="C2867" t="s">
        <v>220</v>
      </c>
      <c r="D2867" t="s">
        <v>956</v>
      </c>
      <c r="E2867" t="s">
        <v>19</v>
      </c>
      <c r="F2867" t="s">
        <v>20</v>
      </c>
      <c r="G2867" t="s">
        <v>14</v>
      </c>
      <c r="H2867" t="s">
        <v>21</v>
      </c>
      <c r="I2867" s="1">
        <v>1</v>
      </c>
      <c r="J2867" s="2">
        <v>431.04</v>
      </c>
    </row>
    <row r="2868" spans="2:10" hidden="1" x14ac:dyDescent="0.2">
      <c r="B2868" t="s">
        <v>955</v>
      </c>
      <c r="C2868" t="s">
        <v>220</v>
      </c>
      <c r="D2868" t="s">
        <v>956</v>
      </c>
      <c r="E2868" t="s">
        <v>46</v>
      </c>
      <c r="F2868" t="s">
        <v>47</v>
      </c>
      <c r="G2868" t="s">
        <v>1034</v>
      </c>
      <c r="H2868" t="s">
        <v>15</v>
      </c>
      <c r="I2868" s="1">
        <v>1</v>
      </c>
      <c r="J2868" s="2">
        <v>301.72000000000003</v>
      </c>
    </row>
    <row r="2869" spans="2:10" hidden="1" x14ac:dyDescent="0.2">
      <c r="B2869" t="s">
        <v>955</v>
      </c>
      <c r="C2869" t="s">
        <v>220</v>
      </c>
      <c r="D2869" t="s">
        <v>956</v>
      </c>
      <c r="E2869" t="s">
        <v>139</v>
      </c>
      <c r="F2869" t="s">
        <v>140</v>
      </c>
      <c r="G2869" t="s">
        <v>14</v>
      </c>
      <c r="H2869" t="s">
        <v>87</v>
      </c>
      <c r="I2869" s="1">
        <v>1</v>
      </c>
      <c r="J2869" s="2">
        <v>120.69</v>
      </c>
    </row>
    <row r="2870" spans="2:10" hidden="1" x14ac:dyDescent="0.2">
      <c r="B2870" t="s">
        <v>955</v>
      </c>
      <c r="C2870" t="s">
        <v>220</v>
      </c>
      <c r="D2870" t="s">
        <v>956</v>
      </c>
      <c r="E2870" t="s">
        <v>203</v>
      </c>
      <c r="F2870" t="s">
        <v>204</v>
      </c>
      <c r="G2870" t="s">
        <v>43</v>
      </c>
      <c r="H2870" t="s">
        <v>205</v>
      </c>
      <c r="I2870" s="1">
        <v>2</v>
      </c>
      <c r="J2870" s="2">
        <v>689.66</v>
      </c>
    </row>
    <row r="2871" spans="2:10" hidden="1" x14ac:dyDescent="0.2">
      <c r="B2871" t="s">
        <v>955</v>
      </c>
      <c r="C2871" t="s">
        <v>220</v>
      </c>
      <c r="D2871" t="s">
        <v>956</v>
      </c>
      <c r="E2871" t="s">
        <v>12</v>
      </c>
      <c r="F2871" t="s">
        <v>13</v>
      </c>
      <c r="G2871" t="s">
        <v>1034</v>
      </c>
      <c r="H2871" t="s">
        <v>15</v>
      </c>
      <c r="I2871" s="1">
        <v>1</v>
      </c>
      <c r="J2871" s="2">
        <v>1077.5899999999999</v>
      </c>
    </row>
    <row r="2872" spans="2:10" hidden="1" x14ac:dyDescent="0.2">
      <c r="B2872" t="s">
        <v>955</v>
      </c>
      <c r="C2872" t="s">
        <v>220</v>
      </c>
      <c r="D2872" t="s">
        <v>956</v>
      </c>
      <c r="E2872" t="s">
        <v>72</v>
      </c>
      <c r="F2872" t="s">
        <v>73</v>
      </c>
      <c r="G2872" t="s">
        <v>1034</v>
      </c>
      <c r="H2872" t="s">
        <v>15</v>
      </c>
      <c r="I2872" s="1">
        <v>1</v>
      </c>
      <c r="J2872" s="2">
        <v>775.86</v>
      </c>
    </row>
    <row r="2873" spans="2:10" hidden="1" x14ac:dyDescent="0.2">
      <c r="B2873" t="s">
        <v>955</v>
      </c>
      <c r="C2873" t="s">
        <v>220</v>
      </c>
      <c r="D2873" t="s">
        <v>956</v>
      </c>
      <c r="E2873" t="s">
        <v>83</v>
      </c>
      <c r="F2873" t="s">
        <v>84</v>
      </c>
      <c r="G2873" t="s">
        <v>1034</v>
      </c>
      <c r="H2873" t="s">
        <v>15</v>
      </c>
      <c r="I2873" s="1">
        <v>2</v>
      </c>
      <c r="J2873" s="2">
        <v>775.86</v>
      </c>
    </row>
    <row r="2874" spans="2:10" hidden="1" x14ac:dyDescent="0.2">
      <c r="B2874" t="s">
        <v>955</v>
      </c>
      <c r="C2874" t="s">
        <v>220</v>
      </c>
      <c r="D2874" t="s">
        <v>956</v>
      </c>
      <c r="E2874" t="s">
        <v>61</v>
      </c>
      <c r="F2874" t="s">
        <v>62</v>
      </c>
      <c r="G2874" t="s">
        <v>1034</v>
      </c>
      <c r="H2874" t="s">
        <v>15</v>
      </c>
      <c r="I2874" s="1">
        <v>1</v>
      </c>
      <c r="J2874" s="2">
        <v>172.41</v>
      </c>
    </row>
    <row r="2875" spans="2:10" hidden="1" x14ac:dyDescent="0.2">
      <c r="B2875" t="s">
        <v>955</v>
      </c>
      <c r="C2875" t="s">
        <v>220</v>
      </c>
      <c r="D2875" t="s">
        <v>956</v>
      </c>
      <c r="E2875" t="s">
        <v>63</v>
      </c>
      <c r="F2875" t="s">
        <v>64</v>
      </c>
      <c r="G2875" t="s">
        <v>1034</v>
      </c>
      <c r="H2875" t="s">
        <v>15</v>
      </c>
      <c r="I2875" s="1">
        <v>1</v>
      </c>
      <c r="J2875" s="2">
        <v>172.41</v>
      </c>
    </row>
    <row r="2876" spans="2:10" hidden="1" x14ac:dyDescent="0.2">
      <c r="B2876" t="s">
        <v>955</v>
      </c>
      <c r="C2876" t="s">
        <v>220</v>
      </c>
      <c r="D2876" t="s">
        <v>956</v>
      </c>
      <c r="E2876" t="s">
        <v>16</v>
      </c>
      <c r="F2876" t="s">
        <v>17</v>
      </c>
      <c r="G2876" t="s">
        <v>1034</v>
      </c>
      <c r="H2876" t="s">
        <v>15</v>
      </c>
      <c r="I2876" s="1">
        <v>2</v>
      </c>
      <c r="J2876" s="2">
        <v>1155.18</v>
      </c>
    </row>
    <row r="2877" spans="2:10" hidden="1" x14ac:dyDescent="0.2">
      <c r="B2877" t="s">
        <v>955</v>
      </c>
      <c r="C2877" t="s">
        <v>220</v>
      </c>
      <c r="D2877" t="s">
        <v>956</v>
      </c>
      <c r="E2877" t="s">
        <v>472</v>
      </c>
      <c r="F2877" t="s">
        <v>473</v>
      </c>
      <c r="G2877" t="s">
        <v>14</v>
      </c>
      <c r="H2877" t="s">
        <v>200</v>
      </c>
      <c r="I2877" s="1">
        <v>2</v>
      </c>
      <c r="J2877" s="2">
        <v>1034.48</v>
      </c>
    </row>
    <row r="2878" spans="2:10" hidden="1" x14ac:dyDescent="0.2">
      <c r="B2878" t="s">
        <v>955</v>
      </c>
      <c r="C2878" t="s">
        <v>220</v>
      </c>
      <c r="D2878" t="s">
        <v>956</v>
      </c>
      <c r="E2878" t="s">
        <v>195</v>
      </c>
      <c r="F2878" t="s">
        <v>196</v>
      </c>
      <c r="G2878" t="s">
        <v>1033</v>
      </c>
      <c r="H2878" t="s">
        <v>30</v>
      </c>
      <c r="I2878" s="1">
        <v>1</v>
      </c>
      <c r="J2878" s="2">
        <v>2120.69</v>
      </c>
    </row>
    <row r="2879" spans="2:10" hidden="1" x14ac:dyDescent="0.2">
      <c r="B2879" t="s">
        <v>955</v>
      </c>
      <c r="C2879" t="s">
        <v>225</v>
      </c>
      <c r="D2879" t="s">
        <v>277</v>
      </c>
      <c r="E2879" t="s">
        <v>350</v>
      </c>
      <c r="F2879" t="s">
        <v>351</v>
      </c>
      <c r="G2879" t="s">
        <v>1033</v>
      </c>
      <c r="H2879" t="s">
        <v>30</v>
      </c>
      <c r="I2879" s="1">
        <v>1</v>
      </c>
      <c r="J2879" s="2">
        <v>818.97</v>
      </c>
    </row>
    <row r="2880" spans="2:10" hidden="1" x14ac:dyDescent="0.2">
      <c r="B2880" t="s">
        <v>955</v>
      </c>
      <c r="C2880" t="s">
        <v>225</v>
      </c>
      <c r="D2880" t="s">
        <v>277</v>
      </c>
      <c r="E2880" t="s">
        <v>1005</v>
      </c>
      <c r="F2880" t="s">
        <v>1006</v>
      </c>
      <c r="G2880" t="s">
        <v>43</v>
      </c>
      <c r="H2880" t="s">
        <v>1007</v>
      </c>
      <c r="I2880" s="1">
        <v>1</v>
      </c>
      <c r="J2880" s="2">
        <v>1810.34</v>
      </c>
    </row>
    <row r="2881" spans="2:10" hidden="1" x14ac:dyDescent="0.2">
      <c r="B2881" t="s">
        <v>955</v>
      </c>
      <c r="C2881" t="s">
        <v>225</v>
      </c>
      <c r="D2881" t="s">
        <v>277</v>
      </c>
      <c r="E2881" t="s">
        <v>249</v>
      </c>
      <c r="F2881" t="s">
        <v>250</v>
      </c>
      <c r="G2881" t="s">
        <v>1033</v>
      </c>
      <c r="H2881" t="s">
        <v>30</v>
      </c>
      <c r="I2881" s="1">
        <v>1</v>
      </c>
      <c r="J2881" s="2">
        <v>517.24</v>
      </c>
    </row>
    <row r="2882" spans="2:10" hidden="1" x14ac:dyDescent="0.2">
      <c r="B2882" t="s">
        <v>955</v>
      </c>
      <c r="C2882" t="s">
        <v>225</v>
      </c>
      <c r="D2882" t="s">
        <v>277</v>
      </c>
      <c r="E2882" t="s">
        <v>72</v>
      </c>
      <c r="F2882" t="s">
        <v>73</v>
      </c>
      <c r="G2882" t="s">
        <v>1034</v>
      </c>
      <c r="H2882" t="s">
        <v>15</v>
      </c>
      <c r="I2882" s="1">
        <v>1</v>
      </c>
      <c r="J2882" s="2">
        <v>775.86</v>
      </c>
    </row>
    <row r="2883" spans="2:10" hidden="1" x14ac:dyDescent="0.2">
      <c r="B2883" t="s">
        <v>955</v>
      </c>
      <c r="C2883" t="s">
        <v>225</v>
      </c>
      <c r="D2883" t="s">
        <v>277</v>
      </c>
      <c r="E2883" t="s">
        <v>342</v>
      </c>
      <c r="F2883" t="s">
        <v>343</v>
      </c>
      <c r="G2883" t="s">
        <v>1033</v>
      </c>
      <c r="H2883" t="s">
        <v>30</v>
      </c>
      <c r="I2883" s="1">
        <v>1</v>
      </c>
      <c r="J2883" s="2">
        <v>1681.03</v>
      </c>
    </row>
    <row r="2884" spans="2:10" hidden="1" x14ac:dyDescent="0.2">
      <c r="B2884" t="s">
        <v>955</v>
      </c>
      <c r="C2884" t="s">
        <v>225</v>
      </c>
      <c r="D2884" t="s">
        <v>277</v>
      </c>
      <c r="E2884" t="s">
        <v>257</v>
      </c>
      <c r="F2884" t="s">
        <v>258</v>
      </c>
      <c r="G2884" t="s">
        <v>1033</v>
      </c>
      <c r="H2884" t="s">
        <v>30</v>
      </c>
      <c r="I2884" s="1">
        <v>1</v>
      </c>
      <c r="J2884" s="2">
        <v>1577.59</v>
      </c>
    </row>
    <row r="2885" spans="2:10" hidden="1" x14ac:dyDescent="0.2">
      <c r="B2885" t="s">
        <v>955</v>
      </c>
      <c r="C2885" t="s">
        <v>225</v>
      </c>
      <c r="D2885" t="s">
        <v>277</v>
      </c>
      <c r="E2885" t="s">
        <v>587</v>
      </c>
      <c r="F2885" t="s">
        <v>588</v>
      </c>
      <c r="G2885" t="s">
        <v>43</v>
      </c>
      <c r="H2885" t="s">
        <v>589</v>
      </c>
      <c r="I2885" s="1">
        <v>1</v>
      </c>
      <c r="J2885" s="2">
        <v>1637.93</v>
      </c>
    </row>
    <row r="2886" spans="2:10" x14ac:dyDescent="0.2">
      <c r="B2886" t="s">
        <v>955</v>
      </c>
      <c r="C2886" t="s">
        <v>227</v>
      </c>
      <c r="D2886" t="s">
        <v>956</v>
      </c>
      <c r="E2886" t="s">
        <v>44</v>
      </c>
      <c r="F2886" t="s">
        <v>45</v>
      </c>
      <c r="G2886" t="s">
        <v>1033</v>
      </c>
      <c r="H2886" t="s">
        <v>30</v>
      </c>
      <c r="I2886" s="1">
        <v>2</v>
      </c>
      <c r="J2886" s="2">
        <v>163.80000000000001</v>
      </c>
    </row>
    <row r="2887" spans="2:10" x14ac:dyDescent="0.2">
      <c r="B2887" t="s">
        <v>955</v>
      </c>
      <c r="C2887" t="s">
        <v>227</v>
      </c>
      <c r="D2887" t="s">
        <v>956</v>
      </c>
      <c r="E2887" t="s">
        <v>953</v>
      </c>
      <c r="F2887" t="s">
        <v>954</v>
      </c>
      <c r="G2887" t="s">
        <v>54</v>
      </c>
      <c r="H2887" t="s">
        <v>138</v>
      </c>
      <c r="I2887" s="1">
        <v>1</v>
      </c>
      <c r="J2887" s="2">
        <v>465.52</v>
      </c>
    </row>
    <row r="2888" spans="2:10" x14ac:dyDescent="0.2">
      <c r="B2888" t="s">
        <v>955</v>
      </c>
      <c r="C2888" t="s">
        <v>227</v>
      </c>
      <c r="D2888" t="s">
        <v>956</v>
      </c>
      <c r="E2888" t="s">
        <v>414</v>
      </c>
      <c r="F2888" t="s">
        <v>415</v>
      </c>
      <c r="G2888" t="s">
        <v>1033</v>
      </c>
      <c r="H2888" t="s">
        <v>30</v>
      </c>
      <c r="I2888" s="1">
        <v>1</v>
      </c>
      <c r="J2888" s="2">
        <v>646.54999999999995</v>
      </c>
    </row>
    <row r="2889" spans="2:10" x14ac:dyDescent="0.2">
      <c r="B2889" t="s">
        <v>955</v>
      </c>
      <c r="C2889" t="s">
        <v>227</v>
      </c>
      <c r="D2889" t="s">
        <v>956</v>
      </c>
      <c r="E2889" t="s">
        <v>36</v>
      </c>
      <c r="F2889" t="s">
        <v>37</v>
      </c>
      <c r="G2889" t="s">
        <v>1034</v>
      </c>
      <c r="H2889" t="s">
        <v>15</v>
      </c>
      <c r="I2889" s="1">
        <v>1</v>
      </c>
      <c r="J2889" s="2">
        <v>301.72000000000003</v>
      </c>
    </row>
    <row r="2890" spans="2:10" x14ac:dyDescent="0.2">
      <c r="B2890" t="s">
        <v>955</v>
      </c>
      <c r="C2890" t="s">
        <v>228</v>
      </c>
      <c r="D2890" t="s">
        <v>277</v>
      </c>
      <c r="E2890" t="s">
        <v>72</v>
      </c>
      <c r="F2890" t="s">
        <v>73</v>
      </c>
      <c r="G2890" t="s">
        <v>1034</v>
      </c>
      <c r="H2890" t="s">
        <v>15</v>
      </c>
      <c r="I2890" s="1">
        <v>1</v>
      </c>
      <c r="J2890" s="2">
        <v>775.86</v>
      </c>
    </row>
    <row r="2891" spans="2:10" x14ac:dyDescent="0.2">
      <c r="B2891" t="s">
        <v>955</v>
      </c>
      <c r="C2891" t="s">
        <v>228</v>
      </c>
      <c r="D2891" t="s">
        <v>277</v>
      </c>
      <c r="E2891" t="s">
        <v>38</v>
      </c>
      <c r="F2891" t="s">
        <v>39</v>
      </c>
      <c r="G2891" t="s">
        <v>1034</v>
      </c>
      <c r="H2891" t="s">
        <v>15</v>
      </c>
      <c r="I2891" s="1">
        <v>1</v>
      </c>
      <c r="J2891" s="2">
        <v>431.03</v>
      </c>
    </row>
    <row r="2892" spans="2:10" x14ac:dyDescent="0.2">
      <c r="B2892" t="s">
        <v>955</v>
      </c>
      <c r="C2892" t="s">
        <v>228</v>
      </c>
      <c r="D2892" t="s">
        <v>277</v>
      </c>
      <c r="E2892" t="s">
        <v>16</v>
      </c>
      <c r="F2892" t="s">
        <v>17</v>
      </c>
      <c r="G2892" t="s">
        <v>1034</v>
      </c>
      <c r="H2892" t="s">
        <v>15</v>
      </c>
      <c r="I2892" s="1">
        <v>1</v>
      </c>
      <c r="J2892" s="2">
        <v>577.59</v>
      </c>
    </row>
    <row r="2893" spans="2:10" x14ac:dyDescent="0.2">
      <c r="B2893" t="s">
        <v>955</v>
      </c>
      <c r="C2893" t="s">
        <v>233</v>
      </c>
      <c r="D2893" t="s">
        <v>956</v>
      </c>
      <c r="E2893" t="s">
        <v>941</v>
      </c>
      <c r="F2893" t="s">
        <v>942</v>
      </c>
      <c r="G2893" t="s">
        <v>54</v>
      </c>
      <c r="H2893" t="s">
        <v>138</v>
      </c>
      <c r="I2893" s="1">
        <v>1</v>
      </c>
      <c r="J2893" s="2">
        <v>508.62</v>
      </c>
    </row>
    <row r="2894" spans="2:10" x14ac:dyDescent="0.2">
      <c r="B2894" t="s">
        <v>955</v>
      </c>
      <c r="C2894" t="s">
        <v>236</v>
      </c>
      <c r="D2894" t="s">
        <v>32</v>
      </c>
      <c r="E2894" t="s">
        <v>1008</v>
      </c>
      <c r="F2894" t="s">
        <v>1009</v>
      </c>
      <c r="G2894" t="s">
        <v>43</v>
      </c>
      <c r="H2894" t="s">
        <v>755</v>
      </c>
      <c r="I2894" s="1">
        <v>1</v>
      </c>
      <c r="J2894" s="2">
        <v>4137.93</v>
      </c>
    </row>
    <row r="2895" spans="2:10" x14ac:dyDescent="0.2">
      <c r="B2895" t="s">
        <v>955</v>
      </c>
      <c r="C2895" t="s">
        <v>236</v>
      </c>
      <c r="D2895" t="s">
        <v>32</v>
      </c>
      <c r="E2895" t="s">
        <v>19</v>
      </c>
      <c r="F2895" t="s">
        <v>20</v>
      </c>
      <c r="G2895" t="s">
        <v>14</v>
      </c>
      <c r="H2895" t="s">
        <v>21</v>
      </c>
      <c r="I2895" s="1">
        <v>2</v>
      </c>
      <c r="J2895" s="2">
        <v>862.08</v>
      </c>
    </row>
    <row r="2896" spans="2:10" x14ac:dyDescent="0.2">
      <c r="B2896" t="s">
        <v>955</v>
      </c>
      <c r="C2896" t="s">
        <v>236</v>
      </c>
      <c r="D2896" t="s">
        <v>32</v>
      </c>
      <c r="E2896" t="s">
        <v>120</v>
      </c>
      <c r="F2896" t="s">
        <v>121</v>
      </c>
      <c r="G2896" t="s">
        <v>1034</v>
      </c>
      <c r="H2896" t="s">
        <v>15</v>
      </c>
      <c r="I2896" s="1">
        <v>1</v>
      </c>
      <c r="J2896" s="2">
        <v>301.72000000000003</v>
      </c>
    </row>
    <row r="2897" spans="2:10" x14ac:dyDescent="0.2">
      <c r="B2897" t="s">
        <v>955</v>
      </c>
      <c r="C2897" t="s">
        <v>236</v>
      </c>
      <c r="D2897" t="s">
        <v>32</v>
      </c>
      <c r="E2897" t="s">
        <v>72</v>
      </c>
      <c r="F2897" t="s">
        <v>73</v>
      </c>
      <c r="G2897" t="s">
        <v>1034</v>
      </c>
      <c r="H2897" t="s">
        <v>15</v>
      </c>
      <c r="I2897" s="1">
        <v>1</v>
      </c>
      <c r="J2897" s="2">
        <v>775.86</v>
      </c>
    </row>
    <row r="2898" spans="2:10" x14ac:dyDescent="0.2">
      <c r="B2898" t="s">
        <v>955</v>
      </c>
      <c r="C2898" t="s">
        <v>236</v>
      </c>
      <c r="D2898" t="s">
        <v>32</v>
      </c>
      <c r="E2898" t="s">
        <v>656</v>
      </c>
      <c r="F2898" t="s">
        <v>657</v>
      </c>
      <c r="G2898" t="s">
        <v>43</v>
      </c>
      <c r="H2898" t="s">
        <v>50</v>
      </c>
      <c r="I2898" s="1">
        <v>1</v>
      </c>
      <c r="J2898" s="2">
        <v>181.03</v>
      </c>
    </row>
    <row r="2899" spans="2:10" x14ac:dyDescent="0.2">
      <c r="B2899" t="s">
        <v>955</v>
      </c>
      <c r="C2899" t="s">
        <v>236</v>
      </c>
      <c r="D2899" t="s">
        <v>32</v>
      </c>
      <c r="E2899" t="s">
        <v>596</v>
      </c>
      <c r="F2899" t="s">
        <v>597</v>
      </c>
      <c r="G2899" t="s">
        <v>43</v>
      </c>
      <c r="H2899" t="s">
        <v>50</v>
      </c>
      <c r="I2899" s="1">
        <v>1</v>
      </c>
      <c r="J2899" s="2">
        <v>181.03</v>
      </c>
    </row>
    <row r="2900" spans="2:10" x14ac:dyDescent="0.2">
      <c r="B2900" t="s">
        <v>955</v>
      </c>
      <c r="C2900" t="s">
        <v>236</v>
      </c>
      <c r="D2900" t="s">
        <v>32</v>
      </c>
      <c r="E2900" t="s">
        <v>687</v>
      </c>
      <c r="F2900" t="s">
        <v>688</v>
      </c>
      <c r="G2900" t="s">
        <v>43</v>
      </c>
      <c r="H2900" t="s">
        <v>50</v>
      </c>
      <c r="I2900" s="1">
        <v>1</v>
      </c>
      <c r="J2900" s="2">
        <v>181.03</v>
      </c>
    </row>
    <row r="2901" spans="2:10" x14ac:dyDescent="0.2">
      <c r="B2901" t="s">
        <v>955</v>
      </c>
      <c r="C2901" t="s">
        <v>236</v>
      </c>
      <c r="D2901" t="s">
        <v>32</v>
      </c>
      <c r="E2901" t="s">
        <v>429</v>
      </c>
      <c r="F2901" t="s">
        <v>430</v>
      </c>
      <c r="G2901" t="s">
        <v>43</v>
      </c>
      <c r="H2901" t="s">
        <v>50</v>
      </c>
      <c r="I2901" s="1">
        <v>1</v>
      </c>
      <c r="J2901" s="2">
        <v>181.03</v>
      </c>
    </row>
    <row r="2902" spans="2:10" x14ac:dyDescent="0.2">
      <c r="B2902" t="s">
        <v>955</v>
      </c>
      <c r="C2902" t="s">
        <v>236</v>
      </c>
      <c r="D2902" t="s">
        <v>32</v>
      </c>
      <c r="E2902" t="s">
        <v>431</v>
      </c>
      <c r="F2902" t="s">
        <v>432</v>
      </c>
      <c r="G2902" t="s">
        <v>43</v>
      </c>
      <c r="H2902" t="s">
        <v>50</v>
      </c>
      <c r="I2902" s="1">
        <v>1</v>
      </c>
      <c r="J2902" s="2">
        <v>181.03</v>
      </c>
    </row>
    <row r="2903" spans="2:10" x14ac:dyDescent="0.2">
      <c r="B2903" t="s">
        <v>955</v>
      </c>
      <c r="C2903" t="s">
        <v>236</v>
      </c>
      <c r="D2903" t="s">
        <v>32</v>
      </c>
      <c r="E2903" t="s">
        <v>16</v>
      </c>
      <c r="F2903" t="s">
        <v>17</v>
      </c>
      <c r="G2903" t="s">
        <v>1034</v>
      </c>
      <c r="H2903" t="s">
        <v>15</v>
      </c>
      <c r="I2903" s="1">
        <v>1</v>
      </c>
      <c r="J2903" s="2">
        <v>577.59</v>
      </c>
    </row>
    <row r="2904" spans="2:10" x14ac:dyDescent="0.2">
      <c r="B2904" t="s">
        <v>955</v>
      </c>
      <c r="C2904" t="s">
        <v>236</v>
      </c>
      <c r="D2904" t="s">
        <v>32</v>
      </c>
      <c r="E2904" t="s">
        <v>1010</v>
      </c>
      <c r="F2904" t="s">
        <v>1011</v>
      </c>
      <c r="G2904" t="s">
        <v>43</v>
      </c>
      <c r="H2904" t="s">
        <v>128</v>
      </c>
      <c r="I2904" s="1">
        <v>1</v>
      </c>
      <c r="J2904" s="2">
        <v>5172.41</v>
      </c>
    </row>
    <row r="2905" spans="2:10" x14ac:dyDescent="0.2">
      <c r="B2905" t="s">
        <v>955</v>
      </c>
      <c r="C2905" t="s">
        <v>236</v>
      </c>
      <c r="D2905" t="s">
        <v>32</v>
      </c>
      <c r="E2905" t="s">
        <v>472</v>
      </c>
      <c r="F2905" t="s">
        <v>473</v>
      </c>
      <c r="G2905" t="s">
        <v>14</v>
      </c>
      <c r="H2905" t="s">
        <v>200</v>
      </c>
      <c r="I2905" s="1">
        <v>1</v>
      </c>
      <c r="J2905" s="2">
        <v>517.24</v>
      </c>
    </row>
    <row r="2906" spans="2:10" x14ac:dyDescent="0.2">
      <c r="B2906" t="s">
        <v>955</v>
      </c>
      <c r="C2906" t="s">
        <v>236</v>
      </c>
      <c r="D2906" t="s">
        <v>32</v>
      </c>
      <c r="E2906" t="s">
        <v>527</v>
      </c>
      <c r="F2906" t="s">
        <v>528</v>
      </c>
      <c r="G2906" t="s">
        <v>1034</v>
      </c>
      <c r="H2906" t="s">
        <v>15</v>
      </c>
      <c r="I2906" s="1">
        <v>1</v>
      </c>
      <c r="J2906" s="2">
        <v>241.38</v>
      </c>
    </row>
    <row r="2907" spans="2:10" x14ac:dyDescent="0.2">
      <c r="B2907" t="s">
        <v>955</v>
      </c>
      <c r="C2907" t="s">
        <v>237</v>
      </c>
      <c r="D2907" t="s">
        <v>956</v>
      </c>
      <c r="E2907" t="s">
        <v>44</v>
      </c>
      <c r="F2907" t="s">
        <v>45</v>
      </c>
      <c r="G2907" t="s">
        <v>1033</v>
      </c>
      <c r="H2907" t="s">
        <v>30</v>
      </c>
      <c r="I2907" s="1">
        <v>2</v>
      </c>
      <c r="J2907" s="2">
        <v>163.80000000000001</v>
      </c>
    </row>
    <row r="2908" spans="2:10" x14ac:dyDescent="0.2">
      <c r="B2908" t="s">
        <v>955</v>
      </c>
      <c r="C2908" t="s">
        <v>237</v>
      </c>
      <c r="D2908" t="s">
        <v>956</v>
      </c>
      <c r="E2908" t="s">
        <v>12</v>
      </c>
      <c r="F2908" t="s">
        <v>13</v>
      </c>
      <c r="G2908" t="s">
        <v>1034</v>
      </c>
      <c r="H2908" t="s">
        <v>15</v>
      </c>
      <c r="I2908" s="1">
        <v>1</v>
      </c>
      <c r="J2908" s="2">
        <v>1077.5899999999999</v>
      </c>
    </row>
    <row r="2909" spans="2:10" x14ac:dyDescent="0.2">
      <c r="B2909" t="s">
        <v>955</v>
      </c>
      <c r="C2909" t="s">
        <v>237</v>
      </c>
      <c r="D2909" t="s">
        <v>956</v>
      </c>
      <c r="E2909" t="s">
        <v>988</v>
      </c>
      <c r="F2909" t="s">
        <v>989</v>
      </c>
      <c r="G2909" t="s">
        <v>14</v>
      </c>
      <c r="H2909" t="s">
        <v>509</v>
      </c>
      <c r="I2909" s="1">
        <v>1</v>
      </c>
      <c r="J2909" s="2">
        <v>620.69000000000005</v>
      </c>
    </row>
    <row r="2910" spans="2:10" x14ac:dyDescent="0.2">
      <c r="B2910" t="s">
        <v>955</v>
      </c>
      <c r="C2910" t="s">
        <v>237</v>
      </c>
      <c r="D2910" t="s">
        <v>956</v>
      </c>
      <c r="E2910" t="s">
        <v>28</v>
      </c>
      <c r="F2910" t="s">
        <v>29</v>
      </c>
      <c r="G2910" t="s">
        <v>1033</v>
      </c>
      <c r="H2910" t="s">
        <v>30</v>
      </c>
      <c r="I2910" s="1">
        <v>2</v>
      </c>
      <c r="J2910" s="2">
        <v>310.33999999999997</v>
      </c>
    </row>
    <row r="2911" spans="2:10" x14ac:dyDescent="0.2">
      <c r="B2911" t="s">
        <v>955</v>
      </c>
      <c r="C2911" t="s">
        <v>248</v>
      </c>
      <c r="D2911" t="s">
        <v>956</v>
      </c>
      <c r="E2911" t="s">
        <v>44</v>
      </c>
      <c r="F2911" t="s">
        <v>45</v>
      </c>
      <c r="G2911" t="s">
        <v>1033</v>
      </c>
      <c r="H2911" t="s">
        <v>30</v>
      </c>
      <c r="I2911" s="1">
        <v>1</v>
      </c>
      <c r="J2911" s="2">
        <v>81.900000000000006</v>
      </c>
    </row>
    <row r="2912" spans="2:10" x14ac:dyDescent="0.2">
      <c r="B2912" t="s">
        <v>955</v>
      </c>
      <c r="C2912" t="s">
        <v>248</v>
      </c>
      <c r="D2912" t="s">
        <v>956</v>
      </c>
      <c r="E2912" t="s">
        <v>943</v>
      </c>
      <c r="F2912" t="s">
        <v>944</v>
      </c>
      <c r="G2912" t="s">
        <v>54</v>
      </c>
      <c r="H2912" t="s">
        <v>138</v>
      </c>
      <c r="I2912" s="1">
        <v>1</v>
      </c>
      <c r="J2912" s="2">
        <v>517.24</v>
      </c>
    </row>
    <row r="2913" spans="2:10" x14ac:dyDescent="0.2">
      <c r="B2913" t="s">
        <v>955</v>
      </c>
      <c r="C2913" t="s">
        <v>248</v>
      </c>
      <c r="D2913" t="s">
        <v>956</v>
      </c>
      <c r="E2913" t="s">
        <v>19</v>
      </c>
      <c r="F2913" t="s">
        <v>20</v>
      </c>
      <c r="G2913" t="s">
        <v>14</v>
      </c>
      <c r="H2913" t="s">
        <v>21</v>
      </c>
      <c r="I2913" s="1">
        <v>2</v>
      </c>
      <c r="J2913" s="2">
        <v>862.08</v>
      </c>
    </row>
    <row r="2914" spans="2:10" x14ac:dyDescent="0.2">
      <c r="B2914" t="s">
        <v>955</v>
      </c>
      <c r="C2914" t="s">
        <v>248</v>
      </c>
      <c r="D2914" t="s">
        <v>956</v>
      </c>
      <c r="E2914" t="s">
        <v>1012</v>
      </c>
      <c r="F2914" t="s">
        <v>1013</v>
      </c>
      <c r="G2914" t="s">
        <v>54</v>
      </c>
      <c r="H2914" t="s">
        <v>138</v>
      </c>
      <c r="I2914" s="1">
        <v>1</v>
      </c>
      <c r="J2914" s="2">
        <v>560.34</v>
      </c>
    </row>
    <row r="2915" spans="2:10" x14ac:dyDescent="0.2">
      <c r="B2915" t="s">
        <v>955</v>
      </c>
      <c r="C2915" t="s">
        <v>248</v>
      </c>
      <c r="D2915" t="s">
        <v>956</v>
      </c>
      <c r="E2915" t="s">
        <v>189</v>
      </c>
      <c r="F2915" t="s">
        <v>190</v>
      </c>
      <c r="G2915" t="s">
        <v>1033</v>
      </c>
      <c r="H2915" t="s">
        <v>30</v>
      </c>
      <c r="I2915" s="1">
        <v>1</v>
      </c>
      <c r="J2915" s="2">
        <v>818.97</v>
      </c>
    </row>
    <row r="2916" spans="2:10" x14ac:dyDescent="0.2">
      <c r="B2916" t="s">
        <v>955</v>
      </c>
      <c r="C2916" t="s">
        <v>248</v>
      </c>
      <c r="D2916" t="s">
        <v>956</v>
      </c>
      <c r="E2916" t="s">
        <v>149</v>
      </c>
      <c r="F2916" t="s">
        <v>150</v>
      </c>
      <c r="G2916" t="s">
        <v>43</v>
      </c>
      <c r="H2916" t="s">
        <v>50</v>
      </c>
      <c r="I2916" s="1">
        <v>1</v>
      </c>
      <c r="J2916" s="2">
        <v>3017.24</v>
      </c>
    </row>
    <row r="2917" spans="2:10" x14ac:dyDescent="0.2">
      <c r="B2917" t="s">
        <v>955</v>
      </c>
      <c r="C2917" t="s">
        <v>248</v>
      </c>
      <c r="D2917" t="s">
        <v>956</v>
      </c>
      <c r="E2917" t="s">
        <v>120</v>
      </c>
      <c r="F2917" t="s">
        <v>121</v>
      </c>
      <c r="G2917" t="s">
        <v>1034</v>
      </c>
      <c r="H2917" t="s">
        <v>15</v>
      </c>
      <c r="I2917" s="1">
        <v>1</v>
      </c>
      <c r="J2917" s="2">
        <v>301.72000000000003</v>
      </c>
    </row>
    <row r="2918" spans="2:10" x14ac:dyDescent="0.2">
      <c r="B2918" t="s">
        <v>955</v>
      </c>
      <c r="C2918" t="s">
        <v>248</v>
      </c>
      <c r="D2918" t="s">
        <v>956</v>
      </c>
      <c r="E2918" t="s">
        <v>36</v>
      </c>
      <c r="F2918" t="s">
        <v>37</v>
      </c>
      <c r="G2918" t="s">
        <v>1034</v>
      </c>
      <c r="H2918" t="s">
        <v>15</v>
      </c>
      <c r="I2918" s="1">
        <v>1</v>
      </c>
      <c r="J2918" s="2">
        <v>301.72000000000003</v>
      </c>
    </row>
    <row r="2919" spans="2:10" x14ac:dyDescent="0.2">
      <c r="B2919" t="s">
        <v>955</v>
      </c>
      <c r="C2919" t="s">
        <v>248</v>
      </c>
      <c r="D2919" t="s">
        <v>956</v>
      </c>
      <c r="E2919" t="s">
        <v>988</v>
      </c>
      <c r="F2919" t="s">
        <v>989</v>
      </c>
      <c r="G2919" t="s">
        <v>14</v>
      </c>
      <c r="H2919" t="s">
        <v>509</v>
      </c>
      <c r="I2919" s="1">
        <v>1</v>
      </c>
      <c r="J2919" s="2">
        <v>620.69000000000005</v>
      </c>
    </row>
    <row r="2920" spans="2:10" x14ac:dyDescent="0.2">
      <c r="B2920" t="s">
        <v>955</v>
      </c>
      <c r="C2920" t="s">
        <v>248</v>
      </c>
      <c r="D2920" t="s">
        <v>956</v>
      </c>
      <c r="E2920" t="s">
        <v>38</v>
      </c>
      <c r="F2920" t="s">
        <v>39</v>
      </c>
      <c r="G2920" t="s">
        <v>1034</v>
      </c>
      <c r="H2920" t="s">
        <v>15</v>
      </c>
      <c r="I2920" s="1">
        <v>2</v>
      </c>
      <c r="J2920" s="2">
        <v>862.06</v>
      </c>
    </row>
    <row r="2921" spans="2:10" x14ac:dyDescent="0.2">
      <c r="B2921" t="s">
        <v>955</v>
      </c>
      <c r="C2921" t="s">
        <v>248</v>
      </c>
      <c r="D2921" t="s">
        <v>956</v>
      </c>
      <c r="E2921" t="s">
        <v>16</v>
      </c>
      <c r="F2921" t="s">
        <v>17</v>
      </c>
      <c r="G2921" t="s">
        <v>1034</v>
      </c>
      <c r="H2921" t="s">
        <v>15</v>
      </c>
      <c r="I2921" s="1">
        <v>4</v>
      </c>
      <c r="J2921" s="2">
        <v>2310.36</v>
      </c>
    </row>
    <row r="2922" spans="2:10" x14ac:dyDescent="0.2">
      <c r="B2922" t="s">
        <v>955</v>
      </c>
      <c r="C2922" t="s">
        <v>248</v>
      </c>
      <c r="D2922" t="s">
        <v>956</v>
      </c>
      <c r="E2922" t="s">
        <v>996</v>
      </c>
      <c r="F2922" t="s">
        <v>997</v>
      </c>
      <c r="G2922" t="s">
        <v>43</v>
      </c>
      <c r="H2922" t="s">
        <v>128</v>
      </c>
      <c r="I2922" s="1">
        <v>1</v>
      </c>
      <c r="J2922" s="2">
        <v>4396.55</v>
      </c>
    </row>
    <row r="2923" spans="2:10" x14ac:dyDescent="0.2">
      <c r="B2923" t="s">
        <v>955</v>
      </c>
      <c r="C2923" t="s">
        <v>248</v>
      </c>
      <c r="D2923" t="s">
        <v>956</v>
      </c>
      <c r="E2923" t="s">
        <v>1014</v>
      </c>
      <c r="F2923" t="s">
        <v>1015</v>
      </c>
      <c r="G2923" t="s">
        <v>43</v>
      </c>
      <c r="H2923" t="s">
        <v>128</v>
      </c>
      <c r="I2923" s="1">
        <v>1</v>
      </c>
      <c r="J2923" s="2">
        <v>5086.21</v>
      </c>
    </row>
    <row r="2924" spans="2:10" x14ac:dyDescent="0.2">
      <c r="B2924" t="s">
        <v>955</v>
      </c>
      <c r="C2924" t="s">
        <v>248</v>
      </c>
      <c r="D2924" t="s">
        <v>956</v>
      </c>
      <c r="E2924" t="s">
        <v>193</v>
      </c>
      <c r="F2924" t="s">
        <v>194</v>
      </c>
      <c r="G2924" t="s">
        <v>1034</v>
      </c>
      <c r="H2924" t="s">
        <v>15</v>
      </c>
      <c r="I2924" s="1">
        <v>1</v>
      </c>
      <c r="J2924" s="2">
        <v>1293.0999999999999</v>
      </c>
    </row>
    <row r="2925" spans="2:10" x14ac:dyDescent="0.2">
      <c r="B2925" t="s">
        <v>955</v>
      </c>
      <c r="C2925" t="s">
        <v>248</v>
      </c>
      <c r="D2925" t="s">
        <v>956</v>
      </c>
      <c r="E2925" t="s">
        <v>408</v>
      </c>
      <c r="F2925" t="s">
        <v>409</v>
      </c>
      <c r="G2925" t="s">
        <v>43</v>
      </c>
      <c r="H2925" t="s">
        <v>81</v>
      </c>
      <c r="I2925" s="1">
        <v>1</v>
      </c>
      <c r="J2925" s="2">
        <v>1465.52</v>
      </c>
    </row>
    <row r="2926" spans="2:10" x14ac:dyDescent="0.2">
      <c r="B2926" t="s">
        <v>955</v>
      </c>
      <c r="C2926" t="s">
        <v>248</v>
      </c>
      <c r="D2926" t="s">
        <v>956</v>
      </c>
      <c r="E2926" t="s">
        <v>440</v>
      </c>
      <c r="F2926" t="s">
        <v>441</v>
      </c>
      <c r="G2926" t="s">
        <v>43</v>
      </c>
      <c r="H2926" t="s">
        <v>81</v>
      </c>
      <c r="I2926" s="1">
        <v>1</v>
      </c>
      <c r="J2926" s="2">
        <v>1120.69</v>
      </c>
    </row>
    <row r="2927" spans="2:10" x14ac:dyDescent="0.2">
      <c r="B2927" t="s">
        <v>955</v>
      </c>
      <c r="C2927" t="s">
        <v>248</v>
      </c>
      <c r="D2927" t="s">
        <v>956</v>
      </c>
      <c r="E2927" t="s">
        <v>28</v>
      </c>
      <c r="F2927" t="s">
        <v>29</v>
      </c>
      <c r="G2927" t="s">
        <v>1033</v>
      </c>
      <c r="H2927" t="s">
        <v>30</v>
      </c>
      <c r="I2927" s="1">
        <v>1</v>
      </c>
      <c r="J2927" s="2">
        <v>155.16999999999999</v>
      </c>
    </row>
    <row r="2928" spans="2:10" hidden="1" x14ac:dyDescent="0.2">
      <c r="B2928" t="s">
        <v>1016</v>
      </c>
      <c r="C2928" t="s">
        <v>10</v>
      </c>
      <c r="D2928" t="s">
        <v>1017</v>
      </c>
      <c r="E2928" t="s">
        <v>537</v>
      </c>
      <c r="F2928" t="s">
        <v>538</v>
      </c>
      <c r="G2928" t="s">
        <v>14</v>
      </c>
      <c r="H2928" t="s">
        <v>60</v>
      </c>
      <c r="I2928" s="1">
        <v>1</v>
      </c>
      <c r="J2928" s="2">
        <v>327.58999999999997</v>
      </c>
    </row>
    <row r="2929" spans="2:10" hidden="1" x14ac:dyDescent="0.2">
      <c r="B2929" t="s">
        <v>1016</v>
      </c>
      <c r="C2929" t="s">
        <v>10</v>
      </c>
      <c r="D2929" t="s">
        <v>1017</v>
      </c>
      <c r="E2929" t="s">
        <v>19</v>
      </c>
      <c r="F2929" t="s">
        <v>20</v>
      </c>
      <c r="G2929" t="s">
        <v>14</v>
      </c>
      <c r="H2929" t="s">
        <v>21</v>
      </c>
      <c r="I2929" s="1">
        <v>1</v>
      </c>
      <c r="J2929" s="2">
        <v>431.04</v>
      </c>
    </row>
    <row r="2930" spans="2:10" hidden="1" x14ac:dyDescent="0.2">
      <c r="B2930" t="s">
        <v>1016</v>
      </c>
      <c r="C2930" t="s">
        <v>10</v>
      </c>
      <c r="D2930" t="s">
        <v>1017</v>
      </c>
      <c r="E2930" t="s">
        <v>399</v>
      </c>
      <c r="F2930" t="s">
        <v>400</v>
      </c>
      <c r="G2930" t="s">
        <v>1033</v>
      </c>
      <c r="H2930" t="s">
        <v>30</v>
      </c>
      <c r="I2930" s="1">
        <v>1</v>
      </c>
      <c r="J2930" s="2">
        <v>818.97</v>
      </c>
    </row>
    <row r="2931" spans="2:10" hidden="1" x14ac:dyDescent="0.2">
      <c r="B2931" t="s">
        <v>1016</v>
      </c>
      <c r="C2931" t="s">
        <v>10</v>
      </c>
      <c r="D2931" t="s">
        <v>1017</v>
      </c>
      <c r="E2931" t="s">
        <v>221</v>
      </c>
      <c r="F2931" t="s">
        <v>222</v>
      </c>
      <c r="G2931" t="s">
        <v>1034</v>
      </c>
      <c r="H2931" t="s">
        <v>15</v>
      </c>
      <c r="I2931" s="1">
        <v>1</v>
      </c>
      <c r="J2931" s="2">
        <v>431.03</v>
      </c>
    </row>
    <row r="2932" spans="2:10" hidden="1" x14ac:dyDescent="0.2">
      <c r="B2932" t="s">
        <v>1016</v>
      </c>
      <c r="C2932" t="s">
        <v>10</v>
      </c>
      <c r="D2932" t="s">
        <v>1017</v>
      </c>
      <c r="E2932" t="s">
        <v>214</v>
      </c>
      <c r="F2932" t="s">
        <v>215</v>
      </c>
      <c r="G2932" t="s">
        <v>1034</v>
      </c>
      <c r="H2932" t="s">
        <v>15</v>
      </c>
      <c r="I2932" s="1">
        <v>2</v>
      </c>
      <c r="J2932" s="2">
        <v>603.44000000000005</v>
      </c>
    </row>
    <row r="2933" spans="2:10" hidden="1" x14ac:dyDescent="0.2">
      <c r="B2933" t="s">
        <v>1016</v>
      </c>
      <c r="C2933" t="s">
        <v>10</v>
      </c>
      <c r="D2933" t="s">
        <v>1017</v>
      </c>
      <c r="E2933" t="s">
        <v>36</v>
      </c>
      <c r="F2933" t="s">
        <v>37</v>
      </c>
      <c r="G2933" t="s">
        <v>1034</v>
      </c>
      <c r="H2933" t="s">
        <v>15</v>
      </c>
      <c r="I2933" s="1">
        <v>1</v>
      </c>
      <c r="J2933" s="2">
        <v>301.72000000000003</v>
      </c>
    </row>
    <row r="2934" spans="2:10" hidden="1" x14ac:dyDescent="0.2">
      <c r="B2934" t="s">
        <v>1016</v>
      </c>
      <c r="C2934" t="s">
        <v>10</v>
      </c>
      <c r="D2934" t="s">
        <v>1017</v>
      </c>
      <c r="E2934" t="s">
        <v>83</v>
      </c>
      <c r="F2934" t="s">
        <v>84</v>
      </c>
      <c r="G2934" t="s">
        <v>1034</v>
      </c>
      <c r="H2934" t="s">
        <v>15</v>
      </c>
      <c r="I2934" s="1">
        <v>1</v>
      </c>
      <c r="J2934" s="2">
        <v>387.93</v>
      </c>
    </row>
    <row r="2935" spans="2:10" hidden="1" x14ac:dyDescent="0.2">
      <c r="B2935" t="s">
        <v>1016</v>
      </c>
      <c r="C2935" t="s">
        <v>10</v>
      </c>
      <c r="D2935" t="s">
        <v>1017</v>
      </c>
      <c r="E2935" t="s">
        <v>56</v>
      </c>
      <c r="F2935" t="s">
        <v>57</v>
      </c>
      <c r="G2935" t="s">
        <v>1034</v>
      </c>
      <c r="H2935" t="s">
        <v>15</v>
      </c>
      <c r="I2935" s="1">
        <v>3</v>
      </c>
      <c r="J2935" s="2">
        <v>1293.0899999999999</v>
      </c>
    </row>
    <row r="2936" spans="2:10" hidden="1" x14ac:dyDescent="0.2">
      <c r="B2936" t="s">
        <v>1016</v>
      </c>
      <c r="C2936" t="s">
        <v>18</v>
      </c>
      <c r="D2936" t="s">
        <v>32</v>
      </c>
      <c r="E2936" t="s">
        <v>70</v>
      </c>
      <c r="F2936" t="s">
        <v>71</v>
      </c>
      <c r="G2936" t="s">
        <v>1033</v>
      </c>
      <c r="H2936" t="s">
        <v>30</v>
      </c>
      <c r="I2936" s="1">
        <v>1</v>
      </c>
      <c r="J2936" s="2">
        <v>2112.0700000000002</v>
      </c>
    </row>
    <row r="2937" spans="2:10" hidden="1" x14ac:dyDescent="0.2">
      <c r="B2937" t="s">
        <v>1016</v>
      </c>
      <c r="C2937" t="s">
        <v>18</v>
      </c>
      <c r="D2937" t="s">
        <v>32</v>
      </c>
      <c r="E2937" t="s">
        <v>72</v>
      </c>
      <c r="F2937" t="s">
        <v>73</v>
      </c>
      <c r="G2937" t="s">
        <v>1034</v>
      </c>
      <c r="H2937" t="s">
        <v>15</v>
      </c>
      <c r="I2937" s="1">
        <v>1</v>
      </c>
      <c r="J2937" s="2">
        <v>775.86</v>
      </c>
    </row>
    <row r="2938" spans="2:10" hidden="1" x14ac:dyDescent="0.2">
      <c r="B2938" t="s">
        <v>1016</v>
      </c>
      <c r="C2938" t="s">
        <v>18</v>
      </c>
      <c r="D2938" t="s">
        <v>32</v>
      </c>
      <c r="E2938" t="s">
        <v>83</v>
      </c>
      <c r="F2938" t="s">
        <v>84</v>
      </c>
      <c r="G2938" t="s">
        <v>1034</v>
      </c>
      <c r="H2938" t="s">
        <v>15</v>
      </c>
      <c r="I2938" s="1">
        <v>1</v>
      </c>
      <c r="J2938" s="2">
        <v>387.93</v>
      </c>
    </row>
    <row r="2939" spans="2:10" hidden="1" x14ac:dyDescent="0.2">
      <c r="B2939" t="s">
        <v>1016</v>
      </c>
      <c r="C2939" t="s">
        <v>18</v>
      </c>
      <c r="D2939" t="s">
        <v>32</v>
      </c>
      <c r="E2939" t="s">
        <v>429</v>
      </c>
      <c r="F2939" t="s">
        <v>430</v>
      </c>
      <c r="G2939" t="s">
        <v>43</v>
      </c>
      <c r="H2939" t="s">
        <v>50</v>
      </c>
      <c r="I2939" s="1">
        <v>1</v>
      </c>
      <c r="J2939" s="2">
        <v>181.03</v>
      </c>
    </row>
    <row r="2940" spans="2:10" hidden="1" x14ac:dyDescent="0.2">
      <c r="B2940" t="s">
        <v>1016</v>
      </c>
      <c r="C2940" t="s">
        <v>18</v>
      </c>
      <c r="D2940" t="s">
        <v>32</v>
      </c>
      <c r="E2940" t="s">
        <v>79</v>
      </c>
      <c r="F2940" t="s">
        <v>80</v>
      </c>
      <c r="G2940" t="s">
        <v>43</v>
      </c>
      <c r="H2940" t="s">
        <v>81</v>
      </c>
      <c r="I2940" s="1">
        <v>1</v>
      </c>
      <c r="J2940" s="2">
        <v>1810.34</v>
      </c>
    </row>
    <row r="2941" spans="2:10" hidden="1" x14ac:dyDescent="0.2">
      <c r="B2941" t="s">
        <v>1016</v>
      </c>
      <c r="C2941" t="s">
        <v>31</v>
      </c>
      <c r="D2941" t="s">
        <v>1017</v>
      </c>
      <c r="E2941" t="s">
        <v>826</v>
      </c>
      <c r="F2941" t="s">
        <v>827</v>
      </c>
      <c r="G2941" t="s">
        <v>1033</v>
      </c>
      <c r="H2941" t="s">
        <v>30</v>
      </c>
      <c r="I2941" s="1">
        <v>1</v>
      </c>
      <c r="J2941" s="2">
        <v>521.54999999999995</v>
      </c>
    </row>
    <row r="2942" spans="2:10" hidden="1" x14ac:dyDescent="0.2">
      <c r="B2942" t="s">
        <v>1016</v>
      </c>
      <c r="C2942" t="s">
        <v>31</v>
      </c>
      <c r="D2942" t="s">
        <v>1017</v>
      </c>
      <c r="E2942" t="s">
        <v>44</v>
      </c>
      <c r="F2942" t="s">
        <v>45</v>
      </c>
      <c r="G2942" t="s">
        <v>1033</v>
      </c>
      <c r="H2942" t="s">
        <v>30</v>
      </c>
      <c r="I2942" s="1">
        <v>1</v>
      </c>
      <c r="J2942" s="2">
        <v>81.900000000000006</v>
      </c>
    </row>
    <row r="2943" spans="2:10" hidden="1" x14ac:dyDescent="0.2">
      <c r="B2943" t="s">
        <v>1016</v>
      </c>
      <c r="C2943" t="s">
        <v>31</v>
      </c>
      <c r="D2943" t="s">
        <v>1017</v>
      </c>
      <c r="E2943" t="s">
        <v>356</v>
      </c>
      <c r="F2943" t="s">
        <v>357</v>
      </c>
      <c r="G2943" t="s">
        <v>1033</v>
      </c>
      <c r="H2943" t="s">
        <v>30</v>
      </c>
      <c r="I2943" s="1">
        <v>1</v>
      </c>
      <c r="J2943" s="2">
        <v>2198.2800000000002</v>
      </c>
    </row>
    <row r="2944" spans="2:10" hidden="1" x14ac:dyDescent="0.2">
      <c r="B2944" t="s">
        <v>1016</v>
      </c>
      <c r="C2944" t="s">
        <v>31</v>
      </c>
      <c r="D2944" t="s">
        <v>1017</v>
      </c>
      <c r="E2944" t="s">
        <v>368</v>
      </c>
      <c r="F2944" t="s">
        <v>369</v>
      </c>
      <c r="G2944" t="s">
        <v>1033</v>
      </c>
      <c r="H2944" t="s">
        <v>30</v>
      </c>
      <c r="I2944" s="1">
        <v>1</v>
      </c>
      <c r="J2944" s="2">
        <v>612.07000000000005</v>
      </c>
    </row>
    <row r="2945" spans="2:10" hidden="1" x14ac:dyDescent="0.2">
      <c r="B2945" t="s">
        <v>1016</v>
      </c>
      <c r="C2945" t="s">
        <v>31</v>
      </c>
      <c r="D2945" t="s">
        <v>1017</v>
      </c>
      <c r="E2945" t="s">
        <v>214</v>
      </c>
      <c r="F2945" t="s">
        <v>215</v>
      </c>
      <c r="G2945" t="s">
        <v>1034</v>
      </c>
      <c r="H2945" t="s">
        <v>15</v>
      </c>
      <c r="I2945" s="1">
        <v>2</v>
      </c>
      <c r="J2945" s="2">
        <v>603.44000000000005</v>
      </c>
    </row>
    <row r="2946" spans="2:10" hidden="1" x14ac:dyDescent="0.2">
      <c r="B2946" t="s">
        <v>1016</v>
      </c>
      <c r="C2946" t="s">
        <v>31</v>
      </c>
      <c r="D2946" t="s">
        <v>1017</v>
      </c>
      <c r="E2946" t="s">
        <v>312</v>
      </c>
      <c r="F2946" t="s">
        <v>313</v>
      </c>
      <c r="G2946" t="s">
        <v>1033</v>
      </c>
      <c r="H2946" t="s">
        <v>30</v>
      </c>
      <c r="I2946" s="1">
        <v>1</v>
      </c>
      <c r="J2946" s="2">
        <v>603.45000000000005</v>
      </c>
    </row>
    <row r="2947" spans="2:10" hidden="1" x14ac:dyDescent="0.2">
      <c r="B2947" t="s">
        <v>1016</v>
      </c>
      <c r="C2947" t="s">
        <v>31</v>
      </c>
      <c r="D2947" t="s">
        <v>1017</v>
      </c>
      <c r="E2947" t="s">
        <v>48</v>
      </c>
      <c r="F2947" t="s">
        <v>49</v>
      </c>
      <c r="G2947" t="s">
        <v>43</v>
      </c>
      <c r="H2947" t="s">
        <v>50</v>
      </c>
      <c r="I2947" s="1">
        <v>1</v>
      </c>
      <c r="J2947" s="2">
        <v>1318.97</v>
      </c>
    </row>
    <row r="2948" spans="2:10" hidden="1" x14ac:dyDescent="0.2">
      <c r="B2948" t="s">
        <v>1016</v>
      </c>
      <c r="C2948" t="s">
        <v>40</v>
      </c>
      <c r="D2948" t="s">
        <v>1017</v>
      </c>
      <c r="E2948" t="s">
        <v>559</v>
      </c>
      <c r="F2948" t="s">
        <v>560</v>
      </c>
      <c r="G2948" t="s">
        <v>1033</v>
      </c>
      <c r="H2948" t="s">
        <v>30</v>
      </c>
      <c r="I2948" s="1">
        <v>1</v>
      </c>
      <c r="J2948" s="2">
        <v>1706.9</v>
      </c>
    </row>
    <row r="2949" spans="2:10" hidden="1" x14ac:dyDescent="0.2">
      <c r="B2949" t="s">
        <v>1016</v>
      </c>
      <c r="C2949" t="s">
        <v>40</v>
      </c>
      <c r="D2949" t="s">
        <v>1017</v>
      </c>
      <c r="E2949" t="s">
        <v>36</v>
      </c>
      <c r="F2949" t="s">
        <v>37</v>
      </c>
      <c r="G2949" t="s">
        <v>1034</v>
      </c>
      <c r="H2949" t="s">
        <v>15</v>
      </c>
      <c r="I2949" s="1">
        <v>1</v>
      </c>
      <c r="J2949" s="2">
        <v>301.72000000000003</v>
      </c>
    </row>
    <row r="2950" spans="2:10" hidden="1" x14ac:dyDescent="0.2">
      <c r="B2950" t="s">
        <v>1016</v>
      </c>
      <c r="C2950" t="s">
        <v>40</v>
      </c>
      <c r="D2950" t="s">
        <v>1017</v>
      </c>
      <c r="E2950" t="s">
        <v>312</v>
      </c>
      <c r="F2950" t="s">
        <v>313</v>
      </c>
      <c r="G2950" t="s">
        <v>1033</v>
      </c>
      <c r="H2950" t="s">
        <v>30</v>
      </c>
      <c r="I2950" s="1">
        <v>1</v>
      </c>
      <c r="J2950" s="2">
        <v>603.45000000000005</v>
      </c>
    </row>
    <row r="2951" spans="2:10" hidden="1" x14ac:dyDescent="0.2">
      <c r="B2951" t="s">
        <v>1016</v>
      </c>
      <c r="C2951" t="s">
        <v>40</v>
      </c>
      <c r="D2951" t="s">
        <v>1017</v>
      </c>
      <c r="E2951" t="s">
        <v>61</v>
      </c>
      <c r="F2951" t="s">
        <v>62</v>
      </c>
      <c r="G2951" t="s">
        <v>1034</v>
      </c>
      <c r="H2951" t="s">
        <v>15</v>
      </c>
      <c r="I2951" s="1">
        <v>1</v>
      </c>
      <c r="J2951" s="2">
        <v>172.41</v>
      </c>
    </row>
    <row r="2952" spans="2:10" hidden="1" x14ac:dyDescent="0.2">
      <c r="B2952" t="s">
        <v>1016</v>
      </c>
      <c r="C2952" t="s">
        <v>40</v>
      </c>
      <c r="D2952" t="s">
        <v>1017</v>
      </c>
      <c r="E2952" t="s">
        <v>63</v>
      </c>
      <c r="F2952" t="s">
        <v>64</v>
      </c>
      <c r="G2952" t="s">
        <v>1034</v>
      </c>
      <c r="H2952" t="s">
        <v>15</v>
      </c>
      <c r="I2952" s="1">
        <v>1</v>
      </c>
      <c r="J2952" s="2">
        <v>172.41</v>
      </c>
    </row>
    <row r="2953" spans="2:10" hidden="1" x14ac:dyDescent="0.2">
      <c r="B2953" t="s">
        <v>1016</v>
      </c>
      <c r="C2953" t="s">
        <v>40</v>
      </c>
      <c r="D2953" t="s">
        <v>1017</v>
      </c>
      <c r="E2953" t="s">
        <v>193</v>
      </c>
      <c r="F2953" t="s">
        <v>194</v>
      </c>
      <c r="G2953" t="s">
        <v>1034</v>
      </c>
      <c r="H2953" t="s">
        <v>15</v>
      </c>
      <c r="I2953" s="1">
        <v>1</v>
      </c>
      <c r="J2953" s="2">
        <v>1293.0999999999999</v>
      </c>
    </row>
    <row r="2954" spans="2:10" hidden="1" x14ac:dyDescent="0.2">
      <c r="B2954" t="s">
        <v>1016</v>
      </c>
      <c r="C2954" t="s">
        <v>40</v>
      </c>
      <c r="D2954" t="s">
        <v>1017</v>
      </c>
      <c r="E2954" t="s">
        <v>28</v>
      </c>
      <c r="F2954" t="s">
        <v>29</v>
      </c>
      <c r="G2954" t="s">
        <v>1033</v>
      </c>
      <c r="H2954" t="s">
        <v>30</v>
      </c>
      <c r="I2954" s="1">
        <v>3</v>
      </c>
      <c r="J2954" s="2">
        <v>465.52</v>
      </c>
    </row>
    <row r="2955" spans="2:10" hidden="1" x14ac:dyDescent="0.2">
      <c r="B2955" t="s">
        <v>1016</v>
      </c>
      <c r="C2955" t="s">
        <v>51</v>
      </c>
      <c r="D2955" t="s">
        <v>1017</v>
      </c>
      <c r="E2955" t="s">
        <v>1018</v>
      </c>
      <c r="F2955" t="s">
        <v>1019</v>
      </c>
      <c r="G2955" t="s">
        <v>14</v>
      </c>
      <c r="H2955" t="s">
        <v>1020</v>
      </c>
      <c r="I2955" s="1">
        <v>1</v>
      </c>
      <c r="J2955" s="2">
        <v>215.52</v>
      </c>
    </row>
    <row r="2956" spans="2:10" hidden="1" x14ac:dyDescent="0.2">
      <c r="B2956" t="s">
        <v>1016</v>
      </c>
      <c r="C2956" t="s">
        <v>51</v>
      </c>
      <c r="D2956" t="s">
        <v>1017</v>
      </c>
      <c r="E2956" t="s">
        <v>637</v>
      </c>
      <c r="F2956" t="s">
        <v>638</v>
      </c>
      <c r="G2956" t="s">
        <v>1033</v>
      </c>
      <c r="H2956" t="s">
        <v>30</v>
      </c>
      <c r="I2956" s="1">
        <v>1</v>
      </c>
      <c r="J2956" s="2">
        <v>689.66</v>
      </c>
    </row>
    <row r="2957" spans="2:10" hidden="1" x14ac:dyDescent="0.2">
      <c r="B2957" t="s">
        <v>1016</v>
      </c>
      <c r="C2957" t="s">
        <v>51</v>
      </c>
      <c r="D2957" t="s">
        <v>1017</v>
      </c>
      <c r="E2957" t="s">
        <v>142</v>
      </c>
      <c r="F2957" t="s">
        <v>143</v>
      </c>
      <c r="G2957" t="s">
        <v>43</v>
      </c>
      <c r="H2957" t="s">
        <v>50</v>
      </c>
      <c r="I2957" s="1">
        <v>1</v>
      </c>
      <c r="J2957" s="2">
        <v>2155.17</v>
      </c>
    </row>
    <row r="2958" spans="2:10" hidden="1" x14ac:dyDescent="0.2">
      <c r="B2958" t="s">
        <v>1016</v>
      </c>
      <c r="C2958" t="s">
        <v>51</v>
      </c>
      <c r="D2958" t="s">
        <v>1017</v>
      </c>
      <c r="E2958" t="s">
        <v>171</v>
      </c>
      <c r="F2958" t="s">
        <v>172</v>
      </c>
      <c r="G2958" t="s">
        <v>14</v>
      </c>
      <c r="H2958" t="s">
        <v>35</v>
      </c>
      <c r="I2958" s="1">
        <v>1</v>
      </c>
      <c r="J2958" s="2">
        <v>77.59</v>
      </c>
    </row>
    <row r="2959" spans="2:10" hidden="1" x14ac:dyDescent="0.2">
      <c r="B2959" t="s">
        <v>1016</v>
      </c>
      <c r="C2959" t="s">
        <v>51</v>
      </c>
      <c r="D2959" t="s">
        <v>1017</v>
      </c>
      <c r="E2959" t="s">
        <v>212</v>
      </c>
      <c r="F2959" t="s">
        <v>213</v>
      </c>
      <c r="G2959" t="s">
        <v>14</v>
      </c>
      <c r="H2959" t="s">
        <v>35</v>
      </c>
      <c r="I2959" s="1">
        <v>1</v>
      </c>
      <c r="J2959" s="2">
        <v>77.59</v>
      </c>
    </row>
    <row r="2960" spans="2:10" hidden="1" x14ac:dyDescent="0.2">
      <c r="B2960" t="s">
        <v>1016</v>
      </c>
      <c r="C2960" t="s">
        <v>51</v>
      </c>
      <c r="D2960" t="s">
        <v>1017</v>
      </c>
      <c r="E2960" t="s">
        <v>406</v>
      </c>
      <c r="F2960" t="s">
        <v>407</v>
      </c>
      <c r="G2960" t="s">
        <v>14</v>
      </c>
      <c r="H2960" t="s">
        <v>104</v>
      </c>
      <c r="I2960" s="1">
        <v>5</v>
      </c>
      <c r="J2960" s="2">
        <v>86.2</v>
      </c>
    </row>
    <row r="2961" spans="2:10" hidden="1" x14ac:dyDescent="0.2">
      <c r="B2961" t="s">
        <v>1016</v>
      </c>
      <c r="C2961" t="s">
        <v>51</v>
      </c>
      <c r="D2961" t="s">
        <v>1017</v>
      </c>
      <c r="E2961" t="s">
        <v>61</v>
      </c>
      <c r="F2961" t="s">
        <v>62</v>
      </c>
      <c r="G2961" t="s">
        <v>1034</v>
      </c>
      <c r="H2961" t="s">
        <v>15</v>
      </c>
      <c r="I2961" s="1">
        <v>1</v>
      </c>
      <c r="J2961" s="2">
        <v>172.41</v>
      </c>
    </row>
    <row r="2962" spans="2:10" hidden="1" x14ac:dyDescent="0.2">
      <c r="B2962" t="s">
        <v>1016</v>
      </c>
      <c r="C2962" t="s">
        <v>51</v>
      </c>
      <c r="D2962" t="s">
        <v>1017</v>
      </c>
      <c r="E2962" t="s">
        <v>416</v>
      </c>
      <c r="F2962" t="s">
        <v>417</v>
      </c>
      <c r="G2962" t="s">
        <v>1033</v>
      </c>
      <c r="H2962" t="s">
        <v>30</v>
      </c>
      <c r="I2962" s="1">
        <v>1</v>
      </c>
      <c r="J2962" s="2">
        <v>2258.62</v>
      </c>
    </row>
    <row r="2963" spans="2:10" hidden="1" x14ac:dyDescent="0.2">
      <c r="B2963" t="s">
        <v>1016</v>
      </c>
      <c r="C2963" t="s">
        <v>65</v>
      </c>
      <c r="D2963" t="s">
        <v>1017</v>
      </c>
      <c r="E2963" t="s">
        <v>83</v>
      </c>
      <c r="F2963" t="s">
        <v>84</v>
      </c>
      <c r="G2963" t="s">
        <v>1034</v>
      </c>
      <c r="H2963" t="s">
        <v>15</v>
      </c>
      <c r="I2963" s="1">
        <v>2</v>
      </c>
      <c r="J2963" s="2">
        <v>775.86</v>
      </c>
    </row>
    <row r="2964" spans="2:10" hidden="1" x14ac:dyDescent="0.2">
      <c r="B2964" t="s">
        <v>1016</v>
      </c>
      <c r="C2964" t="s">
        <v>65</v>
      </c>
      <c r="D2964" t="s">
        <v>1017</v>
      </c>
      <c r="E2964" t="s">
        <v>269</v>
      </c>
      <c r="F2964" t="s">
        <v>270</v>
      </c>
      <c r="G2964" t="s">
        <v>1033</v>
      </c>
      <c r="H2964" t="s">
        <v>30</v>
      </c>
      <c r="I2964" s="1">
        <v>1</v>
      </c>
      <c r="J2964" s="2">
        <v>948.28</v>
      </c>
    </row>
    <row r="2965" spans="2:10" hidden="1" x14ac:dyDescent="0.2">
      <c r="B2965" t="s">
        <v>1016</v>
      </c>
      <c r="C2965" t="s">
        <v>65</v>
      </c>
      <c r="D2965" t="s">
        <v>1017</v>
      </c>
      <c r="E2965" t="s">
        <v>38</v>
      </c>
      <c r="F2965" t="s">
        <v>39</v>
      </c>
      <c r="G2965" t="s">
        <v>1034</v>
      </c>
      <c r="H2965" t="s">
        <v>15</v>
      </c>
      <c r="I2965" s="1">
        <v>2</v>
      </c>
      <c r="J2965" s="2">
        <v>862.06</v>
      </c>
    </row>
    <row r="2966" spans="2:10" hidden="1" x14ac:dyDescent="0.2">
      <c r="B2966" t="s">
        <v>1016</v>
      </c>
      <c r="C2966" t="s">
        <v>65</v>
      </c>
      <c r="D2966" t="s">
        <v>1017</v>
      </c>
      <c r="E2966" t="s">
        <v>63</v>
      </c>
      <c r="F2966" t="s">
        <v>64</v>
      </c>
      <c r="G2966" t="s">
        <v>1034</v>
      </c>
      <c r="H2966" t="s">
        <v>15</v>
      </c>
      <c r="I2966" s="1">
        <v>1</v>
      </c>
      <c r="J2966" s="2">
        <v>172.41</v>
      </c>
    </row>
    <row r="2967" spans="2:10" hidden="1" x14ac:dyDescent="0.2">
      <c r="B2967" t="s">
        <v>1016</v>
      </c>
      <c r="C2967" t="s">
        <v>82</v>
      </c>
      <c r="D2967" t="s">
        <v>1017</v>
      </c>
      <c r="E2967" t="s">
        <v>19</v>
      </c>
      <c r="F2967" t="s">
        <v>20</v>
      </c>
      <c r="G2967" t="s">
        <v>14</v>
      </c>
      <c r="H2967" t="s">
        <v>21</v>
      </c>
      <c r="I2967" s="1">
        <v>1</v>
      </c>
      <c r="J2967" s="2">
        <v>431.04</v>
      </c>
    </row>
    <row r="2968" spans="2:10" hidden="1" x14ac:dyDescent="0.2">
      <c r="B2968" t="s">
        <v>1016</v>
      </c>
      <c r="C2968" t="s">
        <v>82</v>
      </c>
      <c r="D2968" t="s">
        <v>1017</v>
      </c>
      <c r="E2968" t="s">
        <v>442</v>
      </c>
      <c r="F2968" t="s">
        <v>443</v>
      </c>
      <c r="G2968" t="s">
        <v>1033</v>
      </c>
      <c r="H2968" t="s">
        <v>30</v>
      </c>
      <c r="I2968" s="1">
        <v>1</v>
      </c>
      <c r="J2968" s="2">
        <v>2500</v>
      </c>
    </row>
    <row r="2969" spans="2:10" hidden="1" x14ac:dyDescent="0.2">
      <c r="B2969" t="s">
        <v>1016</v>
      </c>
      <c r="C2969" t="s">
        <v>82</v>
      </c>
      <c r="D2969" t="s">
        <v>1017</v>
      </c>
      <c r="E2969" t="s">
        <v>56</v>
      </c>
      <c r="F2969" t="s">
        <v>57</v>
      </c>
      <c r="G2969" t="s">
        <v>1034</v>
      </c>
      <c r="H2969" t="s">
        <v>15</v>
      </c>
      <c r="I2969" s="1">
        <v>5</v>
      </c>
      <c r="J2969" s="2">
        <v>2155.16</v>
      </c>
    </row>
    <row r="2970" spans="2:10" hidden="1" x14ac:dyDescent="0.2">
      <c r="B2970" t="s">
        <v>1016</v>
      </c>
      <c r="C2970" t="s">
        <v>82</v>
      </c>
      <c r="D2970" t="s">
        <v>1017</v>
      </c>
      <c r="E2970" t="s">
        <v>193</v>
      </c>
      <c r="F2970" t="s">
        <v>194</v>
      </c>
      <c r="G2970" t="s">
        <v>1034</v>
      </c>
      <c r="H2970" t="s">
        <v>15</v>
      </c>
      <c r="I2970" s="1">
        <v>1</v>
      </c>
      <c r="J2970" s="2">
        <v>1293.0999999999999</v>
      </c>
    </row>
    <row r="2971" spans="2:10" hidden="1" x14ac:dyDescent="0.2">
      <c r="B2971" t="s">
        <v>1016</v>
      </c>
      <c r="C2971" t="s">
        <v>88</v>
      </c>
      <c r="D2971" t="s">
        <v>1017</v>
      </c>
      <c r="E2971" t="s">
        <v>44</v>
      </c>
      <c r="F2971" t="s">
        <v>45</v>
      </c>
      <c r="G2971" t="s">
        <v>1033</v>
      </c>
      <c r="H2971" t="s">
        <v>30</v>
      </c>
      <c r="I2971" s="1">
        <v>1</v>
      </c>
      <c r="J2971" s="2">
        <v>81.900000000000006</v>
      </c>
    </row>
    <row r="2972" spans="2:10" hidden="1" x14ac:dyDescent="0.2">
      <c r="B2972" t="s">
        <v>1016</v>
      </c>
      <c r="C2972" t="s">
        <v>88</v>
      </c>
      <c r="D2972" t="s">
        <v>1017</v>
      </c>
      <c r="E2972" t="s">
        <v>287</v>
      </c>
      <c r="F2972" t="s">
        <v>288</v>
      </c>
      <c r="G2972" t="s">
        <v>14</v>
      </c>
      <c r="H2972" t="s">
        <v>35</v>
      </c>
      <c r="I2972" s="1">
        <v>1</v>
      </c>
      <c r="J2972" s="2">
        <v>60.34</v>
      </c>
    </row>
    <row r="2973" spans="2:10" hidden="1" x14ac:dyDescent="0.2">
      <c r="B2973" t="s">
        <v>1016</v>
      </c>
      <c r="C2973" t="s">
        <v>88</v>
      </c>
      <c r="D2973" t="s">
        <v>1017</v>
      </c>
      <c r="E2973" t="s">
        <v>559</v>
      </c>
      <c r="F2973" t="s">
        <v>560</v>
      </c>
      <c r="G2973" t="s">
        <v>1033</v>
      </c>
      <c r="H2973" t="s">
        <v>30</v>
      </c>
      <c r="I2973" s="1">
        <v>1</v>
      </c>
      <c r="J2973" s="2">
        <v>1706.9</v>
      </c>
    </row>
    <row r="2974" spans="2:10" hidden="1" x14ac:dyDescent="0.2">
      <c r="B2974" t="s">
        <v>1016</v>
      </c>
      <c r="C2974" t="s">
        <v>88</v>
      </c>
      <c r="D2974" t="s">
        <v>1017</v>
      </c>
      <c r="E2974" t="s">
        <v>36</v>
      </c>
      <c r="F2974" t="s">
        <v>37</v>
      </c>
      <c r="G2974" t="s">
        <v>1034</v>
      </c>
      <c r="H2974" t="s">
        <v>15</v>
      </c>
      <c r="I2974" s="1">
        <v>1</v>
      </c>
      <c r="J2974" s="2">
        <v>301.72000000000003</v>
      </c>
    </row>
    <row r="2975" spans="2:10" hidden="1" x14ac:dyDescent="0.2">
      <c r="B2975" t="s">
        <v>1016</v>
      </c>
      <c r="C2975" t="s">
        <v>88</v>
      </c>
      <c r="D2975" t="s">
        <v>1017</v>
      </c>
      <c r="E2975" t="s">
        <v>72</v>
      </c>
      <c r="F2975" t="s">
        <v>73</v>
      </c>
      <c r="G2975" t="s">
        <v>1034</v>
      </c>
      <c r="H2975" t="s">
        <v>15</v>
      </c>
      <c r="I2975" s="1">
        <v>1</v>
      </c>
      <c r="J2975" s="2">
        <v>775.86</v>
      </c>
    </row>
    <row r="2976" spans="2:10" hidden="1" x14ac:dyDescent="0.2">
      <c r="B2976" t="s">
        <v>1016</v>
      </c>
      <c r="C2976" t="s">
        <v>88</v>
      </c>
      <c r="D2976" t="s">
        <v>1017</v>
      </c>
      <c r="E2976" t="s">
        <v>742</v>
      </c>
      <c r="F2976" t="s">
        <v>743</v>
      </c>
      <c r="G2976" t="s">
        <v>1033</v>
      </c>
      <c r="H2976" t="s">
        <v>30</v>
      </c>
      <c r="I2976" s="1">
        <v>1</v>
      </c>
      <c r="J2976" s="2">
        <v>2672.41</v>
      </c>
    </row>
    <row r="2977" spans="2:10" hidden="1" x14ac:dyDescent="0.2">
      <c r="B2977" t="s">
        <v>1016</v>
      </c>
      <c r="C2977" t="s">
        <v>117</v>
      </c>
      <c r="D2977" t="s">
        <v>32</v>
      </c>
      <c r="E2977" t="s">
        <v>44</v>
      </c>
      <c r="F2977" t="s">
        <v>45</v>
      </c>
      <c r="G2977" t="s">
        <v>1033</v>
      </c>
      <c r="H2977" t="s">
        <v>30</v>
      </c>
      <c r="I2977" s="1">
        <v>1</v>
      </c>
      <c r="J2977" s="2">
        <v>81.900000000000006</v>
      </c>
    </row>
    <row r="2978" spans="2:10" hidden="1" x14ac:dyDescent="0.2">
      <c r="B2978" t="s">
        <v>1016</v>
      </c>
      <c r="C2978" t="s">
        <v>117</v>
      </c>
      <c r="D2978" t="s">
        <v>32</v>
      </c>
      <c r="E2978" t="s">
        <v>221</v>
      </c>
      <c r="F2978" t="s">
        <v>222</v>
      </c>
      <c r="G2978" t="s">
        <v>1034</v>
      </c>
      <c r="H2978" t="s">
        <v>15</v>
      </c>
      <c r="I2978" s="1">
        <v>1</v>
      </c>
      <c r="J2978" s="2">
        <v>431.03</v>
      </c>
    </row>
    <row r="2979" spans="2:10" hidden="1" x14ac:dyDescent="0.2">
      <c r="B2979" t="s">
        <v>1016</v>
      </c>
      <c r="C2979" t="s">
        <v>117</v>
      </c>
      <c r="D2979" t="s">
        <v>32</v>
      </c>
      <c r="E2979" t="s">
        <v>120</v>
      </c>
      <c r="F2979" t="s">
        <v>121</v>
      </c>
      <c r="G2979" t="s">
        <v>1034</v>
      </c>
      <c r="H2979" t="s">
        <v>15</v>
      </c>
      <c r="I2979" s="1">
        <v>1</v>
      </c>
      <c r="J2979" s="2">
        <v>301.72000000000003</v>
      </c>
    </row>
    <row r="2980" spans="2:10" hidden="1" x14ac:dyDescent="0.2">
      <c r="B2980" t="s">
        <v>1016</v>
      </c>
      <c r="C2980" t="s">
        <v>117</v>
      </c>
      <c r="D2980" t="s">
        <v>32</v>
      </c>
      <c r="E2980" t="s">
        <v>36</v>
      </c>
      <c r="F2980" t="s">
        <v>37</v>
      </c>
      <c r="G2980" t="s">
        <v>1034</v>
      </c>
      <c r="H2980" t="s">
        <v>15</v>
      </c>
      <c r="I2980" s="1">
        <v>1</v>
      </c>
      <c r="J2980" s="2">
        <v>301.72000000000003</v>
      </c>
    </row>
    <row r="2981" spans="2:10" hidden="1" x14ac:dyDescent="0.2">
      <c r="B2981" t="s">
        <v>1016</v>
      </c>
      <c r="C2981" t="s">
        <v>129</v>
      </c>
      <c r="D2981" t="s">
        <v>1017</v>
      </c>
      <c r="E2981" t="s">
        <v>41</v>
      </c>
      <c r="F2981" t="s">
        <v>42</v>
      </c>
      <c r="G2981" t="s">
        <v>1033</v>
      </c>
      <c r="H2981" t="s">
        <v>30</v>
      </c>
      <c r="I2981" s="1">
        <v>2</v>
      </c>
      <c r="J2981" s="2">
        <v>68.97</v>
      </c>
    </row>
    <row r="2982" spans="2:10" hidden="1" x14ac:dyDescent="0.2">
      <c r="B2982" t="s">
        <v>1016</v>
      </c>
      <c r="C2982" t="s">
        <v>129</v>
      </c>
      <c r="D2982" t="s">
        <v>1017</v>
      </c>
      <c r="E2982" t="s">
        <v>44</v>
      </c>
      <c r="F2982" t="s">
        <v>45</v>
      </c>
      <c r="G2982" t="s">
        <v>1033</v>
      </c>
      <c r="H2982" t="s">
        <v>30</v>
      </c>
      <c r="I2982" s="1">
        <v>1</v>
      </c>
      <c r="J2982" s="2">
        <v>81.900000000000006</v>
      </c>
    </row>
    <row r="2983" spans="2:10" hidden="1" x14ac:dyDescent="0.2">
      <c r="B2983" t="s">
        <v>1016</v>
      </c>
      <c r="C2983" t="s">
        <v>129</v>
      </c>
      <c r="D2983" t="s">
        <v>1017</v>
      </c>
      <c r="E2983" t="s">
        <v>120</v>
      </c>
      <c r="F2983" t="s">
        <v>121</v>
      </c>
      <c r="G2983" t="s">
        <v>1034</v>
      </c>
      <c r="H2983" t="s">
        <v>15</v>
      </c>
      <c r="I2983" s="1">
        <v>1</v>
      </c>
      <c r="J2983" s="2">
        <v>301.72000000000003</v>
      </c>
    </row>
    <row r="2984" spans="2:10" hidden="1" x14ac:dyDescent="0.2">
      <c r="B2984" t="s">
        <v>1016</v>
      </c>
      <c r="C2984" t="s">
        <v>134</v>
      </c>
      <c r="D2984" t="s">
        <v>1017</v>
      </c>
      <c r="E2984" t="s">
        <v>306</v>
      </c>
      <c r="F2984" t="s">
        <v>307</v>
      </c>
      <c r="G2984" t="s">
        <v>1033</v>
      </c>
      <c r="H2984" t="s">
        <v>30</v>
      </c>
      <c r="I2984" s="1">
        <v>1</v>
      </c>
      <c r="J2984" s="2">
        <v>258.62</v>
      </c>
    </row>
    <row r="2985" spans="2:10" hidden="1" x14ac:dyDescent="0.2">
      <c r="B2985" t="s">
        <v>1016</v>
      </c>
      <c r="C2985" t="s">
        <v>134</v>
      </c>
      <c r="D2985" t="s">
        <v>1017</v>
      </c>
      <c r="E2985" t="s">
        <v>605</v>
      </c>
      <c r="F2985" t="s">
        <v>606</v>
      </c>
      <c r="G2985" t="s">
        <v>1033</v>
      </c>
      <c r="H2985" t="s">
        <v>30</v>
      </c>
      <c r="I2985" s="1">
        <v>1</v>
      </c>
      <c r="J2985" s="2">
        <v>465.52</v>
      </c>
    </row>
    <row r="2986" spans="2:10" hidden="1" x14ac:dyDescent="0.2">
      <c r="B2986" t="s">
        <v>1016</v>
      </c>
      <c r="C2986" t="s">
        <v>134</v>
      </c>
      <c r="D2986" t="s">
        <v>1017</v>
      </c>
      <c r="E2986" t="s">
        <v>122</v>
      </c>
      <c r="F2986" t="s">
        <v>123</v>
      </c>
      <c r="G2986" t="s">
        <v>1034</v>
      </c>
      <c r="H2986" t="s">
        <v>15</v>
      </c>
      <c r="I2986" s="1">
        <v>1</v>
      </c>
      <c r="J2986" s="2">
        <v>387.93</v>
      </c>
    </row>
    <row r="2987" spans="2:10" hidden="1" x14ac:dyDescent="0.2">
      <c r="B2987" t="s">
        <v>1016</v>
      </c>
      <c r="C2987" t="s">
        <v>134</v>
      </c>
      <c r="D2987" t="s">
        <v>1017</v>
      </c>
      <c r="E2987" t="s">
        <v>223</v>
      </c>
      <c r="F2987" t="s">
        <v>224</v>
      </c>
      <c r="G2987" t="s">
        <v>43</v>
      </c>
      <c r="H2987" t="s">
        <v>50</v>
      </c>
      <c r="I2987" s="1">
        <v>1</v>
      </c>
      <c r="J2987" s="2">
        <v>1637.93</v>
      </c>
    </row>
    <row r="2988" spans="2:10" hidden="1" x14ac:dyDescent="0.2">
      <c r="B2988" t="s">
        <v>1016</v>
      </c>
      <c r="C2988" t="s">
        <v>134</v>
      </c>
      <c r="D2988" t="s">
        <v>1017</v>
      </c>
      <c r="E2988" t="s">
        <v>63</v>
      </c>
      <c r="F2988" t="s">
        <v>64</v>
      </c>
      <c r="G2988" t="s">
        <v>1034</v>
      </c>
      <c r="H2988" t="s">
        <v>15</v>
      </c>
      <c r="I2988" s="1">
        <v>1</v>
      </c>
      <c r="J2988" s="2">
        <v>172.41</v>
      </c>
    </row>
    <row r="2989" spans="2:10" hidden="1" x14ac:dyDescent="0.2">
      <c r="B2989" t="s">
        <v>1016</v>
      </c>
      <c r="C2989" t="s">
        <v>135</v>
      </c>
      <c r="D2989" t="s">
        <v>1017</v>
      </c>
      <c r="E2989" t="s">
        <v>255</v>
      </c>
      <c r="F2989" t="s">
        <v>256</v>
      </c>
      <c r="G2989" t="s">
        <v>1033</v>
      </c>
      <c r="H2989" t="s">
        <v>30</v>
      </c>
      <c r="I2989" s="1">
        <v>1</v>
      </c>
      <c r="J2989" s="2">
        <v>517.24</v>
      </c>
    </row>
    <row r="2990" spans="2:10" hidden="1" x14ac:dyDescent="0.2">
      <c r="B2990" t="s">
        <v>1016</v>
      </c>
      <c r="C2990" t="s">
        <v>135</v>
      </c>
      <c r="D2990" t="s">
        <v>1017</v>
      </c>
      <c r="E2990" t="s">
        <v>48</v>
      </c>
      <c r="F2990" t="s">
        <v>49</v>
      </c>
      <c r="G2990" t="s">
        <v>43</v>
      </c>
      <c r="H2990" t="s">
        <v>50</v>
      </c>
      <c r="I2990" s="1">
        <v>1</v>
      </c>
      <c r="J2990" s="2">
        <v>1318.97</v>
      </c>
    </row>
    <row r="2991" spans="2:10" hidden="1" x14ac:dyDescent="0.2">
      <c r="B2991" t="s">
        <v>1016</v>
      </c>
      <c r="C2991" t="s">
        <v>141</v>
      </c>
      <c r="D2991" t="s">
        <v>1017</v>
      </c>
      <c r="E2991" t="s">
        <v>44</v>
      </c>
      <c r="F2991" t="s">
        <v>45</v>
      </c>
      <c r="G2991" t="s">
        <v>1033</v>
      </c>
      <c r="H2991" t="s">
        <v>30</v>
      </c>
      <c r="I2991" s="1">
        <v>1</v>
      </c>
      <c r="J2991" s="2">
        <v>81.900000000000006</v>
      </c>
    </row>
    <row r="2992" spans="2:10" hidden="1" x14ac:dyDescent="0.2">
      <c r="B2992" t="s">
        <v>1016</v>
      </c>
      <c r="C2992" t="s">
        <v>141</v>
      </c>
      <c r="D2992" t="s">
        <v>1017</v>
      </c>
      <c r="E2992" t="s">
        <v>56</v>
      </c>
      <c r="F2992" t="s">
        <v>57</v>
      </c>
      <c r="G2992" t="s">
        <v>1034</v>
      </c>
      <c r="H2992" t="s">
        <v>15</v>
      </c>
      <c r="I2992" s="1">
        <v>2</v>
      </c>
      <c r="J2992" s="2">
        <v>862.06</v>
      </c>
    </row>
    <row r="2993" spans="2:10" hidden="1" x14ac:dyDescent="0.2">
      <c r="B2993" t="s">
        <v>1016</v>
      </c>
      <c r="C2993" t="s">
        <v>141</v>
      </c>
      <c r="D2993" t="s">
        <v>1017</v>
      </c>
      <c r="E2993" t="s">
        <v>61</v>
      </c>
      <c r="F2993" t="s">
        <v>62</v>
      </c>
      <c r="G2993" t="s">
        <v>1034</v>
      </c>
      <c r="H2993" t="s">
        <v>15</v>
      </c>
      <c r="I2993" s="1">
        <v>1</v>
      </c>
      <c r="J2993" s="2">
        <v>172.41</v>
      </c>
    </row>
    <row r="2994" spans="2:10" hidden="1" x14ac:dyDescent="0.2">
      <c r="B2994" t="s">
        <v>1016</v>
      </c>
      <c r="C2994" t="s">
        <v>141</v>
      </c>
      <c r="D2994" t="s">
        <v>1017</v>
      </c>
      <c r="E2994" t="s">
        <v>193</v>
      </c>
      <c r="F2994" t="s">
        <v>194</v>
      </c>
      <c r="G2994" t="s">
        <v>1034</v>
      </c>
      <c r="H2994" t="s">
        <v>15</v>
      </c>
      <c r="I2994" s="1">
        <v>1</v>
      </c>
      <c r="J2994" s="2">
        <v>1293.0999999999999</v>
      </c>
    </row>
    <row r="2995" spans="2:10" hidden="1" x14ac:dyDescent="0.2">
      <c r="B2995" t="s">
        <v>1016</v>
      </c>
      <c r="C2995" t="s">
        <v>141</v>
      </c>
      <c r="D2995" t="s">
        <v>1017</v>
      </c>
      <c r="E2995" t="s">
        <v>28</v>
      </c>
      <c r="F2995" t="s">
        <v>29</v>
      </c>
      <c r="G2995" t="s">
        <v>1033</v>
      </c>
      <c r="H2995" t="s">
        <v>30</v>
      </c>
      <c r="I2995" s="1">
        <v>1</v>
      </c>
      <c r="J2995" s="2">
        <v>155.16999999999999</v>
      </c>
    </row>
    <row r="2996" spans="2:10" hidden="1" x14ac:dyDescent="0.2">
      <c r="B2996" t="s">
        <v>1016</v>
      </c>
      <c r="C2996" t="s">
        <v>144</v>
      </c>
      <c r="D2996" t="s">
        <v>1017</v>
      </c>
      <c r="E2996" t="s">
        <v>19</v>
      </c>
      <c r="F2996" t="s">
        <v>20</v>
      </c>
      <c r="G2996" t="s">
        <v>14</v>
      </c>
      <c r="H2996" t="s">
        <v>21</v>
      </c>
      <c r="I2996" s="1">
        <v>1</v>
      </c>
      <c r="J2996" s="2">
        <v>431.04</v>
      </c>
    </row>
    <row r="2997" spans="2:10" hidden="1" x14ac:dyDescent="0.2">
      <c r="B2997" t="s">
        <v>1016</v>
      </c>
      <c r="C2997" t="s">
        <v>144</v>
      </c>
      <c r="D2997" t="s">
        <v>1017</v>
      </c>
      <c r="E2997" t="s">
        <v>38</v>
      </c>
      <c r="F2997" t="s">
        <v>39</v>
      </c>
      <c r="G2997" t="s">
        <v>1034</v>
      </c>
      <c r="H2997" t="s">
        <v>15</v>
      </c>
      <c r="I2997" s="1">
        <v>1</v>
      </c>
      <c r="J2997" s="2">
        <v>431.03</v>
      </c>
    </row>
    <row r="2998" spans="2:10" hidden="1" x14ac:dyDescent="0.2">
      <c r="B2998" t="s">
        <v>1016</v>
      </c>
      <c r="C2998" t="s">
        <v>144</v>
      </c>
      <c r="D2998" t="s">
        <v>1017</v>
      </c>
      <c r="E2998" t="s">
        <v>126</v>
      </c>
      <c r="F2998" t="s">
        <v>127</v>
      </c>
      <c r="G2998" t="s">
        <v>43</v>
      </c>
      <c r="H2998" t="s">
        <v>128</v>
      </c>
      <c r="I2998" s="1">
        <v>1</v>
      </c>
      <c r="J2998" s="2">
        <v>2068.9699999999998</v>
      </c>
    </row>
    <row r="2999" spans="2:10" hidden="1" x14ac:dyDescent="0.2">
      <c r="B2999" t="s">
        <v>1016</v>
      </c>
      <c r="C2999" t="s">
        <v>165</v>
      </c>
      <c r="D2999" t="s">
        <v>1017</v>
      </c>
      <c r="E2999" t="s">
        <v>214</v>
      </c>
      <c r="F2999" t="s">
        <v>215</v>
      </c>
      <c r="G2999" t="s">
        <v>1034</v>
      </c>
      <c r="H2999" t="s">
        <v>15</v>
      </c>
      <c r="I2999" s="1">
        <v>1</v>
      </c>
      <c r="J2999" s="2">
        <v>301.72000000000003</v>
      </c>
    </row>
    <row r="3000" spans="2:10" hidden="1" x14ac:dyDescent="0.2">
      <c r="B3000" t="s">
        <v>1016</v>
      </c>
      <c r="C3000" t="s">
        <v>165</v>
      </c>
      <c r="D3000" t="s">
        <v>1017</v>
      </c>
      <c r="E3000" t="s">
        <v>679</v>
      </c>
      <c r="F3000" t="s">
        <v>680</v>
      </c>
      <c r="G3000" t="s">
        <v>1033</v>
      </c>
      <c r="H3000" t="s">
        <v>30</v>
      </c>
      <c r="I3000" s="1">
        <v>1</v>
      </c>
      <c r="J3000" s="2">
        <v>1293.0999999999999</v>
      </c>
    </row>
    <row r="3001" spans="2:10" hidden="1" x14ac:dyDescent="0.2">
      <c r="B3001" t="s">
        <v>1016</v>
      </c>
      <c r="C3001" t="s">
        <v>165</v>
      </c>
      <c r="D3001" t="s">
        <v>1017</v>
      </c>
      <c r="E3001" t="s">
        <v>56</v>
      </c>
      <c r="F3001" t="s">
        <v>57</v>
      </c>
      <c r="G3001" t="s">
        <v>1034</v>
      </c>
      <c r="H3001" t="s">
        <v>15</v>
      </c>
      <c r="I3001" s="1">
        <v>1</v>
      </c>
      <c r="J3001" s="2">
        <v>431.03</v>
      </c>
    </row>
    <row r="3002" spans="2:10" hidden="1" x14ac:dyDescent="0.2">
      <c r="B3002" t="s">
        <v>1016</v>
      </c>
      <c r="C3002" t="s">
        <v>166</v>
      </c>
      <c r="D3002" t="s">
        <v>32</v>
      </c>
      <c r="E3002" t="s">
        <v>660</v>
      </c>
      <c r="F3002" t="s">
        <v>661</v>
      </c>
      <c r="G3002" t="s">
        <v>14</v>
      </c>
      <c r="H3002" t="s">
        <v>27</v>
      </c>
      <c r="I3002" s="1">
        <v>1</v>
      </c>
      <c r="J3002" s="2">
        <v>448.28</v>
      </c>
    </row>
    <row r="3003" spans="2:10" hidden="1" x14ac:dyDescent="0.2">
      <c r="B3003" t="s">
        <v>1016</v>
      </c>
      <c r="C3003" t="s">
        <v>166</v>
      </c>
      <c r="D3003" t="s">
        <v>32</v>
      </c>
      <c r="E3003" t="s">
        <v>637</v>
      </c>
      <c r="F3003" t="s">
        <v>638</v>
      </c>
      <c r="G3003" t="s">
        <v>1033</v>
      </c>
      <c r="H3003" t="s">
        <v>30</v>
      </c>
      <c r="I3003" s="1">
        <v>1</v>
      </c>
      <c r="J3003" s="2">
        <v>689.66</v>
      </c>
    </row>
    <row r="3004" spans="2:10" hidden="1" x14ac:dyDescent="0.2">
      <c r="B3004" t="s">
        <v>1016</v>
      </c>
      <c r="C3004" t="s">
        <v>166</v>
      </c>
      <c r="D3004" t="s">
        <v>32</v>
      </c>
      <c r="E3004" t="s">
        <v>41</v>
      </c>
      <c r="F3004" t="s">
        <v>42</v>
      </c>
      <c r="G3004" t="s">
        <v>1033</v>
      </c>
      <c r="H3004" t="s">
        <v>30</v>
      </c>
      <c r="I3004" s="1">
        <v>1</v>
      </c>
      <c r="J3004" s="2">
        <v>34.479999999999997</v>
      </c>
    </row>
    <row r="3005" spans="2:10" hidden="1" x14ac:dyDescent="0.2">
      <c r="B3005" t="s">
        <v>1016</v>
      </c>
      <c r="C3005" t="s">
        <v>166</v>
      </c>
      <c r="D3005" t="s">
        <v>32</v>
      </c>
      <c r="E3005" t="s">
        <v>44</v>
      </c>
      <c r="F3005" t="s">
        <v>45</v>
      </c>
      <c r="G3005" t="s">
        <v>1033</v>
      </c>
      <c r="H3005" t="s">
        <v>30</v>
      </c>
      <c r="I3005" s="1">
        <v>1</v>
      </c>
      <c r="J3005" s="2">
        <v>81.900000000000006</v>
      </c>
    </row>
    <row r="3006" spans="2:10" hidden="1" x14ac:dyDescent="0.2">
      <c r="B3006" t="s">
        <v>1016</v>
      </c>
      <c r="C3006" t="s">
        <v>166</v>
      </c>
      <c r="D3006" t="s">
        <v>32</v>
      </c>
      <c r="E3006" t="s">
        <v>19</v>
      </c>
      <c r="F3006" t="s">
        <v>20</v>
      </c>
      <c r="G3006" t="s">
        <v>14</v>
      </c>
      <c r="H3006" t="s">
        <v>21</v>
      </c>
      <c r="I3006" s="1">
        <v>1</v>
      </c>
      <c r="J3006" s="2">
        <v>431.04</v>
      </c>
    </row>
    <row r="3007" spans="2:10" hidden="1" x14ac:dyDescent="0.2">
      <c r="B3007" t="s">
        <v>1016</v>
      </c>
      <c r="C3007" t="s">
        <v>166</v>
      </c>
      <c r="D3007" t="s">
        <v>32</v>
      </c>
      <c r="E3007" t="s">
        <v>1021</v>
      </c>
      <c r="F3007" t="s">
        <v>1022</v>
      </c>
      <c r="G3007" t="s">
        <v>1033</v>
      </c>
      <c r="H3007" t="s">
        <v>30</v>
      </c>
      <c r="I3007" s="1">
        <v>1</v>
      </c>
      <c r="J3007" s="2">
        <v>344.83</v>
      </c>
    </row>
    <row r="3008" spans="2:10" hidden="1" x14ac:dyDescent="0.2">
      <c r="B3008" t="s">
        <v>1016</v>
      </c>
      <c r="C3008" t="s">
        <v>166</v>
      </c>
      <c r="D3008" t="s">
        <v>32</v>
      </c>
      <c r="E3008" t="s">
        <v>463</v>
      </c>
      <c r="F3008" t="s">
        <v>464</v>
      </c>
      <c r="G3008" t="s">
        <v>14</v>
      </c>
      <c r="H3008" t="s">
        <v>35</v>
      </c>
      <c r="I3008" s="1">
        <v>1</v>
      </c>
      <c r="J3008" s="2">
        <v>77.59</v>
      </c>
    </row>
    <row r="3009" spans="2:10" hidden="1" x14ac:dyDescent="0.2">
      <c r="B3009" t="s">
        <v>1016</v>
      </c>
      <c r="C3009" t="s">
        <v>166</v>
      </c>
      <c r="D3009" t="s">
        <v>32</v>
      </c>
      <c r="E3009" t="s">
        <v>70</v>
      </c>
      <c r="F3009" t="s">
        <v>71</v>
      </c>
      <c r="G3009" t="s">
        <v>1033</v>
      </c>
      <c r="H3009" t="s">
        <v>30</v>
      </c>
      <c r="I3009" s="1">
        <v>1</v>
      </c>
      <c r="J3009" s="2">
        <v>2112.0700000000002</v>
      </c>
    </row>
    <row r="3010" spans="2:10" hidden="1" x14ac:dyDescent="0.2">
      <c r="B3010" t="s">
        <v>1016</v>
      </c>
      <c r="C3010" t="s">
        <v>166</v>
      </c>
      <c r="D3010" t="s">
        <v>32</v>
      </c>
      <c r="E3010" t="s">
        <v>968</v>
      </c>
      <c r="F3010" t="s">
        <v>969</v>
      </c>
      <c r="G3010" t="s">
        <v>14</v>
      </c>
      <c r="H3010" t="s">
        <v>60</v>
      </c>
      <c r="I3010" s="1">
        <v>1</v>
      </c>
      <c r="J3010" s="2">
        <v>603.45000000000005</v>
      </c>
    </row>
    <row r="3011" spans="2:10" hidden="1" x14ac:dyDescent="0.2">
      <c r="B3011" t="s">
        <v>1016</v>
      </c>
      <c r="C3011" t="s">
        <v>166</v>
      </c>
      <c r="D3011" t="s">
        <v>32</v>
      </c>
      <c r="E3011" t="s">
        <v>1023</v>
      </c>
      <c r="F3011" t="s">
        <v>1024</v>
      </c>
      <c r="G3011" t="s">
        <v>14</v>
      </c>
      <c r="H3011" t="s">
        <v>94</v>
      </c>
      <c r="I3011" s="1">
        <v>1</v>
      </c>
      <c r="J3011" s="2">
        <v>396.55</v>
      </c>
    </row>
    <row r="3012" spans="2:10" hidden="1" x14ac:dyDescent="0.2">
      <c r="B3012" t="s">
        <v>1016</v>
      </c>
      <c r="C3012" t="s">
        <v>166</v>
      </c>
      <c r="D3012" t="s">
        <v>32</v>
      </c>
      <c r="E3012" t="s">
        <v>295</v>
      </c>
      <c r="F3012" t="s">
        <v>296</v>
      </c>
      <c r="G3012" t="s">
        <v>43</v>
      </c>
      <c r="H3012" t="s">
        <v>297</v>
      </c>
      <c r="I3012" s="1">
        <v>1</v>
      </c>
      <c r="J3012" s="2">
        <v>224.14</v>
      </c>
    </row>
    <row r="3013" spans="2:10" hidden="1" x14ac:dyDescent="0.2">
      <c r="B3013" t="s">
        <v>1016</v>
      </c>
      <c r="C3013" t="s">
        <v>166</v>
      </c>
      <c r="D3013" t="s">
        <v>32</v>
      </c>
      <c r="E3013" t="s">
        <v>120</v>
      </c>
      <c r="F3013" t="s">
        <v>121</v>
      </c>
      <c r="G3013" t="s">
        <v>1034</v>
      </c>
      <c r="H3013" t="s">
        <v>15</v>
      </c>
      <c r="I3013" s="1">
        <v>2</v>
      </c>
      <c r="J3013" s="2">
        <v>603.44000000000005</v>
      </c>
    </row>
    <row r="3014" spans="2:10" hidden="1" x14ac:dyDescent="0.2">
      <c r="B3014" t="s">
        <v>1016</v>
      </c>
      <c r="C3014" t="s">
        <v>166</v>
      </c>
      <c r="D3014" t="s">
        <v>32</v>
      </c>
      <c r="E3014" t="s">
        <v>72</v>
      </c>
      <c r="F3014" t="s">
        <v>73</v>
      </c>
      <c r="G3014" t="s">
        <v>1034</v>
      </c>
      <c r="H3014" t="s">
        <v>15</v>
      </c>
      <c r="I3014" s="1">
        <v>1</v>
      </c>
      <c r="J3014" s="2">
        <v>775.86</v>
      </c>
    </row>
    <row r="3015" spans="2:10" hidden="1" x14ac:dyDescent="0.2">
      <c r="B3015" t="s">
        <v>1016</v>
      </c>
      <c r="C3015" t="s">
        <v>166</v>
      </c>
      <c r="D3015" t="s">
        <v>32</v>
      </c>
      <c r="E3015" t="s">
        <v>25</v>
      </c>
      <c r="F3015" t="s">
        <v>26</v>
      </c>
      <c r="G3015" t="s">
        <v>14</v>
      </c>
      <c r="H3015" t="s">
        <v>27</v>
      </c>
      <c r="I3015" s="1">
        <v>1</v>
      </c>
      <c r="J3015" s="2">
        <v>310.33999999999997</v>
      </c>
    </row>
    <row r="3016" spans="2:10" hidden="1" x14ac:dyDescent="0.2">
      <c r="B3016" t="s">
        <v>1016</v>
      </c>
      <c r="C3016" t="s">
        <v>166</v>
      </c>
      <c r="D3016" t="s">
        <v>32</v>
      </c>
      <c r="E3016" t="s">
        <v>887</v>
      </c>
      <c r="F3016" t="s">
        <v>888</v>
      </c>
      <c r="G3016" t="s">
        <v>14</v>
      </c>
      <c r="H3016" t="s">
        <v>27</v>
      </c>
      <c r="I3016" s="1">
        <v>1</v>
      </c>
      <c r="J3016" s="2">
        <v>310.35000000000002</v>
      </c>
    </row>
    <row r="3017" spans="2:10" hidden="1" x14ac:dyDescent="0.2">
      <c r="B3017" t="s">
        <v>1016</v>
      </c>
      <c r="C3017" t="s">
        <v>166</v>
      </c>
      <c r="D3017" t="s">
        <v>32</v>
      </c>
      <c r="E3017" t="s">
        <v>191</v>
      </c>
      <c r="F3017" t="s">
        <v>192</v>
      </c>
      <c r="G3017" t="s">
        <v>43</v>
      </c>
      <c r="H3017" t="s">
        <v>50</v>
      </c>
      <c r="I3017" s="1">
        <v>1</v>
      </c>
      <c r="J3017" s="2">
        <v>3534.48</v>
      </c>
    </row>
    <row r="3018" spans="2:10" hidden="1" x14ac:dyDescent="0.2">
      <c r="B3018" t="s">
        <v>1016</v>
      </c>
      <c r="C3018" t="s">
        <v>166</v>
      </c>
      <c r="D3018" t="s">
        <v>32</v>
      </c>
      <c r="E3018" t="s">
        <v>16</v>
      </c>
      <c r="F3018" t="s">
        <v>17</v>
      </c>
      <c r="G3018" t="s">
        <v>1034</v>
      </c>
      <c r="H3018" t="s">
        <v>15</v>
      </c>
      <c r="I3018" s="1">
        <v>1</v>
      </c>
      <c r="J3018" s="2">
        <v>577.59</v>
      </c>
    </row>
    <row r="3019" spans="2:10" hidden="1" x14ac:dyDescent="0.2">
      <c r="B3019" t="s">
        <v>1016</v>
      </c>
      <c r="C3019" t="s">
        <v>166</v>
      </c>
      <c r="D3019" t="s">
        <v>32</v>
      </c>
      <c r="E3019" t="s">
        <v>110</v>
      </c>
      <c r="F3019" t="s">
        <v>111</v>
      </c>
      <c r="G3019" t="s">
        <v>14</v>
      </c>
      <c r="H3019" t="s">
        <v>112</v>
      </c>
      <c r="I3019" s="1">
        <v>1</v>
      </c>
      <c r="J3019" s="2">
        <v>301.72000000000003</v>
      </c>
    </row>
    <row r="3020" spans="2:10" hidden="1" x14ac:dyDescent="0.2">
      <c r="B3020" t="s">
        <v>1016</v>
      </c>
      <c r="C3020" t="s">
        <v>185</v>
      </c>
      <c r="D3020" t="s">
        <v>1017</v>
      </c>
      <c r="E3020" t="s">
        <v>41</v>
      </c>
      <c r="F3020" t="s">
        <v>42</v>
      </c>
      <c r="G3020" t="s">
        <v>1033</v>
      </c>
      <c r="H3020" t="s">
        <v>30</v>
      </c>
      <c r="I3020" s="1">
        <v>1</v>
      </c>
      <c r="J3020" s="2">
        <v>34.479999999999997</v>
      </c>
    </row>
    <row r="3021" spans="2:10" hidden="1" x14ac:dyDescent="0.2">
      <c r="B3021" t="s">
        <v>1016</v>
      </c>
      <c r="C3021" t="s">
        <v>185</v>
      </c>
      <c r="D3021" t="s">
        <v>1017</v>
      </c>
      <c r="E3021" t="s">
        <v>19</v>
      </c>
      <c r="F3021" t="s">
        <v>20</v>
      </c>
      <c r="G3021" t="s">
        <v>14</v>
      </c>
      <c r="H3021" t="s">
        <v>21</v>
      </c>
      <c r="I3021" s="1">
        <v>1</v>
      </c>
      <c r="J3021" s="2">
        <v>431.04</v>
      </c>
    </row>
    <row r="3022" spans="2:10" hidden="1" x14ac:dyDescent="0.2">
      <c r="B3022" t="s">
        <v>1016</v>
      </c>
      <c r="C3022" t="s">
        <v>185</v>
      </c>
      <c r="D3022" t="s">
        <v>1017</v>
      </c>
      <c r="E3022" t="s">
        <v>1025</v>
      </c>
      <c r="F3022" t="s">
        <v>1026</v>
      </c>
      <c r="G3022" t="s">
        <v>1033</v>
      </c>
      <c r="H3022" t="s">
        <v>30</v>
      </c>
      <c r="I3022" s="1">
        <v>1</v>
      </c>
      <c r="J3022" s="2">
        <v>1293.0999999999999</v>
      </c>
    </row>
    <row r="3023" spans="2:10" hidden="1" x14ac:dyDescent="0.2">
      <c r="B3023" t="s">
        <v>1016</v>
      </c>
      <c r="C3023" t="s">
        <v>185</v>
      </c>
      <c r="D3023" t="s">
        <v>1017</v>
      </c>
      <c r="E3023" t="s">
        <v>36</v>
      </c>
      <c r="F3023" t="s">
        <v>37</v>
      </c>
      <c r="G3023" t="s">
        <v>1034</v>
      </c>
      <c r="H3023" t="s">
        <v>15</v>
      </c>
      <c r="I3023" s="1">
        <v>1</v>
      </c>
      <c r="J3023" s="2">
        <v>301.72000000000003</v>
      </c>
    </row>
    <row r="3024" spans="2:10" hidden="1" x14ac:dyDescent="0.2">
      <c r="B3024" t="s">
        <v>1016</v>
      </c>
      <c r="C3024" t="s">
        <v>185</v>
      </c>
      <c r="D3024" t="s">
        <v>1017</v>
      </c>
      <c r="E3024" t="s">
        <v>216</v>
      </c>
      <c r="F3024" t="s">
        <v>217</v>
      </c>
      <c r="G3024" t="s">
        <v>14</v>
      </c>
      <c r="H3024" t="s">
        <v>104</v>
      </c>
      <c r="I3024" s="1">
        <v>2</v>
      </c>
      <c r="J3024" s="2">
        <v>34.479999999999997</v>
      </c>
    </row>
    <row r="3025" spans="2:10" hidden="1" x14ac:dyDescent="0.2">
      <c r="B3025" t="s">
        <v>1016</v>
      </c>
      <c r="C3025" t="s">
        <v>185</v>
      </c>
      <c r="D3025" t="s">
        <v>1017</v>
      </c>
      <c r="E3025" t="s">
        <v>273</v>
      </c>
      <c r="F3025" t="s">
        <v>274</v>
      </c>
      <c r="G3025" t="s">
        <v>1033</v>
      </c>
      <c r="H3025" t="s">
        <v>30</v>
      </c>
      <c r="I3025" s="1">
        <v>1</v>
      </c>
      <c r="J3025" s="2">
        <v>1293.0999999999999</v>
      </c>
    </row>
    <row r="3026" spans="2:10" hidden="1" x14ac:dyDescent="0.2">
      <c r="B3026" t="s">
        <v>1016</v>
      </c>
      <c r="C3026" t="s">
        <v>185</v>
      </c>
      <c r="D3026" t="s">
        <v>1017</v>
      </c>
      <c r="E3026" t="s">
        <v>521</v>
      </c>
      <c r="F3026" t="s">
        <v>522</v>
      </c>
      <c r="G3026" t="s">
        <v>14</v>
      </c>
      <c r="H3026" t="s">
        <v>104</v>
      </c>
      <c r="I3026" s="1">
        <v>2</v>
      </c>
      <c r="J3026" s="2">
        <v>43.1</v>
      </c>
    </row>
    <row r="3027" spans="2:10" hidden="1" x14ac:dyDescent="0.2">
      <c r="B3027" t="s">
        <v>1016</v>
      </c>
      <c r="C3027" t="s">
        <v>185</v>
      </c>
      <c r="D3027" t="s">
        <v>1017</v>
      </c>
      <c r="E3027" t="s">
        <v>63</v>
      </c>
      <c r="F3027" t="s">
        <v>64</v>
      </c>
      <c r="G3027" t="s">
        <v>1034</v>
      </c>
      <c r="H3027" t="s">
        <v>15</v>
      </c>
      <c r="I3027" s="1">
        <v>1</v>
      </c>
      <c r="J3027" s="2">
        <v>172.41</v>
      </c>
    </row>
    <row r="3028" spans="2:10" hidden="1" x14ac:dyDescent="0.2">
      <c r="B3028" t="s">
        <v>1016</v>
      </c>
      <c r="C3028" t="s">
        <v>185</v>
      </c>
      <c r="D3028" t="s">
        <v>1017</v>
      </c>
      <c r="E3028" t="s">
        <v>126</v>
      </c>
      <c r="F3028" t="s">
        <v>127</v>
      </c>
      <c r="G3028" t="s">
        <v>43</v>
      </c>
      <c r="H3028" t="s">
        <v>128</v>
      </c>
      <c r="I3028" s="1">
        <v>1</v>
      </c>
      <c r="J3028" s="2">
        <v>2068.9699999999998</v>
      </c>
    </row>
    <row r="3029" spans="2:10" hidden="1" x14ac:dyDescent="0.2">
      <c r="B3029" t="s">
        <v>1016</v>
      </c>
      <c r="C3029" t="s">
        <v>335</v>
      </c>
      <c r="D3029" t="s">
        <v>1017</v>
      </c>
      <c r="E3029" t="s">
        <v>427</v>
      </c>
      <c r="F3029" t="s">
        <v>428</v>
      </c>
      <c r="G3029" t="s">
        <v>14</v>
      </c>
      <c r="H3029" t="s">
        <v>87</v>
      </c>
      <c r="I3029" s="1">
        <v>1</v>
      </c>
      <c r="J3029" s="2">
        <v>120.69</v>
      </c>
    </row>
    <row r="3030" spans="2:10" hidden="1" x14ac:dyDescent="0.2">
      <c r="B3030" t="s">
        <v>1016</v>
      </c>
      <c r="C3030" t="s">
        <v>335</v>
      </c>
      <c r="D3030" t="s">
        <v>1017</v>
      </c>
      <c r="E3030" t="s">
        <v>38</v>
      </c>
      <c r="F3030" t="s">
        <v>39</v>
      </c>
      <c r="G3030" t="s">
        <v>1034</v>
      </c>
      <c r="H3030" t="s">
        <v>15</v>
      </c>
      <c r="I3030" s="1">
        <v>1</v>
      </c>
      <c r="J3030" s="2">
        <v>431.03</v>
      </c>
    </row>
    <row r="3031" spans="2:10" hidden="1" x14ac:dyDescent="0.2">
      <c r="B3031" t="s">
        <v>1016</v>
      </c>
      <c r="C3031" t="s">
        <v>335</v>
      </c>
      <c r="D3031" t="s">
        <v>1017</v>
      </c>
      <c r="E3031" t="s">
        <v>273</v>
      </c>
      <c r="F3031" t="s">
        <v>274</v>
      </c>
      <c r="G3031" t="s">
        <v>1033</v>
      </c>
      <c r="H3031" t="s">
        <v>30</v>
      </c>
      <c r="I3031" s="1">
        <v>1</v>
      </c>
      <c r="J3031" s="2">
        <v>1293.0999999999999</v>
      </c>
    </row>
    <row r="3032" spans="2:10" hidden="1" x14ac:dyDescent="0.2">
      <c r="B3032" t="s">
        <v>1016</v>
      </c>
      <c r="C3032" t="s">
        <v>335</v>
      </c>
      <c r="D3032" t="s">
        <v>1017</v>
      </c>
      <c r="E3032" t="s">
        <v>56</v>
      </c>
      <c r="F3032" t="s">
        <v>57</v>
      </c>
      <c r="G3032" t="s">
        <v>1034</v>
      </c>
      <c r="H3032" t="s">
        <v>15</v>
      </c>
      <c r="I3032" s="1">
        <v>1</v>
      </c>
      <c r="J3032" s="2">
        <v>431.03</v>
      </c>
    </row>
    <row r="3033" spans="2:10" hidden="1" x14ac:dyDescent="0.2">
      <c r="B3033" t="s">
        <v>1016</v>
      </c>
      <c r="C3033" t="s">
        <v>335</v>
      </c>
      <c r="D3033" t="s">
        <v>1017</v>
      </c>
      <c r="E3033" t="s">
        <v>63</v>
      </c>
      <c r="F3033" t="s">
        <v>64</v>
      </c>
      <c r="G3033" t="s">
        <v>1034</v>
      </c>
      <c r="H3033" t="s">
        <v>15</v>
      </c>
      <c r="I3033" s="1">
        <v>1</v>
      </c>
      <c r="J3033" s="2">
        <v>172.41</v>
      </c>
    </row>
    <row r="3034" spans="2:10" hidden="1" x14ac:dyDescent="0.2">
      <c r="B3034" t="s">
        <v>1016</v>
      </c>
      <c r="C3034" t="s">
        <v>418</v>
      </c>
      <c r="D3034" t="s">
        <v>1017</v>
      </c>
      <c r="E3034" t="s">
        <v>41</v>
      </c>
      <c r="F3034" t="s">
        <v>42</v>
      </c>
      <c r="G3034" t="s">
        <v>1033</v>
      </c>
      <c r="H3034" t="s">
        <v>30</v>
      </c>
      <c r="I3034" s="1">
        <v>1</v>
      </c>
      <c r="J3034" s="2">
        <v>34.479999999999997</v>
      </c>
    </row>
    <row r="3035" spans="2:10" hidden="1" x14ac:dyDescent="0.2">
      <c r="B3035" t="s">
        <v>1016</v>
      </c>
      <c r="C3035" t="s">
        <v>418</v>
      </c>
      <c r="D3035" t="s">
        <v>1017</v>
      </c>
      <c r="E3035" t="s">
        <v>342</v>
      </c>
      <c r="F3035" t="s">
        <v>343</v>
      </c>
      <c r="G3035" t="s">
        <v>1033</v>
      </c>
      <c r="H3035" t="s">
        <v>30</v>
      </c>
      <c r="I3035" s="1">
        <v>1</v>
      </c>
      <c r="J3035" s="2">
        <v>1681.03</v>
      </c>
    </row>
    <row r="3036" spans="2:10" hidden="1" x14ac:dyDescent="0.2">
      <c r="B3036" t="s">
        <v>1016</v>
      </c>
      <c r="C3036" t="s">
        <v>418</v>
      </c>
      <c r="D3036" t="s">
        <v>1017</v>
      </c>
      <c r="E3036" t="s">
        <v>895</v>
      </c>
      <c r="F3036" t="s">
        <v>896</v>
      </c>
      <c r="G3036" t="s">
        <v>1033</v>
      </c>
      <c r="H3036" t="s">
        <v>30</v>
      </c>
      <c r="I3036" s="1">
        <v>1</v>
      </c>
      <c r="J3036" s="2">
        <v>301.72000000000003</v>
      </c>
    </row>
    <row r="3037" spans="2:10" hidden="1" x14ac:dyDescent="0.2">
      <c r="B3037" t="s">
        <v>1016</v>
      </c>
      <c r="C3037" t="s">
        <v>418</v>
      </c>
      <c r="D3037" t="s">
        <v>1017</v>
      </c>
      <c r="E3037" t="s">
        <v>521</v>
      </c>
      <c r="F3037" t="s">
        <v>522</v>
      </c>
      <c r="G3037" t="s">
        <v>14</v>
      </c>
      <c r="H3037" t="s">
        <v>104</v>
      </c>
      <c r="I3037" s="1">
        <v>1</v>
      </c>
      <c r="J3037" s="2">
        <v>21.55</v>
      </c>
    </row>
    <row r="3038" spans="2:10" hidden="1" x14ac:dyDescent="0.2">
      <c r="B3038" t="s">
        <v>1016</v>
      </c>
      <c r="C3038" t="s">
        <v>418</v>
      </c>
      <c r="D3038" t="s">
        <v>1017</v>
      </c>
      <c r="E3038" t="s">
        <v>61</v>
      </c>
      <c r="F3038" t="s">
        <v>62</v>
      </c>
      <c r="G3038" t="s">
        <v>1034</v>
      </c>
      <c r="H3038" t="s">
        <v>15</v>
      </c>
      <c r="I3038" s="1">
        <v>1</v>
      </c>
      <c r="J3038" s="2">
        <v>172.41</v>
      </c>
    </row>
    <row r="3039" spans="2:10" hidden="1" x14ac:dyDescent="0.2">
      <c r="B3039" t="s">
        <v>1016</v>
      </c>
      <c r="C3039" t="s">
        <v>186</v>
      </c>
      <c r="D3039" t="s">
        <v>1017</v>
      </c>
      <c r="E3039" t="s">
        <v>44</v>
      </c>
      <c r="F3039" t="s">
        <v>45</v>
      </c>
      <c r="G3039" t="s">
        <v>1033</v>
      </c>
      <c r="H3039" t="s">
        <v>30</v>
      </c>
      <c r="I3039" s="1">
        <v>1</v>
      </c>
      <c r="J3039" s="2">
        <v>81.900000000000006</v>
      </c>
    </row>
    <row r="3040" spans="2:10" hidden="1" x14ac:dyDescent="0.2">
      <c r="B3040" t="s">
        <v>1016</v>
      </c>
      <c r="C3040" t="s">
        <v>186</v>
      </c>
      <c r="D3040" t="s">
        <v>1017</v>
      </c>
      <c r="E3040" t="s">
        <v>214</v>
      </c>
      <c r="F3040" t="s">
        <v>215</v>
      </c>
      <c r="G3040" t="s">
        <v>1034</v>
      </c>
      <c r="H3040" t="s">
        <v>15</v>
      </c>
      <c r="I3040" s="1">
        <v>1</v>
      </c>
      <c r="J3040" s="2">
        <v>301.72000000000003</v>
      </c>
    </row>
    <row r="3041" spans="2:10" hidden="1" x14ac:dyDescent="0.2">
      <c r="B3041" t="s">
        <v>1016</v>
      </c>
      <c r="C3041" t="s">
        <v>186</v>
      </c>
      <c r="D3041" t="s">
        <v>1017</v>
      </c>
      <c r="E3041" t="s">
        <v>36</v>
      </c>
      <c r="F3041" t="s">
        <v>37</v>
      </c>
      <c r="G3041" t="s">
        <v>1034</v>
      </c>
      <c r="H3041" t="s">
        <v>15</v>
      </c>
      <c r="I3041" s="1">
        <v>1</v>
      </c>
      <c r="J3041" s="2">
        <v>301.72000000000003</v>
      </c>
    </row>
    <row r="3042" spans="2:10" hidden="1" x14ac:dyDescent="0.2">
      <c r="B3042" t="s">
        <v>1016</v>
      </c>
      <c r="C3042" t="s">
        <v>186</v>
      </c>
      <c r="D3042" t="s">
        <v>1017</v>
      </c>
      <c r="E3042" t="s">
        <v>56</v>
      </c>
      <c r="F3042" t="s">
        <v>57</v>
      </c>
      <c r="G3042" t="s">
        <v>1034</v>
      </c>
      <c r="H3042" t="s">
        <v>15</v>
      </c>
      <c r="I3042" s="1">
        <v>1</v>
      </c>
      <c r="J3042" s="2">
        <v>431.03</v>
      </c>
    </row>
    <row r="3043" spans="2:10" hidden="1" x14ac:dyDescent="0.2">
      <c r="B3043" t="s">
        <v>1016</v>
      </c>
      <c r="C3043" t="s">
        <v>186</v>
      </c>
      <c r="D3043" t="s">
        <v>1017</v>
      </c>
      <c r="E3043" t="s">
        <v>63</v>
      </c>
      <c r="F3043" t="s">
        <v>64</v>
      </c>
      <c r="G3043" t="s">
        <v>1034</v>
      </c>
      <c r="H3043" t="s">
        <v>15</v>
      </c>
      <c r="I3043" s="1">
        <v>1</v>
      </c>
      <c r="J3043" s="2">
        <v>172.41</v>
      </c>
    </row>
    <row r="3044" spans="2:10" hidden="1" x14ac:dyDescent="0.2">
      <c r="B3044" t="s">
        <v>1016</v>
      </c>
      <c r="C3044" t="s">
        <v>186</v>
      </c>
      <c r="D3044" t="s">
        <v>1017</v>
      </c>
      <c r="E3044" t="s">
        <v>16</v>
      </c>
      <c r="F3044" t="s">
        <v>17</v>
      </c>
      <c r="G3044" t="s">
        <v>1034</v>
      </c>
      <c r="H3044" t="s">
        <v>15</v>
      </c>
      <c r="I3044" s="1">
        <v>2</v>
      </c>
      <c r="J3044" s="2">
        <v>1155.18</v>
      </c>
    </row>
    <row r="3045" spans="2:10" hidden="1" x14ac:dyDescent="0.2">
      <c r="B3045" t="s">
        <v>1016</v>
      </c>
      <c r="C3045" t="s">
        <v>186</v>
      </c>
      <c r="D3045" t="s">
        <v>1017</v>
      </c>
      <c r="E3045" t="s">
        <v>28</v>
      </c>
      <c r="F3045" t="s">
        <v>29</v>
      </c>
      <c r="G3045" t="s">
        <v>1033</v>
      </c>
      <c r="H3045" t="s">
        <v>30</v>
      </c>
      <c r="I3045" s="1">
        <v>1</v>
      </c>
      <c r="J3045" s="2">
        <v>155.16999999999999</v>
      </c>
    </row>
    <row r="3046" spans="2:10" hidden="1" x14ac:dyDescent="0.2">
      <c r="B3046" t="s">
        <v>1016</v>
      </c>
      <c r="C3046" t="s">
        <v>197</v>
      </c>
      <c r="D3046" t="s">
        <v>1017</v>
      </c>
      <c r="E3046" t="s">
        <v>1027</v>
      </c>
      <c r="F3046" t="s">
        <v>1028</v>
      </c>
      <c r="G3046" t="s">
        <v>14</v>
      </c>
      <c r="H3046" t="s">
        <v>209</v>
      </c>
      <c r="I3046" s="1">
        <v>1</v>
      </c>
      <c r="J3046" s="2">
        <v>926.72</v>
      </c>
    </row>
    <row r="3047" spans="2:10" hidden="1" x14ac:dyDescent="0.2">
      <c r="B3047" t="s">
        <v>1016</v>
      </c>
      <c r="C3047" t="s">
        <v>197</v>
      </c>
      <c r="D3047" t="s">
        <v>1017</v>
      </c>
      <c r="E3047" t="s">
        <v>523</v>
      </c>
      <c r="F3047" t="s">
        <v>524</v>
      </c>
      <c r="G3047" t="s">
        <v>14</v>
      </c>
      <c r="H3047" t="s">
        <v>35</v>
      </c>
      <c r="I3047" s="1">
        <v>1</v>
      </c>
      <c r="J3047" s="2">
        <v>60.34</v>
      </c>
    </row>
    <row r="3048" spans="2:10" hidden="1" x14ac:dyDescent="0.2">
      <c r="B3048" t="s">
        <v>1016</v>
      </c>
      <c r="C3048" t="s">
        <v>197</v>
      </c>
      <c r="D3048" t="s">
        <v>1017</v>
      </c>
      <c r="E3048" t="s">
        <v>212</v>
      </c>
      <c r="F3048" t="s">
        <v>213</v>
      </c>
      <c r="G3048" t="s">
        <v>14</v>
      </c>
      <c r="H3048" t="s">
        <v>35</v>
      </c>
      <c r="I3048" s="1">
        <v>1</v>
      </c>
      <c r="J3048" s="2">
        <v>77.59</v>
      </c>
    </row>
    <row r="3049" spans="2:10" hidden="1" x14ac:dyDescent="0.2">
      <c r="B3049" t="s">
        <v>1016</v>
      </c>
      <c r="C3049" t="s">
        <v>197</v>
      </c>
      <c r="D3049" t="s">
        <v>1017</v>
      </c>
      <c r="E3049" t="s">
        <v>1029</v>
      </c>
      <c r="F3049" t="s">
        <v>1030</v>
      </c>
      <c r="G3049" t="s">
        <v>14</v>
      </c>
      <c r="H3049" t="s">
        <v>27</v>
      </c>
      <c r="I3049" s="1">
        <v>1</v>
      </c>
      <c r="J3049" s="2">
        <v>491.38</v>
      </c>
    </row>
    <row r="3050" spans="2:10" hidden="1" x14ac:dyDescent="0.2">
      <c r="B3050" t="s">
        <v>1016</v>
      </c>
      <c r="C3050" t="s">
        <v>197</v>
      </c>
      <c r="D3050" t="s">
        <v>1017</v>
      </c>
      <c r="E3050" t="s">
        <v>36</v>
      </c>
      <c r="F3050" t="s">
        <v>37</v>
      </c>
      <c r="G3050" t="s">
        <v>1034</v>
      </c>
      <c r="H3050" t="s">
        <v>15</v>
      </c>
      <c r="I3050" s="1">
        <v>1</v>
      </c>
      <c r="J3050" s="2">
        <v>301.72000000000003</v>
      </c>
    </row>
    <row r="3051" spans="2:10" hidden="1" x14ac:dyDescent="0.2">
      <c r="B3051" t="s">
        <v>1016</v>
      </c>
      <c r="C3051" t="s">
        <v>197</v>
      </c>
      <c r="D3051" t="s">
        <v>1017</v>
      </c>
      <c r="E3051" t="s">
        <v>38</v>
      </c>
      <c r="F3051" t="s">
        <v>39</v>
      </c>
      <c r="G3051" t="s">
        <v>1034</v>
      </c>
      <c r="H3051" t="s">
        <v>15</v>
      </c>
      <c r="I3051" s="1">
        <v>1</v>
      </c>
      <c r="J3051" s="2">
        <v>431.03</v>
      </c>
    </row>
    <row r="3052" spans="2:10" hidden="1" x14ac:dyDescent="0.2">
      <c r="B3052" t="s">
        <v>1016</v>
      </c>
      <c r="C3052" t="s">
        <v>197</v>
      </c>
      <c r="D3052" t="s">
        <v>1017</v>
      </c>
      <c r="E3052" t="s">
        <v>61</v>
      </c>
      <c r="F3052" t="s">
        <v>62</v>
      </c>
      <c r="G3052" t="s">
        <v>1034</v>
      </c>
      <c r="H3052" t="s">
        <v>15</v>
      </c>
      <c r="I3052" s="1">
        <v>3</v>
      </c>
      <c r="J3052" s="2">
        <v>517.23</v>
      </c>
    </row>
    <row r="3053" spans="2:10" hidden="1" x14ac:dyDescent="0.2">
      <c r="B3053" t="s">
        <v>1016</v>
      </c>
      <c r="C3053" t="s">
        <v>197</v>
      </c>
      <c r="D3053" t="s">
        <v>1017</v>
      </c>
      <c r="E3053" t="s">
        <v>63</v>
      </c>
      <c r="F3053" t="s">
        <v>64</v>
      </c>
      <c r="G3053" t="s">
        <v>1034</v>
      </c>
      <c r="H3053" t="s">
        <v>15</v>
      </c>
      <c r="I3053" s="1">
        <v>2</v>
      </c>
      <c r="J3053" s="2">
        <v>344.82</v>
      </c>
    </row>
    <row r="3054" spans="2:10" hidden="1" x14ac:dyDescent="0.2">
      <c r="B3054" t="s">
        <v>1016</v>
      </c>
      <c r="C3054" t="s">
        <v>197</v>
      </c>
      <c r="D3054" t="s">
        <v>1017</v>
      </c>
      <c r="E3054" t="s">
        <v>16</v>
      </c>
      <c r="F3054" t="s">
        <v>17</v>
      </c>
      <c r="G3054" t="s">
        <v>1034</v>
      </c>
      <c r="H3054" t="s">
        <v>15</v>
      </c>
      <c r="I3054" s="1">
        <v>1</v>
      </c>
      <c r="J3054" s="2">
        <v>577.59</v>
      </c>
    </row>
    <row r="3055" spans="2:10" hidden="1" x14ac:dyDescent="0.2">
      <c r="B3055" t="s">
        <v>1016</v>
      </c>
      <c r="C3055" t="s">
        <v>206</v>
      </c>
      <c r="D3055" t="s">
        <v>1017</v>
      </c>
      <c r="E3055" t="s">
        <v>61</v>
      </c>
      <c r="F3055" t="s">
        <v>62</v>
      </c>
      <c r="G3055" t="s">
        <v>1034</v>
      </c>
      <c r="H3055" t="s">
        <v>15</v>
      </c>
      <c r="I3055" s="1">
        <v>1</v>
      </c>
      <c r="J3055" s="2">
        <v>172.41</v>
      </c>
    </row>
    <row r="3056" spans="2:10" hidden="1" x14ac:dyDescent="0.2">
      <c r="B3056" t="s">
        <v>1016</v>
      </c>
      <c r="C3056" t="s">
        <v>206</v>
      </c>
      <c r="D3056" t="s">
        <v>1017</v>
      </c>
      <c r="E3056" t="s">
        <v>63</v>
      </c>
      <c r="F3056" t="s">
        <v>64</v>
      </c>
      <c r="G3056" t="s">
        <v>1034</v>
      </c>
      <c r="H3056" t="s">
        <v>15</v>
      </c>
      <c r="I3056" s="1">
        <v>1</v>
      </c>
      <c r="J3056" s="2">
        <v>172.41</v>
      </c>
    </row>
    <row r="3057" spans="2:10" hidden="1" x14ac:dyDescent="0.2">
      <c r="B3057" t="s">
        <v>1016</v>
      </c>
      <c r="C3057" t="s">
        <v>206</v>
      </c>
      <c r="D3057" t="s">
        <v>1017</v>
      </c>
      <c r="E3057" t="s">
        <v>16</v>
      </c>
      <c r="F3057" t="s">
        <v>17</v>
      </c>
      <c r="G3057" t="s">
        <v>1034</v>
      </c>
      <c r="H3057" t="s">
        <v>15</v>
      </c>
      <c r="I3057" s="1">
        <v>1</v>
      </c>
      <c r="J3057" s="2">
        <v>577.59</v>
      </c>
    </row>
    <row r="3058" spans="2:10" hidden="1" x14ac:dyDescent="0.2">
      <c r="B3058" t="s">
        <v>1016</v>
      </c>
      <c r="C3058" t="s">
        <v>206</v>
      </c>
      <c r="D3058" t="s">
        <v>1017</v>
      </c>
      <c r="E3058" t="s">
        <v>28</v>
      </c>
      <c r="F3058" t="s">
        <v>29</v>
      </c>
      <c r="G3058" t="s">
        <v>1033</v>
      </c>
      <c r="H3058" t="s">
        <v>30</v>
      </c>
      <c r="I3058" s="1">
        <v>1</v>
      </c>
      <c r="J3058" s="2">
        <v>155.16999999999999</v>
      </c>
    </row>
    <row r="3059" spans="2:10" hidden="1" x14ac:dyDescent="0.2">
      <c r="B3059" t="s">
        <v>1016</v>
      </c>
      <c r="C3059" t="s">
        <v>220</v>
      </c>
      <c r="D3059" t="s">
        <v>277</v>
      </c>
      <c r="E3059" t="s">
        <v>44</v>
      </c>
      <c r="F3059" t="s">
        <v>45</v>
      </c>
      <c r="G3059" t="s">
        <v>1033</v>
      </c>
      <c r="H3059" t="s">
        <v>30</v>
      </c>
      <c r="I3059" s="1">
        <v>1</v>
      </c>
      <c r="J3059" s="2">
        <v>81.900000000000006</v>
      </c>
    </row>
    <row r="3060" spans="2:10" hidden="1" x14ac:dyDescent="0.2">
      <c r="B3060" t="s">
        <v>1016</v>
      </c>
      <c r="C3060" t="s">
        <v>220</v>
      </c>
      <c r="D3060" t="s">
        <v>277</v>
      </c>
      <c r="E3060" t="s">
        <v>257</v>
      </c>
      <c r="F3060" t="s">
        <v>258</v>
      </c>
      <c r="G3060" t="s">
        <v>1033</v>
      </c>
      <c r="H3060" t="s">
        <v>30</v>
      </c>
      <c r="I3060" s="1">
        <v>1</v>
      </c>
      <c r="J3060" s="2">
        <v>1577.59</v>
      </c>
    </row>
    <row r="3061" spans="2:10" hidden="1" x14ac:dyDescent="0.2">
      <c r="B3061" t="s">
        <v>1016</v>
      </c>
      <c r="C3061" t="s">
        <v>220</v>
      </c>
      <c r="D3061" t="s">
        <v>277</v>
      </c>
      <c r="E3061" t="s">
        <v>61</v>
      </c>
      <c r="F3061" t="s">
        <v>62</v>
      </c>
      <c r="G3061" t="s">
        <v>1034</v>
      </c>
      <c r="H3061" t="s">
        <v>15</v>
      </c>
      <c r="I3061" s="1">
        <v>2</v>
      </c>
      <c r="J3061" s="2">
        <v>344.82</v>
      </c>
    </row>
    <row r="3062" spans="2:10" hidden="1" x14ac:dyDescent="0.2">
      <c r="B3062" t="s">
        <v>1016</v>
      </c>
      <c r="C3062" t="s">
        <v>220</v>
      </c>
      <c r="D3062" t="s">
        <v>277</v>
      </c>
      <c r="E3062" t="s">
        <v>63</v>
      </c>
      <c r="F3062" t="s">
        <v>64</v>
      </c>
      <c r="G3062" t="s">
        <v>1034</v>
      </c>
      <c r="H3062" t="s">
        <v>15</v>
      </c>
      <c r="I3062" s="1">
        <v>5</v>
      </c>
      <c r="J3062" s="2">
        <v>862.05</v>
      </c>
    </row>
    <row r="3063" spans="2:10" hidden="1" x14ac:dyDescent="0.2">
      <c r="B3063" t="s">
        <v>1016</v>
      </c>
      <c r="C3063" t="s">
        <v>225</v>
      </c>
      <c r="D3063" t="s">
        <v>1017</v>
      </c>
      <c r="E3063" t="s">
        <v>44</v>
      </c>
      <c r="F3063" t="s">
        <v>45</v>
      </c>
      <c r="G3063" t="s">
        <v>1033</v>
      </c>
      <c r="H3063" t="s">
        <v>30</v>
      </c>
      <c r="I3063" s="1">
        <v>1</v>
      </c>
      <c r="J3063" s="2">
        <v>81.900000000000006</v>
      </c>
    </row>
    <row r="3064" spans="2:10" hidden="1" x14ac:dyDescent="0.2">
      <c r="B3064" t="s">
        <v>1016</v>
      </c>
      <c r="C3064" t="s">
        <v>225</v>
      </c>
      <c r="D3064" t="s">
        <v>1017</v>
      </c>
      <c r="E3064" t="s">
        <v>36</v>
      </c>
      <c r="F3064" t="s">
        <v>37</v>
      </c>
      <c r="G3064" t="s">
        <v>1034</v>
      </c>
      <c r="H3064" t="s">
        <v>15</v>
      </c>
      <c r="I3064" s="1">
        <v>1</v>
      </c>
      <c r="J3064" s="2">
        <v>301.72000000000003</v>
      </c>
    </row>
    <row r="3065" spans="2:10" hidden="1" x14ac:dyDescent="0.2">
      <c r="B3065" t="s">
        <v>1016</v>
      </c>
      <c r="C3065" t="s">
        <v>225</v>
      </c>
      <c r="D3065" t="s">
        <v>1017</v>
      </c>
      <c r="E3065" t="s">
        <v>122</v>
      </c>
      <c r="F3065" t="s">
        <v>123</v>
      </c>
      <c r="G3065" t="s">
        <v>1034</v>
      </c>
      <c r="H3065" t="s">
        <v>15</v>
      </c>
      <c r="I3065" s="1">
        <v>1</v>
      </c>
      <c r="J3065" s="2">
        <v>387.93</v>
      </c>
    </row>
    <row r="3066" spans="2:10" hidden="1" x14ac:dyDescent="0.2">
      <c r="B3066" t="s">
        <v>1016</v>
      </c>
      <c r="C3066" t="s">
        <v>225</v>
      </c>
      <c r="D3066" t="s">
        <v>1017</v>
      </c>
      <c r="E3066" t="s">
        <v>16</v>
      </c>
      <c r="F3066" t="s">
        <v>17</v>
      </c>
      <c r="G3066" t="s">
        <v>1034</v>
      </c>
      <c r="H3066" t="s">
        <v>15</v>
      </c>
      <c r="I3066" s="1">
        <v>1</v>
      </c>
      <c r="J3066" s="2">
        <v>577.59</v>
      </c>
    </row>
    <row r="3067" spans="2:10" hidden="1" x14ac:dyDescent="0.2">
      <c r="B3067" t="s">
        <v>1016</v>
      </c>
      <c r="C3067" t="s">
        <v>225</v>
      </c>
      <c r="D3067" t="s">
        <v>1017</v>
      </c>
      <c r="E3067" t="s">
        <v>28</v>
      </c>
      <c r="F3067" t="s">
        <v>29</v>
      </c>
      <c r="G3067" t="s">
        <v>1033</v>
      </c>
      <c r="H3067" t="s">
        <v>30</v>
      </c>
      <c r="I3067" s="1">
        <v>2</v>
      </c>
      <c r="J3067" s="2">
        <v>310.33999999999997</v>
      </c>
    </row>
    <row r="3068" spans="2:10" x14ac:dyDescent="0.2">
      <c r="B3068" t="s">
        <v>1016</v>
      </c>
      <c r="C3068" t="s">
        <v>227</v>
      </c>
      <c r="D3068" t="s">
        <v>1017</v>
      </c>
      <c r="E3068" t="s">
        <v>976</v>
      </c>
      <c r="F3068" t="s">
        <v>977</v>
      </c>
      <c r="G3068" t="s">
        <v>54</v>
      </c>
      <c r="H3068" t="s">
        <v>138</v>
      </c>
      <c r="I3068" s="1">
        <v>1</v>
      </c>
      <c r="J3068" s="2">
        <v>560.34</v>
      </c>
    </row>
    <row r="3069" spans="2:10" x14ac:dyDescent="0.2">
      <c r="B3069" t="s">
        <v>1016</v>
      </c>
      <c r="C3069" t="s">
        <v>227</v>
      </c>
      <c r="D3069" t="s">
        <v>1017</v>
      </c>
      <c r="E3069" t="s">
        <v>101</v>
      </c>
      <c r="F3069" t="s">
        <v>102</v>
      </c>
      <c r="G3069" t="s">
        <v>103</v>
      </c>
      <c r="H3069" t="s">
        <v>104</v>
      </c>
      <c r="I3069" s="1">
        <v>1</v>
      </c>
      <c r="J3069" s="2">
        <v>0.01</v>
      </c>
    </row>
    <row r="3070" spans="2:10" x14ac:dyDescent="0.2">
      <c r="B3070" t="s">
        <v>1016</v>
      </c>
      <c r="C3070" t="s">
        <v>227</v>
      </c>
      <c r="D3070" t="s">
        <v>1017</v>
      </c>
      <c r="E3070" t="s">
        <v>16</v>
      </c>
      <c r="F3070" t="s">
        <v>17</v>
      </c>
      <c r="G3070" t="s">
        <v>1034</v>
      </c>
      <c r="H3070" t="s">
        <v>15</v>
      </c>
      <c r="I3070" s="1">
        <v>3</v>
      </c>
      <c r="J3070" s="2">
        <v>1732.77</v>
      </c>
    </row>
    <row r="3071" spans="2:10" x14ac:dyDescent="0.2">
      <c r="B3071" t="s">
        <v>1016</v>
      </c>
      <c r="C3071" t="s">
        <v>228</v>
      </c>
      <c r="D3071" t="s">
        <v>1017</v>
      </c>
      <c r="E3071" t="s">
        <v>214</v>
      </c>
      <c r="F3071" t="s">
        <v>215</v>
      </c>
      <c r="G3071" t="s">
        <v>1034</v>
      </c>
      <c r="H3071" t="s">
        <v>15</v>
      </c>
      <c r="I3071" s="1">
        <v>2</v>
      </c>
      <c r="J3071" s="2">
        <v>603.44000000000005</v>
      </c>
    </row>
    <row r="3072" spans="2:10" x14ac:dyDescent="0.2">
      <c r="B3072" t="s">
        <v>1016</v>
      </c>
      <c r="C3072" t="s">
        <v>228</v>
      </c>
      <c r="D3072" t="s">
        <v>1017</v>
      </c>
      <c r="E3072" t="s">
        <v>83</v>
      </c>
      <c r="F3072" t="s">
        <v>84</v>
      </c>
      <c r="G3072" t="s">
        <v>1034</v>
      </c>
      <c r="H3072" t="s">
        <v>15</v>
      </c>
      <c r="I3072" s="1">
        <v>1</v>
      </c>
      <c r="J3072" s="2">
        <v>387.93</v>
      </c>
    </row>
    <row r="3073" spans="2:10" x14ac:dyDescent="0.2">
      <c r="B3073" t="s">
        <v>1016</v>
      </c>
      <c r="C3073" t="s">
        <v>228</v>
      </c>
      <c r="D3073" t="s">
        <v>1017</v>
      </c>
      <c r="E3073" t="s">
        <v>500</v>
      </c>
      <c r="F3073" t="s">
        <v>501</v>
      </c>
      <c r="G3073" t="s">
        <v>1033</v>
      </c>
      <c r="H3073" t="s">
        <v>30</v>
      </c>
      <c r="I3073" s="1">
        <v>1</v>
      </c>
      <c r="J3073" s="2">
        <v>3017.24</v>
      </c>
    </row>
    <row r="3074" spans="2:10" x14ac:dyDescent="0.2">
      <c r="B3074" t="s">
        <v>1016</v>
      </c>
      <c r="C3074" t="s">
        <v>228</v>
      </c>
      <c r="D3074" t="s">
        <v>1017</v>
      </c>
      <c r="E3074" t="s">
        <v>312</v>
      </c>
      <c r="F3074" t="s">
        <v>313</v>
      </c>
      <c r="G3074" t="s">
        <v>1033</v>
      </c>
      <c r="H3074" t="s">
        <v>30</v>
      </c>
      <c r="I3074" s="1">
        <v>1</v>
      </c>
      <c r="J3074" s="2">
        <v>603.45000000000005</v>
      </c>
    </row>
    <row r="3075" spans="2:10" x14ac:dyDescent="0.2">
      <c r="B3075" t="s">
        <v>1016</v>
      </c>
      <c r="C3075" t="s">
        <v>228</v>
      </c>
      <c r="D3075" t="s">
        <v>1017</v>
      </c>
      <c r="E3075" t="s">
        <v>435</v>
      </c>
      <c r="F3075" t="s">
        <v>436</v>
      </c>
      <c r="G3075" t="s">
        <v>1033</v>
      </c>
      <c r="H3075" t="s">
        <v>30</v>
      </c>
      <c r="I3075" s="1">
        <v>1</v>
      </c>
      <c r="J3075" s="2">
        <v>2060.9299999999998</v>
      </c>
    </row>
    <row r="3076" spans="2:10" x14ac:dyDescent="0.2">
      <c r="B3076" t="s">
        <v>1016</v>
      </c>
      <c r="C3076" t="s">
        <v>233</v>
      </c>
      <c r="D3076" t="s">
        <v>1017</v>
      </c>
      <c r="E3076" t="s">
        <v>44</v>
      </c>
      <c r="F3076" t="s">
        <v>45</v>
      </c>
      <c r="G3076" t="s">
        <v>1033</v>
      </c>
      <c r="H3076" t="s">
        <v>30</v>
      </c>
      <c r="I3076" s="1">
        <v>1</v>
      </c>
      <c r="J3076" s="2">
        <v>81.900000000000006</v>
      </c>
    </row>
    <row r="3077" spans="2:10" x14ac:dyDescent="0.2">
      <c r="B3077" t="s">
        <v>1016</v>
      </c>
      <c r="C3077" t="s">
        <v>233</v>
      </c>
      <c r="D3077" t="s">
        <v>1017</v>
      </c>
      <c r="E3077" t="s">
        <v>120</v>
      </c>
      <c r="F3077" t="s">
        <v>121</v>
      </c>
      <c r="G3077" t="s">
        <v>1034</v>
      </c>
      <c r="H3077" t="s">
        <v>15</v>
      </c>
      <c r="I3077" s="1">
        <v>1</v>
      </c>
      <c r="J3077" s="2">
        <v>301.72000000000003</v>
      </c>
    </row>
    <row r="3078" spans="2:10" x14ac:dyDescent="0.2">
      <c r="B3078" t="s">
        <v>1016</v>
      </c>
      <c r="C3078" t="s">
        <v>233</v>
      </c>
      <c r="D3078" t="s">
        <v>1017</v>
      </c>
      <c r="E3078" t="s">
        <v>656</v>
      </c>
      <c r="F3078" t="s">
        <v>657</v>
      </c>
      <c r="G3078" t="s">
        <v>43</v>
      </c>
      <c r="H3078" t="s">
        <v>50</v>
      </c>
      <c r="I3078" s="1">
        <v>1</v>
      </c>
      <c r="J3078" s="2">
        <v>181.03</v>
      </c>
    </row>
    <row r="3079" spans="2:10" x14ac:dyDescent="0.2">
      <c r="B3079" t="s">
        <v>1016</v>
      </c>
      <c r="C3079" t="s">
        <v>233</v>
      </c>
      <c r="D3079" t="s">
        <v>1017</v>
      </c>
      <c r="E3079" t="s">
        <v>596</v>
      </c>
      <c r="F3079" t="s">
        <v>597</v>
      </c>
      <c r="G3079" t="s">
        <v>43</v>
      </c>
      <c r="H3079" t="s">
        <v>50</v>
      </c>
      <c r="I3079" s="1">
        <v>1</v>
      </c>
      <c r="J3079" s="2">
        <v>181.03</v>
      </c>
    </row>
    <row r="3080" spans="2:10" x14ac:dyDescent="0.2">
      <c r="B3080" t="s">
        <v>1016</v>
      </c>
      <c r="C3080" t="s">
        <v>233</v>
      </c>
      <c r="D3080" t="s">
        <v>1017</v>
      </c>
      <c r="E3080" t="s">
        <v>687</v>
      </c>
      <c r="F3080" t="s">
        <v>688</v>
      </c>
      <c r="G3080" t="s">
        <v>43</v>
      </c>
      <c r="H3080" t="s">
        <v>50</v>
      </c>
      <c r="I3080" s="1">
        <v>1</v>
      </c>
      <c r="J3080" s="2">
        <v>181.03</v>
      </c>
    </row>
    <row r="3081" spans="2:10" x14ac:dyDescent="0.2">
      <c r="B3081" t="s">
        <v>1016</v>
      </c>
      <c r="C3081" t="s">
        <v>233</v>
      </c>
      <c r="D3081" t="s">
        <v>1017</v>
      </c>
      <c r="E3081" t="s">
        <v>429</v>
      </c>
      <c r="F3081" t="s">
        <v>430</v>
      </c>
      <c r="G3081" t="s">
        <v>43</v>
      </c>
      <c r="H3081" t="s">
        <v>50</v>
      </c>
      <c r="I3081" s="1">
        <v>1</v>
      </c>
      <c r="J3081" s="2">
        <v>181.03</v>
      </c>
    </row>
    <row r="3082" spans="2:10" x14ac:dyDescent="0.2">
      <c r="B3082" t="s">
        <v>1016</v>
      </c>
      <c r="C3082" t="s">
        <v>233</v>
      </c>
      <c r="D3082" t="s">
        <v>1017</v>
      </c>
      <c r="E3082" t="s">
        <v>431</v>
      </c>
      <c r="F3082" t="s">
        <v>432</v>
      </c>
      <c r="G3082" t="s">
        <v>43</v>
      </c>
      <c r="H3082" t="s">
        <v>50</v>
      </c>
      <c r="I3082" s="1">
        <v>1</v>
      </c>
      <c r="J3082" s="2">
        <v>181.03</v>
      </c>
    </row>
    <row r="3083" spans="2:10" x14ac:dyDescent="0.2">
      <c r="B3083" t="s">
        <v>1016</v>
      </c>
      <c r="C3083" t="s">
        <v>233</v>
      </c>
      <c r="D3083" t="s">
        <v>1017</v>
      </c>
      <c r="E3083" t="s">
        <v>163</v>
      </c>
      <c r="F3083" t="s">
        <v>164</v>
      </c>
      <c r="G3083" t="s">
        <v>1034</v>
      </c>
      <c r="H3083" t="s">
        <v>15</v>
      </c>
      <c r="I3083" s="1">
        <v>1</v>
      </c>
      <c r="J3083" s="2">
        <v>431.03</v>
      </c>
    </row>
    <row r="3084" spans="2:10" x14ac:dyDescent="0.2">
      <c r="B3084" t="s">
        <v>1016</v>
      </c>
      <c r="C3084" t="s">
        <v>233</v>
      </c>
      <c r="D3084" t="s">
        <v>1017</v>
      </c>
      <c r="E3084" t="s">
        <v>61</v>
      </c>
      <c r="F3084" t="s">
        <v>62</v>
      </c>
      <c r="G3084" t="s">
        <v>1034</v>
      </c>
      <c r="H3084" t="s">
        <v>15</v>
      </c>
      <c r="I3084" s="1">
        <v>2</v>
      </c>
      <c r="J3084" s="2">
        <v>344.82</v>
      </c>
    </row>
    <row r="3085" spans="2:10" x14ac:dyDescent="0.2">
      <c r="B3085" t="s">
        <v>1016</v>
      </c>
      <c r="C3085" t="s">
        <v>233</v>
      </c>
      <c r="D3085" t="s">
        <v>1017</v>
      </c>
      <c r="E3085" t="s">
        <v>16</v>
      </c>
      <c r="F3085" t="s">
        <v>17</v>
      </c>
      <c r="G3085" t="s">
        <v>1034</v>
      </c>
      <c r="H3085" t="s">
        <v>15</v>
      </c>
      <c r="I3085" s="1">
        <v>1</v>
      </c>
      <c r="J3085" s="2">
        <v>577.59</v>
      </c>
    </row>
    <row r="3086" spans="2:10" x14ac:dyDescent="0.2">
      <c r="B3086" t="s">
        <v>1016</v>
      </c>
      <c r="C3086" t="s">
        <v>233</v>
      </c>
      <c r="D3086" t="s">
        <v>1017</v>
      </c>
      <c r="E3086" t="s">
        <v>181</v>
      </c>
      <c r="F3086" t="s">
        <v>182</v>
      </c>
      <c r="G3086" t="s">
        <v>43</v>
      </c>
      <c r="H3086" t="s">
        <v>81</v>
      </c>
      <c r="I3086" s="1">
        <v>1</v>
      </c>
      <c r="J3086" s="2">
        <v>1379.31</v>
      </c>
    </row>
    <row r="3087" spans="2:10" x14ac:dyDescent="0.2">
      <c r="B3087" t="s">
        <v>1016</v>
      </c>
      <c r="C3087" t="s">
        <v>236</v>
      </c>
      <c r="D3087" t="s">
        <v>1017</v>
      </c>
      <c r="E3087" t="s">
        <v>167</v>
      </c>
      <c r="F3087" t="s">
        <v>168</v>
      </c>
      <c r="G3087" t="s">
        <v>1033</v>
      </c>
      <c r="H3087" t="s">
        <v>30</v>
      </c>
      <c r="I3087" s="1">
        <v>2</v>
      </c>
      <c r="J3087" s="2">
        <v>2534.48</v>
      </c>
    </row>
    <row r="3088" spans="2:10" x14ac:dyDescent="0.2">
      <c r="B3088" t="s">
        <v>1016</v>
      </c>
      <c r="C3088" t="s">
        <v>236</v>
      </c>
      <c r="D3088" t="s">
        <v>1017</v>
      </c>
      <c r="E3088" t="s">
        <v>120</v>
      </c>
      <c r="F3088" t="s">
        <v>121</v>
      </c>
      <c r="G3088" t="s">
        <v>1034</v>
      </c>
      <c r="H3088" t="s">
        <v>15</v>
      </c>
      <c r="I3088" s="1">
        <v>1</v>
      </c>
      <c r="J3088" s="2">
        <v>301.72000000000003</v>
      </c>
    </row>
    <row r="3089" spans="2:10" x14ac:dyDescent="0.2">
      <c r="B3089" t="s">
        <v>1016</v>
      </c>
      <c r="C3089" t="s">
        <v>236</v>
      </c>
      <c r="D3089" t="s">
        <v>1017</v>
      </c>
      <c r="E3089" t="s">
        <v>12</v>
      </c>
      <c r="F3089" t="s">
        <v>13</v>
      </c>
      <c r="G3089" t="s">
        <v>1034</v>
      </c>
      <c r="H3089" t="s">
        <v>15</v>
      </c>
      <c r="I3089" s="1">
        <v>1</v>
      </c>
      <c r="J3089" s="2">
        <v>1077.5899999999999</v>
      </c>
    </row>
    <row r="3090" spans="2:10" x14ac:dyDescent="0.2">
      <c r="B3090" t="s">
        <v>1016</v>
      </c>
      <c r="C3090" t="s">
        <v>236</v>
      </c>
      <c r="D3090" t="s">
        <v>1017</v>
      </c>
      <c r="E3090" t="s">
        <v>253</v>
      </c>
      <c r="F3090" t="s">
        <v>254</v>
      </c>
      <c r="G3090" t="s">
        <v>1034</v>
      </c>
      <c r="H3090" t="s">
        <v>15</v>
      </c>
      <c r="I3090" s="1">
        <v>1</v>
      </c>
      <c r="J3090" s="2">
        <v>775.86</v>
      </c>
    </row>
    <row r="3091" spans="2:10" x14ac:dyDescent="0.2">
      <c r="B3091" t="s">
        <v>1016</v>
      </c>
      <c r="C3091" t="s">
        <v>236</v>
      </c>
      <c r="D3091" t="s">
        <v>1017</v>
      </c>
      <c r="E3091" t="s">
        <v>38</v>
      </c>
      <c r="F3091" t="s">
        <v>39</v>
      </c>
      <c r="G3091" t="s">
        <v>1034</v>
      </c>
      <c r="H3091" t="s">
        <v>15</v>
      </c>
      <c r="I3091" s="1">
        <v>1</v>
      </c>
      <c r="J3091" s="2">
        <v>431.03</v>
      </c>
    </row>
    <row r="3092" spans="2:10" x14ac:dyDescent="0.2">
      <c r="B3092" t="s">
        <v>1016</v>
      </c>
      <c r="C3092" t="s">
        <v>236</v>
      </c>
      <c r="D3092" t="s">
        <v>1017</v>
      </c>
      <c r="E3092" t="s">
        <v>163</v>
      </c>
      <c r="F3092" t="s">
        <v>164</v>
      </c>
      <c r="G3092" t="s">
        <v>1034</v>
      </c>
      <c r="H3092" t="s">
        <v>15</v>
      </c>
      <c r="I3092" s="1">
        <v>1</v>
      </c>
      <c r="J3092" s="2">
        <v>431.03</v>
      </c>
    </row>
    <row r="3093" spans="2:10" x14ac:dyDescent="0.2">
      <c r="B3093" t="s">
        <v>1016</v>
      </c>
      <c r="C3093" t="s">
        <v>236</v>
      </c>
      <c r="D3093" t="s">
        <v>1017</v>
      </c>
      <c r="E3093" t="s">
        <v>61</v>
      </c>
      <c r="F3093" t="s">
        <v>62</v>
      </c>
      <c r="G3093" t="s">
        <v>1034</v>
      </c>
      <c r="H3093" t="s">
        <v>15</v>
      </c>
      <c r="I3093" s="1">
        <v>3</v>
      </c>
      <c r="J3093" s="2">
        <v>517.23</v>
      </c>
    </row>
    <row r="3094" spans="2:10" x14ac:dyDescent="0.2">
      <c r="B3094" t="s">
        <v>1016</v>
      </c>
      <c r="C3094" t="s">
        <v>236</v>
      </c>
      <c r="D3094" t="s">
        <v>1017</v>
      </c>
      <c r="E3094" t="s">
        <v>63</v>
      </c>
      <c r="F3094" t="s">
        <v>64</v>
      </c>
      <c r="G3094" t="s">
        <v>1034</v>
      </c>
      <c r="H3094" t="s">
        <v>15</v>
      </c>
      <c r="I3094" s="1">
        <v>5</v>
      </c>
      <c r="J3094" s="2">
        <v>862.05</v>
      </c>
    </row>
    <row r="3095" spans="2:10" x14ac:dyDescent="0.2">
      <c r="B3095" t="s">
        <v>1016</v>
      </c>
      <c r="C3095" t="s">
        <v>236</v>
      </c>
      <c r="D3095" t="s">
        <v>1017</v>
      </c>
      <c r="E3095" t="s">
        <v>16</v>
      </c>
      <c r="F3095" t="s">
        <v>17</v>
      </c>
      <c r="G3095" t="s">
        <v>1034</v>
      </c>
      <c r="H3095" t="s">
        <v>15</v>
      </c>
      <c r="I3095" s="1">
        <v>1</v>
      </c>
      <c r="J3095" s="2">
        <v>577.59</v>
      </c>
    </row>
    <row r="3096" spans="2:10" x14ac:dyDescent="0.2">
      <c r="B3096" t="s">
        <v>1016</v>
      </c>
      <c r="C3096" t="s">
        <v>236</v>
      </c>
      <c r="D3096" t="s">
        <v>1017</v>
      </c>
      <c r="E3096" t="s">
        <v>193</v>
      </c>
      <c r="F3096" t="s">
        <v>194</v>
      </c>
      <c r="G3096" t="s">
        <v>1034</v>
      </c>
      <c r="H3096" t="s">
        <v>15</v>
      </c>
      <c r="I3096" s="1">
        <v>1</v>
      </c>
      <c r="J3096" s="2">
        <v>1293.0999999999999</v>
      </c>
    </row>
    <row r="3097" spans="2:10" x14ac:dyDescent="0.2">
      <c r="B3097" t="s">
        <v>1016</v>
      </c>
      <c r="C3097" t="s">
        <v>236</v>
      </c>
      <c r="D3097" t="s">
        <v>1017</v>
      </c>
      <c r="E3097" t="s">
        <v>1010</v>
      </c>
      <c r="F3097" t="s">
        <v>1011</v>
      </c>
      <c r="G3097" t="s">
        <v>43</v>
      </c>
      <c r="H3097" t="s">
        <v>128</v>
      </c>
      <c r="I3097" s="1">
        <v>1</v>
      </c>
      <c r="J3097" s="2">
        <v>5172.41</v>
      </c>
    </row>
    <row r="3098" spans="2:10" x14ac:dyDescent="0.2">
      <c r="B3098" t="s">
        <v>1016</v>
      </c>
      <c r="C3098" t="s">
        <v>236</v>
      </c>
      <c r="D3098" t="s">
        <v>1017</v>
      </c>
      <c r="E3098" t="s">
        <v>762</v>
      </c>
      <c r="F3098" t="s">
        <v>763</v>
      </c>
      <c r="G3098" t="s">
        <v>1033</v>
      </c>
      <c r="H3098" t="s">
        <v>30</v>
      </c>
      <c r="I3098" s="1">
        <v>1</v>
      </c>
      <c r="J3098" s="2">
        <v>2396.5500000000002</v>
      </c>
    </row>
    <row r="3099" spans="2:10" x14ac:dyDescent="0.2">
      <c r="B3099" t="s">
        <v>1016</v>
      </c>
      <c r="C3099" t="s">
        <v>236</v>
      </c>
      <c r="D3099" t="s">
        <v>1017</v>
      </c>
      <c r="E3099" t="s">
        <v>28</v>
      </c>
      <c r="F3099" t="s">
        <v>29</v>
      </c>
      <c r="G3099" t="s">
        <v>1033</v>
      </c>
      <c r="H3099" t="s">
        <v>30</v>
      </c>
      <c r="I3099" s="1">
        <v>1</v>
      </c>
      <c r="J3099" s="2">
        <v>155.16999999999999</v>
      </c>
    </row>
    <row r="3100" spans="2:10" x14ac:dyDescent="0.2">
      <c r="B3100" t="s">
        <v>1016</v>
      </c>
      <c r="C3100" t="s">
        <v>237</v>
      </c>
      <c r="D3100" t="s">
        <v>1017</v>
      </c>
      <c r="E3100" t="s">
        <v>592</v>
      </c>
      <c r="F3100" t="s">
        <v>593</v>
      </c>
      <c r="G3100" t="s">
        <v>54</v>
      </c>
      <c r="H3100" t="s">
        <v>138</v>
      </c>
      <c r="I3100" s="1">
        <v>1</v>
      </c>
      <c r="J3100" s="2">
        <v>387.93</v>
      </c>
    </row>
    <row r="3101" spans="2:10" x14ac:dyDescent="0.2">
      <c r="B3101" t="s">
        <v>1016</v>
      </c>
      <c r="C3101" t="s">
        <v>237</v>
      </c>
      <c r="D3101" t="s">
        <v>1017</v>
      </c>
      <c r="E3101" t="s">
        <v>253</v>
      </c>
      <c r="F3101" t="s">
        <v>254</v>
      </c>
      <c r="G3101" t="s">
        <v>1034</v>
      </c>
      <c r="H3101" t="s">
        <v>15</v>
      </c>
      <c r="I3101" s="1">
        <v>1</v>
      </c>
      <c r="J3101" s="2">
        <v>775.86</v>
      </c>
    </row>
    <row r="3102" spans="2:10" x14ac:dyDescent="0.2">
      <c r="B3102" t="s">
        <v>1016</v>
      </c>
      <c r="C3102" t="s">
        <v>237</v>
      </c>
      <c r="D3102" t="s">
        <v>1017</v>
      </c>
      <c r="E3102" t="s">
        <v>83</v>
      </c>
      <c r="F3102" t="s">
        <v>84</v>
      </c>
      <c r="G3102" t="s">
        <v>1034</v>
      </c>
      <c r="H3102" t="s">
        <v>15</v>
      </c>
      <c r="I3102" s="1">
        <v>1</v>
      </c>
      <c r="J3102" s="2">
        <v>387.93</v>
      </c>
    </row>
    <row r="3103" spans="2:10" x14ac:dyDescent="0.2">
      <c r="B3103" t="s">
        <v>1016</v>
      </c>
      <c r="C3103" t="s">
        <v>237</v>
      </c>
      <c r="D3103" t="s">
        <v>1017</v>
      </c>
      <c r="E3103" t="s">
        <v>38</v>
      </c>
      <c r="F3103" t="s">
        <v>39</v>
      </c>
      <c r="G3103" t="s">
        <v>1034</v>
      </c>
      <c r="H3103" t="s">
        <v>15</v>
      </c>
      <c r="I3103" s="1">
        <v>1</v>
      </c>
      <c r="J3103" s="2">
        <v>431.03</v>
      </c>
    </row>
    <row r="3104" spans="2:10" x14ac:dyDescent="0.2">
      <c r="B3104" t="s">
        <v>1016</v>
      </c>
      <c r="C3104" t="s">
        <v>237</v>
      </c>
      <c r="D3104" t="s">
        <v>1017</v>
      </c>
      <c r="E3104" t="s">
        <v>56</v>
      </c>
      <c r="F3104" t="s">
        <v>57</v>
      </c>
      <c r="G3104" t="s">
        <v>1034</v>
      </c>
      <c r="H3104" t="s">
        <v>15</v>
      </c>
      <c r="I3104" s="1">
        <v>1</v>
      </c>
      <c r="J3104" s="2">
        <v>431.03</v>
      </c>
    </row>
    <row r="3105" spans="2:10" x14ac:dyDescent="0.2">
      <c r="B3105" t="s">
        <v>1016</v>
      </c>
      <c r="C3105" t="s">
        <v>237</v>
      </c>
      <c r="D3105" t="s">
        <v>1017</v>
      </c>
      <c r="E3105" t="s">
        <v>63</v>
      </c>
      <c r="F3105" t="s">
        <v>64</v>
      </c>
      <c r="G3105" t="s">
        <v>1034</v>
      </c>
      <c r="H3105" t="s">
        <v>15</v>
      </c>
      <c r="I3105" s="1">
        <v>1</v>
      </c>
      <c r="J3105" s="2">
        <v>172.41</v>
      </c>
    </row>
    <row r="3106" spans="2:10" x14ac:dyDescent="0.2">
      <c r="B3106" t="s">
        <v>1016</v>
      </c>
      <c r="C3106" t="s">
        <v>237</v>
      </c>
      <c r="D3106" t="s">
        <v>1017</v>
      </c>
      <c r="E3106" t="s">
        <v>16</v>
      </c>
      <c r="F3106" t="s">
        <v>17</v>
      </c>
      <c r="G3106" t="s">
        <v>1034</v>
      </c>
      <c r="H3106" t="s">
        <v>15</v>
      </c>
      <c r="I3106" s="1">
        <v>1</v>
      </c>
      <c r="J3106" s="2">
        <v>577.59</v>
      </c>
    </row>
    <row r="3107" spans="2:10" x14ac:dyDescent="0.2">
      <c r="B3107" t="s">
        <v>1016</v>
      </c>
      <c r="C3107" t="s">
        <v>237</v>
      </c>
      <c r="D3107" t="s">
        <v>1017</v>
      </c>
      <c r="E3107" t="s">
        <v>79</v>
      </c>
      <c r="F3107" t="s">
        <v>80</v>
      </c>
      <c r="G3107" t="s">
        <v>43</v>
      </c>
      <c r="H3107" t="s">
        <v>81</v>
      </c>
      <c r="I3107" s="1">
        <v>1</v>
      </c>
      <c r="J3107" s="2">
        <v>1810.34</v>
      </c>
    </row>
    <row r="3108" spans="2:10" x14ac:dyDescent="0.2">
      <c r="B3108" t="s">
        <v>1016</v>
      </c>
      <c r="C3108" t="s">
        <v>237</v>
      </c>
      <c r="D3108" t="s">
        <v>1017</v>
      </c>
      <c r="E3108" t="s">
        <v>929</v>
      </c>
      <c r="F3108" t="s">
        <v>930</v>
      </c>
      <c r="G3108" t="s">
        <v>1033</v>
      </c>
      <c r="H3108" t="s">
        <v>30</v>
      </c>
      <c r="I3108" s="1">
        <v>1</v>
      </c>
      <c r="J3108" s="2">
        <v>1853.45</v>
      </c>
    </row>
    <row r="3109" spans="2:10" x14ac:dyDescent="0.2">
      <c r="B3109" t="s">
        <v>1016</v>
      </c>
      <c r="C3109" t="s">
        <v>237</v>
      </c>
      <c r="D3109" t="s">
        <v>1017</v>
      </c>
      <c r="E3109" t="s">
        <v>1031</v>
      </c>
      <c r="F3109" t="s">
        <v>1032</v>
      </c>
      <c r="G3109" t="s">
        <v>1033</v>
      </c>
      <c r="H3109" t="s">
        <v>30</v>
      </c>
      <c r="I3109" s="1">
        <v>1</v>
      </c>
      <c r="J3109" s="2">
        <v>2284.48</v>
      </c>
    </row>
    <row r="3110" spans="2:10" x14ac:dyDescent="0.2">
      <c r="B3110" t="s">
        <v>1016</v>
      </c>
      <c r="C3110" t="s">
        <v>248</v>
      </c>
      <c r="D3110" t="s">
        <v>32</v>
      </c>
      <c r="E3110" t="s">
        <v>44</v>
      </c>
      <c r="F3110" t="s">
        <v>45</v>
      </c>
      <c r="G3110" t="s">
        <v>1033</v>
      </c>
      <c r="H3110" t="s">
        <v>30</v>
      </c>
      <c r="I3110" s="1">
        <v>1</v>
      </c>
      <c r="J3110" s="2">
        <v>81.900000000000006</v>
      </c>
    </row>
    <row r="3111" spans="2:10" x14ac:dyDescent="0.2">
      <c r="B3111" t="s">
        <v>1016</v>
      </c>
      <c r="C3111" t="s">
        <v>248</v>
      </c>
      <c r="D3111" t="s">
        <v>32</v>
      </c>
      <c r="E3111" t="s">
        <v>120</v>
      </c>
      <c r="F3111" t="s">
        <v>121</v>
      </c>
      <c r="G3111" t="s">
        <v>1034</v>
      </c>
      <c r="H3111" t="s">
        <v>15</v>
      </c>
      <c r="I3111" s="1">
        <v>1</v>
      </c>
      <c r="J3111" s="2">
        <v>301.72000000000003</v>
      </c>
    </row>
    <row r="3112" spans="2:10" x14ac:dyDescent="0.2">
      <c r="B3112" t="s">
        <v>1016</v>
      </c>
      <c r="C3112" t="s">
        <v>248</v>
      </c>
      <c r="D3112" t="s">
        <v>32</v>
      </c>
      <c r="E3112" t="s">
        <v>427</v>
      </c>
      <c r="F3112" t="s">
        <v>428</v>
      </c>
      <c r="G3112" t="s">
        <v>14</v>
      </c>
      <c r="H3112" t="s">
        <v>87</v>
      </c>
      <c r="I3112" s="1">
        <v>1</v>
      </c>
      <c r="J3112" s="2">
        <v>120.69</v>
      </c>
    </row>
    <row r="3113" spans="2:10" x14ac:dyDescent="0.2">
      <c r="B3113" t="s">
        <v>1016</v>
      </c>
      <c r="C3113" t="s">
        <v>248</v>
      </c>
      <c r="D3113" t="s">
        <v>32</v>
      </c>
      <c r="E3113" t="s">
        <v>77</v>
      </c>
      <c r="F3113" t="s">
        <v>78</v>
      </c>
      <c r="G3113" t="s">
        <v>14</v>
      </c>
      <c r="H3113" t="s">
        <v>27</v>
      </c>
      <c r="I3113" s="1">
        <v>1</v>
      </c>
      <c r="J3113" s="2">
        <v>51.72</v>
      </c>
    </row>
    <row r="3114" spans="2:10" x14ac:dyDescent="0.2">
      <c r="B3114" t="s">
        <v>1016</v>
      </c>
      <c r="C3114" t="s">
        <v>248</v>
      </c>
      <c r="D3114" t="s">
        <v>32</v>
      </c>
      <c r="E3114" t="s">
        <v>28</v>
      </c>
      <c r="F3114" t="s">
        <v>29</v>
      </c>
      <c r="G3114" t="s">
        <v>1033</v>
      </c>
      <c r="H3114" t="s">
        <v>30</v>
      </c>
      <c r="I3114" s="1">
        <v>1</v>
      </c>
      <c r="J3114" s="2">
        <v>155.16999999999999</v>
      </c>
    </row>
  </sheetData>
  <autoFilter ref="B4:J3114" xr:uid="{5EF4EFE4-A517-46A4-89BF-3F6CF00FB9AB}">
    <filterColumn colId="1">
      <filters>
        <filter val="26/01/2026"/>
        <filter val="27/01/2026"/>
        <filter val="28/01/2026"/>
        <filter val="29/01/2026"/>
        <filter val="30/01/2026"/>
        <filter val="31/01/2026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A035-2C2A-4D32-90A3-BF2AD1D5C5D6}">
  <dimension ref="B4:P617"/>
  <sheetViews>
    <sheetView showGridLines="0" topLeftCell="E4" workbookViewId="0">
      <selection activeCell="L27" sqref="L27"/>
    </sheetView>
  </sheetViews>
  <sheetFormatPr baseColWidth="10" defaultRowHeight="12.75" x14ac:dyDescent="0.2"/>
  <cols>
    <col min="12" max="12" width="27.7109375" bestFit="1" customWidth="1"/>
    <col min="13" max="13" width="17.42578125" bestFit="1" customWidth="1"/>
    <col min="14" max="14" width="11.42578125" style="4"/>
    <col min="15" max="15" width="13.85546875" bestFit="1" customWidth="1"/>
    <col min="16" max="16" width="12.28515625" bestFit="1" customWidth="1"/>
  </cols>
  <sheetData>
    <row r="4" spans="2:16" x14ac:dyDescent="0.2"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</row>
    <row r="5" spans="2:16" x14ac:dyDescent="0.2">
      <c r="B5" t="s">
        <v>9</v>
      </c>
      <c r="C5" t="s">
        <v>227</v>
      </c>
      <c r="D5" t="s">
        <v>11</v>
      </c>
      <c r="E5" t="s">
        <v>72</v>
      </c>
      <c r="F5" t="s">
        <v>73</v>
      </c>
      <c r="G5" t="s">
        <v>1034</v>
      </c>
      <c r="H5" t="s">
        <v>15</v>
      </c>
      <c r="I5" s="1">
        <v>1</v>
      </c>
      <c r="J5" s="2">
        <v>775.86</v>
      </c>
      <c r="P5" t="s">
        <v>1099</v>
      </c>
    </row>
    <row r="6" spans="2:16" x14ac:dyDescent="0.2">
      <c r="B6" t="s">
        <v>9</v>
      </c>
      <c r="C6" t="s">
        <v>228</v>
      </c>
      <c r="D6" t="s">
        <v>11</v>
      </c>
      <c r="E6" t="s">
        <v>44</v>
      </c>
      <c r="F6" t="s">
        <v>45</v>
      </c>
      <c r="G6" t="s">
        <v>1033</v>
      </c>
      <c r="H6" t="s">
        <v>30</v>
      </c>
      <c r="I6" s="1">
        <v>1</v>
      </c>
      <c r="J6" s="2">
        <v>81.900000000000006</v>
      </c>
      <c r="L6" s="139" t="s">
        <v>1094</v>
      </c>
      <c r="M6" t="s">
        <v>1096</v>
      </c>
      <c r="N6" s="145">
        <v>0.01</v>
      </c>
      <c r="O6" t="s">
        <v>1098</v>
      </c>
      <c r="P6" s="3">
        <v>6</v>
      </c>
    </row>
    <row r="7" spans="2:16" x14ac:dyDescent="0.2">
      <c r="B7" t="s">
        <v>9</v>
      </c>
      <c r="C7" t="s">
        <v>228</v>
      </c>
      <c r="D7" t="s">
        <v>11</v>
      </c>
      <c r="E7" t="s">
        <v>229</v>
      </c>
      <c r="F7" t="s">
        <v>230</v>
      </c>
      <c r="G7" t="s">
        <v>54</v>
      </c>
      <c r="H7" t="s">
        <v>138</v>
      </c>
      <c r="I7" s="1">
        <v>1</v>
      </c>
      <c r="J7" s="2">
        <v>260.33999999999997</v>
      </c>
      <c r="L7" s="140" t="s">
        <v>9</v>
      </c>
      <c r="M7" s="2">
        <v>28271.56</v>
      </c>
      <c r="N7" s="152"/>
      <c r="O7" s="144">
        <v>200000</v>
      </c>
      <c r="P7" s="144">
        <f>O7/31*$P$6</f>
        <v>38709.677419354841</v>
      </c>
    </row>
    <row r="8" spans="2:16" x14ac:dyDescent="0.2">
      <c r="B8" t="s">
        <v>9</v>
      </c>
      <c r="C8" t="s">
        <v>228</v>
      </c>
      <c r="D8" t="s">
        <v>11</v>
      </c>
      <c r="E8" t="s">
        <v>214</v>
      </c>
      <c r="F8" t="s">
        <v>215</v>
      </c>
      <c r="G8" t="s">
        <v>1034</v>
      </c>
      <c r="H8" t="s">
        <v>15</v>
      </c>
      <c r="I8" s="1">
        <v>1</v>
      </c>
      <c r="J8" s="2">
        <v>301.72000000000003</v>
      </c>
      <c r="L8" s="140" t="s">
        <v>261</v>
      </c>
      <c r="M8" s="2">
        <v>29676.700000000004</v>
      </c>
      <c r="N8" s="152"/>
      <c r="O8" s="144">
        <v>175000</v>
      </c>
      <c r="P8" s="144">
        <f t="shared" ref="P8:P23" si="0">O8/31*$P$6</f>
        <v>33870.967741935485</v>
      </c>
    </row>
    <row r="9" spans="2:16" x14ac:dyDescent="0.2">
      <c r="B9" t="s">
        <v>9</v>
      </c>
      <c r="C9" t="s">
        <v>228</v>
      </c>
      <c r="D9" t="s">
        <v>11</v>
      </c>
      <c r="E9" t="s">
        <v>153</v>
      </c>
      <c r="F9" t="s">
        <v>154</v>
      </c>
      <c r="G9" t="s">
        <v>1034</v>
      </c>
      <c r="H9" t="s">
        <v>15</v>
      </c>
      <c r="I9" s="1">
        <v>1</v>
      </c>
      <c r="J9" s="2">
        <v>387.93</v>
      </c>
      <c r="L9" s="140" t="s">
        <v>376</v>
      </c>
      <c r="M9" s="2">
        <v>36557.209999999992</v>
      </c>
      <c r="N9" s="152">
        <f>GETPIVOTDATA("SUBTOT",$L$6,"UBICACION","Circunvalación CELESTERRA")*N6</f>
        <v>365.57209999999992</v>
      </c>
      <c r="O9" s="144">
        <v>110000</v>
      </c>
      <c r="P9" s="144">
        <f t="shared" si="0"/>
        <v>21290.322580645163</v>
      </c>
    </row>
    <row r="10" spans="2:16" x14ac:dyDescent="0.2">
      <c r="B10" t="s">
        <v>9</v>
      </c>
      <c r="C10" t="s">
        <v>228</v>
      </c>
      <c r="D10" t="s">
        <v>11</v>
      </c>
      <c r="E10" t="s">
        <v>231</v>
      </c>
      <c r="F10" t="s">
        <v>232</v>
      </c>
      <c r="G10" t="s">
        <v>43</v>
      </c>
      <c r="H10" t="s">
        <v>50</v>
      </c>
      <c r="I10" s="1">
        <v>1</v>
      </c>
      <c r="J10" s="2">
        <v>3017.24</v>
      </c>
      <c r="L10" s="140" t="s">
        <v>453</v>
      </c>
      <c r="M10" s="2">
        <v>27022.09</v>
      </c>
      <c r="N10" s="152"/>
      <c r="O10" s="144">
        <v>210000</v>
      </c>
      <c r="P10" s="144">
        <f t="shared" si="0"/>
        <v>40645.161290322576</v>
      </c>
    </row>
    <row r="11" spans="2:16" x14ac:dyDescent="0.2">
      <c r="B11" t="s">
        <v>9</v>
      </c>
      <c r="C11" t="s">
        <v>233</v>
      </c>
      <c r="D11" t="s">
        <v>11</v>
      </c>
      <c r="E11" t="s">
        <v>234</v>
      </c>
      <c r="F11" t="s">
        <v>235</v>
      </c>
      <c r="G11" t="s">
        <v>54</v>
      </c>
      <c r="H11" t="s">
        <v>138</v>
      </c>
      <c r="I11" s="1">
        <v>1</v>
      </c>
      <c r="J11" s="2">
        <v>260.33999999999997</v>
      </c>
      <c r="L11" s="140" t="s">
        <v>531</v>
      </c>
      <c r="M11" s="2">
        <v>11499.970000000001</v>
      </c>
      <c r="N11" s="152"/>
      <c r="O11" s="144">
        <v>100000</v>
      </c>
      <c r="P11" s="144">
        <f t="shared" si="0"/>
        <v>19354.83870967742</v>
      </c>
    </row>
    <row r="12" spans="2:16" x14ac:dyDescent="0.2">
      <c r="B12" t="s">
        <v>9</v>
      </c>
      <c r="C12" t="s">
        <v>233</v>
      </c>
      <c r="D12" t="s">
        <v>11</v>
      </c>
      <c r="E12" t="s">
        <v>149</v>
      </c>
      <c r="F12" t="s">
        <v>150</v>
      </c>
      <c r="G12" t="s">
        <v>43</v>
      </c>
      <c r="H12" t="s">
        <v>50</v>
      </c>
      <c r="I12" s="1">
        <v>1</v>
      </c>
      <c r="J12" s="2">
        <v>3017.24</v>
      </c>
      <c r="L12" s="140" t="s">
        <v>583</v>
      </c>
      <c r="M12" s="2">
        <v>17064.600000000002</v>
      </c>
      <c r="N12" s="152"/>
      <c r="O12" s="144">
        <v>120000</v>
      </c>
      <c r="P12" s="144">
        <f t="shared" si="0"/>
        <v>23225.806451612902</v>
      </c>
    </row>
    <row r="13" spans="2:16" x14ac:dyDescent="0.2">
      <c r="B13" t="s">
        <v>9</v>
      </c>
      <c r="C13" t="s">
        <v>233</v>
      </c>
      <c r="D13" t="s">
        <v>11</v>
      </c>
      <c r="E13" t="s">
        <v>120</v>
      </c>
      <c r="F13" t="s">
        <v>121</v>
      </c>
      <c r="G13" t="s">
        <v>1034</v>
      </c>
      <c r="H13" t="s">
        <v>15</v>
      </c>
      <c r="I13" s="1">
        <v>1</v>
      </c>
      <c r="J13" s="2">
        <v>301.72000000000003</v>
      </c>
      <c r="L13" s="140" t="s">
        <v>615</v>
      </c>
      <c r="M13" s="2">
        <v>10698.24</v>
      </c>
      <c r="N13" s="152"/>
      <c r="O13" s="144">
        <v>100000</v>
      </c>
      <c r="P13" s="144">
        <f t="shared" si="0"/>
        <v>19354.83870967742</v>
      </c>
    </row>
    <row r="14" spans="2:16" x14ac:dyDescent="0.2">
      <c r="B14" t="s">
        <v>9</v>
      </c>
      <c r="C14" t="s">
        <v>233</v>
      </c>
      <c r="D14" t="s">
        <v>11</v>
      </c>
      <c r="E14" t="s">
        <v>101</v>
      </c>
      <c r="F14" t="s">
        <v>102</v>
      </c>
      <c r="G14" t="s">
        <v>103</v>
      </c>
      <c r="H14" t="s">
        <v>104</v>
      </c>
      <c r="I14" s="1">
        <v>1</v>
      </c>
      <c r="J14" s="2">
        <v>0.01</v>
      </c>
      <c r="L14" s="140" t="s">
        <v>654</v>
      </c>
      <c r="M14" s="2">
        <v>12025.789999999999</v>
      </c>
      <c r="N14" s="152"/>
      <c r="O14" s="144">
        <v>100000</v>
      </c>
      <c r="P14" s="144">
        <f t="shared" si="0"/>
        <v>19354.83870967742</v>
      </c>
    </row>
    <row r="15" spans="2:16" x14ac:dyDescent="0.2">
      <c r="B15" t="s">
        <v>9</v>
      </c>
      <c r="C15" t="s">
        <v>233</v>
      </c>
      <c r="D15" t="s">
        <v>11</v>
      </c>
      <c r="E15" t="s">
        <v>216</v>
      </c>
      <c r="F15" t="s">
        <v>217</v>
      </c>
      <c r="G15" t="s">
        <v>14</v>
      </c>
      <c r="H15" t="s">
        <v>104</v>
      </c>
      <c r="I15" s="1">
        <v>1</v>
      </c>
      <c r="J15" s="2">
        <v>17.239999999999998</v>
      </c>
      <c r="L15" s="140" t="s">
        <v>690</v>
      </c>
      <c r="M15" s="2">
        <v>28208.379999999997</v>
      </c>
      <c r="N15" s="152">
        <f>GETPIVOTDATA("SUBTOT",$L$6,"UBICACION","Naciones Unidas CEL")*N6</f>
        <v>282.0838</v>
      </c>
      <c r="O15" s="144">
        <v>100000</v>
      </c>
      <c r="P15" s="144">
        <f t="shared" si="0"/>
        <v>19354.83870967742</v>
      </c>
    </row>
    <row r="16" spans="2:16" x14ac:dyDescent="0.2">
      <c r="B16" t="s">
        <v>9</v>
      </c>
      <c r="C16" t="s">
        <v>233</v>
      </c>
      <c r="D16" t="s">
        <v>11</v>
      </c>
      <c r="E16" t="s">
        <v>28</v>
      </c>
      <c r="F16" t="s">
        <v>29</v>
      </c>
      <c r="G16" t="s">
        <v>1033</v>
      </c>
      <c r="H16" t="s">
        <v>30</v>
      </c>
      <c r="I16" s="1">
        <v>2</v>
      </c>
      <c r="J16" s="2">
        <v>310.33999999999997</v>
      </c>
      <c r="L16" s="140" t="s">
        <v>740</v>
      </c>
      <c r="M16" s="2">
        <v>35288.769999999997</v>
      </c>
      <c r="N16" s="152"/>
      <c r="O16" s="144">
        <v>185000</v>
      </c>
      <c r="P16" s="144">
        <f t="shared" si="0"/>
        <v>35806.451612903227</v>
      </c>
    </row>
    <row r="17" spans="2:16" x14ac:dyDescent="0.2">
      <c r="B17" t="s">
        <v>9</v>
      </c>
      <c r="C17" t="s">
        <v>236</v>
      </c>
      <c r="D17" t="s">
        <v>11</v>
      </c>
      <c r="E17" t="s">
        <v>201</v>
      </c>
      <c r="F17" t="s">
        <v>202</v>
      </c>
      <c r="G17" t="s">
        <v>1033</v>
      </c>
      <c r="H17" t="s">
        <v>30</v>
      </c>
      <c r="I17" s="1">
        <v>1</v>
      </c>
      <c r="J17" s="2">
        <v>948.28</v>
      </c>
      <c r="L17" s="140" t="s">
        <v>780</v>
      </c>
      <c r="M17" s="2">
        <v>13939.629999999997</v>
      </c>
      <c r="N17" s="152"/>
      <c r="O17" s="144">
        <v>100000</v>
      </c>
      <c r="P17" s="144">
        <f t="shared" si="0"/>
        <v>19354.83870967742</v>
      </c>
    </row>
    <row r="18" spans="2:16" x14ac:dyDescent="0.2">
      <c r="B18" t="s">
        <v>9</v>
      </c>
      <c r="C18" t="s">
        <v>236</v>
      </c>
      <c r="D18" t="s">
        <v>11</v>
      </c>
      <c r="E18" t="s">
        <v>12</v>
      </c>
      <c r="F18" t="s">
        <v>13</v>
      </c>
      <c r="G18" t="s">
        <v>1034</v>
      </c>
      <c r="H18" t="s">
        <v>15</v>
      </c>
      <c r="I18" s="1">
        <v>1</v>
      </c>
      <c r="J18" s="2">
        <v>1077.5899999999999</v>
      </c>
      <c r="L18" s="140" t="s">
        <v>824</v>
      </c>
      <c r="M18" s="2">
        <v>37271.429999999993</v>
      </c>
      <c r="N18" s="152">
        <f>GETPIVOTDATA("SUBTOT",$L$6,"UBICACION","Plaza Conchitas CEL")*N6</f>
        <v>372.71429999999992</v>
      </c>
      <c r="O18" s="144">
        <v>150000</v>
      </c>
      <c r="P18" s="144">
        <f t="shared" si="0"/>
        <v>29032.258064516129</v>
      </c>
    </row>
    <row r="19" spans="2:16" x14ac:dyDescent="0.2">
      <c r="B19" t="s">
        <v>9</v>
      </c>
      <c r="C19" t="s">
        <v>236</v>
      </c>
      <c r="D19" t="s">
        <v>11</v>
      </c>
      <c r="E19" t="s">
        <v>72</v>
      </c>
      <c r="F19" t="s">
        <v>73</v>
      </c>
      <c r="G19" t="s">
        <v>1034</v>
      </c>
      <c r="H19" t="s">
        <v>15</v>
      </c>
      <c r="I19" s="1">
        <v>1</v>
      </c>
      <c r="J19" s="2">
        <v>775.86</v>
      </c>
      <c r="L19" s="140" t="s">
        <v>866</v>
      </c>
      <c r="M19" s="2">
        <v>21185.309999999998</v>
      </c>
      <c r="N19" s="152"/>
      <c r="O19" s="144">
        <v>180000</v>
      </c>
      <c r="P19" s="144">
        <f t="shared" si="0"/>
        <v>34838.709677419349</v>
      </c>
    </row>
    <row r="20" spans="2:16" x14ac:dyDescent="0.2">
      <c r="B20" t="s">
        <v>9</v>
      </c>
      <c r="C20" t="s">
        <v>236</v>
      </c>
      <c r="D20" t="s">
        <v>11</v>
      </c>
      <c r="E20" t="s">
        <v>122</v>
      </c>
      <c r="F20" t="s">
        <v>123</v>
      </c>
      <c r="G20" t="s">
        <v>1034</v>
      </c>
      <c r="H20" t="s">
        <v>15</v>
      </c>
      <c r="I20" s="1">
        <v>1</v>
      </c>
      <c r="J20" s="2">
        <v>387.93</v>
      </c>
      <c r="L20" s="140" t="s">
        <v>907</v>
      </c>
      <c r="M20" s="2">
        <v>13560.3</v>
      </c>
      <c r="N20" s="152"/>
      <c r="O20" s="144">
        <v>115000</v>
      </c>
      <c r="P20" s="144">
        <f t="shared" si="0"/>
        <v>22258.06451612903</v>
      </c>
    </row>
    <row r="21" spans="2:16" x14ac:dyDescent="0.2">
      <c r="B21" t="s">
        <v>9</v>
      </c>
      <c r="C21" t="s">
        <v>236</v>
      </c>
      <c r="D21" t="s">
        <v>11</v>
      </c>
      <c r="E21" t="s">
        <v>61</v>
      </c>
      <c r="F21" t="s">
        <v>62</v>
      </c>
      <c r="G21" t="s">
        <v>1034</v>
      </c>
      <c r="H21" t="s">
        <v>15</v>
      </c>
      <c r="I21" s="1">
        <v>2</v>
      </c>
      <c r="J21" s="2">
        <v>344.82</v>
      </c>
      <c r="L21" s="140" t="s">
        <v>933</v>
      </c>
      <c r="M21" s="2">
        <v>21732.799999999999</v>
      </c>
      <c r="N21" s="152"/>
      <c r="O21" s="144">
        <v>155000</v>
      </c>
      <c r="P21" s="144">
        <f t="shared" si="0"/>
        <v>30000</v>
      </c>
    </row>
    <row r="22" spans="2:16" x14ac:dyDescent="0.2">
      <c r="B22" t="s">
        <v>9</v>
      </c>
      <c r="C22" t="s">
        <v>236</v>
      </c>
      <c r="D22" t="s">
        <v>11</v>
      </c>
      <c r="E22" t="s">
        <v>28</v>
      </c>
      <c r="F22" t="s">
        <v>29</v>
      </c>
      <c r="G22" t="s">
        <v>1033</v>
      </c>
      <c r="H22" t="s">
        <v>30</v>
      </c>
      <c r="I22" s="1">
        <v>1</v>
      </c>
      <c r="J22" s="2">
        <v>155.16999999999999</v>
      </c>
      <c r="L22" s="140" t="s">
        <v>955</v>
      </c>
      <c r="M22" s="2">
        <v>43306.030000000013</v>
      </c>
      <c r="N22" s="152"/>
      <c r="O22" s="144">
        <v>435000</v>
      </c>
      <c r="P22" s="144">
        <f t="shared" si="0"/>
        <v>84193.548387096773</v>
      </c>
    </row>
    <row r="23" spans="2:16" x14ac:dyDescent="0.2">
      <c r="B23" t="s">
        <v>9</v>
      </c>
      <c r="C23" t="s">
        <v>237</v>
      </c>
      <c r="D23" t="s">
        <v>11</v>
      </c>
      <c r="E23" t="s">
        <v>238</v>
      </c>
      <c r="F23" t="s">
        <v>239</v>
      </c>
      <c r="G23" t="s">
        <v>1033</v>
      </c>
      <c r="H23" t="s">
        <v>30</v>
      </c>
      <c r="I23" s="1">
        <v>1</v>
      </c>
      <c r="J23" s="2">
        <v>396.55</v>
      </c>
      <c r="L23" s="140" t="s">
        <v>1016</v>
      </c>
      <c r="M23" s="2">
        <v>39336.689999999995</v>
      </c>
      <c r="N23" s="152">
        <f>GETPIVOTDATA("SUBTOT",$L$6,"UBICACION","Provenza-Cel")*N6</f>
        <v>393.36689999999999</v>
      </c>
      <c r="O23" s="144">
        <v>145000</v>
      </c>
      <c r="P23" s="144">
        <f t="shared" si="0"/>
        <v>28064.516129032258</v>
      </c>
    </row>
    <row r="24" spans="2:16" x14ac:dyDescent="0.2">
      <c r="B24" t="s">
        <v>9</v>
      </c>
      <c r="C24" t="s">
        <v>237</v>
      </c>
      <c r="D24" t="s">
        <v>11</v>
      </c>
      <c r="E24" t="s">
        <v>44</v>
      </c>
      <c r="F24" t="s">
        <v>45</v>
      </c>
      <c r="G24" t="s">
        <v>1033</v>
      </c>
      <c r="H24" t="s">
        <v>30</v>
      </c>
      <c r="I24" s="1">
        <v>3</v>
      </c>
      <c r="J24" s="2">
        <v>245.70000000000002</v>
      </c>
      <c r="L24" s="140" t="s">
        <v>1095</v>
      </c>
      <c r="M24" s="2">
        <v>426645.5</v>
      </c>
      <c r="N24" s="156">
        <f>SUM(N7:N23)</f>
        <v>1413.7370999999998</v>
      </c>
      <c r="O24" s="144">
        <f>SUM(O7:O23)</f>
        <v>2680000</v>
      </c>
      <c r="P24" s="156">
        <f>SUM(P7:P23)</f>
        <v>518709.67741935479</v>
      </c>
    </row>
    <row r="25" spans="2:16" x14ac:dyDescent="0.2">
      <c r="B25" t="s">
        <v>9</v>
      </c>
      <c r="C25" t="s">
        <v>237</v>
      </c>
      <c r="D25" t="s">
        <v>11</v>
      </c>
      <c r="E25" t="s">
        <v>240</v>
      </c>
      <c r="F25" t="s">
        <v>241</v>
      </c>
      <c r="G25" t="s">
        <v>54</v>
      </c>
      <c r="H25" t="s">
        <v>138</v>
      </c>
      <c r="I25" s="1">
        <v>1</v>
      </c>
      <c r="J25" s="2">
        <v>371.55</v>
      </c>
    </row>
    <row r="26" spans="2:16" x14ac:dyDescent="0.2">
      <c r="B26" t="s">
        <v>9</v>
      </c>
      <c r="C26" t="s">
        <v>237</v>
      </c>
      <c r="D26" t="s">
        <v>11</v>
      </c>
      <c r="E26" t="s">
        <v>242</v>
      </c>
      <c r="F26" t="s">
        <v>243</v>
      </c>
      <c r="G26" t="s">
        <v>14</v>
      </c>
      <c r="H26" t="s">
        <v>87</v>
      </c>
      <c r="I26" s="1">
        <v>1</v>
      </c>
      <c r="J26" s="2">
        <v>120.69</v>
      </c>
    </row>
    <row r="27" spans="2:16" x14ac:dyDescent="0.2">
      <c r="B27" t="s">
        <v>9</v>
      </c>
      <c r="C27" t="s">
        <v>237</v>
      </c>
      <c r="D27" t="s">
        <v>11</v>
      </c>
      <c r="E27" t="s">
        <v>120</v>
      </c>
      <c r="F27" t="s">
        <v>121</v>
      </c>
      <c r="G27" t="s">
        <v>1034</v>
      </c>
      <c r="H27" t="s">
        <v>15</v>
      </c>
      <c r="I27" s="1">
        <v>1</v>
      </c>
      <c r="J27" s="2">
        <v>301.72000000000003</v>
      </c>
    </row>
    <row r="28" spans="2:16" x14ac:dyDescent="0.2">
      <c r="B28" t="s">
        <v>9</v>
      </c>
      <c r="C28" t="s">
        <v>237</v>
      </c>
      <c r="D28" t="s">
        <v>11</v>
      </c>
      <c r="E28" t="s">
        <v>101</v>
      </c>
      <c r="F28" t="s">
        <v>102</v>
      </c>
      <c r="G28" t="s">
        <v>103</v>
      </c>
      <c r="H28" t="s">
        <v>104</v>
      </c>
      <c r="I28" s="1">
        <v>1</v>
      </c>
      <c r="J28" s="2">
        <v>0.01</v>
      </c>
    </row>
    <row r="29" spans="2:16" x14ac:dyDescent="0.2">
      <c r="B29" t="s">
        <v>9</v>
      </c>
      <c r="C29" t="s">
        <v>237</v>
      </c>
      <c r="D29" t="s">
        <v>11</v>
      </c>
      <c r="E29" t="s">
        <v>179</v>
      </c>
      <c r="F29" t="s">
        <v>180</v>
      </c>
      <c r="G29" t="s">
        <v>76</v>
      </c>
      <c r="H29" t="s">
        <v>60</v>
      </c>
      <c r="I29" s="1">
        <v>1</v>
      </c>
      <c r="J29" s="2">
        <v>344.83</v>
      </c>
    </row>
    <row r="30" spans="2:16" x14ac:dyDescent="0.2">
      <c r="B30" t="s">
        <v>9</v>
      </c>
      <c r="C30" t="s">
        <v>237</v>
      </c>
      <c r="D30" t="s">
        <v>11</v>
      </c>
      <c r="E30" t="s">
        <v>244</v>
      </c>
      <c r="F30" t="s">
        <v>245</v>
      </c>
      <c r="G30" t="s">
        <v>14</v>
      </c>
      <c r="H30" t="s">
        <v>94</v>
      </c>
      <c r="I30" s="1">
        <v>2</v>
      </c>
      <c r="J30" s="2">
        <v>137.94</v>
      </c>
    </row>
    <row r="31" spans="2:16" x14ac:dyDescent="0.2">
      <c r="B31" t="s">
        <v>9</v>
      </c>
      <c r="C31" t="s">
        <v>237</v>
      </c>
      <c r="D31" t="s">
        <v>11</v>
      </c>
      <c r="E31" t="s">
        <v>16</v>
      </c>
      <c r="F31" t="s">
        <v>17</v>
      </c>
      <c r="G31" t="s">
        <v>1034</v>
      </c>
      <c r="H31" t="s">
        <v>15</v>
      </c>
      <c r="I31" s="1">
        <v>1</v>
      </c>
      <c r="J31" s="2">
        <v>577.59</v>
      </c>
    </row>
    <row r="32" spans="2:16" x14ac:dyDescent="0.2">
      <c r="B32" t="s">
        <v>9</v>
      </c>
      <c r="C32" t="s">
        <v>237</v>
      </c>
      <c r="D32" t="s">
        <v>11</v>
      </c>
      <c r="E32" t="s">
        <v>246</v>
      </c>
      <c r="F32" t="s">
        <v>247</v>
      </c>
      <c r="G32" t="s">
        <v>1033</v>
      </c>
      <c r="H32" t="s">
        <v>30</v>
      </c>
      <c r="I32" s="1">
        <v>1</v>
      </c>
      <c r="J32" s="2">
        <v>2008.62</v>
      </c>
    </row>
    <row r="33" spans="2:10" x14ac:dyDescent="0.2">
      <c r="B33" t="s">
        <v>9</v>
      </c>
      <c r="C33" t="s">
        <v>248</v>
      </c>
      <c r="D33" t="s">
        <v>11</v>
      </c>
      <c r="E33" t="s">
        <v>167</v>
      </c>
      <c r="F33" t="s">
        <v>168</v>
      </c>
      <c r="G33" t="s">
        <v>1033</v>
      </c>
      <c r="H33" t="s">
        <v>30</v>
      </c>
      <c r="I33" s="1">
        <v>1</v>
      </c>
      <c r="J33" s="2">
        <v>1267.24</v>
      </c>
    </row>
    <row r="34" spans="2:10" x14ac:dyDescent="0.2">
      <c r="B34" t="s">
        <v>9</v>
      </c>
      <c r="C34" t="s">
        <v>248</v>
      </c>
      <c r="D34" t="s">
        <v>11</v>
      </c>
      <c r="E34" t="s">
        <v>44</v>
      </c>
      <c r="F34" t="s">
        <v>45</v>
      </c>
      <c r="G34" t="s">
        <v>1033</v>
      </c>
      <c r="H34" t="s">
        <v>30</v>
      </c>
      <c r="I34" s="1">
        <v>4</v>
      </c>
      <c r="J34" s="2">
        <v>327.60000000000002</v>
      </c>
    </row>
    <row r="35" spans="2:10" x14ac:dyDescent="0.2">
      <c r="B35" t="s">
        <v>9</v>
      </c>
      <c r="C35" t="s">
        <v>248</v>
      </c>
      <c r="D35" t="s">
        <v>11</v>
      </c>
      <c r="E35" t="s">
        <v>249</v>
      </c>
      <c r="F35" t="s">
        <v>250</v>
      </c>
      <c r="G35" t="s">
        <v>1033</v>
      </c>
      <c r="H35" t="s">
        <v>30</v>
      </c>
      <c r="I35" s="1">
        <v>1</v>
      </c>
      <c r="J35" s="2">
        <v>517.24</v>
      </c>
    </row>
    <row r="36" spans="2:10" x14ac:dyDescent="0.2">
      <c r="B36" t="s">
        <v>9</v>
      </c>
      <c r="C36" t="s">
        <v>248</v>
      </c>
      <c r="D36" t="s">
        <v>11</v>
      </c>
      <c r="E36" t="s">
        <v>251</v>
      </c>
      <c r="F36" t="s">
        <v>252</v>
      </c>
      <c r="G36" t="s">
        <v>1033</v>
      </c>
      <c r="H36" t="s">
        <v>30</v>
      </c>
      <c r="I36" s="1">
        <v>1</v>
      </c>
      <c r="J36" s="2">
        <v>1500</v>
      </c>
    </row>
    <row r="37" spans="2:10" x14ac:dyDescent="0.2">
      <c r="B37" t="s">
        <v>9</v>
      </c>
      <c r="C37" t="s">
        <v>248</v>
      </c>
      <c r="D37" t="s">
        <v>11</v>
      </c>
      <c r="E37" t="s">
        <v>253</v>
      </c>
      <c r="F37" t="s">
        <v>254</v>
      </c>
      <c r="G37" t="s">
        <v>1034</v>
      </c>
      <c r="H37" t="s">
        <v>15</v>
      </c>
      <c r="I37" s="1">
        <v>2</v>
      </c>
      <c r="J37" s="2">
        <v>1551.72</v>
      </c>
    </row>
    <row r="38" spans="2:10" x14ac:dyDescent="0.2">
      <c r="B38" t="s">
        <v>9</v>
      </c>
      <c r="C38" t="s">
        <v>248</v>
      </c>
      <c r="D38" t="s">
        <v>11</v>
      </c>
      <c r="E38" t="s">
        <v>255</v>
      </c>
      <c r="F38" t="s">
        <v>256</v>
      </c>
      <c r="G38" t="s">
        <v>1033</v>
      </c>
      <c r="H38" t="s">
        <v>30</v>
      </c>
      <c r="I38" s="1">
        <v>4</v>
      </c>
      <c r="J38" s="2">
        <v>2068.96</v>
      </c>
    </row>
    <row r="39" spans="2:10" x14ac:dyDescent="0.2">
      <c r="B39" t="s">
        <v>9</v>
      </c>
      <c r="C39" t="s">
        <v>248</v>
      </c>
      <c r="D39" t="s">
        <v>11</v>
      </c>
      <c r="E39" t="s">
        <v>257</v>
      </c>
      <c r="F39" t="s">
        <v>258</v>
      </c>
      <c r="G39" t="s">
        <v>1033</v>
      </c>
      <c r="H39" t="s">
        <v>30</v>
      </c>
      <c r="I39" s="1">
        <v>1</v>
      </c>
      <c r="J39" s="2">
        <v>1577.59</v>
      </c>
    </row>
    <row r="40" spans="2:10" x14ac:dyDescent="0.2">
      <c r="B40" t="s">
        <v>9</v>
      </c>
      <c r="C40" t="s">
        <v>248</v>
      </c>
      <c r="D40" t="s">
        <v>11</v>
      </c>
      <c r="E40" t="s">
        <v>259</v>
      </c>
      <c r="F40" t="s">
        <v>260</v>
      </c>
      <c r="G40" t="s">
        <v>103</v>
      </c>
      <c r="H40" t="s">
        <v>128</v>
      </c>
      <c r="I40" s="1">
        <v>1</v>
      </c>
      <c r="J40" s="2">
        <v>2068.9699999999998</v>
      </c>
    </row>
    <row r="41" spans="2:10" x14ac:dyDescent="0.2">
      <c r="B41" t="s">
        <v>9</v>
      </c>
      <c r="C41" t="s">
        <v>248</v>
      </c>
      <c r="D41" t="s">
        <v>11</v>
      </c>
      <c r="E41" t="s">
        <v>28</v>
      </c>
      <c r="F41" t="s">
        <v>29</v>
      </c>
      <c r="G41" t="s">
        <v>1033</v>
      </c>
      <c r="H41" t="s">
        <v>30</v>
      </c>
      <c r="I41" s="1">
        <v>3</v>
      </c>
      <c r="J41" s="2">
        <v>465.51</v>
      </c>
    </row>
    <row r="42" spans="2:10" x14ac:dyDescent="0.2">
      <c r="B42" t="s">
        <v>261</v>
      </c>
      <c r="C42" t="s">
        <v>227</v>
      </c>
      <c r="D42" t="s">
        <v>262</v>
      </c>
      <c r="E42" t="s">
        <v>350</v>
      </c>
      <c r="F42" t="s">
        <v>351</v>
      </c>
      <c r="G42" t="s">
        <v>1033</v>
      </c>
      <c r="H42" t="s">
        <v>30</v>
      </c>
      <c r="I42" s="1">
        <v>1</v>
      </c>
      <c r="J42" s="2">
        <v>818.97</v>
      </c>
    </row>
    <row r="43" spans="2:10" x14ac:dyDescent="0.2">
      <c r="B43" t="s">
        <v>261</v>
      </c>
      <c r="C43" t="s">
        <v>227</v>
      </c>
      <c r="D43" t="s">
        <v>262</v>
      </c>
      <c r="E43" t="s">
        <v>201</v>
      </c>
      <c r="F43" t="s">
        <v>202</v>
      </c>
      <c r="G43" t="s">
        <v>1033</v>
      </c>
      <c r="H43" t="s">
        <v>30</v>
      </c>
      <c r="I43" s="1">
        <v>1</v>
      </c>
      <c r="J43" s="2">
        <v>948.28</v>
      </c>
    </row>
    <row r="44" spans="2:10" x14ac:dyDescent="0.2">
      <c r="B44" t="s">
        <v>261</v>
      </c>
      <c r="C44" t="s">
        <v>227</v>
      </c>
      <c r="D44" t="s">
        <v>262</v>
      </c>
      <c r="E44" t="s">
        <v>120</v>
      </c>
      <c r="F44" t="s">
        <v>121</v>
      </c>
      <c r="G44" t="s">
        <v>1034</v>
      </c>
      <c r="H44" t="s">
        <v>15</v>
      </c>
      <c r="I44" s="1">
        <v>1</v>
      </c>
      <c r="J44" s="2">
        <v>301.72000000000003</v>
      </c>
    </row>
    <row r="45" spans="2:10" x14ac:dyDescent="0.2">
      <c r="B45" t="s">
        <v>261</v>
      </c>
      <c r="C45" t="s">
        <v>227</v>
      </c>
      <c r="D45" t="s">
        <v>262</v>
      </c>
      <c r="E45" t="s">
        <v>56</v>
      </c>
      <c r="F45" t="s">
        <v>57</v>
      </c>
      <c r="G45" t="s">
        <v>1034</v>
      </c>
      <c r="H45" t="s">
        <v>15</v>
      </c>
      <c r="I45" s="1">
        <v>1</v>
      </c>
      <c r="J45" s="2">
        <v>431.03</v>
      </c>
    </row>
    <row r="46" spans="2:10" x14ac:dyDescent="0.2">
      <c r="B46" t="s">
        <v>261</v>
      </c>
      <c r="C46" t="s">
        <v>227</v>
      </c>
      <c r="D46" t="s">
        <v>262</v>
      </c>
      <c r="E46" t="s">
        <v>16</v>
      </c>
      <c r="F46" t="s">
        <v>17</v>
      </c>
      <c r="G46" t="s">
        <v>1034</v>
      </c>
      <c r="H46" t="s">
        <v>15</v>
      </c>
      <c r="I46" s="1">
        <v>1</v>
      </c>
      <c r="J46" s="2">
        <v>577.59</v>
      </c>
    </row>
    <row r="47" spans="2:10" x14ac:dyDescent="0.2">
      <c r="B47" t="s">
        <v>261</v>
      </c>
      <c r="C47" t="s">
        <v>228</v>
      </c>
      <c r="D47" t="s">
        <v>262</v>
      </c>
      <c r="E47" t="s">
        <v>198</v>
      </c>
      <c r="F47" t="s">
        <v>199</v>
      </c>
      <c r="G47" t="s">
        <v>14</v>
      </c>
      <c r="H47" t="s">
        <v>200</v>
      </c>
      <c r="I47" s="1">
        <v>1</v>
      </c>
      <c r="J47" s="2">
        <v>594.83000000000004</v>
      </c>
    </row>
    <row r="48" spans="2:10" x14ac:dyDescent="0.2">
      <c r="B48" t="s">
        <v>261</v>
      </c>
      <c r="C48" t="s">
        <v>228</v>
      </c>
      <c r="D48" t="s">
        <v>262</v>
      </c>
      <c r="E48" t="s">
        <v>352</v>
      </c>
      <c r="F48" t="s">
        <v>353</v>
      </c>
      <c r="G48" t="s">
        <v>1033</v>
      </c>
      <c r="H48" t="s">
        <v>30</v>
      </c>
      <c r="I48" s="1">
        <v>1</v>
      </c>
      <c r="J48" s="2">
        <v>1422.41</v>
      </c>
    </row>
    <row r="49" spans="2:10" x14ac:dyDescent="0.2">
      <c r="B49" t="s">
        <v>261</v>
      </c>
      <c r="C49" t="s">
        <v>228</v>
      </c>
      <c r="D49" t="s">
        <v>262</v>
      </c>
      <c r="E49" t="s">
        <v>354</v>
      </c>
      <c r="F49" t="s">
        <v>355</v>
      </c>
      <c r="G49" t="s">
        <v>1033</v>
      </c>
      <c r="H49" t="s">
        <v>30</v>
      </c>
      <c r="I49" s="1">
        <v>1</v>
      </c>
      <c r="J49" s="2">
        <v>2543.1</v>
      </c>
    </row>
    <row r="50" spans="2:10" x14ac:dyDescent="0.2">
      <c r="B50" t="s">
        <v>261</v>
      </c>
      <c r="C50" t="s">
        <v>228</v>
      </c>
      <c r="D50" t="s">
        <v>262</v>
      </c>
      <c r="E50" t="s">
        <v>38</v>
      </c>
      <c r="F50" t="s">
        <v>39</v>
      </c>
      <c r="G50" t="s">
        <v>1034</v>
      </c>
      <c r="H50" t="s">
        <v>15</v>
      </c>
      <c r="I50" s="1">
        <v>1</v>
      </c>
      <c r="J50" s="2">
        <v>431.03</v>
      </c>
    </row>
    <row r="51" spans="2:10" x14ac:dyDescent="0.2">
      <c r="B51" t="s">
        <v>261</v>
      </c>
      <c r="C51" t="s">
        <v>228</v>
      </c>
      <c r="D51" t="s">
        <v>262</v>
      </c>
      <c r="E51" t="s">
        <v>56</v>
      </c>
      <c r="F51" t="s">
        <v>57</v>
      </c>
      <c r="G51" t="s">
        <v>1034</v>
      </c>
      <c r="H51" t="s">
        <v>15</v>
      </c>
      <c r="I51" s="1">
        <v>3</v>
      </c>
      <c r="J51" s="2">
        <v>1293.0999999999999</v>
      </c>
    </row>
    <row r="52" spans="2:10" x14ac:dyDescent="0.2">
      <c r="B52" t="s">
        <v>261</v>
      </c>
      <c r="C52" t="s">
        <v>228</v>
      </c>
      <c r="D52" t="s">
        <v>262</v>
      </c>
      <c r="E52" t="s">
        <v>16</v>
      </c>
      <c r="F52" t="s">
        <v>17</v>
      </c>
      <c r="G52" t="s">
        <v>1034</v>
      </c>
      <c r="H52" t="s">
        <v>15</v>
      </c>
      <c r="I52" s="1">
        <v>3</v>
      </c>
      <c r="J52" s="2">
        <v>1732.77</v>
      </c>
    </row>
    <row r="53" spans="2:10" x14ac:dyDescent="0.2">
      <c r="B53" t="s">
        <v>261</v>
      </c>
      <c r="C53" t="s">
        <v>228</v>
      </c>
      <c r="D53" t="s">
        <v>262</v>
      </c>
      <c r="E53" t="s">
        <v>110</v>
      </c>
      <c r="F53" t="s">
        <v>111</v>
      </c>
      <c r="G53" t="s">
        <v>14</v>
      </c>
      <c r="H53" t="s">
        <v>112</v>
      </c>
      <c r="I53" s="1">
        <v>1</v>
      </c>
      <c r="J53" s="2">
        <v>301.72000000000003</v>
      </c>
    </row>
    <row r="54" spans="2:10" x14ac:dyDescent="0.2">
      <c r="B54" t="s">
        <v>261</v>
      </c>
      <c r="C54" t="s">
        <v>233</v>
      </c>
      <c r="D54" t="s">
        <v>262</v>
      </c>
      <c r="E54" t="s">
        <v>19</v>
      </c>
      <c r="F54" t="s">
        <v>20</v>
      </c>
      <c r="G54" t="s">
        <v>14</v>
      </c>
      <c r="H54" t="s">
        <v>21</v>
      </c>
      <c r="I54" s="1">
        <v>1</v>
      </c>
      <c r="J54" s="2">
        <v>431.04</v>
      </c>
    </row>
    <row r="55" spans="2:10" x14ac:dyDescent="0.2">
      <c r="B55" t="s">
        <v>261</v>
      </c>
      <c r="C55" t="s">
        <v>233</v>
      </c>
      <c r="D55" t="s">
        <v>262</v>
      </c>
      <c r="E55" t="s">
        <v>356</v>
      </c>
      <c r="F55" t="s">
        <v>357</v>
      </c>
      <c r="G55" t="s">
        <v>1033</v>
      </c>
      <c r="H55" t="s">
        <v>30</v>
      </c>
      <c r="I55" s="1">
        <v>1</v>
      </c>
      <c r="J55" s="2">
        <v>2198.2800000000002</v>
      </c>
    </row>
    <row r="56" spans="2:10" x14ac:dyDescent="0.2">
      <c r="B56" t="s">
        <v>261</v>
      </c>
      <c r="C56" t="s">
        <v>233</v>
      </c>
      <c r="D56" t="s">
        <v>262</v>
      </c>
      <c r="E56" t="s">
        <v>358</v>
      </c>
      <c r="F56" t="s">
        <v>359</v>
      </c>
      <c r="G56" t="s">
        <v>1033</v>
      </c>
      <c r="H56" t="s">
        <v>30</v>
      </c>
      <c r="I56" s="1">
        <v>1</v>
      </c>
      <c r="J56" s="2">
        <v>1500</v>
      </c>
    </row>
    <row r="57" spans="2:10" x14ac:dyDescent="0.2">
      <c r="B57" t="s">
        <v>261</v>
      </c>
      <c r="C57" t="s">
        <v>233</v>
      </c>
      <c r="D57" t="s">
        <v>262</v>
      </c>
      <c r="E57" t="s">
        <v>120</v>
      </c>
      <c r="F57" t="s">
        <v>121</v>
      </c>
      <c r="G57" t="s">
        <v>1034</v>
      </c>
      <c r="H57" t="s">
        <v>15</v>
      </c>
      <c r="I57" s="1">
        <v>1</v>
      </c>
      <c r="J57" s="2">
        <v>301.72000000000003</v>
      </c>
    </row>
    <row r="58" spans="2:10" x14ac:dyDescent="0.2">
      <c r="B58" t="s">
        <v>261</v>
      </c>
      <c r="C58" t="s">
        <v>233</v>
      </c>
      <c r="D58" t="s">
        <v>262</v>
      </c>
      <c r="E58" t="s">
        <v>214</v>
      </c>
      <c r="F58" t="s">
        <v>215</v>
      </c>
      <c r="G58" t="s">
        <v>1034</v>
      </c>
      <c r="H58" t="s">
        <v>15</v>
      </c>
      <c r="I58" s="1">
        <v>1</v>
      </c>
      <c r="J58" s="2">
        <v>301.72000000000003</v>
      </c>
    </row>
    <row r="59" spans="2:10" x14ac:dyDescent="0.2">
      <c r="B59" t="s">
        <v>261</v>
      </c>
      <c r="C59" t="s">
        <v>233</v>
      </c>
      <c r="D59" t="s">
        <v>262</v>
      </c>
      <c r="E59" t="s">
        <v>267</v>
      </c>
      <c r="F59" t="s">
        <v>268</v>
      </c>
      <c r="G59" t="s">
        <v>1034</v>
      </c>
      <c r="H59" t="s">
        <v>15</v>
      </c>
      <c r="I59" s="1">
        <v>1</v>
      </c>
      <c r="J59" s="2">
        <v>258.62</v>
      </c>
    </row>
    <row r="60" spans="2:10" x14ac:dyDescent="0.2">
      <c r="B60" t="s">
        <v>261</v>
      </c>
      <c r="C60" t="s">
        <v>233</v>
      </c>
      <c r="D60" t="s">
        <v>262</v>
      </c>
      <c r="E60" t="s">
        <v>72</v>
      </c>
      <c r="F60" t="s">
        <v>73</v>
      </c>
      <c r="G60" t="s">
        <v>1034</v>
      </c>
      <c r="H60" t="s">
        <v>15</v>
      </c>
      <c r="I60" s="1">
        <v>1</v>
      </c>
      <c r="J60" s="2">
        <v>775.86</v>
      </c>
    </row>
    <row r="61" spans="2:10" x14ac:dyDescent="0.2">
      <c r="B61" t="s">
        <v>261</v>
      </c>
      <c r="C61" t="s">
        <v>233</v>
      </c>
      <c r="D61" t="s">
        <v>262</v>
      </c>
      <c r="E61" t="s">
        <v>360</v>
      </c>
      <c r="F61" t="s">
        <v>361</v>
      </c>
      <c r="G61" t="s">
        <v>43</v>
      </c>
      <c r="H61" t="s">
        <v>332</v>
      </c>
      <c r="I61" s="1">
        <v>1</v>
      </c>
      <c r="J61" s="2">
        <v>137.93</v>
      </c>
    </row>
    <row r="62" spans="2:10" x14ac:dyDescent="0.2">
      <c r="B62" t="s">
        <v>261</v>
      </c>
      <c r="C62" t="s">
        <v>236</v>
      </c>
      <c r="D62" t="s">
        <v>277</v>
      </c>
      <c r="E62" t="s">
        <v>46</v>
      </c>
      <c r="F62" t="s">
        <v>47</v>
      </c>
      <c r="G62" t="s">
        <v>1034</v>
      </c>
      <c r="H62" t="s">
        <v>15</v>
      </c>
      <c r="I62" s="1">
        <v>1</v>
      </c>
      <c r="J62" s="2">
        <v>301.72000000000003</v>
      </c>
    </row>
    <row r="63" spans="2:10" x14ac:dyDescent="0.2">
      <c r="B63" t="s">
        <v>261</v>
      </c>
      <c r="C63" t="s">
        <v>236</v>
      </c>
      <c r="D63" t="s">
        <v>277</v>
      </c>
      <c r="E63" t="s">
        <v>362</v>
      </c>
      <c r="F63" t="s">
        <v>363</v>
      </c>
      <c r="G63" t="s">
        <v>1033</v>
      </c>
      <c r="H63" t="s">
        <v>30</v>
      </c>
      <c r="I63" s="1">
        <v>1</v>
      </c>
      <c r="J63" s="2">
        <v>1810.34</v>
      </c>
    </row>
    <row r="64" spans="2:10" x14ac:dyDescent="0.2">
      <c r="B64" t="s">
        <v>261</v>
      </c>
      <c r="C64" t="s">
        <v>236</v>
      </c>
      <c r="D64" t="s">
        <v>277</v>
      </c>
      <c r="E64" t="s">
        <v>38</v>
      </c>
      <c r="F64" t="s">
        <v>39</v>
      </c>
      <c r="G64" t="s">
        <v>1034</v>
      </c>
      <c r="H64" t="s">
        <v>15</v>
      </c>
      <c r="I64" s="1">
        <v>2</v>
      </c>
      <c r="J64" s="2">
        <v>862.06</v>
      </c>
    </row>
    <row r="65" spans="2:10" x14ac:dyDescent="0.2">
      <c r="B65" t="s">
        <v>261</v>
      </c>
      <c r="C65" t="s">
        <v>236</v>
      </c>
      <c r="D65" t="s">
        <v>277</v>
      </c>
      <c r="E65" t="s">
        <v>61</v>
      </c>
      <c r="F65" t="s">
        <v>62</v>
      </c>
      <c r="G65" t="s">
        <v>1034</v>
      </c>
      <c r="H65" t="s">
        <v>15</v>
      </c>
      <c r="I65" s="1">
        <v>1</v>
      </c>
      <c r="J65" s="2">
        <v>172.41</v>
      </c>
    </row>
    <row r="66" spans="2:10" x14ac:dyDescent="0.2">
      <c r="B66" t="s">
        <v>261</v>
      </c>
      <c r="C66" t="s">
        <v>236</v>
      </c>
      <c r="D66" t="s">
        <v>277</v>
      </c>
      <c r="E66" t="s">
        <v>28</v>
      </c>
      <c r="F66" t="s">
        <v>29</v>
      </c>
      <c r="G66" t="s">
        <v>1033</v>
      </c>
      <c r="H66" t="s">
        <v>30</v>
      </c>
      <c r="I66" s="1">
        <v>1</v>
      </c>
      <c r="J66" s="2">
        <v>155.16999999999999</v>
      </c>
    </row>
    <row r="67" spans="2:10" x14ac:dyDescent="0.2">
      <c r="B67" t="s">
        <v>261</v>
      </c>
      <c r="C67" t="s">
        <v>237</v>
      </c>
      <c r="D67" t="s">
        <v>262</v>
      </c>
      <c r="E67" t="s">
        <v>198</v>
      </c>
      <c r="F67" t="s">
        <v>199</v>
      </c>
      <c r="G67" t="s">
        <v>14</v>
      </c>
      <c r="H67" t="s">
        <v>200</v>
      </c>
      <c r="I67" s="1">
        <v>1</v>
      </c>
      <c r="J67" s="2">
        <v>594.83000000000004</v>
      </c>
    </row>
    <row r="68" spans="2:10" x14ac:dyDescent="0.2">
      <c r="B68" t="s">
        <v>261</v>
      </c>
      <c r="C68" t="s">
        <v>237</v>
      </c>
      <c r="D68" t="s">
        <v>262</v>
      </c>
      <c r="E68" t="s">
        <v>364</v>
      </c>
      <c r="F68" t="s">
        <v>365</v>
      </c>
      <c r="G68" t="s">
        <v>54</v>
      </c>
      <c r="H68" t="s">
        <v>138</v>
      </c>
      <c r="I68" s="1">
        <v>1</v>
      </c>
      <c r="J68" s="2">
        <v>323.27999999999997</v>
      </c>
    </row>
    <row r="69" spans="2:10" x14ac:dyDescent="0.2">
      <c r="B69" t="s">
        <v>261</v>
      </c>
      <c r="C69" t="s">
        <v>237</v>
      </c>
      <c r="D69" t="s">
        <v>262</v>
      </c>
      <c r="E69" t="s">
        <v>19</v>
      </c>
      <c r="F69" t="s">
        <v>20</v>
      </c>
      <c r="G69" t="s">
        <v>14</v>
      </c>
      <c r="H69" t="s">
        <v>21</v>
      </c>
      <c r="I69" s="1">
        <v>1</v>
      </c>
      <c r="J69" s="2">
        <v>431.04</v>
      </c>
    </row>
    <row r="70" spans="2:10" x14ac:dyDescent="0.2">
      <c r="B70" t="s">
        <v>261</v>
      </c>
      <c r="C70" t="s">
        <v>237</v>
      </c>
      <c r="D70" t="s">
        <v>262</v>
      </c>
      <c r="E70" t="s">
        <v>46</v>
      </c>
      <c r="F70" t="s">
        <v>47</v>
      </c>
      <c r="G70" t="s">
        <v>1034</v>
      </c>
      <c r="H70" t="s">
        <v>15</v>
      </c>
      <c r="I70" s="1">
        <v>1</v>
      </c>
      <c r="J70" s="2">
        <v>301.72000000000003</v>
      </c>
    </row>
    <row r="71" spans="2:10" x14ac:dyDescent="0.2">
      <c r="B71" t="s">
        <v>261</v>
      </c>
      <c r="C71" t="s">
        <v>237</v>
      </c>
      <c r="D71" t="s">
        <v>262</v>
      </c>
      <c r="E71" t="s">
        <v>187</v>
      </c>
      <c r="F71" t="s">
        <v>188</v>
      </c>
      <c r="G71" t="s">
        <v>1033</v>
      </c>
      <c r="H71" t="s">
        <v>30</v>
      </c>
      <c r="I71" s="1">
        <v>1</v>
      </c>
      <c r="J71" s="2">
        <v>258.62</v>
      </c>
    </row>
    <row r="72" spans="2:10" x14ac:dyDescent="0.2">
      <c r="B72" t="s">
        <v>261</v>
      </c>
      <c r="C72" t="s">
        <v>237</v>
      </c>
      <c r="D72" t="s">
        <v>262</v>
      </c>
      <c r="E72" t="s">
        <v>366</v>
      </c>
      <c r="F72" t="s">
        <v>367</v>
      </c>
      <c r="G72" t="s">
        <v>14</v>
      </c>
      <c r="H72" t="s">
        <v>87</v>
      </c>
      <c r="I72" s="1">
        <v>1</v>
      </c>
      <c r="J72" s="2">
        <v>86.21</v>
      </c>
    </row>
    <row r="73" spans="2:10" x14ac:dyDescent="0.2">
      <c r="B73" t="s">
        <v>261</v>
      </c>
      <c r="C73" t="s">
        <v>237</v>
      </c>
      <c r="D73" t="s">
        <v>262</v>
      </c>
      <c r="E73" t="s">
        <v>368</v>
      </c>
      <c r="F73" t="s">
        <v>369</v>
      </c>
      <c r="G73" t="s">
        <v>1033</v>
      </c>
      <c r="H73" t="s">
        <v>30</v>
      </c>
      <c r="I73" s="1">
        <v>1</v>
      </c>
      <c r="J73" s="2">
        <v>612.07000000000005</v>
      </c>
    </row>
    <row r="74" spans="2:10" x14ac:dyDescent="0.2">
      <c r="B74" t="s">
        <v>261</v>
      </c>
      <c r="C74" t="s">
        <v>237</v>
      </c>
      <c r="D74" t="s">
        <v>262</v>
      </c>
      <c r="E74" t="s">
        <v>120</v>
      </c>
      <c r="F74" t="s">
        <v>121</v>
      </c>
      <c r="G74" t="s">
        <v>1034</v>
      </c>
      <c r="H74" t="s">
        <v>15</v>
      </c>
      <c r="I74" s="1">
        <v>1</v>
      </c>
      <c r="J74" s="2">
        <v>301.72000000000003</v>
      </c>
    </row>
    <row r="75" spans="2:10" x14ac:dyDescent="0.2">
      <c r="B75" t="s">
        <v>261</v>
      </c>
      <c r="C75" t="s">
        <v>237</v>
      </c>
      <c r="D75" t="s">
        <v>262</v>
      </c>
      <c r="E75" t="s">
        <v>370</v>
      </c>
      <c r="F75" t="s">
        <v>371</v>
      </c>
      <c r="G75" t="s">
        <v>1033</v>
      </c>
      <c r="H75" t="s">
        <v>30</v>
      </c>
      <c r="I75" s="1">
        <v>1</v>
      </c>
      <c r="J75" s="2">
        <v>1034.48</v>
      </c>
    </row>
    <row r="76" spans="2:10" x14ac:dyDescent="0.2">
      <c r="B76" t="s">
        <v>261</v>
      </c>
      <c r="C76" t="s">
        <v>237</v>
      </c>
      <c r="D76" t="s">
        <v>262</v>
      </c>
      <c r="E76" t="s">
        <v>61</v>
      </c>
      <c r="F76" t="s">
        <v>62</v>
      </c>
      <c r="G76" t="s">
        <v>1034</v>
      </c>
      <c r="H76" t="s">
        <v>15</v>
      </c>
      <c r="I76" s="1">
        <v>1</v>
      </c>
      <c r="J76" s="2">
        <v>172.41</v>
      </c>
    </row>
    <row r="77" spans="2:10" x14ac:dyDescent="0.2">
      <c r="B77" t="s">
        <v>261</v>
      </c>
      <c r="C77" t="s">
        <v>237</v>
      </c>
      <c r="D77" t="s">
        <v>262</v>
      </c>
      <c r="E77" t="s">
        <v>63</v>
      </c>
      <c r="F77" t="s">
        <v>64</v>
      </c>
      <c r="G77" t="s">
        <v>1034</v>
      </c>
      <c r="H77" t="s">
        <v>15</v>
      </c>
      <c r="I77" s="1">
        <v>1</v>
      </c>
      <c r="J77" s="2">
        <v>172.41</v>
      </c>
    </row>
    <row r="78" spans="2:10" x14ac:dyDescent="0.2">
      <c r="B78" t="s">
        <v>261</v>
      </c>
      <c r="C78" t="s">
        <v>237</v>
      </c>
      <c r="D78" t="s">
        <v>262</v>
      </c>
      <c r="E78" t="s">
        <v>16</v>
      </c>
      <c r="F78" t="s">
        <v>17</v>
      </c>
      <c r="G78" t="s">
        <v>1034</v>
      </c>
      <c r="H78" t="s">
        <v>15</v>
      </c>
      <c r="I78" s="1">
        <v>2</v>
      </c>
      <c r="J78" s="2">
        <v>1155.18</v>
      </c>
    </row>
    <row r="79" spans="2:10" x14ac:dyDescent="0.2">
      <c r="B79" t="s">
        <v>261</v>
      </c>
      <c r="C79" t="s">
        <v>237</v>
      </c>
      <c r="D79" t="s">
        <v>262</v>
      </c>
      <c r="E79" t="s">
        <v>372</v>
      </c>
      <c r="F79" t="s">
        <v>373</v>
      </c>
      <c r="G79" t="s">
        <v>1033</v>
      </c>
      <c r="H79" t="s">
        <v>30</v>
      </c>
      <c r="I79" s="1">
        <v>1</v>
      </c>
      <c r="J79" s="2">
        <v>2465.52</v>
      </c>
    </row>
    <row r="80" spans="2:10" x14ac:dyDescent="0.2">
      <c r="B80" t="s">
        <v>261</v>
      </c>
      <c r="C80" t="s">
        <v>248</v>
      </c>
      <c r="D80" t="s">
        <v>262</v>
      </c>
      <c r="E80" t="s">
        <v>374</v>
      </c>
      <c r="F80" t="s">
        <v>375</v>
      </c>
      <c r="G80" t="s">
        <v>54</v>
      </c>
      <c r="H80" t="s">
        <v>138</v>
      </c>
      <c r="I80" s="1">
        <v>1</v>
      </c>
      <c r="J80" s="2">
        <v>387.93</v>
      </c>
    </row>
    <row r="81" spans="2:10" x14ac:dyDescent="0.2">
      <c r="B81" t="s">
        <v>261</v>
      </c>
      <c r="C81" t="s">
        <v>248</v>
      </c>
      <c r="D81" t="s">
        <v>262</v>
      </c>
      <c r="E81" t="s">
        <v>72</v>
      </c>
      <c r="F81" t="s">
        <v>73</v>
      </c>
      <c r="G81" t="s">
        <v>1034</v>
      </c>
      <c r="H81" t="s">
        <v>15</v>
      </c>
      <c r="I81" s="1">
        <v>1</v>
      </c>
      <c r="J81" s="2">
        <v>775.86</v>
      </c>
    </row>
    <row r="82" spans="2:10" x14ac:dyDescent="0.2">
      <c r="B82" t="s">
        <v>376</v>
      </c>
      <c r="C82" t="s">
        <v>227</v>
      </c>
      <c r="D82" t="s">
        <v>130</v>
      </c>
      <c r="E82" t="s">
        <v>433</v>
      </c>
      <c r="F82" t="s">
        <v>434</v>
      </c>
      <c r="G82" t="s">
        <v>1033</v>
      </c>
      <c r="H82" t="s">
        <v>30</v>
      </c>
      <c r="I82" s="1">
        <v>1</v>
      </c>
      <c r="J82" s="2">
        <v>344.83</v>
      </c>
    </row>
    <row r="83" spans="2:10" x14ac:dyDescent="0.2">
      <c r="B83" t="s">
        <v>376</v>
      </c>
      <c r="C83" t="s">
        <v>227</v>
      </c>
      <c r="D83" t="s">
        <v>130</v>
      </c>
      <c r="E83" t="s">
        <v>397</v>
      </c>
      <c r="F83" t="s">
        <v>398</v>
      </c>
      <c r="G83" t="s">
        <v>14</v>
      </c>
      <c r="H83" t="s">
        <v>35</v>
      </c>
      <c r="I83" s="1">
        <v>1</v>
      </c>
      <c r="J83" s="2">
        <v>77.59</v>
      </c>
    </row>
    <row r="84" spans="2:10" x14ac:dyDescent="0.2">
      <c r="B84" t="s">
        <v>376</v>
      </c>
      <c r="C84" t="s">
        <v>227</v>
      </c>
      <c r="D84" t="s">
        <v>130</v>
      </c>
      <c r="E84" t="s">
        <v>177</v>
      </c>
      <c r="F84" t="s">
        <v>178</v>
      </c>
      <c r="G84" t="s">
        <v>1033</v>
      </c>
      <c r="H84" t="s">
        <v>30</v>
      </c>
      <c r="I84" s="1">
        <v>1</v>
      </c>
      <c r="J84" s="2">
        <v>637.92999999999995</v>
      </c>
    </row>
    <row r="85" spans="2:10" x14ac:dyDescent="0.2">
      <c r="B85" t="s">
        <v>376</v>
      </c>
      <c r="C85" t="s">
        <v>227</v>
      </c>
      <c r="D85" t="s">
        <v>130</v>
      </c>
      <c r="E85" t="s">
        <v>257</v>
      </c>
      <c r="F85" t="s">
        <v>258</v>
      </c>
      <c r="G85" t="s">
        <v>1033</v>
      </c>
      <c r="H85" t="s">
        <v>30</v>
      </c>
      <c r="I85" s="1">
        <v>1</v>
      </c>
      <c r="J85" s="2">
        <v>1577.59</v>
      </c>
    </row>
    <row r="86" spans="2:10" x14ac:dyDescent="0.2">
      <c r="B86" t="s">
        <v>376</v>
      </c>
      <c r="C86" t="s">
        <v>227</v>
      </c>
      <c r="D86" t="s">
        <v>130</v>
      </c>
      <c r="E86" t="s">
        <v>273</v>
      </c>
      <c r="F86" t="s">
        <v>274</v>
      </c>
      <c r="G86" t="s">
        <v>1033</v>
      </c>
      <c r="H86" t="s">
        <v>30</v>
      </c>
      <c r="I86" s="1">
        <v>1</v>
      </c>
      <c r="J86" s="2">
        <v>1293.0999999999999</v>
      </c>
    </row>
    <row r="87" spans="2:10" x14ac:dyDescent="0.2">
      <c r="B87" t="s">
        <v>376</v>
      </c>
      <c r="C87" t="s">
        <v>227</v>
      </c>
      <c r="D87" t="s">
        <v>130</v>
      </c>
      <c r="E87" t="s">
        <v>16</v>
      </c>
      <c r="F87" t="s">
        <v>17</v>
      </c>
      <c r="G87" t="s">
        <v>1034</v>
      </c>
      <c r="H87" t="s">
        <v>15</v>
      </c>
      <c r="I87" s="1">
        <v>1</v>
      </c>
      <c r="J87" s="2">
        <v>577.59</v>
      </c>
    </row>
    <row r="88" spans="2:10" x14ac:dyDescent="0.2">
      <c r="B88" t="s">
        <v>376</v>
      </c>
      <c r="C88" t="s">
        <v>227</v>
      </c>
      <c r="D88" t="s">
        <v>130</v>
      </c>
      <c r="E88" t="s">
        <v>126</v>
      </c>
      <c r="F88" t="s">
        <v>127</v>
      </c>
      <c r="G88" t="s">
        <v>43</v>
      </c>
      <c r="H88" t="s">
        <v>128</v>
      </c>
      <c r="I88" s="1">
        <v>1</v>
      </c>
      <c r="J88" s="2">
        <v>2068.9699999999998</v>
      </c>
    </row>
    <row r="89" spans="2:10" x14ac:dyDescent="0.2">
      <c r="B89" t="s">
        <v>376</v>
      </c>
      <c r="C89" t="s">
        <v>228</v>
      </c>
      <c r="D89" t="s">
        <v>386</v>
      </c>
      <c r="E89" t="s">
        <v>251</v>
      </c>
      <c r="F89" t="s">
        <v>252</v>
      </c>
      <c r="G89" t="s">
        <v>1033</v>
      </c>
      <c r="H89" t="s">
        <v>30</v>
      </c>
      <c r="I89" s="1">
        <v>1</v>
      </c>
      <c r="J89" s="2">
        <v>1500</v>
      </c>
    </row>
    <row r="90" spans="2:10" x14ac:dyDescent="0.2">
      <c r="B90" t="s">
        <v>376</v>
      </c>
      <c r="C90" t="s">
        <v>228</v>
      </c>
      <c r="D90" t="s">
        <v>386</v>
      </c>
      <c r="E90" t="s">
        <v>120</v>
      </c>
      <c r="F90" t="s">
        <v>121</v>
      </c>
      <c r="G90" t="s">
        <v>1034</v>
      </c>
      <c r="H90" t="s">
        <v>15</v>
      </c>
      <c r="I90" s="1">
        <v>1</v>
      </c>
      <c r="J90" s="2">
        <v>301.72000000000003</v>
      </c>
    </row>
    <row r="91" spans="2:10" x14ac:dyDescent="0.2">
      <c r="B91" t="s">
        <v>376</v>
      </c>
      <c r="C91" t="s">
        <v>228</v>
      </c>
      <c r="D91" t="s">
        <v>386</v>
      </c>
      <c r="E91" t="s">
        <v>435</v>
      </c>
      <c r="F91" t="s">
        <v>436</v>
      </c>
      <c r="G91" t="s">
        <v>1033</v>
      </c>
      <c r="H91" t="s">
        <v>30</v>
      </c>
      <c r="I91" s="1">
        <v>1</v>
      </c>
      <c r="J91" s="2">
        <v>2060.9299999999998</v>
      </c>
    </row>
    <row r="92" spans="2:10" x14ac:dyDescent="0.2">
      <c r="B92" t="s">
        <v>376</v>
      </c>
      <c r="C92" t="s">
        <v>233</v>
      </c>
      <c r="D92" t="s">
        <v>386</v>
      </c>
      <c r="E92" t="s">
        <v>437</v>
      </c>
      <c r="F92" t="s">
        <v>438</v>
      </c>
      <c r="G92" t="s">
        <v>54</v>
      </c>
      <c r="H92" t="s">
        <v>439</v>
      </c>
      <c r="I92" s="1">
        <v>1</v>
      </c>
      <c r="J92" s="2">
        <v>301.72000000000003</v>
      </c>
    </row>
    <row r="93" spans="2:10" x14ac:dyDescent="0.2">
      <c r="B93" t="s">
        <v>376</v>
      </c>
      <c r="C93" t="s">
        <v>233</v>
      </c>
      <c r="D93" t="s">
        <v>386</v>
      </c>
      <c r="E93" t="s">
        <v>324</v>
      </c>
      <c r="F93" t="s">
        <v>325</v>
      </c>
      <c r="G93" t="s">
        <v>1033</v>
      </c>
      <c r="H93" t="s">
        <v>30</v>
      </c>
      <c r="I93" s="1">
        <v>1</v>
      </c>
      <c r="J93" s="2">
        <v>2000</v>
      </c>
    </row>
    <row r="94" spans="2:10" x14ac:dyDescent="0.2">
      <c r="B94" t="s">
        <v>376</v>
      </c>
      <c r="C94" t="s">
        <v>233</v>
      </c>
      <c r="D94" t="s">
        <v>386</v>
      </c>
      <c r="E94" t="s">
        <v>356</v>
      </c>
      <c r="F94" t="s">
        <v>357</v>
      </c>
      <c r="G94" t="s">
        <v>1033</v>
      </c>
      <c r="H94" t="s">
        <v>30</v>
      </c>
      <c r="I94" s="1">
        <v>1</v>
      </c>
      <c r="J94" s="2">
        <v>2198.2800000000002</v>
      </c>
    </row>
    <row r="95" spans="2:10" x14ac:dyDescent="0.2">
      <c r="B95" t="s">
        <v>376</v>
      </c>
      <c r="C95" t="s">
        <v>233</v>
      </c>
      <c r="D95" t="s">
        <v>386</v>
      </c>
      <c r="E95" t="s">
        <v>16</v>
      </c>
      <c r="F95" t="s">
        <v>17</v>
      </c>
      <c r="G95" t="s">
        <v>1034</v>
      </c>
      <c r="H95" t="s">
        <v>15</v>
      </c>
      <c r="I95" s="1">
        <v>1</v>
      </c>
      <c r="J95" s="2">
        <v>577.59</v>
      </c>
    </row>
    <row r="96" spans="2:10" x14ac:dyDescent="0.2">
      <c r="B96" t="s">
        <v>376</v>
      </c>
      <c r="C96" t="s">
        <v>233</v>
      </c>
      <c r="D96" t="s">
        <v>386</v>
      </c>
      <c r="E96" t="s">
        <v>110</v>
      </c>
      <c r="F96" t="s">
        <v>111</v>
      </c>
      <c r="G96" t="s">
        <v>14</v>
      </c>
      <c r="H96" t="s">
        <v>112</v>
      </c>
      <c r="I96" s="1">
        <v>1</v>
      </c>
      <c r="J96" s="2">
        <v>301.72000000000003</v>
      </c>
    </row>
    <row r="97" spans="2:10" x14ac:dyDescent="0.2">
      <c r="B97" t="s">
        <v>376</v>
      </c>
      <c r="C97" t="s">
        <v>233</v>
      </c>
      <c r="D97" t="s">
        <v>386</v>
      </c>
      <c r="E97" t="s">
        <v>440</v>
      </c>
      <c r="F97" t="s">
        <v>441</v>
      </c>
      <c r="G97" t="s">
        <v>43</v>
      </c>
      <c r="H97" t="s">
        <v>81</v>
      </c>
      <c r="I97" s="1">
        <v>1</v>
      </c>
      <c r="J97" s="2">
        <v>1120.69</v>
      </c>
    </row>
    <row r="98" spans="2:10" x14ac:dyDescent="0.2">
      <c r="B98" t="s">
        <v>376</v>
      </c>
      <c r="C98" t="s">
        <v>236</v>
      </c>
      <c r="D98" t="s">
        <v>386</v>
      </c>
      <c r="E98" t="s">
        <v>249</v>
      </c>
      <c r="F98" t="s">
        <v>250</v>
      </c>
      <c r="G98" t="s">
        <v>1033</v>
      </c>
      <c r="H98" t="s">
        <v>30</v>
      </c>
      <c r="I98" s="1">
        <v>1</v>
      </c>
      <c r="J98" s="2">
        <v>517.24</v>
      </c>
    </row>
    <row r="99" spans="2:10" x14ac:dyDescent="0.2">
      <c r="B99" t="s">
        <v>376</v>
      </c>
      <c r="C99" t="s">
        <v>236</v>
      </c>
      <c r="D99" t="s">
        <v>386</v>
      </c>
      <c r="E99" t="s">
        <v>120</v>
      </c>
      <c r="F99" t="s">
        <v>121</v>
      </c>
      <c r="G99" t="s">
        <v>1034</v>
      </c>
      <c r="H99" t="s">
        <v>15</v>
      </c>
      <c r="I99" s="1">
        <v>1</v>
      </c>
      <c r="J99" s="2">
        <v>301.72000000000003</v>
      </c>
    </row>
    <row r="100" spans="2:10" x14ac:dyDescent="0.2">
      <c r="B100" t="s">
        <v>376</v>
      </c>
      <c r="C100" t="s">
        <v>236</v>
      </c>
      <c r="D100" t="s">
        <v>386</v>
      </c>
      <c r="E100" t="s">
        <v>72</v>
      </c>
      <c r="F100" t="s">
        <v>73</v>
      </c>
      <c r="G100" t="s">
        <v>1034</v>
      </c>
      <c r="H100" t="s">
        <v>15</v>
      </c>
      <c r="I100" s="1">
        <v>1</v>
      </c>
      <c r="J100" s="2">
        <v>775.86</v>
      </c>
    </row>
    <row r="101" spans="2:10" x14ac:dyDescent="0.2">
      <c r="B101" t="s">
        <v>376</v>
      </c>
      <c r="C101" t="s">
        <v>236</v>
      </c>
      <c r="D101" t="s">
        <v>386</v>
      </c>
      <c r="E101" t="s">
        <v>83</v>
      </c>
      <c r="F101" t="s">
        <v>84</v>
      </c>
      <c r="G101" t="s">
        <v>1034</v>
      </c>
      <c r="H101" t="s">
        <v>15</v>
      </c>
      <c r="I101" s="1">
        <v>1</v>
      </c>
      <c r="J101" s="2">
        <v>387.93</v>
      </c>
    </row>
    <row r="102" spans="2:10" x14ac:dyDescent="0.2">
      <c r="B102" t="s">
        <v>376</v>
      </c>
      <c r="C102" t="s">
        <v>236</v>
      </c>
      <c r="D102" t="s">
        <v>386</v>
      </c>
      <c r="E102" t="s">
        <v>153</v>
      </c>
      <c r="F102" t="s">
        <v>154</v>
      </c>
      <c r="G102" t="s">
        <v>1034</v>
      </c>
      <c r="H102" t="s">
        <v>15</v>
      </c>
      <c r="I102" s="1">
        <v>1</v>
      </c>
      <c r="J102" s="2">
        <v>387.93</v>
      </c>
    </row>
    <row r="103" spans="2:10" x14ac:dyDescent="0.2">
      <c r="B103" t="s">
        <v>376</v>
      </c>
      <c r="C103" t="s">
        <v>236</v>
      </c>
      <c r="D103" t="s">
        <v>386</v>
      </c>
      <c r="E103" t="s">
        <v>442</v>
      </c>
      <c r="F103" t="s">
        <v>443</v>
      </c>
      <c r="G103" t="s">
        <v>1033</v>
      </c>
      <c r="H103" t="s">
        <v>30</v>
      </c>
      <c r="I103" s="1">
        <v>1</v>
      </c>
      <c r="J103" s="2">
        <v>2500</v>
      </c>
    </row>
    <row r="104" spans="2:10" x14ac:dyDescent="0.2">
      <c r="B104" t="s">
        <v>376</v>
      </c>
      <c r="C104" t="s">
        <v>236</v>
      </c>
      <c r="D104" t="s">
        <v>386</v>
      </c>
      <c r="E104" t="s">
        <v>25</v>
      </c>
      <c r="F104" t="s">
        <v>26</v>
      </c>
      <c r="G104" t="s">
        <v>14</v>
      </c>
      <c r="H104" t="s">
        <v>27</v>
      </c>
      <c r="I104" s="1">
        <v>1</v>
      </c>
      <c r="J104" s="2">
        <v>310.33999999999997</v>
      </c>
    </row>
    <row r="105" spans="2:10" x14ac:dyDescent="0.2">
      <c r="B105" t="s">
        <v>376</v>
      </c>
      <c r="C105" t="s">
        <v>236</v>
      </c>
      <c r="D105" t="s">
        <v>386</v>
      </c>
      <c r="E105" t="s">
        <v>273</v>
      </c>
      <c r="F105" t="s">
        <v>274</v>
      </c>
      <c r="G105" t="s">
        <v>1033</v>
      </c>
      <c r="H105" t="s">
        <v>30</v>
      </c>
      <c r="I105" s="1">
        <v>1</v>
      </c>
      <c r="J105" s="2">
        <v>1293.0999999999999</v>
      </c>
    </row>
    <row r="106" spans="2:10" x14ac:dyDescent="0.2">
      <c r="B106" t="s">
        <v>376</v>
      </c>
      <c r="C106" t="s">
        <v>236</v>
      </c>
      <c r="D106" t="s">
        <v>386</v>
      </c>
      <c r="E106" t="s">
        <v>406</v>
      </c>
      <c r="F106" t="s">
        <v>407</v>
      </c>
      <c r="G106" t="s">
        <v>14</v>
      </c>
      <c r="H106" t="s">
        <v>104</v>
      </c>
      <c r="I106" s="1">
        <v>2</v>
      </c>
      <c r="J106" s="2">
        <v>34.479999999999997</v>
      </c>
    </row>
    <row r="107" spans="2:10" x14ac:dyDescent="0.2">
      <c r="B107" t="s">
        <v>376</v>
      </c>
      <c r="C107" t="s">
        <v>236</v>
      </c>
      <c r="D107" t="s">
        <v>386</v>
      </c>
      <c r="E107" t="s">
        <v>16</v>
      </c>
      <c r="F107" t="s">
        <v>17</v>
      </c>
      <c r="G107" t="s">
        <v>1034</v>
      </c>
      <c r="H107" t="s">
        <v>15</v>
      </c>
      <c r="I107" s="1">
        <v>1</v>
      </c>
      <c r="J107" s="2">
        <v>577.59</v>
      </c>
    </row>
    <row r="108" spans="2:10" x14ac:dyDescent="0.2">
      <c r="B108" t="s">
        <v>376</v>
      </c>
      <c r="C108" t="s">
        <v>237</v>
      </c>
      <c r="D108" t="s">
        <v>386</v>
      </c>
      <c r="E108" t="s">
        <v>356</v>
      </c>
      <c r="F108" t="s">
        <v>357</v>
      </c>
      <c r="G108" t="s">
        <v>1033</v>
      </c>
      <c r="H108" t="s">
        <v>30</v>
      </c>
      <c r="I108" s="1">
        <v>1</v>
      </c>
      <c r="J108" s="2">
        <v>2198.2800000000002</v>
      </c>
    </row>
    <row r="109" spans="2:10" x14ac:dyDescent="0.2">
      <c r="B109" t="s">
        <v>376</v>
      </c>
      <c r="C109" t="s">
        <v>237</v>
      </c>
      <c r="D109" t="s">
        <v>386</v>
      </c>
      <c r="E109" t="s">
        <v>83</v>
      </c>
      <c r="F109" t="s">
        <v>84</v>
      </c>
      <c r="G109" t="s">
        <v>1034</v>
      </c>
      <c r="H109" t="s">
        <v>15</v>
      </c>
      <c r="I109" s="1">
        <v>1</v>
      </c>
      <c r="J109" s="2">
        <v>387.93</v>
      </c>
    </row>
    <row r="110" spans="2:10" x14ac:dyDescent="0.2">
      <c r="B110" t="s">
        <v>376</v>
      </c>
      <c r="C110" t="s">
        <v>237</v>
      </c>
      <c r="D110" t="s">
        <v>386</v>
      </c>
      <c r="E110" t="s">
        <v>444</v>
      </c>
      <c r="F110" t="s">
        <v>445</v>
      </c>
      <c r="G110" t="s">
        <v>14</v>
      </c>
      <c r="H110" t="s">
        <v>27</v>
      </c>
      <c r="I110" s="1">
        <v>1</v>
      </c>
      <c r="J110" s="2">
        <v>508.62</v>
      </c>
    </row>
    <row r="111" spans="2:10" x14ac:dyDescent="0.2">
      <c r="B111" t="s">
        <v>376</v>
      </c>
      <c r="C111" t="s">
        <v>237</v>
      </c>
      <c r="D111" t="s">
        <v>386</v>
      </c>
      <c r="E111" t="s">
        <v>446</v>
      </c>
      <c r="F111" t="s">
        <v>447</v>
      </c>
      <c r="G111" t="s">
        <v>448</v>
      </c>
      <c r="H111" t="s">
        <v>449</v>
      </c>
      <c r="I111" s="1">
        <v>1</v>
      </c>
      <c r="J111" s="2">
        <v>64.66</v>
      </c>
    </row>
    <row r="112" spans="2:10" x14ac:dyDescent="0.2">
      <c r="B112" t="s">
        <v>376</v>
      </c>
      <c r="C112" t="s">
        <v>237</v>
      </c>
      <c r="D112" t="s">
        <v>386</v>
      </c>
      <c r="E112" t="s">
        <v>435</v>
      </c>
      <c r="F112" t="s">
        <v>436</v>
      </c>
      <c r="G112" t="s">
        <v>1033</v>
      </c>
      <c r="H112" t="s">
        <v>30</v>
      </c>
      <c r="I112" s="1">
        <v>1</v>
      </c>
      <c r="J112" s="2">
        <v>2060.9299999999998</v>
      </c>
    </row>
    <row r="113" spans="2:10" x14ac:dyDescent="0.2">
      <c r="B113" t="s">
        <v>376</v>
      </c>
      <c r="C113" t="s">
        <v>248</v>
      </c>
      <c r="D113" t="s">
        <v>386</v>
      </c>
      <c r="E113" t="s">
        <v>356</v>
      </c>
      <c r="F113" t="s">
        <v>357</v>
      </c>
      <c r="G113" t="s">
        <v>1033</v>
      </c>
      <c r="H113" t="s">
        <v>30</v>
      </c>
      <c r="I113" s="1">
        <v>1</v>
      </c>
      <c r="J113" s="2">
        <v>2198.2800000000002</v>
      </c>
    </row>
    <row r="114" spans="2:10" x14ac:dyDescent="0.2">
      <c r="B114" t="s">
        <v>376</v>
      </c>
      <c r="C114" t="s">
        <v>248</v>
      </c>
      <c r="D114" t="s">
        <v>386</v>
      </c>
      <c r="E114" t="s">
        <v>221</v>
      </c>
      <c r="F114" t="s">
        <v>222</v>
      </c>
      <c r="G114" t="s">
        <v>1034</v>
      </c>
      <c r="H114" t="s">
        <v>15</v>
      </c>
      <c r="I114" s="1">
        <v>1</v>
      </c>
      <c r="J114" s="2">
        <v>431.03</v>
      </c>
    </row>
    <row r="115" spans="2:10" x14ac:dyDescent="0.2">
      <c r="B115" t="s">
        <v>376</v>
      </c>
      <c r="C115" t="s">
        <v>248</v>
      </c>
      <c r="D115" t="s">
        <v>386</v>
      </c>
      <c r="E115" t="s">
        <v>120</v>
      </c>
      <c r="F115" t="s">
        <v>121</v>
      </c>
      <c r="G115" t="s">
        <v>1034</v>
      </c>
      <c r="H115" t="s">
        <v>15</v>
      </c>
      <c r="I115" s="1">
        <v>1</v>
      </c>
      <c r="J115" s="2">
        <v>301.72000000000003</v>
      </c>
    </row>
    <row r="116" spans="2:10" x14ac:dyDescent="0.2">
      <c r="B116" t="s">
        <v>376</v>
      </c>
      <c r="C116" t="s">
        <v>248</v>
      </c>
      <c r="D116" t="s">
        <v>386</v>
      </c>
      <c r="E116" t="s">
        <v>267</v>
      </c>
      <c r="F116" t="s">
        <v>268</v>
      </c>
      <c r="G116" t="s">
        <v>1034</v>
      </c>
      <c r="H116" t="s">
        <v>15</v>
      </c>
      <c r="I116" s="1">
        <v>1</v>
      </c>
      <c r="J116" s="2">
        <v>258.62</v>
      </c>
    </row>
    <row r="117" spans="2:10" x14ac:dyDescent="0.2">
      <c r="B117" t="s">
        <v>376</v>
      </c>
      <c r="C117" t="s">
        <v>248</v>
      </c>
      <c r="D117" t="s">
        <v>386</v>
      </c>
      <c r="E117" t="s">
        <v>72</v>
      </c>
      <c r="F117" t="s">
        <v>73</v>
      </c>
      <c r="G117" t="s">
        <v>1034</v>
      </c>
      <c r="H117" t="s">
        <v>15</v>
      </c>
      <c r="I117" s="1">
        <v>1</v>
      </c>
      <c r="J117" s="2">
        <v>775.86</v>
      </c>
    </row>
    <row r="118" spans="2:10" x14ac:dyDescent="0.2">
      <c r="B118" t="s">
        <v>376</v>
      </c>
      <c r="C118" t="s">
        <v>248</v>
      </c>
      <c r="D118" t="s">
        <v>386</v>
      </c>
      <c r="E118" t="s">
        <v>406</v>
      </c>
      <c r="F118" t="s">
        <v>407</v>
      </c>
      <c r="G118" t="s">
        <v>14</v>
      </c>
      <c r="H118" t="s">
        <v>104</v>
      </c>
      <c r="I118" s="1">
        <v>1</v>
      </c>
      <c r="J118" s="2">
        <v>17.239999999999998</v>
      </c>
    </row>
    <row r="119" spans="2:10" x14ac:dyDescent="0.2">
      <c r="B119" t="s">
        <v>376</v>
      </c>
      <c r="C119" t="s">
        <v>248</v>
      </c>
      <c r="D119" t="s">
        <v>386</v>
      </c>
      <c r="E119" t="s">
        <v>16</v>
      </c>
      <c r="F119" t="s">
        <v>17</v>
      </c>
      <c r="G119" t="s">
        <v>1034</v>
      </c>
      <c r="H119" t="s">
        <v>15</v>
      </c>
      <c r="I119" s="1">
        <v>3</v>
      </c>
      <c r="J119" s="2">
        <v>1732.77</v>
      </c>
    </row>
    <row r="120" spans="2:10" x14ac:dyDescent="0.2">
      <c r="B120" t="s">
        <v>376</v>
      </c>
      <c r="C120" t="s">
        <v>248</v>
      </c>
      <c r="D120" t="s">
        <v>386</v>
      </c>
      <c r="E120" t="s">
        <v>450</v>
      </c>
      <c r="F120" t="s">
        <v>451</v>
      </c>
      <c r="G120" t="s">
        <v>43</v>
      </c>
      <c r="H120" t="s">
        <v>452</v>
      </c>
      <c r="I120" s="1">
        <v>1</v>
      </c>
      <c r="J120" s="2">
        <v>1594.83</v>
      </c>
    </row>
    <row r="121" spans="2:10" x14ac:dyDescent="0.2">
      <c r="B121" t="s">
        <v>453</v>
      </c>
      <c r="C121" t="s">
        <v>227</v>
      </c>
      <c r="D121" t="s">
        <v>456</v>
      </c>
      <c r="E121" t="s">
        <v>44</v>
      </c>
      <c r="F121" t="s">
        <v>45</v>
      </c>
      <c r="G121" t="s">
        <v>1033</v>
      </c>
      <c r="H121" t="s">
        <v>30</v>
      </c>
      <c r="I121" s="1">
        <v>5</v>
      </c>
      <c r="J121" s="2">
        <v>409.5</v>
      </c>
    </row>
    <row r="122" spans="2:10" x14ac:dyDescent="0.2">
      <c r="B122" t="s">
        <v>453</v>
      </c>
      <c r="C122" t="s">
        <v>227</v>
      </c>
      <c r="D122" t="s">
        <v>456</v>
      </c>
      <c r="E122" t="s">
        <v>221</v>
      </c>
      <c r="F122" t="s">
        <v>222</v>
      </c>
      <c r="G122" t="s">
        <v>1034</v>
      </c>
      <c r="H122" t="s">
        <v>15</v>
      </c>
      <c r="I122" s="1">
        <v>1</v>
      </c>
      <c r="J122" s="2">
        <v>431.03</v>
      </c>
    </row>
    <row r="123" spans="2:10" x14ac:dyDescent="0.2">
      <c r="B123" t="s">
        <v>453</v>
      </c>
      <c r="C123" t="s">
        <v>227</v>
      </c>
      <c r="D123" t="s">
        <v>456</v>
      </c>
      <c r="E123" t="s">
        <v>406</v>
      </c>
      <c r="F123" t="s">
        <v>407</v>
      </c>
      <c r="G123" t="s">
        <v>14</v>
      </c>
      <c r="H123" t="s">
        <v>104</v>
      </c>
      <c r="I123" s="1">
        <v>10</v>
      </c>
      <c r="J123" s="2">
        <v>172.4</v>
      </c>
    </row>
    <row r="124" spans="2:10" x14ac:dyDescent="0.2">
      <c r="B124" t="s">
        <v>453</v>
      </c>
      <c r="C124" t="s">
        <v>227</v>
      </c>
      <c r="D124" t="s">
        <v>456</v>
      </c>
      <c r="E124" t="s">
        <v>61</v>
      </c>
      <c r="F124" t="s">
        <v>62</v>
      </c>
      <c r="G124" t="s">
        <v>1034</v>
      </c>
      <c r="H124" t="s">
        <v>15</v>
      </c>
      <c r="I124" s="1">
        <v>1</v>
      </c>
      <c r="J124" s="2">
        <v>172.41</v>
      </c>
    </row>
    <row r="125" spans="2:10" x14ac:dyDescent="0.2">
      <c r="B125" t="s">
        <v>453</v>
      </c>
      <c r="C125" t="s">
        <v>227</v>
      </c>
      <c r="D125" t="s">
        <v>456</v>
      </c>
      <c r="E125" t="s">
        <v>16</v>
      </c>
      <c r="F125" t="s">
        <v>17</v>
      </c>
      <c r="G125" t="s">
        <v>1034</v>
      </c>
      <c r="H125" t="s">
        <v>15</v>
      </c>
      <c r="I125" s="1">
        <v>1</v>
      </c>
      <c r="J125" s="2">
        <v>577.59</v>
      </c>
    </row>
    <row r="126" spans="2:10" x14ac:dyDescent="0.2">
      <c r="B126" t="s">
        <v>453</v>
      </c>
      <c r="C126" t="s">
        <v>228</v>
      </c>
      <c r="D126" t="s">
        <v>456</v>
      </c>
      <c r="E126" t="s">
        <v>356</v>
      </c>
      <c r="F126" t="s">
        <v>357</v>
      </c>
      <c r="G126" t="s">
        <v>1033</v>
      </c>
      <c r="H126" t="s">
        <v>30</v>
      </c>
      <c r="I126" s="1">
        <v>1</v>
      </c>
      <c r="J126" s="2">
        <v>2198.2800000000002</v>
      </c>
    </row>
    <row r="127" spans="2:10" x14ac:dyDescent="0.2">
      <c r="B127" t="s">
        <v>453</v>
      </c>
      <c r="C127" t="s">
        <v>228</v>
      </c>
      <c r="D127" t="s">
        <v>456</v>
      </c>
      <c r="E127" t="s">
        <v>83</v>
      </c>
      <c r="F127" t="s">
        <v>84</v>
      </c>
      <c r="G127" t="s">
        <v>1034</v>
      </c>
      <c r="H127" t="s">
        <v>15</v>
      </c>
      <c r="I127" s="1">
        <v>1</v>
      </c>
      <c r="J127" s="2">
        <v>387.93</v>
      </c>
    </row>
    <row r="128" spans="2:10" x14ac:dyDescent="0.2">
      <c r="B128" t="s">
        <v>453</v>
      </c>
      <c r="C128" t="s">
        <v>228</v>
      </c>
      <c r="D128" t="s">
        <v>456</v>
      </c>
      <c r="E128" t="s">
        <v>61</v>
      </c>
      <c r="F128" t="s">
        <v>62</v>
      </c>
      <c r="G128" t="s">
        <v>1034</v>
      </c>
      <c r="H128" t="s">
        <v>15</v>
      </c>
      <c r="I128" s="1">
        <v>1</v>
      </c>
      <c r="J128" s="2">
        <v>172.41</v>
      </c>
    </row>
    <row r="129" spans="2:10" x14ac:dyDescent="0.2">
      <c r="B129" t="s">
        <v>453</v>
      </c>
      <c r="C129" t="s">
        <v>228</v>
      </c>
      <c r="D129" t="s">
        <v>456</v>
      </c>
      <c r="E129" t="s">
        <v>63</v>
      </c>
      <c r="F129" t="s">
        <v>64</v>
      </c>
      <c r="G129" t="s">
        <v>1034</v>
      </c>
      <c r="H129" t="s">
        <v>15</v>
      </c>
      <c r="I129" s="1">
        <v>4</v>
      </c>
      <c r="J129" s="2">
        <v>689.64</v>
      </c>
    </row>
    <row r="130" spans="2:10" x14ac:dyDescent="0.2">
      <c r="B130" t="s">
        <v>453</v>
      </c>
      <c r="C130" t="s">
        <v>228</v>
      </c>
      <c r="D130" t="s">
        <v>456</v>
      </c>
      <c r="E130" t="s">
        <v>16</v>
      </c>
      <c r="F130" t="s">
        <v>17</v>
      </c>
      <c r="G130" t="s">
        <v>1034</v>
      </c>
      <c r="H130" t="s">
        <v>15</v>
      </c>
      <c r="I130" s="1">
        <v>3</v>
      </c>
      <c r="J130" s="2">
        <v>1732.77</v>
      </c>
    </row>
    <row r="131" spans="2:10" x14ac:dyDescent="0.2">
      <c r="B131" t="s">
        <v>453</v>
      </c>
      <c r="C131" t="s">
        <v>233</v>
      </c>
      <c r="D131" t="s">
        <v>130</v>
      </c>
      <c r="E131" t="s">
        <v>70</v>
      </c>
      <c r="F131" t="s">
        <v>71</v>
      </c>
      <c r="G131" t="s">
        <v>1033</v>
      </c>
      <c r="H131" t="s">
        <v>30</v>
      </c>
      <c r="I131" s="1">
        <v>1</v>
      </c>
      <c r="J131" s="2">
        <v>2112.0700000000002</v>
      </c>
    </row>
    <row r="132" spans="2:10" x14ac:dyDescent="0.2">
      <c r="B132" t="s">
        <v>453</v>
      </c>
      <c r="C132" t="s">
        <v>233</v>
      </c>
      <c r="D132" t="s">
        <v>130</v>
      </c>
      <c r="E132" t="s">
        <v>36</v>
      </c>
      <c r="F132" t="s">
        <v>37</v>
      </c>
      <c r="G132" t="s">
        <v>1034</v>
      </c>
      <c r="H132" t="s">
        <v>15</v>
      </c>
      <c r="I132" s="1">
        <v>1</v>
      </c>
      <c r="J132" s="2">
        <v>301.72000000000003</v>
      </c>
    </row>
    <row r="133" spans="2:10" x14ac:dyDescent="0.2">
      <c r="B133" t="s">
        <v>453</v>
      </c>
      <c r="C133" t="s">
        <v>233</v>
      </c>
      <c r="D133" t="s">
        <v>130</v>
      </c>
      <c r="E133" t="s">
        <v>72</v>
      </c>
      <c r="F133" t="s">
        <v>73</v>
      </c>
      <c r="G133" t="s">
        <v>1034</v>
      </c>
      <c r="H133" t="s">
        <v>15</v>
      </c>
      <c r="I133" s="1">
        <v>1</v>
      </c>
      <c r="J133" s="2">
        <v>775.86</v>
      </c>
    </row>
    <row r="134" spans="2:10" x14ac:dyDescent="0.2">
      <c r="B134" t="s">
        <v>453</v>
      </c>
      <c r="C134" t="s">
        <v>233</v>
      </c>
      <c r="D134" t="s">
        <v>130</v>
      </c>
      <c r="E134" t="s">
        <v>122</v>
      </c>
      <c r="F134" t="s">
        <v>123</v>
      </c>
      <c r="G134" t="s">
        <v>1034</v>
      </c>
      <c r="H134" t="s">
        <v>15</v>
      </c>
      <c r="I134" s="1">
        <v>1</v>
      </c>
      <c r="J134" s="2">
        <v>387.93</v>
      </c>
    </row>
    <row r="135" spans="2:10" x14ac:dyDescent="0.2">
      <c r="B135" t="s">
        <v>453</v>
      </c>
      <c r="C135" t="s">
        <v>233</v>
      </c>
      <c r="D135" t="s">
        <v>130</v>
      </c>
      <c r="E135" t="s">
        <v>16</v>
      </c>
      <c r="F135" t="s">
        <v>17</v>
      </c>
      <c r="G135" t="s">
        <v>1034</v>
      </c>
      <c r="H135" t="s">
        <v>15</v>
      </c>
      <c r="I135" s="1">
        <v>2</v>
      </c>
      <c r="J135" s="2">
        <v>1155.18</v>
      </c>
    </row>
    <row r="136" spans="2:10" x14ac:dyDescent="0.2">
      <c r="B136" t="s">
        <v>453</v>
      </c>
      <c r="C136" t="s">
        <v>236</v>
      </c>
      <c r="D136" t="s">
        <v>456</v>
      </c>
      <c r="E136" t="s">
        <v>221</v>
      </c>
      <c r="F136" t="s">
        <v>222</v>
      </c>
      <c r="G136" t="s">
        <v>1034</v>
      </c>
      <c r="H136" t="s">
        <v>15</v>
      </c>
      <c r="I136" s="1">
        <v>1</v>
      </c>
      <c r="J136" s="2">
        <v>431.03</v>
      </c>
    </row>
    <row r="137" spans="2:10" x14ac:dyDescent="0.2">
      <c r="B137" t="s">
        <v>453</v>
      </c>
      <c r="C137" t="s">
        <v>236</v>
      </c>
      <c r="D137" t="s">
        <v>456</v>
      </c>
      <c r="E137" t="s">
        <v>120</v>
      </c>
      <c r="F137" t="s">
        <v>121</v>
      </c>
      <c r="G137" t="s">
        <v>1034</v>
      </c>
      <c r="H137" t="s">
        <v>15</v>
      </c>
      <c r="I137" s="1">
        <v>1</v>
      </c>
      <c r="J137" s="2">
        <v>301.72000000000003</v>
      </c>
    </row>
    <row r="138" spans="2:10" x14ac:dyDescent="0.2">
      <c r="B138" t="s">
        <v>453</v>
      </c>
      <c r="C138" t="s">
        <v>236</v>
      </c>
      <c r="D138" t="s">
        <v>456</v>
      </c>
      <c r="E138" t="s">
        <v>310</v>
      </c>
      <c r="F138" t="s">
        <v>311</v>
      </c>
      <c r="G138" t="s">
        <v>1033</v>
      </c>
      <c r="H138" t="s">
        <v>30</v>
      </c>
      <c r="I138" s="1">
        <v>1</v>
      </c>
      <c r="J138" s="2">
        <v>474.14</v>
      </c>
    </row>
    <row r="139" spans="2:10" x14ac:dyDescent="0.2">
      <c r="B139" t="s">
        <v>453</v>
      </c>
      <c r="C139" t="s">
        <v>236</v>
      </c>
      <c r="D139" t="s">
        <v>456</v>
      </c>
      <c r="E139" t="s">
        <v>56</v>
      </c>
      <c r="F139" t="s">
        <v>57</v>
      </c>
      <c r="G139" t="s">
        <v>1034</v>
      </c>
      <c r="H139" t="s">
        <v>15</v>
      </c>
      <c r="I139" s="1">
        <v>1</v>
      </c>
      <c r="J139" s="2">
        <v>431.03</v>
      </c>
    </row>
    <row r="140" spans="2:10" x14ac:dyDescent="0.2">
      <c r="B140" t="s">
        <v>453</v>
      </c>
      <c r="C140" t="s">
        <v>236</v>
      </c>
      <c r="D140" t="s">
        <v>456</v>
      </c>
      <c r="E140" t="s">
        <v>63</v>
      </c>
      <c r="F140" t="s">
        <v>64</v>
      </c>
      <c r="G140" t="s">
        <v>1034</v>
      </c>
      <c r="H140" t="s">
        <v>15</v>
      </c>
      <c r="I140" s="1">
        <v>1</v>
      </c>
      <c r="J140" s="2">
        <v>172.41</v>
      </c>
    </row>
    <row r="141" spans="2:10" x14ac:dyDescent="0.2">
      <c r="B141" t="s">
        <v>453</v>
      </c>
      <c r="C141" t="s">
        <v>237</v>
      </c>
      <c r="D141" t="s">
        <v>456</v>
      </c>
      <c r="E141" t="s">
        <v>514</v>
      </c>
      <c r="F141" t="s">
        <v>515</v>
      </c>
      <c r="G141" t="s">
        <v>1033</v>
      </c>
      <c r="H141" t="s">
        <v>30</v>
      </c>
      <c r="I141" s="1">
        <v>1</v>
      </c>
      <c r="J141" s="2">
        <v>1293.0999999999999</v>
      </c>
    </row>
    <row r="142" spans="2:10" x14ac:dyDescent="0.2">
      <c r="B142" t="s">
        <v>453</v>
      </c>
      <c r="C142" t="s">
        <v>237</v>
      </c>
      <c r="D142" t="s">
        <v>456</v>
      </c>
      <c r="E142" t="s">
        <v>189</v>
      </c>
      <c r="F142" t="s">
        <v>190</v>
      </c>
      <c r="G142" t="s">
        <v>1033</v>
      </c>
      <c r="H142" t="s">
        <v>30</v>
      </c>
      <c r="I142" s="1">
        <v>1</v>
      </c>
      <c r="J142" s="2">
        <v>818.97</v>
      </c>
    </row>
    <row r="143" spans="2:10" x14ac:dyDescent="0.2">
      <c r="B143" t="s">
        <v>453</v>
      </c>
      <c r="C143" t="s">
        <v>237</v>
      </c>
      <c r="D143" t="s">
        <v>456</v>
      </c>
      <c r="E143" t="s">
        <v>56</v>
      </c>
      <c r="F143" t="s">
        <v>57</v>
      </c>
      <c r="G143" t="s">
        <v>1034</v>
      </c>
      <c r="H143" t="s">
        <v>15</v>
      </c>
      <c r="I143" s="1">
        <v>1</v>
      </c>
      <c r="J143" s="2">
        <v>431.03</v>
      </c>
    </row>
    <row r="144" spans="2:10" x14ac:dyDescent="0.2">
      <c r="B144" t="s">
        <v>453</v>
      </c>
      <c r="C144" t="s">
        <v>237</v>
      </c>
      <c r="D144" t="s">
        <v>456</v>
      </c>
      <c r="E144" t="s">
        <v>527</v>
      </c>
      <c r="F144" t="s">
        <v>528</v>
      </c>
      <c r="G144" t="s">
        <v>1034</v>
      </c>
      <c r="H144" t="s">
        <v>15</v>
      </c>
      <c r="I144" s="1">
        <v>1</v>
      </c>
      <c r="J144" s="2">
        <v>241.38</v>
      </c>
    </row>
    <row r="145" spans="2:10" x14ac:dyDescent="0.2">
      <c r="B145" t="s">
        <v>453</v>
      </c>
      <c r="C145" t="s">
        <v>237</v>
      </c>
      <c r="D145" t="s">
        <v>456</v>
      </c>
      <c r="E145" t="s">
        <v>435</v>
      </c>
      <c r="F145" t="s">
        <v>436</v>
      </c>
      <c r="G145" t="s">
        <v>1033</v>
      </c>
      <c r="H145" t="s">
        <v>30</v>
      </c>
      <c r="I145" s="1">
        <v>1</v>
      </c>
      <c r="J145" s="2">
        <v>2060.9299999999998</v>
      </c>
    </row>
    <row r="146" spans="2:10" x14ac:dyDescent="0.2">
      <c r="B146" t="s">
        <v>453</v>
      </c>
      <c r="C146" t="s">
        <v>248</v>
      </c>
      <c r="D146" t="s">
        <v>456</v>
      </c>
      <c r="E146" t="s">
        <v>529</v>
      </c>
      <c r="F146" t="s">
        <v>530</v>
      </c>
      <c r="G146" t="s">
        <v>14</v>
      </c>
      <c r="H146" t="s">
        <v>35</v>
      </c>
      <c r="I146" s="1">
        <v>1</v>
      </c>
      <c r="J146" s="2">
        <v>77.59</v>
      </c>
    </row>
    <row r="147" spans="2:10" x14ac:dyDescent="0.2">
      <c r="B147" t="s">
        <v>453</v>
      </c>
      <c r="C147" t="s">
        <v>248</v>
      </c>
      <c r="D147" t="s">
        <v>456</v>
      </c>
      <c r="E147" t="s">
        <v>201</v>
      </c>
      <c r="F147" t="s">
        <v>202</v>
      </c>
      <c r="G147" t="s">
        <v>1033</v>
      </c>
      <c r="H147" t="s">
        <v>30</v>
      </c>
      <c r="I147" s="1">
        <v>1</v>
      </c>
      <c r="J147" s="2">
        <v>948.28</v>
      </c>
    </row>
    <row r="148" spans="2:10" x14ac:dyDescent="0.2">
      <c r="B148" t="s">
        <v>453</v>
      </c>
      <c r="C148" t="s">
        <v>248</v>
      </c>
      <c r="D148" t="s">
        <v>456</v>
      </c>
      <c r="E148" t="s">
        <v>221</v>
      </c>
      <c r="F148" t="s">
        <v>222</v>
      </c>
      <c r="G148" t="s">
        <v>1034</v>
      </c>
      <c r="H148" t="s">
        <v>15</v>
      </c>
      <c r="I148" s="1">
        <v>1</v>
      </c>
      <c r="J148" s="2">
        <v>431.03</v>
      </c>
    </row>
    <row r="149" spans="2:10" x14ac:dyDescent="0.2">
      <c r="B149" t="s">
        <v>453</v>
      </c>
      <c r="C149" t="s">
        <v>248</v>
      </c>
      <c r="D149" t="s">
        <v>456</v>
      </c>
      <c r="E149" t="s">
        <v>12</v>
      </c>
      <c r="F149" t="s">
        <v>13</v>
      </c>
      <c r="G149" t="s">
        <v>1034</v>
      </c>
      <c r="H149" t="s">
        <v>15</v>
      </c>
      <c r="I149" s="1">
        <v>1</v>
      </c>
      <c r="J149" s="2">
        <v>1077.5899999999999</v>
      </c>
    </row>
    <row r="150" spans="2:10" x14ac:dyDescent="0.2">
      <c r="B150" t="s">
        <v>453</v>
      </c>
      <c r="C150" t="s">
        <v>248</v>
      </c>
      <c r="D150" t="s">
        <v>456</v>
      </c>
      <c r="E150" t="s">
        <v>36</v>
      </c>
      <c r="F150" t="s">
        <v>37</v>
      </c>
      <c r="G150" t="s">
        <v>1034</v>
      </c>
      <c r="H150" t="s">
        <v>15</v>
      </c>
      <c r="I150" s="1">
        <v>1</v>
      </c>
      <c r="J150" s="2">
        <v>301.72000000000003</v>
      </c>
    </row>
    <row r="151" spans="2:10" x14ac:dyDescent="0.2">
      <c r="B151" t="s">
        <v>453</v>
      </c>
      <c r="C151" t="s">
        <v>248</v>
      </c>
      <c r="D151" t="s">
        <v>456</v>
      </c>
      <c r="E151" t="s">
        <v>72</v>
      </c>
      <c r="F151" t="s">
        <v>73</v>
      </c>
      <c r="G151" t="s">
        <v>1034</v>
      </c>
      <c r="H151" t="s">
        <v>15</v>
      </c>
      <c r="I151" s="1">
        <v>2</v>
      </c>
      <c r="J151" s="2">
        <v>1551.72</v>
      </c>
    </row>
    <row r="152" spans="2:10" x14ac:dyDescent="0.2">
      <c r="B152" t="s">
        <v>453</v>
      </c>
      <c r="C152" t="s">
        <v>248</v>
      </c>
      <c r="D152" t="s">
        <v>456</v>
      </c>
      <c r="E152" t="s">
        <v>122</v>
      </c>
      <c r="F152" t="s">
        <v>123</v>
      </c>
      <c r="G152" t="s">
        <v>1034</v>
      </c>
      <c r="H152" t="s">
        <v>15</v>
      </c>
      <c r="I152" s="1">
        <v>1</v>
      </c>
      <c r="J152" s="2">
        <v>387.93</v>
      </c>
    </row>
    <row r="153" spans="2:10" x14ac:dyDescent="0.2">
      <c r="B153" t="s">
        <v>453</v>
      </c>
      <c r="C153" t="s">
        <v>248</v>
      </c>
      <c r="D153" t="s">
        <v>456</v>
      </c>
      <c r="E153" t="s">
        <v>285</v>
      </c>
      <c r="F153" t="s">
        <v>286</v>
      </c>
      <c r="G153" t="s">
        <v>1033</v>
      </c>
      <c r="H153" t="s">
        <v>30</v>
      </c>
      <c r="I153" s="1">
        <v>1</v>
      </c>
      <c r="J153" s="2">
        <v>1034.48</v>
      </c>
    </row>
    <row r="154" spans="2:10" x14ac:dyDescent="0.2">
      <c r="B154" t="s">
        <v>453</v>
      </c>
      <c r="C154" t="s">
        <v>248</v>
      </c>
      <c r="D154" t="s">
        <v>456</v>
      </c>
      <c r="E154" t="s">
        <v>56</v>
      </c>
      <c r="F154" t="s">
        <v>57</v>
      </c>
      <c r="G154" t="s">
        <v>1034</v>
      </c>
      <c r="H154" t="s">
        <v>15</v>
      </c>
      <c r="I154" s="1">
        <v>2</v>
      </c>
      <c r="J154" s="2">
        <v>862.06</v>
      </c>
    </row>
    <row r="155" spans="2:10" x14ac:dyDescent="0.2">
      <c r="B155" t="s">
        <v>453</v>
      </c>
      <c r="C155" t="s">
        <v>248</v>
      </c>
      <c r="D155" t="s">
        <v>456</v>
      </c>
      <c r="E155" t="s">
        <v>406</v>
      </c>
      <c r="F155" t="s">
        <v>407</v>
      </c>
      <c r="G155" t="s">
        <v>14</v>
      </c>
      <c r="H155" t="s">
        <v>104</v>
      </c>
      <c r="I155" s="1">
        <v>3</v>
      </c>
      <c r="J155" s="2">
        <v>51.72</v>
      </c>
    </row>
    <row r="156" spans="2:10" x14ac:dyDescent="0.2">
      <c r="B156" t="s">
        <v>453</v>
      </c>
      <c r="C156" t="s">
        <v>248</v>
      </c>
      <c r="D156" t="s">
        <v>456</v>
      </c>
      <c r="E156" t="s">
        <v>79</v>
      </c>
      <c r="F156" t="s">
        <v>80</v>
      </c>
      <c r="G156" t="s">
        <v>43</v>
      </c>
      <c r="H156" t="s">
        <v>81</v>
      </c>
      <c r="I156" s="1">
        <v>1</v>
      </c>
      <c r="J156" s="2">
        <v>1810.34</v>
      </c>
    </row>
    <row r="157" spans="2:10" x14ac:dyDescent="0.2">
      <c r="B157" t="s">
        <v>453</v>
      </c>
      <c r="C157" t="s">
        <v>248</v>
      </c>
      <c r="D157" t="s">
        <v>456</v>
      </c>
      <c r="E157" t="s">
        <v>28</v>
      </c>
      <c r="F157" t="s">
        <v>29</v>
      </c>
      <c r="G157" t="s">
        <v>1033</v>
      </c>
      <c r="H157" t="s">
        <v>30</v>
      </c>
      <c r="I157" s="1">
        <v>1</v>
      </c>
      <c r="J157" s="2">
        <v>155.16999999999999</v>
      </c>
    </row>
    <row r="158" spans="2:10" x14ac:dyDescent="0.2">
      <c r="B158" t="s">
        <v>531</v>
      </c>
      <c r="C158" t="s">
        <v>227</v>
      </c>
      <c r="D158" t="s">
        <v>532</v>
      </c>
      <c r="E158" t="s">
        <v>179</v>
      </c>
      <c r="F158" t="s">
        <v>180</v>
      </c>
      <c r="G158" t="s">
        <v>76</v>
      </c>
      <c r="H158" t="s">
        <v>60</v>
      </c>
      <c r="I158" s="1">
        <v>1</v>
      </c>
      <c r="J158" s="2">
        <v>344.83</v>
      </c>
    </row>
    <row r="159" spans="2:10" x14ac:dyDescent="0.2">
      <c r="B159" t="s">
        <v>531</v>
      </c>
      <c r="C159" t="s">
        <v>227</v>
      </c>
      <c r="D159" t="s">
        <v>532</v>
      </c>
      <c r="E159" t="s">
        <v>38</v>
      </c>
      <c r="F159" t="s">
        <v>39</v>
      </c>
      <c r="G159" t="s">
        <v>1034</v>
      </c>
      <c r="H159" t="s">
        <v>15</v>
      </c>
      <c r="I159" s="1">
        <v>1</v>
      </c>
      <c r="J159" s="2">
        <v>431.03</v>
      </c>
    </row>
    <row r="160" spans="2:10" x14ac:dyDescent="0.2">
      <c r="B160" t="s">
        <v>531</v>
      </c>
      <c r="C160" t="s">
        <v>228</v>
      </c>
      <c r="D160" t="s">
        <v>532</v>
      </c>
      <c r="E160" t="s">
        <v>287</v>
      </c>
      <c r="F160" t="s">
        <v>288</v>
      </c>
      <c r="G160" t="s">
        <v>14</v>
      </c>
      <c r="H160" t="s">
        <v>35</v>
      </c>
      <c r="I160" s="1">
        <v>1</v>
      </c>
      <c r="J160" s="2">
        <v>60.34</v>
      </c>
    </row>
    <row r="161" spans="2:10" x14ac:dyDescent="0.2">
      <c r="B161" t="s">
        <v>531</v>
      </c>
      <c r="C161" t="s">
        <v>228</v>
      </c>
      <c r="D161" t="s">
        <v>532</v>
      </c>
      <c r="E161" t="s">
        <v>216</v>
      </c>
      <c r="F161" t="s">
        <v>217</v>
      </c>
      <c r="G161" t="s">
        <v>14</v>
      </c>
      <c r="H161" t="s">
        <v>104</v>
      </c>
      <c r="I161" s="1">
        <v>2</v>
      </c>
      <c r="J161" s="2">
        <v>34.479999999999997</v>
      </c>
    </row>
    <row r="162" spans="2:10" x14ac:dyDescent="0.2">
      <c r="B162" t="s">
        <v>531</v>
      </c>
      <c r="C162" t="s">
        <v>228</v>
      </c>
      <c r="D162" t="s">
        <v>532</v>
      </c>
      <c r="E162" t="s">
        <v>38</v>
      </c>
      <c r="F162" t="s">
        <v>39</v>
      </c>
      <c r="G162" t="s">
        <v>1034</v>
      </c>
      <c r="H162" t="s">
        <v>15</v>
      </c>
      <c r="I162" s="1">
        <v>1</v>
      </c>
      <c r="J162" s="2">
        <v>431.03</v>
      </c>
    </row>
    <row r="163" spans="2:10" x14ac:dyDescent="0.2">
      <c r="B163" t="s">
        <v>531</v>
      </c>
      <c r="C163" t="s">
        <v>228</v>
      </c>
      <c r="D163" t="s">
        <v>532</v>
      </c>
      <c r="E163" t="s">
        <v>521</v>
      </c>
      <c r="F163" t="s">
        <v>522</v>
      </c>
      <c r="G163" t="s">
        <v>14</v>
      </c>
      <c r="H163" t="s">
        <v>104</v>
      </c>
      <c r="I163" s="1">
        <v>2</v>
      </c>
      <c r="J163" s="2">
        <v>43.1</v>
      </c>
    </row>
    <row r="164" spans="2:10" x14ac:dyDescent="0.2">
      <c r="B164" t="s">
        <v>531</v>
      </c>
      <c r="C164" t="s">
        <v>228</v>
      </c>
      <c r="D164" t="s">
        <v>532</v>
      </c>
      <c r="E164" t="s">
        <v>61</v>
      </c>
      <c r="F164" t="s">
        <v>62</v>
      </c>
      <c r="G164" t="s">
        <v>1034</v>
      </c>
      <c r="H164" t="s">
        <v>15</v>
      </c>
      <c r="I164" s="1">
        <v>1</v>
      </c>
      <c r="J164" s="2">
        <v>172.41</v>
      </c>
    </row>
    <row r="165" spans="2:10" x14ac:dyDescent="0.2">
      <c r="B165" t="s">
        <v>531</v>
      </c>
      <c r="C165" t="s">
        <v>233</v>
      </c>
      <c r="D165" t="s">
        <v>532</v>
      </c>
      <c r="E165" t="s">
        <v>36</v>
      </c>
      <c r="F165" t="s">
        <v>37</v>
      </c>
      <c r="G165" t="s">
        <v>1034</v>
      </c>
      <c r="H165" t="s">
        <v>15</v>
      </c>
      <c r="I165" s="1">
        <v>1</v>
      </c>
      <c r="J165" s="2">
        <v>301.72000000000003</v>
      </c>
    </row>
    <row r="166" spans="2:10" x14ac:dyDescent="0.2">
      <c r="B166" t="s">
        <v>531</v>
      </c>
      <c r="C166" t="s">
        <v>233</v>
      </c>
      <c r="D166" t="s">
        <v>532</v>
      </c>
      <c r="E166" t="s">
        <v>85</v>
      </c>
      <c r="F166" t="s">
        <v>86</v>
      </c>
      <c r="G166" t="s">
        <v>14</v>
      </c>
      <c r="H166" t="s">
        <v>87</v>
      </c>
      <c r="I166" s="1">
        <v>1</v>
      </c>
      <c r="J166" s="2">
        <v>301.72000000000003</v>
      </c>
    </row>
    <row r="167" spans="2:10" x14ac:dyDescent="0.2">
      <c r="B167" t="s">
        <v>531</v>
      </c>
      <c r="C167" t="s">
        <v>236</v>
      </c>
      <c r="D167" t="s">
        <v>532</v>
      </c>
      <c r="E167" t="s">
        <v>46</v>
      </c>
      <c r="F167" t="s">
        <v>47</v>
      </c>
      <c r="G167" t="s">
        <v>1034</v>
      </c>
      <c r="H167" t="s">
        <v>15</v>
      </c>
      <c r="I167" s="1">
        <v>1</v>
      </c>
      <c r="J167" s="2">
        <v>301.72000000000003</v>
      </c>
    </row>
    <row r="168" spans="2:10" x14ac:dyDescent="0.2">
      <c r="B168" t="s">
        <v>531</v>
      </c>
      <c r="C168" t="s">
        <v>236</v>
      </c>
      <c r="D168" t="s">
        <v>532</v>
      </c>
      <c r="E168" t="s">
        <v>559</v>
      </c>
      <c r="F168" t="s">
        <v>560</v>
      </c>
      <c r="G168" t="s">
        <v>1033</v>
      </c>
      <c r="H168" t="s">
        <v>30</v>
      </c>
      <c r="I168" s="1">
        <v>1</v>
      </c>
      <c r="J168" s="2">
        <v>1706.9</v>
      </c>
    </row>
    <row r="169" spans="2:10" x14ac:dyDescent="0.2">
      <c r="B169" t="s">
        <v>531</v>
      </c>
      <c r="C169" t="s">
        <v>236</v>
      </c>
      <c r="D169" t="s">
        <v>532</v>
      </c>
      <c r="E169" t="s">
        <v>36</v>
      </c>
      <c r="F169" t="s">
        <v>37</v>
      </c>
      <c r="G169" t="s">
        <v>1034</v>
      </c>
      <c r="H169" t="s">
        <v>15</v>
      </c>
      <c r="I169" s="1">
        <v>1</v>
      </c>
      <c r="J169" s="2">
        <v>301.72000000000003</v>
      </c>
    </row>
    <row r="170" spans="2:10" x14ac:dyDescent="0.2">
      <c r="B170" t="s">
        <v>531</v>
      </c>
      <c r="C170" t="s">
        <v>236</v>
      </c>
      <c r="D170" t="s">
        <v>532</v>
      </c>
      <c r="E170" t="s">
        <v>406</v>
      </c>
      <c r="F170" t="s">
        <v>407</v>
      </c>
      <c r="G170" t="s">
        <v>14</v>
      </c>
      <c r="H170" t="s">
        <v>104</v>
      </c>
      <c r="I170" s="1">
        <v>5</v>
      </c>
      <c r="J170" s="2">
        <v>86.2</v>
      </c>
    </row>
    <row r="171" spans="2:10" x14ac:dyDescent="0.2">
      <c r="B171" t="s">
        <v>531</v>
      </c>
      <c r="C171" t="s">
        <v>236</v>
      </c>
      <c r="D171" t="s">
        <v>532</v>
      </c>
      <c r="E171" t="s">
        <v>16</v>
      </c>
      <c r="F171" t="s">
        <v>17</v>
      </c>
      <c r="G171" t="s">
        <v>1034</v>
      </c>
      <c r="H171" t="s">
        <v>15</v>
      </c>
      <c r="I171" s="1">
        <v>2</v>
      </c>
      <c r="J171" s="2">
        <v>1155.18</v>
      </c>
    </row>
    <row r="172" spans="2:10" x14ac:dyDescent="0.2">
      <c r="B172" t="s">
        <v>531</v>
      </c>
      <c r="C172" t="s">
        <v>237</v>
      </c>
      <c r="D172" t="s">
        <v>130</v>
      </c>
      <c r="E172" t="s">
        <v>581</v>
      </c>
      <c r="F172" t="s">
        <v>582</v>
      </c>
      <c r="G172" t="s">
        <v>54</v>
      </c>
      <c r="H172" t="s">
        <v>439</v>
      </c>
      <c r="I172" s="1">
        <v>1</v>
      </c>
      <c r="J172" s="2">
        <v>150.86000000000001</v>
      </c>
    </row>
    <row r="173" spans="2:10" x14ac:dyDescent="0.2">
      <c r="B173" t="s">
        <v>531</v>
      </c>
      <c r="C173" t="s">
        <v>248</v>
      </c>
      <c r="D173" t="s">
        <v>532</v>
      </c>
      <c r="E173" t="s">
        <v>44</v>
      </c>
      <c r="F173" t="s">
        <v>45</v>
      </c>
      <c r="G173" t="s">
        <v>1033</v>
      </c>
      <c r="H173" t="s">
        <v>30</v>
      </c>
      <c r="I173" s="1">
        <v>1</v>
      </c>
      <c r="J173" s="2">
        <v>81.900000000000006</v>
      </c>
    </row>
    <row r="174" spans="2:10" x14ac:dyDescent="0.2">
      <c r="B174" t="s">
        <v>531</v>
      </c>
      <c r="C174" t="s">
        <v>248</v>
      </c>
      <c r="D174" t="s">
        <v>532</v>
      </c>
      <c r="E174" t="s">
        <v>201</v>
      </c>
      <c r="F174" t="s">
        <v>202</v>
      </c>
      <c r="G174" t="s">
        <v>1033</v>
      </c>
      <c r="H174" t="s">
        <v>30</v>
      </c>
      <c r="I174" s="1">
        <v>1</v>
      </c>
      <c r="J174" s="2">
        <v>948.28</v>
      </c>
    </row>
    <row r="175" spans="2:10" x14ac:dyDescent="0.2">
      <c r="B175" t="s">
        <v>531</v>
      </c>
      <c r="C175" t="s">
        <v>248</v>
      </c>
      <c r="D175" t="s">
        <v>532</v>
      </c>
      <c r="E175" t="s">
        <v>36</v>
      </c>
      <c r="F175" t="s">
        <v>37</v>
      </c>
      <c r="G175" t="s">
        <v>1034</v>
      </c>
      <c r="H175" t="s">
        <v>15</v>
      </c>
      <c r="I175" s="1">
        <v>1</v>
      </c>
      <c r="J175" s="2">
        <v>301.72000000000003</v>
      </c>
    </row>
    <row r="176" spans="2:10" x14ac:dyDescent="0.2">
      <c r="B176" t="s">
        <v>531</v>
      </c>
      <c r="C176" t="s">
        <v>248</v>
      </c>
      <c r="D176" t="s">
        <v>532</v>
      </c>
      <c r="E176" t="s">
        <v>231</v>
      </c>
      <c r="F176" t="s">
        <v>232</v>
      </c>
      <c r="G176" t="s">
        <v>43</v>
      </c>
      <c r="H176" t="s">
        <v>50</v>
      </c>
      <c r="I176" s="1">
        <v>1</v>
      </c>
      <c r="J176" s="2">
        <v>3017.24</v>
      </c>
    </row>
    <row r="177" spans="2:10" x14ac:dyDescent="0.2">
      <c r="B177" t="s">
        <v>531</v>
      </c>
      <c r="C177" t="s">
        <v>248</v>
      </c>
      <c r="D177" t="s">
        <v>532</v>
      </c>
      <c r="E177" t="s">
        <v>63</v>
      </c>
      <c r="F177" t="s">
        <v>64</v>
      </c>
      <c r="G177" t="s">
        <v>1034</v>
      </c>
      <c r="H177" t="s">
        <v>15</v>
      </c>
      <c r="I177" s="1">
        <v>1</v>
      </c>
      <c r="J177" s="2">
        <v>172.41</v>
      </c>
    </row>
    <row r="178" spans="2:10" x14ac:dyDescent="0.2">
      <c r="B178" t="s">
        <v>531</v>
      </c>
      <c r="C178" t="s">
        <v>248</v>
      </c>
      <c r="D178" t="s">
        <v>532</v>
      </c>
      <c r="E178" t="s">
        <v>16</v>
      </c>
      <c r="F178" t="s">
        <v>17</v>
      </c>
      <c r="G178" t="s">
        <v>1034</v>
      </c>
      <c r="H178" t="s">
        <v>15</v>
      </c>
      <c r="I178" s="1">
        <v>2</v>
      </c>
      <c r="J178" s="2">
        <v>1155.18</v>
      </c>
    </row>
    <row r="179" spans="2:10" x14ac:dyDescent="0.2">
      <c r="B179" t="s">
        <v>583</v>
      </c>
      <c r="C179" t="s">
        <v>227</v>
      </c>
      <c r="D179" t="s">
        <v>584</v>
      </c>
      <c r="E179" t="s">
        <v>46</v>
      </c>
      <c r="F179" t="s">
        <v>47</v>
      </c>
      <c r="G179" t="s">
        <v>1034</v>
      </c>
      <c r="H179" t="s">
        <v>15</v>
      </c>
      <c r="I179" s="1">
        <v>1</v>
      </c>
      <c r="J179" s="2">
        <v>301.72000000000003</v>
      </c>
    </row>
    <row r="180" spans="2:10" x14ac:dyDescent="0.2">
      <c r="B180" t="s">
        <v>583</v>
      </c>
      <c r="C180" t="s">
        <v>227</v>
      </c>
      <c r="D180" t="s">
        <v>584</v>
      </c>
      <c r="E180" t="s">
        <v>306</v>
      </c>
      <c r="F180" t="s">
        <v>307</v>
      </c>
      <c r="G180" t="s">
        <v>1033</v>
      </c>
      <c r="H180" t="s">
        <v>30</v>
      </c>
      <c r="I180" s="1">
        <v>1</v>
      </c>
      <c r="J180" s="2">
        <v>258.62</v>
      </c>
    </row>
    <row r="181" spans="2:10" x14ac:dyDescent="0.2">
      <c r="B181" t="s">
        <v>583</v>
      </c>
      <c r="C181" t="s">
        <v>227</v>
      </c>
      <c r="D181" t="s">
        <v>584</v>
      </c>
      <c r="E181" t="s">
        <v>419</v>
      </c>
      <c r="F181" t="s">
        <v>420</v>
      </c>
      <c r="G181" t="s">
        <v>14</v>
      </c>
      <c r="H181" t="s">
        <v>35</v>
      </c>
      <c r="I181" s="1">
        <v>1</v>
      </c>
      <c r="J181" s="2">
        <v>77.59</v>
      </c>
    </row>
    <row r="182" spans="2:10" x14ac:dyDescent="0.2">
      <c r="B182" t="s">
        <v>583</v>
      </c>
      <c r="C182" t="s">
        <v>227</v>
      </c>
      <c r="D182" t="s">
        <v>584</v>
      </c>
      <c r="E182" t="s">
        <v>249</v>
      </c>
      <c r="F182" t="s">
        <v>250</v>
      </c>
      <c r="G182" t="s">
        <v>1033</v>
      </c>
      <c r="H182" t="s">
        <v>30</v>
      </c>
      <c r="I182" s="1">
        <v>1</v>
      </c>
      <c r="J182" s="2">
        <v>517.24</v>
      </c>
    </row>
    <row r="183" spans="2:10" x14ac:dyDescent="0.2">
      <c r="B183" t="s">
        <v>583</v>
      </c>
      <c r="C183" t="s">
        <v>227</v>
      </c>
      <c r="D183" t="s">
        <v>584</v>
      </c>
      <c r="E183" t="s">
        <v>557</v>
      </c>
      <c r="F183" t="s">
        <v>558</v>
      </c>
      <c r="G183" t="s">
        <v>43</v>
      </c>
      <c r="H183" t="s">
        <v>403</v>
      </c>
      <c r="I183" s="1">
        <v>1</v>
      </c>
      <c r="J183" s="2">
        <v>159.47999999999999</v>
      </c>
    </row>
    <row r="184" spans="2:10" x14ac:dyDescent="0.2">
      <c r="B184" t="s">
        <v>583</v>
      </c>
      <c r="C184" t="s">
        <v>227</v>
      </c>
      <c r="D184" t="s">
        <v>584</v>
      </c>
      <c r="E184" t="s">
        <v>214</v>
      </c>
      <c r="F184" t="s">
        <v>215</v>
      </c>
      <c r="G184" t="s">
        <v>1034</v>
      </c>
      <c r="H184" t="s">
        <v>15</v>
      </c>
      <c r="I184" s="1">
        <v>1</v>
      </c>
      <c r="J184" s="2">
        <v>301.72000000000003</v>
      </c>
    </row>
    <row r="185" spans="2:10" x14ac:dyDescent="0.2">
      <c r="B185" t="s">
        <v>583</v>
      </c>
      <c r="C185" t="s">
        <v>227</v>
      </c>
      <c r="D185" t="s">
        <v>584</v>
      </c>
      <c r="E185" t="s">
        <v>406</v>
      </c>
      <c r="F185" t="s">
        <v>407</v>
      </c>
      <c r="G185" t="s">
        <v>14</v>
      </c>
      <c r="H185" t="s">
        <v>104</v>
      </c>
      <c r="I185" s="1">
        <v>5</v>
      </c>
      <c r="J185" s="2">
        <v>86.2</v>
      </c>
    </row>
    <row r="186" spans="2:10" x14ac:dyDescent="0.2">
      <c r="B186" t="s">
        <v>583</v>
      </c>
      <c r="C186" t="s">
        <v>227</v>
      </c>
      <c r="D186" t="s">
        <v>584</v>
      </c>
      <c r="E186" t="s">
        <v>61</v>
      </c>
      <c r="F186" t="s">
        <v>62</v>
      </c>
      <c r="G186" t="s">
        <v>1034</v>
      </c>
      <c r="H186" t="s">
        <v>15</v>
      </c>
      <c r="I186" s="1">
        <v>1</v>
      </c>
      <c r="J186" s="2">
        <v>172.41</v>
      </c>
    </row>
    <row r="187" spans="2:10" x14ac:dyDescent="0.2">
      <c r="B187" t="s">
        <v>583</v>
      </c>
      <c r="C187" t="s">
        <v>228</v>
      </c>
      <c r="D187" t="s">
        <v>130</v>
      </c>
      <c r="E187" t="s">
        <v>72</v>
      </c>
      <c r="F187" t="s">
        <v>73</v>
      </c>
      <c r="G187" t="s">
        <v>1034</v>
      </c>
      <c r="H187" t="s">
        <v>15</v>
      </c>
      <c r="I187" s="1">
        <v>1</v>
      </c>
      <c r="J187" s="2">
        <v>775.86</v>
      </c>
    </row>
    <row r="188" spans="2:10" x14ac:dyDescent="0.2">
      <c r="B188" t="s">
        <v>583</v>
      </c>
      <c r="C188" t="s">
        <v>228</v>
      </c>
      <c r="D188" t="s">
        <v>130</v>
      </c>
      <c r="E188" t="s">
        <v>223</v>
      </c>
      <c r="F188" t="s">
        <v>224</v>
      </c>
      <c r="G188" t="s">
        <v>43</v>
      </c>
      <c r="H188" t="s">
        <v>50</v>
      </c>
      <c r="I188" s="1">
        <v>1</v>
      </c>
      <c r="J188" s="2">
        <v>1637.93</v>
      </c>
    </row>
    <row r="189" spans="2:10" x14ac:dyDescent="0.2">
      <c r="B189" t="s">
        <v>583</v>
      </c>
      <c r="C189" t="s">
        <v>228</v>
      </c>
      <c r="D189" t="s">
        <v>130</v>
      </c>
      <c r="E189" t="s">
        <v>16</v>
      </c>
      <c r="F189" t="s">
        <v>17</v>
      </c>
      <c r="G189" t="s">
        <v>1034</v>
      </c>
      <c r="H189" t="s">
        <v>15</v>
      </c>
      <c r="I189" s="1">
        <v>1</v>
      </c>
      <c r="J189" s="2">
        <v>577.59</v>
      </c>
    </row>
    <row r="190" spans="2:10" x14ac:dyDescent="0.2">
      <c r="B190" t="s">
        <v>583</v>
      </c>
      <c r="C190" t="s">
        <v>233</v>
      </c>
      <c r="D190" t="s">
        <v>584</v>
      </c>
      <c r="E190" t="s">
        <v>611</v>
      </c>
      <c r="F190" t="s">
        <v>612</v>
      </c>
      <c r="G190" t="s">
        <v>1033</v>
      </c>
      <c r="H190" t="s">
        <v>30</v>
      </c>
      <c r="I190" s="1">
        <v>1</v>
      </c>
      <c r="J190" s="2">
        <v>793.1</v>
      </c>
    </row>
    <row r="191" spans="2:10" x14ac:dyDescent="0.2">
      <c r="B191" t="s">
        <v>583</v>
      </c>
      <c r="C191" t="s">
        <v>233</v>
      </c>
      <c r="D191" t="s">
        <v>584</v>
      </c>
      <c r="E191" t="s">
        <v>316</v>
      </c>
      <c r="F191" t="s">
        <v>317</v>
      </c>
      <c r="G191" t="s">
        <v>14</v>
      </c>
      <c r="H191" t="s">
        <v>27</v>
      </c>
      <c r="I191" s="1">
        <v>1</v>
      </c>
      <c r="J191" s="2">
        <v>413.79</v>
      </c>
    </row>
    <row r="192" spans="2:10" x14ac:dyDescent="0.2">
      <c r="B192" t="s">
        <v>583</v>
      </c>
      <c r="C192" t="s">
        <v>233</v>
      </c>
      <c r="D192" t="s">
        <v>584</v>
      </c>
      <c r="E192" t="s">
        <v>118</v>
      </c>
      <c r="F192" t="s">
        <v>119</v>
      </c>
      <c r="G192" t="s">
        <v>14</v>
      </c>
      <c r="H192" t="s">
        <v>27</v>
      </c>
      <c r="I192" s="1">
        <v>1</v>
      </c>
      <c r="J192" s="2">
        <v>379.31</v>
      </c>
    </row>
    <row r="193" spans="2:10" x14ac:dyDescent="0.2">
      <c r="B193" t="s">
        <v>583</v>
      </c>
      <c r="C193" t="s">
        <v>233</v>
      </c>
      <c r="D193" t="s">
        <v>584</v>
      </c>
      <c r="E193" t="s">
        <v>505</v>
      </c>
      <c r="F193" t="s">
        <v>506</v>
      </c>
      <c r="G193" t="s">
        <v>1033</v>
      </c>
      <c r="H193" t="s">
        <v>30</v>
      </c>
      <c r="I193" s="1">
        <v>1</v>
      </c>
      <c r="J193" s="2">
        <v>775.86</v>
      </c>
    </row>
    <row r="194" spans="2:10" x14ac:dyDescent="0.2">
      <c r="B194" t="s">
        <v>583</v>
      </c>
      <c r="C194" t="s">
        <v>233</v>
      </c>
      <c r="D194" t="s">
        <v>584</v>
      </c>
      <c r="E194" t="s">
        <v>16</v>
      </c>
      <c r="F194" t="s">
        <v>17</v>
      </c>
      <c r="G194" t="s">
        <v>1034</v>
      </c>
      <c r="H194" t="s">
        <v>15</v>
      </c>
      <c r="I194" s="1">
        <v>3</v>
      </c>
      <c r="J194" s="2">
        <v>1732.77</v>
      </c>
    </row>
    <row r="195" spans="2:10" x14ac:dyDescent="0.2">
      <c r="B195" t="s">
        <v>583</v>
      </c>
      <c r="C195" t="s">
        <v>236</v>
      </c>
      <c r="D195" t="s">
        <v>130</v>
      </c>
      <c r="E195" t="s">
        <v>352</v>
      </c>
      <c r="F195" t="s">
        <v>353</v>
      </c>
      <c r="G195" t="s">
        <v>1033</v>
      </c>
      <c r="H195" t="s">
        <v>30</v>
      </c>
      <c r="I195" s="1">
        <v>1</v>
      </c>
      <c r="J195" s="2">
        <v>1422.41</v>
      </c>
    </row>
    <row r="196" spans="2:10" x14ac:dyDescent="0.2">
      <c r="B196" t="s">
        <v>583</v>
      </c>
      <c r="C196" t="s">
        <v>236</v>
      </c>
      <c r="D196" t="s">
        <v>130</v>
      </c>
      <c r="E196" t="s">
        <v>267</v>
      </c>
      <c r="F196" t="s">
        <v>268</v>
      </c>
      <c r="G196" t="s">
        <v>1034</v>
      </c>
      <c r="H196" t="s">
        <v>15</v>
      </c>
      <c r="I196" s="1">
        <v>1</v>
      </c>
      <c r="J196" s="2">
        <v>258.62</v>
      </c>
    </row>
    <row r="197" spans="2:10" x14ac:dyDescent="0.2">
      <c r="B197" t="s">
        <v>583</v>
      </c>
      <c r="C197" t="s">
        <v>236</v>
      </c>
      <c r="D197" t="s">
        <v>130</v>
      </c>
      <c r="E197" t="s">
        <v>16</v>
      </c>
      <c r="F197" t="s">
        <v>17</v>
      </c>
      <c r="G197" t="s">
        <v>1034</v>
      </c>
      <c r="H197" t="s">
        <v>15</v>
      </c>
      <c r="I197" s="1">
        <v>1</v>
      </c>
      <c r="J197" s="2">
        <v>577.59</v>
      </c>
    </row>
    <row r="198" spans="2:10" x14ac:dyDescent="0.2">
      <c r="B198" t="s">
        <v>583</v>
      </c>
      <c r="C198" t="s">
        <v>237</v>
      </c>
      <c r="D198" t="s">
        <v>584</v>
      </c>
      <c r="E198" t="s">
        <v>44</v>
      </c>
      <c r="F198" t="s">
        <v>45</v>
      </c>
      <c r="G198" t="s">
        <v>1033</v>
      </c>
      <c r="H198" t="s">
        <v>30</v>
      </c>
      <c r="I198" s="1">
        <v>1</v>
      </c>
      <c r="J198" s="2">
        <v>81.900000000000006</v>
      </c>
    </row>
    <row r="199" spans="2:10" x14ac:dyDescent="0.2">
      <c r="B199" t="s">
        <v>583</v>
      </c>
      <c r="C199" t="s">
        <v>237</v>
      </c>
      <c r="D199" t="s">
        <v>584</v>
      </c>
      <c r="E199" t="s">
        <v>46</v>
      </c>
      <c r="F199" t="s">
        <v>47</v>
      </c>
      <c r="G199" t="s">
        <v>1034</v>
      </c>
      <c r="H199" t="s">
        <v>15</v>
      </c>
      <c r="I199" s="1">
        <v>1</v>
      </c>
      <c r="J199" s="2">
        <v>301.72000000000003</v>
      </c>
    </row>
    <row r="200" spans="2:10" x14ac:dyDescent="0.2">
      <c r="B200" t="s">
        <v>583</v>
      </c>
      <c r="C200" t="s">
        <v>237</v>
      </c>
      <c r="D200" t="s">
        <v>584</v>
      </c>
      <c r="E200" t="s">
        <v>613</v>
      </c>
      <c r="F200" t="s">
        <v>614</v>
      </c>
      <c r="G200" t="s">
        <v>1034</v>
      </c>
      <c r="H200" t="s">
        <v>15</v>
      </c>
      <c r="I200" s="1">
        <v>1</v>
      </c>
      <c r="J200" s="2">
        <v>431.03</v>
      </c>
    </row>
    <row r="201" spans="2:10" x14ac:dyDescent="0.2">
      <c r="B201" t="s">
        <v>583</v>
      </c>
      <c r="C201" t="s">
        <v>237</v>
      </c>
      <c r="D201" t="s">
        <v>584</v>
      </c>
      <c r="E201" t="s">
        <v>216</v>
      </c>
      <c r="F201" t="s">
        <v>217</v>
      </c>
      <c r="G201" t="s">
        <v>14</v>
      </c>
      <c r="H201" t="s">
        <v>104</v>
      </c>
      <c r="I201" s="1">
        <v>5</v>
      </c>
      <c r="J201" s="2">
        <v>86.2</v>
      </c>
    </row>
    <row r="202" spans="2:10" x14ac:dyDescent="0.2">
      <c r="B202" t="s">
        <v>583</v>
      </c>
      <c r="C202" t="s">
        <v>237</v>
      </c>
      <c r="D202" t="s">
        <v>584</v>
      </c>
      <c r="E202" t="s">
        <v>77</v>
      </c>
      <c r="F202" t="s">
        <v>78</v>
      </c>
      <c r="G202" t="s">
        <v>14</v>
      </c>
      <c r="H202" t="s">
        <v>27</v>
      </c>
      <c r="I202" s="1">
        <v>1</v>
      </c>
      <c r="J202" s="2">
        <v>51.72</v>
      </c>
    </row>
    <row r="203" spans="2:10" x14ac:dyDescent="0.2">
      <c r="B203" t="s">
        <v>583</v>
      </c>
      <c r="C203" t="s">
        <v>237</v>
      </c>
      <c r="D203" t="s">
        <v>584</v>
      </c>
      <c r="E203" t="s">
        <v>257</v>
      </c>
      <c r="F203" t="s">
        <v>258</v>
      </c>
      <c r="G203" t="s">
        <v>1033</v>
      </c>
      <c r="H203" t="s">
        <v>30</v>
      </c>
      <c r="I203" s="1">
        <v>1</v>
      </c>
      <c r="J203" s="2">
        <v>1577.59</v>
      </c>
    </row>
    <row r="204" spans="2:10" x14ac:dyDescent="0.2">
      <c r="B204" t="s">
        <v>583</v>
      </c>
      <c r="C204" t="s">
        <v>237</v>
      </c>
      <c r="D204" t="s">
        <v>584</v>
      </c>
      <c r="E204" t="s">
        <v>521</v>
      </c>
      <c r="F204" t="s">
        <v>522</v>
      </c>
      <c r="G204" t="s">
        <v>14</v>
      </c>
      <c r="H204" t="s">
        <v>104</v>
      </c>
      <c r="I204" s="1">
        <v>4</v>
      </c>
      <c r="J204" s="2">
        <v>86.2</v>
      </c>
    </row>
    <row r="205" spans="2:10" x14ac:dyDescent="0.2">
      <c r="B205" t="s">
        <v>583</v>
      </c>
      <c r="C205" t="s">
        <v>237</v>
      </c>
      <c r="D205" t="s">
        <v>584</v>
      </c>
      <c r="E205" t="s">
        <v>124</v>
      </c>
      <c r="F205" t="s">
        <v>125</v>
      </c>
      <c r="G205" t="s">
        <v>1034</v>
      </c>
      <c r="H205" t="s">
        <v>15</v>
      </c>
      <c r="I205" s="1">
        <v>1</v>
      </c>
      <c r="J205" s="2">
        <v>431.03</v>
      </c>
    </row>
    <row r="206" spans="2:10" x14ac:dyDescent="0.2">
      <c r="B206" t="s">
        <v>583</v>
      </c>
      <c r="C206" t="s">
        <v>237</v>
      </c>
      <c r="D206" t="s">
        <v>584</v>
      </c>
      <c r="E206" t="s">
        <v>16</v>
      </c>
      <c r="F206" t="s">
        <v>17</v>
      </c>
      <c r="G206" t="s">
        <v>1034</v>
      </c>
      <c r="H206" t="s">
        <v>15</v>
      </c>
      <c r="I206" s="1">
        <v>1</v>
      </c>
      <c r="J206" s="2">
        <v>577.59</v>
      </c>
    </row>
    <row r="207" spans="2:10" x14ac:dyDescent="0.2">
      <c r="B207" t="s">
        <v>583</v>
      </c>
      <c r="C207" t="s">
        <v>248</v>
      </c>
      <c r="D207" t="s">
        <v>584</v>
      </c>
      <c r="E207" t="s">
        <v>521</v>
      </c>
      <c r="F207" t="s">
        <v>522</v>
      </c>
      <c r="G207" t="s">
        <v>14</v>
      </c>
      <c r="H207" t="s">
        <v>104</v>
      </c>
      <c r="I207" s="1">
        <v>5</v>
      </c>
      <c r="J207" s="2">
        <v>107.75</v>
      </c>
    </row>
    <row r="208" spans="2:10" x14ac:dyDescent="0.2">
      <c r="B208" t="s">
        <v>583</v>
      </c>
      <c r="C208" t="s">
        <v>248</v>
      </c>
      <c r="D208" t="s">
        <v>584</v>
      </c>
      <c r="E208" t="s">
        <v>406</v>
      </c>
      <c r="F208" t="s">
        <v>407</v>
      </c>
      <c r="G208" t="s">
        <v>14</v>
      </c>
      <c r="H208" t="s">
        <v>104</v>
      </c>
      <c r="I208" s="1">
        <v>4</v>
      </c>
      <c r="J208" s="2">
        <v>68.959999999999994</v>
      </c>
    </row>
    <row r="209" spans="2:10" x14ac:dyDescent="0.2">
      <c r="B209" t="s">
        <v>583</v>
      </c>
      <c r="C209" t="s">
        <v>248</v>
      </c>
      <c r="D209" t="s">
        <v>584</v>
      </c>
      <c r="E209" t="s">
        <v>63</v>
      </c>
      <c r="F209" t="s">
        <v>64</v>
      </c>
      <c r="G209" t="s">
        <v>1034</v>
      </c>
      <c r="H209" t="s">
        <v>15</v>
      </c>
      <c r="I209" s="1">
        <v>1</v>
      </c>
      <c r="J209" s="2">
        <v>172.41</v>
      </c>
    </row>
    <row r="210" spans="2:10" x14ac:dyDescent="0.2">
      <c r="B210" t="s">
        <v>583</v>
      </c>
      <c r="C210" t="s">
        <v>248</v>
      </c>
      <c r="D210" t="s">
        <v>584</v>
      </c>
      <c r="E210" t="s">
        <v>16</v>
      </c>
      <c r="F210" t="s">
        <v>17</v>
      </c>
      <c r="G210" t="s">
        <v>1034</v>
      </c>
      <c r="H210" t="s">
        <v>15</v>
      </c>
      <c r="I210" s="1">
        <v>1</v>
      </c>
      <c r="J210" s="2">
        <v>577.59</v>
      </c>
    </row>
    <row r="211" spans="2:10" x14ac:dyDescent="0.2">
      <c r="B211" t="s">
        <v>583</v>
      </c>
      <c r="C211" t="s">
        <v>248</v>
      </c>
      <c r="D211" t="s">
        <v>584</v>
      </c>
      <c r="E211" t="s">
        <v>193</v>
      </c>
      <c r="F211" t="s">
        <v>194</v>
      </c>
      <c r="G211" t="s">
        <v>1034</v>
      </c>
      <c r="H211" t="s">
        <v>15</v>
      </c>
      <c r="I211" s="1">
        <v>1</v>
      </c>
      <c r="J211" s="2">
        <v>1293.0999999999999</v>
      </c>
    </row>
    <row r="212" spans="2:10" x14ac:dyDescent="0.2">
      <c r="B212" t="s">
        <v>615</v>
      </c>
      <c r="C212" t="s">
        <v>227</v>
      </c>
      <c r="D212" t="s">
        <v>616</v>
      </c>
      <c r="E212" t="s">
        <v>641</v>
      </c>
      <c r="F212" t="s">
        <v>642</v>
      </c>
      <c r="G212" t="s">
        <v>43</v>
      </c>
      <c r="H212" t="s">
        <v>643</v>
      </c>
      <c r="I212" s="1">
        <v>1</v>
      </c>
      <c r="J212" s="2">
        <v>3672.41</v>
      </c>
    </row>
    <row r="213" spans="2:10" x14ac:dyDescent="0.2">
      <c r="B213" t="s">
        <v>615</v>
      </c>
      <c r="C213" t="s">
        <v>227</v>
      </c>
      <c r="D213" t="s">
        <v>616</v>
      </c>
      <c r="E213" t="s">
        <v>644</v>
      </c>
      <c r="F213" t="s">
        <v>645</v>
      </c>
      <c r="G213" t="s">
        <v>1033</v>
      </c>
      <c r="H213" t="s">
        <v>30</v>
      </c>
      <c r="I213" s="1">
        <v>1</v>
      </c>
      <c r="J213" s="2">
        <v>431.03</v>
      </c>
    </row>
    <row r="214" spans="2:10" x14ac:dyDescent="0.2">
      <c r="B214" t="s">
        <v>615</v>
      </c>
      <c r="C214" t="s">
        <v>227</v>
      </c>
      <c r="D214" t="s">
        <v>616</v>
      </c>
      <c r="E214" t="s">
        <v>318</v>
      </c>
      <c r="F214" t="s">
        <v>319</v>
      </c>
      <c r="G214" t="s">
        <v>1033</v>
      </c>
      <c r="H214" t="s">
        <v>30</v>
      </c>
      <c r="I214" s="1">
        <v>1</v>
      </c>
      <c r="J214" s="2">
        <v>456.9</v>
      </c>
    </row>
    <row r="215" spans="2:10" x14ac:dyDescent="0.2">
      <c r="B215" t="s">
        <v>615</v>
      </c>
      <c r="C215" t="s">
        <v>227</v>
      </c>
      <c r="D215" t="s">
        <v>616</v>
      </c>
      <c r="E215" t="s">
        <v>646</v>
      </c>
      <c r="F215" t="s">
        <v>647</v>
      </c>
      <c r="G215" t="s">
        <v>43</v>
      </c>
      <c r="H215" t="s">
        <v>27</v>
      </c>
      <c r="I215" s="1">
        <v>1</v>
      </c>
      <c r="J215" s="2">
        <v>258.62</v>
      </c>
    </row>
    <row r="216" spans="2:10" x14ac:dyDescent="0.2">
      <c r="B216" t="s">
        <v>615</v>
      </c>
      <c r="C216" t="s">
        <v>227</v>
      </c>
      <c r="D216" t="s">
        <v>616</v>
      </c>
      <c r="E216" t="s">
        <v>61</v>
      </c>
      <c r="F216" t="s">
        <v>62</v>
      </c>
      <c r="G216" t="s">
        <v>1034</v>
      </c>
      <c r="H216" t="s">
        <v>15</v>
      </c>
      <c r="I216" s="1">
        <v>1</v>
      </c>
      <c r="J216" s="2">
        <v>172.41</v>
      </c>
    </row>
    <row r="217" spans="2:10" x14ac:dyDescent="0.2">
      <c r="B217" t="s">
        <v>615</v>
      </c>
      <c r="C217" t="s">
        <v>227</v>
      </c>
      <c r="D217" t="s">
        <v>616</v>
      </c>
      <c r="E217" t="s">
        <v>63</v>
      </c>
      <c r="F217" t="s">
        <v>64</v>
      </c>
      <c r="G217" t="s">
        <v>1034</v>
      </c>
      <c r="H217" t="s">
        <v>15</v>
      </c>
      <c r="I217" s="1">
        <v>1</v>
      </c>
      <c r="J217" s="2">
        <v>172.41</v>
      </c>
    </row>
    <row r="218" spans="2:10" x14ac:dyDescent="0.2">
      <c r="B218" t="s">
        <v>615</v>
      </c>
      <c r="C218" t="s">
        <v>228</v>
      </c>
      <c r="D218" t="s">
        <v>32</v>
      </c>
      <c r="E218" t="s">
        <v>401</v>
      </c>
      <c r="F218" t="s">
        <v>402</v>
      </c>
      <c r="G218" t="s">
        <v>43</v>
      </c>
      <c r="H218" t="s">
        <v>403</v>
      </c>
      <c r="I218" s="1">
        <v>1</v>
      </c>
      <c r="J218" s="2">
        <v>159.47999999999999</v>
      </c>
    </row>
    <row r="219" spans="2:10" x14ac:dyDescent="0.2">
      <c r="B219" t="s">
        <v>615</v>
      </c>
      <c r="C219" t="s">
        <v>228</v>
      </c>
      <c r="D219" t="s">
        <v>32</v>
      </c>
      <c r="E219" t="s">
        <v>38</v>
      </c>
      <c r="F219" t="s">
        <v>39</v>
      </c>
      <c r="G219" t="s">
        <v>1034</v>
      </c>
      <c r="H219" t="s">
        <v>15</v>
      </c>
      <c r="I219" s="1">
        <v>1</v>
      </c>
      <c r="J219" s="2">
        <v>431.03</v>
      </c>
    </row>
    <row r="220" spans="2:10" x14ac:dyDescent="0.2">
      <c r="B220" t="s">
        <v>615</v>
      </c>
      <c r="C220" t="s">
        <v>228</v>
      </c>
      <c r="D220" t="s">
        <v>32</v>
      </c>
      <c r="E220" t="s">
        <v>648</v>
      </c>
      <c r="F220" t="s">
        <v>649</v>
      </c>
      <c r="G220" t="s">
        <v>43</v>
      </c>
      <c r="H220" t="s">
        <v>27</v>
      </c>
      <c r="I220" s="1">
        <v>1</v>
      </c>
      <c r="J220" s="2">
        <v>948.28</v>
      </c>
    </row>
    <row r="221" spans="2:10" x14ac:dyDescent="0.2">
      <c r="B221" t="s">
        <v>615</v>
      </c>
      <c r="C221" t="s">
        <v>236</v>
      </c>
      <c r="D221" t="s">
        <v>616</v>
      </c>
      <c r="E221" t="s">
        <v>318</v>
      </c>
      <c r="F221" t="s">
        <v>319</v>
      </c>
      <c r="G221" t="s">
        <v>1033</v>
      </c>
      <c r="H221" t="s">
        <v>30</v>
      </c>
      <c r="I221" s="1">
        <v>1</v>
      </c>
      <c r="J221" s="2">
        <v>456.9</v>
      </c>
    </row>
    <row r="222" spans="2:10" x14ac:dyDescent="0.2">
      <c r="B222" t="s">
        <v>615</v>
      </c>
      <c r="C222" t="s">
        <v>236</v>
      </c>
      <c r="D222" t="s">
        <v>616</v>
      </c>
      <c r="E222" t="s">
        <v>650</v>
      </c>
      <c r="F222" t="s">
        <v>651</v>
      </c>
      <c r="G222" t="s">
        <v>43</v>
      </c>
      <c r="H222" t="s">
        <v>205</v>
      </c>
      <c r="I222" s="1">
        <v>1</v>
      </c>
      <c r="J222" s="2">
        <v>275.86</v>
      </c>
    </row>
    <row r="223" spans="2:10" x14ac:dyDescent="0.2">
      <c r="B223" t="s">
        <v>615</v>
      </c>
      <c r="C223" t="s">
        <v>236</v>
      </c>
      <c r="D223" t="s">
        <v>616</v>
      </c>
      <c r="E223" t="s">
        <v>56</v>
      </c>
      <c r="F223" t="s">
        <v>57</v>
      </c>
      <c r="G223" t="s">
        <v>1034</v>
      </c>
      <c r="H223" t="s">
        <v>15</v>
      </c>
      <c r="I223" s="1">
        <v>1</v>
      </c>
      <c r="J223" s="2">
        <v>431.03</v>
      </c>
    </row>
    <row r="224" spans="2:10" x14ac:dyDescent="0.2">
      <c r="B224" t="s">
        <v>615</v>
      </c>
      <c r="C224" t="s">
        <v>236</v>
      </c>
      <c r="D224" t="s">
        <v>616</v>
      </c>
      <c r="E224" t="s">
        <v>28</v>
      </c>
      <c r="F224" t="s">
        <v>29</v>
      </c>
      <c r="G224" t="s">
        <v>1033</v>
      </c>
      <c r="H224" t="s">
        <v>30</v>
      </c>
      <c r="I224" s="1">
        <v>1</v>
      </c>
      <c r="J224" s="2">
        <v>155.16999999999999</v>
      </c>
    </row>
    <row r="225" spans="2:10" x14ac:dyDescent="0.2">
      <c r="B225" t="s">
        <v>615</v>
      </c>
      <c r="C225" t="s">
        <v>237</v>
      </c>
      <c r="D225" t="s">
        <v>616</v>
      </c>
      <c r="E225" t="s">
        <v>122</v>
      </c>
      <c r="F225" t="s">
        <v>123</v>
      </c>
      <c r="G225" t="s">
        <v>1034</v>
      </c>
      <c r="H225" t="s">
        <v>15</v>
      </c>
      <c r="I225" s="1">
        <v>1</v>
      </c>
      <c r="J225" s="2">
        <v>387.93</v>
      </c>
    </row>
    <row r="226" spans="2:10" x14ac:dyDescent="0.2">
      <c r="B226" t="s">
        <v>615</v>
      </c>
      <c r="C226" t="s">
        <v>237</v>
      </c>
      <c r="D226" t="s">
        <v>616</v>
      </c>
      <c r="E226" t="s">
        <v>153</v>
      </c>
      <c r="F226" t="s">
        <v>154</v>
      </c>
      <c r="G226" t="s">
        <v>1034</v>
      </c>
      <c r="H226" t="s">
        <v>15</v>
      </c>
      <c r="I226" s="1">
        <v>1</v>
      </c>
      <c r="J226" s="2">
        <v>387.93</v>
      </c>
    </row>
    <row r="227" spans="2:10" x14ac:dyDescent="0.2">
      <c r="B227" t="s">
        <v>615</v>
      </c>
      <c r="C227" t="s">
        <v>237</v>
      </c>
      <c r="D227" t="s">
        <v>616</v>
      </c>
      <c r="E227" t="s">
        <v>61</v>
      </c>
      <c r="F227" t="s">
        <v>62</v>
      </c>
      <c r="G227" t="s">
        <v>1034</v>
      </c>
      <c r="H227" t="s">
        <v>15</v>
      </c>
      <c r="I227" s="1">
        <v>1</v>
      </c>
      <c r="J227" s="2">
        <v>172.41</v>
      </c>
    </row>
    <row r="228" spans="2:10" x14ac:dyDescent="0.2">
      <c r="B228" t="s">
        <v>615</v>
      </c>
      <c r="C228" t="s">
        <v>237</v>
      </c>
      <c r="D228" t="s">
        <v>616</v>
      </c>
      <c r="E228" t="s">
        <v>28</v>
      </c>
      <c r="F228" t="s">
        <v>29</v>
      </c>
      <c r="G228" t="s">
        <v>1033</v>
      </c>
      <c r="H228" t="s">
        <v>30</v>
      </c>
      <c r="I228" s="1">
        <v>1</v>
      </c>
      <c r="J228" s="2">
        <v>155.16999999999999</v>
      </c>
    </row>
    <row r="229" spans="2:10" x14ac:dyDescent="0.2">
      <c r="B229" t="s">
        <v>615</v>
      </c>
      <c r="C229" t="s">
        <v>248</v>
      </c>
      <c r="D229" t="s">
        <v>616</v>
      </c>
      <c r="E229" t="s">
        <v>169</v>
      </c>
      <c r="F229" t="s">
        <v>170</v>
      </c>
      <c r="G229" t="s">
        <v>1033</v>
      </c>
      <c r="H229" t="s">
        <v>30</v>
      </c>
      <c r="I229" s="1">
        <v>1</v>
      </c>
      <c r="J229" s="2">
        <v>258.62</v>
      </c>
    </row>
    <row r="230" spans="2:10" x14ac:dyDescent="0.2">
      <c r="B230" t="s">
        <v>615</v>
      </c>
      <c r="C230" t="s">
        <v>248</v>
      </c>
      <c r="D230" t="s">
        <v>616</v>
      </c>
      <c r="E230" t="s">
        <v>214</v>
      </c>
      <c r="F230" t="s">
        <v>215</v>
      </c>
      <c r="G230" t="s">
        <v>1034</v>
      </c>
      <c r="H230" t="s">
        <v>15</v>
      </c>
      <c r="I230" s="1">
        <v>2</v>
      </c>
      <c r="J230" s="2">
        <v>603.44000000000005</v>
      </c>
    </row>
    <row r="231" spans="2:10" x14ac:dyDescent="0.2">
      <c r="B231" t="s">
        <v>615</v>
      </c>
      <c r="C231" t="s">
        <v>248</v>
      </c>
      <c r="D231" t="s">
        <v>616</v>
      </c>
      <c r="E231" t="s">
        <v>16</v>
      </c>
      <c r="F231" t="s">
        <v>17</v>
      </c>
      <c r="G231" t="s">
        <v>1034</v>
      </c>
      <c r="H231" t="s">
        <v>15</v>
      </c>
      <c r="I231" s="1">
        <v>1</v>
      </c>
      <c r="J231" s="2">
        <v>577.59</v>
      </c>
    </row>
    <row r="232" spans="2:10" x14ac:dyDescent="0.2">
      <c r="B232" t="s">
        <v>615</v>
      </c>
      <c r="C232" t="s">
        <v>248</v>
      </c>
      <c r="D232" t="s">
        <v>616</v>
      </c>
      <c r="E232" t="s">
        <v>652</v>
      </c>
      <c r="F232" t="s">
        <v>653</v>
      </c>
      <c r="G232" t="s">
        <v>54</v>
      </c>
      <c r="H232" t="s">
        <v>138</v>
      </c>
      <c r="I232" s="1">
        <v>1</v>
      </c>
      <c r="J232" s="2">
        <v>133.62</v>
      </c>
    </row>
    <row r="233" spans="2:10" x14ac:dyDescent="0.2">
      <c r="B233" t="s">
        <v>654</v>
      </c>
      <c r="C233" t="s">
        <v>227</v>
      </c>
      <c r="D233" t="s">
        <v>655</v>
      </c>
      <c r="E233" t="s">
        <v>36</v>
      </c>
      <c r="F233" t="s">
        <v>37</v>
      </c>
      <c r="G233" t="s">
        <v>1034</v>
      </c>
      <c r="H233" t="s">
        <v>15</v>
      </c>
      <c r="I233" s="1">
        <v>1</v>
      </c>
      <c r="J233" s="2">
        <v>301.72000000000003</v>
      </c>
    </row>
    <row r="234" spans="2:10" x14ac:dyDescent="0.2">
      <c r="B234" t="s">
        <v>654</v>
      </c>
      <c r="C234" t="s">
        <v>227</v>
      </c>
      <c r="D234" t="s">
        <v>655</v>
      </c>
      <c r="E234" t="s">
        <v>679</v>
      </c>
      <c r="F234" t="s">
        <v>680</v>
      </c>
      <c r="G234" t="s">
        <v>1033</v>
      </c>
      <c r="H234" t="s">
        <v>30</v>
      </c>
      <c r="I234" s="1">
        <v>1</v>
      </c>
      <c r="J234" s="2">
        <v>1293.0999999999999</v>
      </c>
    </row>
    <row r="235" spans="2:10" x14ac:dyDescent="0.2">
      <c r="B235" t="s">
        <v>654</v>
      </c>
      <c r="C235" t="s">
        <v>227</v>
      </c>
      <c r="D235" t="s">
        <v>655</v>
      </c>
      <c r="E235" t="s">
        <v>406</v>
      </c>
      <c r="F235" t="s">
        <v>407</v>
      </c>
      <c r="G235" t="s">
        <v>14</v>
      </c>
      <c r="H235" t="s">
        <v>104</v>
      </c>
      <c r="I235" s="1">
        <v>6</v>
      </c>
      <c r="J235" s="2">
        <v>103.44</v>
      </c>
    </row>
    <row r="236" spans="2:10" x14ac:dyDescent="0.2">
      <c r="B236" t="s">
        <v>654</v>
      </c>
      <c r="C236" t="s">
        <v>228</v>
      </c>
      <c r="D236" t="s">
        <v>655</v>
      </c>
      <c r="E236" t="s">
        <v>36</v>
      </c>
      <c r="F236" t="s">
        <v>37</v>
      </c>
      <c r="G236" t="s">
        <v>1034</v>
      </c>
      <c r="H236" t="s">
        <v>15</v>
      </c>
      <c r="I236" s="1">
        <v>1</v>
      </c>
      <c r="J236" s="2">
        <v>301.72000000000003</v>
      </c>
    </row>
    <row r="237" spans="2:10" x14ac:dyDescent="0.2">
      <c r="B237" t="s">
        <v>654</v>
      </c>
      <c r="C237" t="s">
        <v>228</v>
      </c>
      <c r="D237" t="s">
        <v>655</v>
      </c>
      <c r="E237" t="s">
        <v>406</v>
      </c>
      <c r="F237" t="s">
        <v>407</v>
      </c>
      <c r="G237" t="s">
        <v>14</v>
      </c>
      <c r="H237" t="s">
        <v>104</v>
      </c>
      <c r="I237" s="1">
        <v>1</v>
      </c>
      <c r="J237" s="2">
        <v>17.239999999999998</v>
      </c>
    </row>
    <row r="238" spans="2:10" x14ac:dyDescent="0.2">
      <c r="B238" t="s">
        <v>654</v>
      </c>
      <c r="C238" t="s">
        <v>228</v>
      </c>
      <c r="D238" t="s">
        <v>655</v>
      </c>
      <c r="E238" t="s">
        <v>61</v>
      </c>
      <c r="F238" t="s">
        <v>62</v>
      </c>
      <c r="G238" t="s">
        <v>1034</v>
      </c>
      <c r="H238" t="s">
        <v>15</v>
      </c>
      <c r="I238" s="1">
        <v>1</v>
      </c>
      <c r="J238" s="2">
        <v>172.41</v>
      </c>
    </row>
    <row r="239" spans="2:10" x14ac:dyDescent="0.2">
      <c r="B239" t="s">
        <v>654</v>
      </c>
      <c r="C239" t="s">
        <v>228</v>
      </c>
      <c r="D239" t="s">
        <v>655</v>
      </c>
      <c r="E239" t="s">
        <v>28</v>
      </c>
      <c r="F239" t="s">
        <v>29</v>
      </c>
      <c r="G239" t="s">
        <v>1033</v>
      </c>
      <c r="H239" t="s">
        <v>30</v>
      </c>
      <c r="I239" s="1">
        <v>1</v>
      </c>
      <c r="J239" s="2">
        <v>155.16999999999999</v>
      </c>
    </row>
    <row r="240" spans="2:10" x14ac:dyDescent="0.2">
      <c r="B240" t="s">
        <v>654</v>
      </c>
      <c r="C240" t="s">
        <v>233</v>
      </c>
      <c r="D240" t="s">
        <v>655</v>
      </c>
      <c r="E240" t="s">
        <v>44</v>
      </c>
      <c r="F240" t="s">
        <v>45</v>
      </c>
      <c r="G240" t="s">
        <v>1033</v>
      </c>
      <c r="H240" t="s">
        <v>30</v>
      </c>
      <c r="I240" s="1">
        <v>1</v>
      </c>
      <c r="J240" s="2">
        <v>81.900000000000006</v>
      </c>
    </row>
    <row r="241" spans="2:10" x14ac:dyDescent="0.2">
      <c r="B241" t="s">
        <v>654</v>
      </c>
      <c r="C241" t="s">
        <v>233</v>
      </c>
      <c r="D241" t="s">
        <v>655</v>
      </c>
      <c r="E241" t="s">
        <v>36</v>
      </c>
      <c r="F241" t="s">
        <v>37</v>
      </c>
      <c r="G241" t="s">
        <v>1034</v>
      </c>
      <c r="H241" t="s">
        <v>15</v>
      </c>
      <c r="I241" s="1">
        <v>1</v>
      </c>
      <c r="J241" s="2">
        <v>301.72000000000003</v>
      </c>
    </row>
    <row r="242" spans="2:10" x14ac:dyDescent="0.2">
      <c r="B242" t="s">
        <v>654</v>
      </c>
      <c r="C242" t="s">
        <v>236</v>
      </c>
      <c r="D242" t="s">
        <v>655</v>
      </c>
      <c r="E242" t="s">
        <v>41</v>
      </c>
      <c r="F242" t="s">
        <v>42</v>
      </c>
      <c r="G242" t="s">
        <v>1033</v>
      </c>
      <c r="H242" t="s">
        <v>30</v>
      </c>
      <c r="I242" s="1">
        <v>3</v>
      </c>
      <c r="J242" s="2">
        <v>103.44999999999999</v>
      </c>
    </row>
    <row r="243" spans="2:10" x14ac:dyDescent="0.2">
      <c r="B243" t="s">
        <v>654</v>
      </c>
      <c r="C243" t="s">
        <v>236</v>
      </c>
      <c r="D243" t="s">
        <v>655</v>
      </c>
      <c r="E243" t="s">
        <v>44</v>
      </c>
      <c r="F243" t="s">
        <v>45</v>
      </c>
      <c r="G243" t="s">
        <v>1033</v>
      </c>
      <c r="H243" t="s">
        <v>30</v>
      </c>
      <c r="I243" s="1">
        <v>1</v>
      </c>
      <c r="J243" s="2">
        <v>81.900000000000006</v>
      </c>
    </row>
    <row r="244" spans="2:10" x14ac:dyDescent="0.2">
      <c r="B244" t="s">
        <v>654</v>
      </c>
      <c r="C244" t="s">
        <v>236</v>
      </c>
      <c r="D244" t="s">
        <v>655</v>
      </c>
      <c r="E244" t="s">
        <v>368</v>
      </c>
      <c r="F244" t="s">
        <v>369</v>
      </c>
      <c r="G244" t="s">
        <v>1033</v>
      </c>
      <c r="H244" t="s">
        <v>30</v>
      </c>
      <c r="I244" s="1">
        <v>1</v>
      </c>
      <c r="J244" s="2">
        <v>612.07000000000005</v>
      </c>
    </row>
    <row r="245" spans="2:10" x14ac:dyDescent="0.2">
      <c r="B245" t="s">
        <v>654</v>
      </c>
      <c r="C245" t="s">
        <v>236</v>
      </c>
      <c r="D245" t="s">
        <v>655</v>
      </c>
      <c r="E245" t="s">
        <v>214</v>
      </c>
      <c r="F245" t="s">
        <v>215</v>
      </c>
      <c r="G245" t="s">
        <v>1034</v>
      </c>
      <c r="H245" t="s">
        <v>15</v>
      </c>
      <c r="I245" s="1">
        <v>1</v>
      </c>
      <c r="J245" s="2">
        <v>301.72000000000003</v>
      </c>
    </row>
    <row r="246" spans="2:10" x14ac:dyDescent="0.2">
      <c r="B246" t="s">
        <v>654</v>
      </c>
      <c r="C246" t="s">
        <v>236</v>
      </c>
      <c r="D246" t="s">
        <v>655</v>
      </c>
      <c r="E246" t="s">
        <v>83</v>
      </c>
      <c r="F246" t="s">
        <v>84</v>
      </c>
      <c r="G246" t="s">
        <v>1034</v>
      </c>
      <c r="H246" t="s">
        <v>15</v>
      </c>
      <c r="I246" s="1">
        <v>1</v>
      </c>
      <c r="J246" s="2">
        <v>387.93</v>
      </c>
    </row>
    <row r="247" spans="2:10" x14ac:dyDescent="0.2">
      <c r="B247" t="s">
        <v>654</v>
      </c>
      <c r="C247" t="s">
        <v>236</v>
      </c>
      <c r="D247" t="s">
        <v>655</v>
      </c>
      <c r="E247" t="s">
        <v>354</v>
      </c>
      <c r="F247" t="s">
        <v>355</v>
      </c>
      <c r="G247" t="s">
        <v>1033</v>
      </c>
      <c r="H247" t="s">
        <v>30</v>
      </c>
      <c r="I247" s="1">
        <v>1</v>
      </c>
      <c r="J247" s="2">
        <v>2543.1</v>
      </c>
    </row>
    <row r="248" spans="2:10" x14ac:dyDescent="0.2">
      <c r="B248" t="s">
        <v>654</v>
      </c>
      <c r="C248" t="s">
        <v>236</v>
      </c>
      <c r="D248" t="s">
        <v>655</v>
      </c>
      <c r="E248" t="s">
        <v>521</v>
      </c>
      <c r="F248" t="s">
        <v>522</v>
      </c>
      <c r="G248" t="s">
        <v>14</v>
      </c>
      <c r="H248" t="s">
        <v>104</v>
      </c>
      <c r="I248" s="1">
        <v>5</v>
      </c>
      <c r="J248" s="2">
        <v>107.75</v>
      </c>
    </row>
    <row r="249" spans="2:10" x14ac:dyDescent="0.2">
      <c r="B249" t="s">
        <v>654</v>
      </c>
      <c r="C249" t="s">
        <v>236</v>
      </c>
      <c r="D249" t="s">
        <v>655</v>
      </c>
      <c r="E249" t="s">
        <v>61</v>
      </c>
      <c r="F249" t="s">
        <v>62</v>
      </c>
      <c r="G249" t="s">
        <v>1034</v>
      </c>
      <c r="H249" t="s">
        <v>15</v>
      </c>
      <c r="I249" s="1">
        <v>1</v>
      </c>
      <c r="J249" s="2">
        <v>172.41</v>
      </c>
    </row>
    <row r="250" spans="2:10" x14ac:dyDescent="0.2">
      <c r="B250" t="s">
        <v>654</v>
      </c>
      <c r="C250" t="s">
        <v>236</v>
      </c>
      <c r="D250" t="s">
        <v>655</v>
      </c>
      <c r="E250" t="s">
        <v>63</v>
      </c>
      <c r="F250" t="s">
        <v>64</v>
      </c>
      <c r="G250" t="s">
        <v>1034</v>
      </c>
      <c r="H250" t="s">
        <v>15</v>
      </c>
      <c r="I250" s="1">
        <v>1</v>
      </c>
      <c r="J250" s="2">
        <v>172.41</v>
      </c>
    </row>
    <row r="251" spans="2:10" x14ac:dyDescent="0.2">
      <c r="B251" t="s">
        <v>654</v>
      </c>
      <c r="C251" t="s">
        <v>236</v>
      </c>
      <c r="D251" t="s">
        <v>655</v>
      </c>
      <c r="E251" t="s">
        <v>310</v>
      </c>
      <c r="F251" t="s">
        <v>681</v>
      </c>
      <c r="G251" t="s">
        <v>1033</v>
      </c>
      <c r="H251" t="s">
        <v>30</v>
      </c>
      <c r="I251" s="1">
        <v>1</v>
      </c>
      <c r="J251" s="2">
        <v>258.62</v>
      </c>
    </row>
    <row r="252" spans="2:10" x14ac:dyDescent="0.2">
      <c r="B252" t="s">
        <v>654</v>
      </c>
      <c r="C252" t="s">
        <v>236</v>
      </c>
      <c r="D252" t="s">
        <v>655</v>
      </c>
      <c r="E252" t="s">
        <v>682</v>
      </c>
      <c r="F252" t="s">
        <v>683</v>
      </c>
      <c r="G252" t="s">
        <v>14</v>
      </c>
      <c r="H252" t="s">
        <v>684</v>
      </c>
      <c r="I252" s="1">
        <v>1</v>
      </c>
      <c r="J252" s="2">
        <v>775.86</v>
      </c>
    </row>
    <row r="253" spans="2:10" x14ac:dyDescent="0.2">
      <c r="B253" t="s">
        <v>654</v>
      </c>
      <c r="C253" t="s">
        <v>237</v>
      </c>
      <c r="D253" t="s">
        <v>655</v>
      </c>
      <c r="E253" t="s">
        <v>44</v>
      </c>
      <c r="F253" t="s">
        <v>45</v>
      </c>
      <c r="G253" t="s">
        <v>1033</v>
      </c>
      <c r="H253" t="s">
        <v>30</v>
      </c>
      <c r="I253" s="1">
        <v>2</v>
      </c>
      <c r="J253" s="2">
        <v>163.80000000000001</v>
      </c>
    </row>
    <row r="254" spans="2:10" x14ac:dyDescent="0.2">
      <c r="B254" t="s">
        <v>654</v>
      </c>
      <c r="C254" t="s">
        <v>237</v>
      </c>
      <c r="D254" t="s">
        <v>655</v>
      </c>
      <c r="E254" t="s">
        <v>36</v>
      </c>
      <c r="F254" t="s">
        <v>37</v>
      </c>
      <c r="G254" t="s">
        <v>1034</v>
      </c>
      <c r="H254" t="s">
        <v>15</v>
      </c>
      <c r="I254" s="1">
        <v>1</v>
      </c>
      <c r="J254" s="2">
        <v>301.72000000000003</v>
      </c>
    </row>
    <row r="255" spans="2:10" x14ac:dyDescent="0.2">
      <c r="B255" t="s">
        <v>654</v>
      </c>
      <c r="C255" t="s">
        <v>237</v>
      </c>
      <c r="D255" t="s">
        <v>655</v>
      </c>
      <c r="E255" t="s">
        <v>153</v>
      </c>
      <c r="F255" t="s">
        <v>154</v>
      </c>
      <c r="G255" t="s">
        <v>1034</v>
      </c>
      <c r="H255" t="s">
        <v>15</v>
      </c>
      <c r="I255" s="1">
        <v>1</v>
      </c>
      <c r="J255" s="2">
        <v>387.93</v>
      </c>
    </row>
    <row r="256" spans="2:10" x14ac:dyDescent="0.2">
      <c r="B256" t="s">
        <v>654</v>
      </c>
      <c r="C256" t="s">
        <v>237</v>
      </c>
      <c r="D256" t="s">
        <v>655</v>
      </c>
      <c r="E256" t="s">
        <v>61</v>
      </c>
      <c r="F256" t="s">
        <v>62</v>
      </c>
      <c r="G256" t="s">
        <v>1034</v>
      </c>
      <c r="H256" t="s">
        <v>15</v>
      </c>
      <c r="I256" s="1">
        <v>1</v>
      </c>
      <c r="J256" s="2">
        <v>172.41</v>
      </c>
    </row>
    <row r="257" spans="2:10" x14ac:dyDescent="0.2">
      <c r="B257" t="s">
        <v>654</v>
      </c>
      <c r="C257" t="s">
        <v>248</v>
      </c>
      <c r="D257" t="s">
        <v>655</v>
      </c>
      <c r="E257" t="s">
        <v>685</v>
      </c>
      <c r="F257" t="s">
        <v>686</v>
      </c>
      <c r="G257" t="s">
        <v>14</v>
      </c>
      <c r="H257" t="s">
        <v>27</v>
      </c>
      <c r="I257" s="1">
        <v>1</v>
      </c>
      <c r="J257" s="2">
        <v>448.28</v>
      </c>
    </row>
    <row r="258" spans="2:10" x14ac:dyDescent="0.2">
      <c r="B258" t="s">
        <v>654</v>
      </c>
      <c r="C258" t="s">
        <v>248</v>
      </c>
      <c r="D258" t="s">
        <v>655</v>
      </c>
      <c r="E258" t="s">
        <v>44</v>
      </c>
      <c r="F258" t="s">
        <v>45</v>
      </c>
      <c r="G258" t="s">
        <v>1033</v>
      </c>
      <c r="H258" t="s">
        <v>30</v>
      </c>
      <c r="I258" s="1">
        <v>1</v>
      </c>
      <c r="J258" s="2">
        <v>81.900000000000006</v>
      </c>
    </row>
    <row r="259" spans="2:10" x14ac:dyDescent="0.2">
      <c r="B259" t="s">
        <v>654</v>
      </c>
      <c r="C259" t="s">
        <v>248</v>
      </c>
      <c r="D259" t="s">
        <v>655</v>
      </c>
      <c r="E259" t="s">
        <v>494</v>
      </c>
      <c r="F259" t="s">
        <v>495</v>
      </c>
      <c r="G259" t="s">
        <v>1033</v>
      </c>
      <c r="H259" t="s">
        <v>30</v>
      </c>
      <c r="I259" s="1">
        <v>1</v>
      </c>
      <c r="J259" s="2">
        <v>301.72000000000003</v>
      </c>
    </row>
    <row r="260" spans="2:10" x14ac:dyDescent="0.2">
      <c r="B260" t="s">
        <v>654</v>
      </c>
      <c r="C260" t="s">
        <v>248</v>
      </c>
      <c r="D260" t="s">
        <v>655</v>
      </c>
      <c r="E260" t="s">
        <v>36</v>
      </c>
      <c r="F260" t="s">
        <v>37</v>
      </c>
      <c r="G260" t="s">
        <v>1034</v>
      </c>
      <c r="H260" t="s">
        <v>15</v>
      </c>
      <c r="I260" s="1">
        <v>2</v>
      </c>
      <c r="J260" s="2">
        <v>603.44000000000005</v>
      </c>
    </row>
    <row r="261" spans="2:10" x14ac:dyDescent="0.2">
      <c r="B261" t="s">
        <v>654</v>
      </c>
      <c r="C261" t="s">
        <v>248</v>
      </c>
      <c r="D261" t="s">
        <v>655</v>
      </c>
      <c r="E261" t="s">
        <v>216</v>
      </c>
      <c r="F261" t="s">
        <v>217</v>
      </c>
      <c r="G261" t="s">
        <v>14</v>
      </c>
      <c r="H261" t="s">
        <v>104</v>
      </c>
      <c r="I261" s="1">
        <v>1</v>
      </c>
      <c r="J261" s="2">
        <v>17.239999999999998</v>
      </c>
    </row>
    <row r="262" spans="2:10" x14ac:dyDescent="0.2">
      <c r="B262" t="s">
        <v>654</v>
      </c>
      <c r="C262" t="s">
        <v>248</v>
      </c>
      <c r="D262" t="s">
        <v>655</v>
      </c>
      <c r="E262" t="s">
        <v>687</v>
      </c>
      <c r="F262" t="s">
        <v>688</v>
      </c>
      <c r="G262" t="s">
        <v>43</v>
      </c>
      <c r="H262" t="s">
        <v>50</v>
      </c>
      <c r="I262" s="1">
        <v>1</v>
      </c>
      <c r="J262" s="2">
        <v>181.03</v>
      </c>
    </row>
    <row r="263" spans="2:10" x14ac:dyDescent="0.2">
      <c r="B263" t="s">
        <v>654</v>
      </c>
      <c r="C263" t="s">
        <v>248</v>
      </c>
      <c r="D263" t="s">
        <v>655</v>
      </c>
      <c r="E263" t="s">
        <v>61</v>
      </c>
      <c r="F263" t="s">
        <v>62</v>
      </c>
      <c r="G263" t="s">
        <v>1034</v>
      </c>
      <c r="H263" t="s">
        <v>15</v>
      </c>
      <c r="I263" s="1">
        <v>3</v>
      </c>
      <c r="J263" s="2">
        <v>517.23</v>
      </c>
    </row>
    <row r="264" spans="2:10" x14ac:dyDescent="0.2">
      <c r="B264" t="s">
        <v>654</v>
      </c>
      <c r="C264" t="s">
        <v>248</v>
      </c>
      <c r="D264" t="s">
        <v>655</v>
      </c>
      <c r="E264" t="s">
        <v>275</v>
      </c>
      <c r="F264" t="s">
        <v>689</v>
      </c>
      <c r="G264" t="s">
        <v>1033</v>
      </c>
      <c r="H264" t="s">
        <v>30</v>
      </c>
      <c r="I264" s="1">
        <v>1</v>
      </c>
      <c r="J264" s="2">
        <v>448.28</v>
      </c>
    </row>
    <row r="265" spans="2:10" x14ac:dyDescent="0.2">
      <c r="B265" t="s">
        <v>654</v>
      </c>
      <c r="C265" t="s">
        <v>248</v>
      </c>
      <c r="D265" t="s">
        <v>655</v>
      </c>
      <c r="E265" t="s">
        <v>28</v>
      </c>
      <c r="F265" t="s">
        <v>29</v>
      </c>
      <c r="G265" t="s">
        <v>1033</v>
      </c>
      <c r="H265" t="s">
        <v>30</v>
      </c>
      <c r="I265" s="1">
        <v>1</v>
      </c>
      <c r="J265" s="2">
        <v>155.16999999999999</v>
      </c>
    </row>
    <row r="266" spans="2:10" x14ac:dyDescent="0.2">
      <c r="B266" t="s">
        <v>690</v>
      </c>
      <c r="C266" t="s">
        <v>227</v>
      </c>
      <c r="D266" t="s">
        <v>691</v>
      </c>
      <c r="E266" t="s">
        <v>149</v>
      </c>
      <c r="F266" t="s">
        <v>150</v>
      </c>
      <c r="G266" t="s">
        <v>43</v>
      </c>
      <c r="H266" t="s">
        <v>50</v>
      </c>
      <c r="I266" s="1">
        <v>1</v>
      </c>
      <c r="J266" s="2">
        <v>3017.24</v>
      </c>
    </row>
    <row r="267" spans="2:10" x14ac:dyDescent="0.2">
      <c r="B267" t="s">
        <v>690</v>
      </c>
      <c r="C267" t="s">
        <v>227</v>
      </c>
      <c r="D267" t="s">
        <v>691</v>
      </c>
      <c r="E267" t="s">
        <v>358</v>
      </c>
      <c r="F267" t="s">
        <v>359</v>
      </c>
      <c r="G267" t="s">
        <v>1033</v>
      </c>
      <c r="H267" t="s">
        <v>30</v>
      </c>
      <c r="I267" s="1">
        <v>1</v>
      </c>
      <c r="J267" s="2">
        <v>1500</v>
      </c>
    </row>
    <row r="268" spans="2:10" x14ac:dyDescent="0.2">
      <c r="B268" t="s">
        <v>690</v>
      </c>
      <c r="C268" t="s">
        <v>227</v>
      </c>
      <c r="D268" t="s">
        <v>691</v>
      </c>
      <c r="E268" t="s">
        <v>36</v>
      </c>
      <c r="F268" t="s">
        <v>37</v>
      </c>
      <c r="G268" t="s">
        <v>1034</v>
      </c>
      <c r="H268" t="s">
        <v>15</v>
      </c>
      <c r="I268" s="1">
        <v>1</v>
      </c>
      <c r="J268" s="2">
        <v>301.72000000000003</v>
      </c>
    </row>
    <row r="269" spans="2:10" x14ac:dyDescent="0.2">
      <c r="B269" t="s">
        <v>690</v>
      </c>
      <c r="C269" t="s">
        <v>227</v>
      </c>
      <c r="D269" t="s">
        <v>691</v>
      </c>
      <c r="E269" t="s">
        <v>72</v>
      </c>
      <c r="F269" t="s">
        <v>73</v>
      </c>
      <c r="G269" t="s">
        <v>1034</v>
      </c>
      <c r="H269" t="s">
        <v>15</v>
      </c>
      <c r="I269" s="1">
        <v>1</v>
      </c>
      <c r="J269" s="2">
        <v>775.86</v>
      </c>
    </row>
    <row r="270" spans="2:10" x14ac:dyDescent="0.2">
      <c r="B270" t="s">
        <v>690</v>
      </c>
      <c r="C270" t="s">
        <v>227</v>
      </c>
      <c r="D270" t="s">
        <v>691</v>
      </c>
      <c r="E270" t="s">
        <v>56</v>
      </c>
      <c r="F270" t="s">
        <v>57</v>
      </c>
      <c r="G270" t="s">
        <v>1034</v>
      </c>
      <c r="H270" t="s">
        <v>15</v>
      </c>
      <c r="I270" s="1">
        <v>20</v>
      </c>
      <c r="J270" s="2">
        <v>8620.69</v>
      </c>
    </row>
    <row r="271" spans="2:10" x14ac:dyDescent="0.2">
      <c r="B271" t="s">
        <v>690</v>
      </c>
      <c r="C271" t="s">
        <v>228</v>
      </c>
      <c r="D271" t="s">
        <v>691</v>
      </c>
      <c r="E271" t="s">
        <v>167</v>
      </c>
      <c r="F271" t="s">
        <v>168</v>
      </c>
      <c r="G271" t="s">
        <v>1033</v>
      </c>
      <c r="H271" t="s">
        <v>30</v>
      </c>
      <c r="I271" s="1">
        <v>1</v>
      </c>
      <c r="J271" s="2">
        <v>1267.24</v>
      </c>
    </row>
    <row r="272" spans="2:10" x14ac:dyDescent="0.2">
      <c r="B272" t="s">
        <v>690</v>
      </c>
      <c r="C272" t="s">
        <v>228</v>
      </c>
      <c r="D272" t="s">
        <v>691</v>
      </c>
      <c r="E272" t="s">
        <v>122</v>
      </c>
      <c r="F272" t="s">
        <v>123</v>
      </c>
      <c r="G272" t="s">
        <v>1034</v>
      </c>
      <c r="H272" t="s">
        <v>15</v>
      </c>
      <c r="I272" s="1">
        <v>1</v>
      </c>
      <c r="J272" s="2">
        <v>387.93</v>
      </c>
    </row>
    <row r="273" spans="2:10" x14ac:dyDescent="0.2">
      <c r="B273" t="s">
        <v>690</v>
      </c>
      <c r="C273" t="s">
        <v>228</v>
      </c>
      <c r="D273" t="s">
        <v>691</v>
      </c>
      <c r="E273" t="s">
        <v>733</v>
      </c>
      <c r="F273" t="s">
        <v>734</v>
      </c>
      <c r="G273" t="s">
        <v>43</v>
      </c>
      <c r="H273" t="s">
        <v>735</v>
      </c>
      <c r="I273" s="1">
        <v>1</v>
      </c>
      <c r="J273" s="2">
        <v>1306.03</v>
      </c>
    </row>
    <row r="274" spans="2:10" x14ac:dyDescent="0.2">
      <c r="B274" t="s">
        <v>690</v>
      </c>
      <c r="C274" t="s">
        <v>228</v>
      </c>
      <c r="D274" t="s">
        <v>691</v>
      </c>
      <c r="E274" t="s">
        <v>61</v>
      </c>
      <c r="F274" t="s">
        <v>62</v>
      </c>
      <c r="G274" t="s">
        <v>1034</v>
      </c>
      <c r="H274" t="s">
        <v>15</v>
      </c>
      <c r="I274" s="1">
        <v>1</v>
      </c>
      <c r="J274" s="2">
        <v>172.41</v>
      </c>
    </row>
    <row r="275" spans="2:10" x14ac:dyDescent="0.2">
      <c r="B275" t="s">
        <v>690</v>
      </c>
      <c r="C275" t="s">
        <v>228</v>
      </c>
      <c r="D275" t="s">
        <v>691</v>
      </c>
      <c r="E275" t="s">
        <v>63</v>
      </c>
      <c r="F275" t="s">
        <v>64</v>
      </c>
      <c r="G275" t="s">
        <v>1034</v>
      </c>
      <c r="H275" t="s">
        <v>15</v>
      </c>
      <c r="I275" s="1">
        <v>1</v>
      </c>
      <c r="J275" s="2">
        <v>172.41</v>
      </c>
    </row>
    <row r="276" spans="2:10" x14ac:dyDescent="0.2">
      <c r="B276" t="s">
        <v>690</v>
      </c>
      <c r="C276" t="s">
        <v>228</v>
      </c>
      <c r="D276" t="s">
        <v>691</v>
      </c>
      <c r="E276" t="s">
        <v>736</v>
      </c>
      <c r="F276" t="s">
        <v>737</v>
      </c>
      <c r="G276" t="s">
        <v>699</v>
      </c>
      <c r="H276" t="s">
        <v>723</v>
      </c>
      <c r="I276" s="1">
        <v>1</v>
      </c>
      <c r="J276" s="2">
        <v>103.45</v>
      </c>
    </row>
    <row r="277" spans="2:10" x14ac:dyDescent="0.2">
      <c r="B277" t="s">
        <v>690</v>
      </c>
      <c r="C277" t="s">
        <v>236</v>
      </c>
      <c r="D277" t="s">
        <v>691</v>
      </c>
      <c r="E277" t="s">
        <v>316</v>
      </c>
      <c r="F277" t="s">
        <v>317</v>
      </c>
      <c r="G277" t="s">
        <v>14</v>
      </c>
      <c r="H277" t="s">
        <v>27</v>
      </c>
      <c r="I277" s="1">
        <v>2</v>
      </c>
      <c r="J277" s="2">
        <v>827.59</v>
      </c>
    </row>
    <row r="278" spans="2:10" x14ac:dyDescent="0.2">
      <c r="B278" t="s">
        <v>690</v>
      </c>
      <c r="C278" t="s">
        <v>236</v>
      </c>
      <c r="D278" t="s">
        <v>691</v>
      </c>
      <c r="E278" t="s">
        <v>623</v>
      </c>
      <c r="F278" t="s">
        <v>624</v>
      </c>
      <c r="G278" t="s">
        <v>76</v>
      </c>
      <c r="H278" t="s">
        <v>60</v>
      </c>
      <c r="I278" s="1">
        <v>1</v>
      </c>
      <c r="J278" s="2">
        <v>344.83</v>
      </c>
    </row>
    <row r="279" spans="2:10" x14ac:dyDescent="0.2">
      <c r="B279" t="s">
        <v>690</v>
      </c>
      <c r="C279" t="s">
        <v>236</v>
      </c>
      <c r="D279" t="s">
        <v>691</v>
      </c>
      <c r="E279" t="s">
        <v>16</v>
      </c>
      <c r="F279" t="s">
        <v>17</v>
      </c>
      <c r="G279" t="s">
        <v>1034</v>
      </c>
      <c r="H279" t="s">
        <v>15</v>
      </c>
      <c r="I279" s="1">
        <v>1</v>
      </c>
      <c r="J279" s="2">
        <v>577.59</v>
      </c>
    </row>
    <row r="280" spans="2:10" x14ac:dyDescent="0.2">
      <c r="B280" t="s">
        <v>690</v>
      </c>
      <c r="C280" t="s">
        <v>237</v>
      </c>
      <c r="D280" t="s">
        <v>691</v>
      </c>
      <c r="E280" t="s">
        <v>44</v>
      </c>
      <c r="F280" t="s">
        <v>45</v>
      </c>
      <c r="G280" t="s">
        <v>1033</v>
      </c>
      <c r="H280" t="s">
        <v>30</v>
      </c>
      <c r="I280" s="1">
        <v>1</v>
      </c>
      <c r="J280" s="2">
        <v>81.900000000000006</v>
      </c>
    </row>
    <row r="281" spans="2:10" x14ac:dyDescent="0.2">
      <c r="B281" t="s">
        <v>690</v>
      </c>
      <c r="C281" t="s">
        <v>237</v>
      </c>
      <c r="D281" t="s">
        <v>691</v>
      </c>
      <c r="E281" t="s">
        <v>36</v>
      </c>
      <c r="F281" t="s">
        <v>37</v>
      </c>
      <c r="G281" t="s">
        <v>1034</v>
      </c>
      <c r="H281" t="s">
        <v>15</v>
      </c>
      <c r="I281" s="1">
        <v>1</v>
      </c>
      <c r="J281" s="2">
        <v>301.72000000000003</v>
      </c>
    </row>
    <row r="282" spans="2:10" x14ac:dyDescent="0.2">
      <c r="B282" t="s">
        <v>690</v>
      </c>
      <c r="C282" t="s">
        <v>237</v>
      </c>
      <c r="D282" t="s">
        <v>691</v>
      </c>
      <c r="E282" t="s">
        <v>38</v>
      </c>
      <c r="F282" t="s">
        <v>39</v>
      </c>
      <c r="G282" t="s">
        <v>1034</v>
      </c>
      <c r="H282" t="s">
        <v>15</v>
      </c>
      <c r="I282" s="1">
        <v>1</v>
      </c>
      <c r="J282" s="2">
        <v>431.03</v>
      </c>
    </row>
    <row r="283" spans="2:10" x14ac:dyDescent="0.2">
      <c r="B283" t="s">
        <v>690</v>
      </c>
      <c r="C283" t="s">
        <v>237</v>
      </c>
      <c r="D283" t="s">
        <v>691</v>
      </c>
      <c r="E283" t="s">
        <v>61</v>
      </c>
      <c r="F283" t="s">
        <v>62</v>
      </c>
      <c r="G283" t="s">
        <v>1034</v>
      </c>
      <c r="H283" t="s">
        <v>15</v>
      </c>
      <c r="I283" s="1">
        <v>1</v>
      </c>
      <c r="J283" s="2">
        <v>172.41</v>
      </c>
    </row>
    <row r="284" spans="2:10" x14ac:dyDescent="0.2">
      <c r="B284" t="s">
        <v>690</v>
      </c>
      <c r="C284" t="s">
        <v>237</v>
      </c>
      <c r="D284" t="s">
        <v>691</v>
      </c>
      <c r="E284" t="s">
        <v>63</v>
      </c>
      <c r="F284" t="s">
        <v>64</v>
      </c>
      <c r="G284" t="s">
        <v>1034</v>
      </c>
      <c r="H284" t="s">
        <v>15</v>
      </c>
      <c r="I284" s="1">
        <v>1</v>
      </c>
      <c r="J284" s="2">
        <v>172.41</v>
      </c>
    </row>
    <row r="285" spans="2:10" x14ac:dyDescent="0.2">
      <c r="B285" t="s">
        <v>690</v>
      </c>
      <c r="C285" t="s">
        <v>237</v>
      </c>
      <c r="D285" t="s">
        <v>691</v>
      </c>
      <c r="E285" t="s">
        <v>16</v>
      </c>
      <c r="F285" t="s">
        <v>17</v>
      </c>
      <c r="G285" t="s">
        <v>1034</v>
      </c>
      <c r="H285" t="s">
        <v>15</v>
      </c>
      <c r="I285" s="1">
        <v>3</v>
      </c>
      <c r="J285" s="2">
        <v>1732.77</v>
      </c>
    </row>
    <row r="286" spans="2:10" x14ac:dyDescent="0.2">
      <c r="B286" t="s">
        <v>690</v>
      </c>
      <c r="C286" t="s">
        <v>237</v>
      </c>
      <c r="D286" t="s">
        <v>691</v>
      </c>
      <c r="E286" t="s">
        <v>28</v>
      </c>
      <c r="F286" t="s">
        <v>29</v>
      </c>
      <c r="G286" t="s">
        <v>1033</v>
      </c>
      <c r="H286" t="s">
        <v>30</v>
      </c>
      <c r="I286" s="1">
        <v>1</v>
      </c>
      <c r="J286" s="2">
        <v>155.16999999999999</v>
      </c>
    </row>
    <row r="287" spans="2:10" x14ac:dyDescent="0.2">
      <c r="B287" t="s">
        <v>690</v>
      </c>
      <c r="C287" t="s">
        <v>248</v>
      </c>
      <c r="D287" t="s">
        <v>691</v>
      </c>
      <c r="E287" t="s">
        <v>167</v>
      </c>
      <c r="F287" t="s">
        <v>168</v>
      </c>
      <c r="G287" t="s">
        <v>1033</v>
      </c>
      <c r="H287" t="s">
        <v>30</v>
      </c>
      <c r="I287" s="1">
        <v>1</v>
      </c>
      <c r="J287" s="2">
        <v>1267.24</v>
      </c>
    </row>
    <row r="288" spans="2:10" x14ac:dyDescent="0.2">
      <c r="B288" t="s">
        <v>690</v>
      </c>
      <c r="C288" t="s">
        <v>248</v>
      </c>
      <c r="D288" t="s">
        <v>691</v>
      </c>
      <c r="E288" t="s">
        <v>590</v>
      </c>
      <c r="F288" t="s">
        <v>591</v>
      </c>
      <c r="G288" t="s">
        <v>14</v>
      </c>
      <c r="H288" t="s">
        <v>35</v>
      </c>
      <c r="I288" s="1">
        <v>1</v>
      </c>
      <c r="J288" s="2">
        <v>77.59</v>
      </c>
    </row>
    <row r="289" spans="2:10" x14ac:dyDescent="0.2">
      <c r="B289" t="s">
        <v>690</v>
      </c>
      <c r="C289" t="s">
        <v>248</v>
      </c>
      <c r="D289" t="s">
        <v>691</v>
      </c>
      <c r="E289" t="s">
        <v>278</v>
      </c>
      <c r="F289" t="s">
        <v>279</v>
      </c>
      <c r="G289" t="s">
        <v>1033</v>
      </c>
      <c r="H289" t="s">
        <v>30</v>
      </c>
      <c r="I289" s="1">
        <v>1</v>
      </c>
      <c r="J289" s="2">
        <v>112.07</v>
      </c>
    </row>
    <row r="290" spans="2:10" x14ac:dyDescent="0.2">
      <c r="B290" t="s">
        <v>690</v>
      </c>
      <c r="C290" t="s">
        <v>248</v>
      </c>
      <c r="D290" t="s">
        <v>691</v>
      </c>
      <c r="E290" t="s">
        <v>242</v>
      </c>
      <c r="F290" t="s">
        <v>243</v>
      </c>
      <c r="G290" t="s">
        <v>14</v>
      </c>
      <c r="H290" t="s">
        <v>87</v>
      </c>
      <c r="I290" s="1">
        <v>1</v>
      </c>
      <c r="J290" s="2">
        <v>120.69</v>
      </c>
    </row>
    <row r="291" spans="2:10" x14ac:dyDescent="0.2">
      <c r="B291" t="s">
        <v>690</v>
      </c>
      <c r="C291" t="s">
        <v>248</v>
      </c>
      <c r="D291" t="s">
        <v>691</v>
      </c>
      <c r="E291" t="s">
        <v>221</v>
      </c>
      <c r="F291" t="s">
        <v>222</v>
      </c>
      <c r="G291" t="s">
        <v>1034</v>
      </c>
      <c r="H291" t="s">
        <v>15</v>
      </c>
      <c r="I291" s="1">
        <v>1</v>
      </c>
      <c r="J291" s="2">
        <v>431.03</v>
      </c>
    </row>
    <row r="292" spans="2:10" x14ac:dyDescent="0.2">
      <c r="B292" t="s">
        <v>690</v>
      </c>
      <c r="C292" t="s">
        <v>248</v>
      </c>
      <c r="D292" t="s">
        <v>691</v>
      </c>
      <c r="E292" t="s">
        <v>738</v>
      </c>
      <c r="F292" t="s">
        <v>739</v>
      </c>
      <c r="G292" t="s">
        <v>1033</v>
      </c>
      <c r="H292" t="s">
        <v>30</v>
      </c>
      <c r="I292" s="1">
        <v>1</v>
      </c>
      <c r="J292" s="2">
        <v>1329.11</v>
      </c>
    </row>
    <row r="293" spans="2:10" x14ac:dyDescent="0.2">
      <c r="B293" t="s">
        <v>690</v>
      </c>
      <c r="C293" t="s">
        <v>248</v>
      </c>
      <c r="D293" t="s">
        <v>691</v>
      </c>
      <c r="E293" t="s">
        <v>120</v>
      </c>
      <c r="F293" t="s">
        <v>121</v>
      </c>
      <c r="G293" t="s">
        <v>1034</v>
      </c>
      <c r="H293" t="s">
        <v>15</v>
      </c>
      <c r="I293" s="1">
        <v>2</v>
      </c>
      <c r="J293" s="2">
        <v>603.44000000000005</v>
      </c>
    </row>
    <row r="294" spans="2:10" x14ac:dyDescent="0.2">
      <c r="B294" t="s">
        <v>690</v>
      </c>
      <c r="C294" t="s">
        <v>248</v>
      </c>
      <c r="D294" t="s">
        <v>691</v>
      </c>
      <c r="E294" t="s">
        <v>153</v>
      </c>
      <c r="F294" t="s">
        <v>154</v>
      </c>
      <c r="G294" t="s">
        <v>1034</v>
      </c>
      <c r="H294" t="s">
        <v>15</v>
      </c>
      <c r="I294" s="1">
        <v>1</v>
      </c>
      <c r="J294" s="2">
        <v>387.93</v>
      </c>
    </row>
    <row r="295" spans="2:10" x14ac:dyDescent="0.2">
      <c r="B295" t="s">
        <v>690</v>
      </c>
      <c r="C295" t="s">
        <v>248</v>
      </c>
      <c r="D295" t="s">
        <v>691</v>
      </c>
      <c r="E295" t="s">
        <v>85</v>
      </c>
      <c r="F295" t="s">
        <v>86</v>
      </c>
      <c r="G295" t="s">
        <v>14</v>
      </c>
      <c r="H295" t="s">
        <v>87</v>
      </c>
      <c r="I295" s="1">
        <v>1</v>
      </c>
      <c r="J295" s="2">
        <v>301.72000000000003</v>
      </c>
    </row>
    <row r="296" spans="2:10" x14ac:dyDescent="0.2">
      <c r="B296" t="s">
        <v>690</v>
      </c>
      <c r="C296" t="s">
        <v>248</v>
      </c>
      <c r="D296" t="s">
        <v>691</v>
      </c>
      <c r="E296" t="s">
        <v>427</v>
      </c>
      <c r="F296" t="s">
        <v>428</v>
      </c>
      <c r="G296" t="s">
        <v>14</v>
      </c>
      <c r="H296" t="s">
        <v>87</v>
      </c>
      <c r="I296" s="1">
        <v>1</v>
      </c>
      <c r="J296" s="2">
        <v>120.69</v>
      </c>
    </row>
    <row r="297" spans="2:10" x14ac:dyDescent="0.2">
      <c r="B297" t="s">
        <v>690</v>
      </c>
      <c r="C297" t="s">
        <v>248</v>
      </c>
      <c r="D297" t="s">
        <v>691</v>
      </c>
      <c r="E297" t="s">
        <v>38</v>
      </c>
      <c r="F297" t="s">
        <v>39</v>
      </c>
      <c r="G297" t="s">
        <v>1034</v>
      </c>
      <c r="H297" t="s">
        <v>15</v>
      </c>
      <c r="I297" s="1">
        <v>1</v>
      </c>
      <c r="J297" s="2">
        <v>431.03</v>
      </c>
    </row>
    <row r="298" spans="2:10" x14ac:dyDescent="0.2">
      <c r="B298" t="s">
        <v>690</v>
      </c>
      <c r="C298" t="s">
        <v>248</v>
      </c>
      <c r="D298" t="s">
        <v>691</v>
      </c>
      <c r="E298" t="s">
        <v>124</v>
      </c>
      <c r="F298" t="s">
        <v>125</v>
      </c>
      <c r="G298" t="s">
        <v>1034</v>
      </c>
      <c r="H298" t="s">
        <v>15</v>
      </c>
      <c r="I298" s="1">
        <v>1</v>
      </c>
      <c r="J298" s="2">
        <v>431.03</v>
      </c>
    </row>
    <row r="299" spans="2:10" x14ac:dyDescent="0.2">
      <c r="B299" t="s">
        <v>690</v>
      </c>
      <c r="C299" t="s">
        <v>248</v>
      </c>
      <c r="D299" t="s">
        <v>691</v>
      </c>
      <c r="E299" t="s">
        <v>63</v>
      </c>
      <c r="F299" t="s">
        <v>64</v>
      </c>
      <c r="G299" t="s">
        <v>1034</v>
      </c>
      <c r="H299" t="s">
        <v>15</v>
      </c>
      <c r="I299" s="1">
        <v>1</v>
      </c>
      <c r="J299" s="2">
        <v>172.41</v>
      </c>
    </row>
    <row r="300" spans="2:10" x14ac:dyDescent="0.2">
      <c r="B300" t="s">
        <v>740</v>
      </c>
      <c r="C300" t="s">
        <v>227</v>
      </c>
      <c r="D300" t="s">
        <v>741</v>
      </c>
      <c r="E300" t="s">
        <v>537</v>
      </c>
      <c r="F300" t="s">
        <v>538</v>
      </c>
      <c r="G300" t="s">
        <v>14</v>
      </c>
      <c r="H300" t="s">
        <v>60</v>
      </c>
      <c r="I300" s="1">
        <v>1</v>
      </c>
      <c r="J300" s="2">
        <v>327.58999999999997</v>
      </c>
    </row>
    <row r="301" spans="2:10" x14ac:dyDescent="0.2">
      <c r="B301" t="s">
        <v>740</v>
      </c>
      <c r="C301" t="s">
        <v>227</v>
      </c>
      <c r="D301" t="s">
        <v>741</v>
      </c>
      <c r="E301" t="s">
        <v>764</v>
      </c>
      <c r="F301" t="s">
        <v>765</v>
      </c>
      <c r="G301" t="s">
        <v>14</v>
      </c>
      <c r="H301" t="s">
        <v>27</v>
      </c>
      <c r="I301" s="1">
        <v>1</v>
      </c>
      <c r="J301" s="2">
        <v>413.79</v>
      </c>
    </row>
    <row r="302" spans="2:10" x14ac:dyDescent="0.2">
      <c r="B302" t="s">
        <v>740</v>
      </c>
      <c r="C302" t="s">
        <v>227</v>
      </c>
      <c r="D302" t="s">
        <v>741</v>
      </c>
      <c r="E302" t="s">
        <v>295</v>
      </c>
      <c r="F302" t="s">
        <v>296</v>
      </c>
      <c r="G302" t="s">
        <v>43</v>
      </c>
      <c r="H302" t="s">
        <v>297</v>
      </c>
      <c r="I302" s="1">
        <v>1</v>
      </c>
      <c r="J302" s="2">
        <v>224.14</v>
      </c>
    </row>
    <row r="303" spans="2:10" x14ac:dyDescent="0.2">
      <c r="B303" t="s">
        <v>740</v>
      </c>
      <c r="C303" t="s">
        <v>227</v>
      </c>
      <c r="D303" t="s">
        <v>741</v>
      </c>
      <c r="E303" t="s">
        <v>74</v>
      </c>
      <c r="F303" t="s">
        <v>75</v>
      </c>
      <c r="G303" t="s">
        <v>76</v>
      </c>
      <c r="H303" t="s">
        <v>60</v>
      </c>
      <c r="I303" s="1">
        <v>1</v>
      </c>
      <c r="J303" s="2">
        <v>344.83</v>
      </c>
    </row>
    <row r="304" spans="2:10" x14ac:dyDescent="0.2">
      <c r="B304" t="s">
        <v>740</v>
      </c>
      <c r="C304" t="s">
        <v>227</v>
      </c>
      <c r="D304" t="s">
        <v>741</v>
      </c>
      <c r="E304" t="s">
        <v>16</v>
      </c>
      <c r="F304" t="s">
        <v>17</v>
      </c>
      <c r="G304" t="s">
        <v>1034</v>
      </c>
      <c r="H304" t="s">
        <v>15</v>
      </c>
      <c r="I304" s="1">
        <v>1</v>
      </c>
      <c r="J304" s="2">
        <v>577.59</v>
      </c>
    </row>
    <row r="305" spans="2:10" x14ac:dyDescent="0.2">
      <c r="B305" t="s">
        <v>740</v>
      </c>
      <c r="C305" t="s">
        <v>228</v>
      </c>
      <c r="D305" t="s">
        <v>741</v>
      </c>
      <c r="E305" t="s">
        <v>766</v>
      </c>
      <c r="F305" t="s">
        <v>767</v>
      </c>
      <c r="G305" t="s">
        <v>14</v>
      </c>
      <c r="H305" t="s">
        <v>209</v>
      </c>
      <c r="I305" s="1">
        <v>1</v>
      </c>
      <c r="J305" s="2">
        <v>926.72</v>
      </c>
    </row>
    <row r="306" spans="2:10" x14ac:dyDescent="0.2">
      <c r="B306" t="s">
        <v>740</v>
      </c>
      <c r="C306" t="s">
        <v>228</v>
      </c>
      <c r="D306" t="s">
        <v>741</v>
      </c>
      <c r="E306" t="s">
        <v>768</v>
      </c>
      <c r="F306" t="s">
        <v>769</v>
      </c>
      <c r="G306" t="s">
        <v>1033</v>
      </c>
      <c r="H306" t="s">
        <v>30</v>
      </c>
      <c r="I306" s="1">
        <v>1</v>
      </c>
      <c r="J306" s="2">
        <v>344.83</v>
      </c>
    </row>
    <row r="307" spans="2:10" x14ac:dyDescent="0.2">
      <c r="B307" t="s">
        <v>740</v>
      </c>
      <c r="C307" t="s">
        <v>228</v>
      </c>
      <c r="D307" t="s">
        <v>741</v>
      </c>
      <c r="E307" t="s">
        <v>201</v>
      </c>
      <c r="F307" t="s">
        <v>202</v>
      </c>
      <c r="G307" t="s">
        <v>1033</v>
      </c>
      <c r="H307" t="s">
        <v>30</v>
      </c>
      <c r="I307" s="1">
        <v>1</v>
      </c>
      <c r="J307" s="2">
        <v>948.28</v>
      </c>
    </row>
    <row r="308" spans="2:10" x14ac:dyDescent="0.2">
      <c r="B308" t="s">
        <v>740</v>
      </c>
      <c r="C308" t="s">
        <v>228</v>
      </c>
      <c r="D308" t="s">
        <v>741</v>
      </c>
      <c r="E308" t="s">
        <v>482</v>
      </c>
      <c r="F308" t="s">
        <v>483</v>
      </c>
      <c r="G308" t="s">
        <v>14</v>
      </c>
      <c r="H308" t="s">
        <v>27</v>
      </c>
      <c r="I308" s="1">
        <v>1</v>
      </c>
      <c r="J308" s="2">
        <v>379.31</v>
      </c>
    </row>
    <row r="309" spans="2:10" x14ac:dyDescent="0.2">
      <c r="B309" t="s">
        <v>740</v>
      </c>
      <c r="C309" t="s">
        <v>228</v>
      </c>
      <c r="D309" t="s">
        <v>741</v>
      </c>
      <c r="E309" t="s">
        <v>770</v>
      </c>
      <c r="F309" t="s">
        <v>771</v>
      </c>
      <c r="G309" t="s">
        <v>43</v>
      </c>
      <c r="H309" t="s">
        <v>91</v>
      </c>
      <c r="I309" s="1">
        <v>1</v>
      </c>
      <c r="J309" s="2">
        <v>1077.5899999999999</v>
      </c>
    </row>
    <row r="310" spans="2:10" x14ac:dyDescent="0.2">
      <c r="B310" t="s">
        <v>740</v>
      </c>
      <c r="C310" t="s">
        <v>228</v>
      </c>
      <c r="D310" t="s">
        <v>741</v>
      </c>
      <c r="E310" t="s">
        <v>72</v>
      </c>
      <c r="F310" t="s">
        <v>73</v>
      </c>
      <c r="G310" t="s">
        <v>1034</v>
      </c>
      <c r="H310" t="s">
        <v>15</v>
      </c>
      <c r="I310" s="1">
        <v>2</v>
      </c>
      <c r="J310" s="2">
        <v>1551.72</v>
      </c>
    </row>
    <row r="311" spans="2:10" x14ac:dyDescent="0.2">
      <c r="B311" t="s">
        <v>740</v>
      </c>
      <c r="C311" t="s">
        <v>228</v>
      </c>
      <c r="D311" t="s">
        <v>741</v>
      </c>
      <c r="E311" t="s">
        <v>16</v>
      </c>
      <c r="F311" t="s">
        <v>17</v>
      </c>
      <c r="G311" t="s">
        <v>1034</v>
      </c>
      <c r="H311" t="s">
        <v>15</v>
      </c>
      <c r="I311" s="1">
        <v>1</v>
      </c>
      <c r="J311" s="2">
        <v>577.59</v>
      </c>
    </row>
    <row r="312" spans="2:10" x14ac:dyDescent="0.2">
      <c r="B312" t="s">
        <v>740</v>
      </c>
      <c r="C312" t="s">
        <v>233</v>
      </c>
      <c r="D312" t="s">
        <v>32</v>
      </c>
      <c r="E312" t="s">
        <v>324</v>
      </c>
      <c r="F312" t="s">
        <v>325</v>
      </c>
      <c r="G312" t="s">
        <v>1033</v>
      </c>
      <c r="H312" t="s">
        <v>30</v>
      </c>
      <c r="I312" s="1">
        <v>1</v>
      </c>
      <c r="J312" s="2">
        <v>2000</v>
      </c>
    </row>
    <row r="313" spans="2:10" x14ac:dyDescent="0.2">
      <c r="B313" t="s">
        <v>740</v>
      </c>
      <c r="C313" t="s">
        <v>233</v>
      </c>
      <c r="D313" t="s">
        <v>32</v>
      </c>
      <c r="E313" t="s">
        <v>772</v>
      </c>
      <c r="F313" t="s">
        <v>773</v>
      </c>
      <c r="G313" t="s">
        <v>43</v>
      </c>
      <c r="H313" t="s">
        <v>94</v>
      </c>
      <c r="I313" s="1">
        <v>1</v>
      </c>
      <c r="J313" s="2">
        <v>1198.28</v>
      </c>
    </row>
    <row r="314" spans="2:10" x14ac:dyDescent="0.2">
      <c r="B314" t="s">
        <v>740</v>
      </c>
      <c r="C314" t="s">
        <v>233</v>
      </c>
      <c r="D314" t="s">
        <v>32</v>
      </c>
      <c r="E314" t="s">
        <v>72</v>
      </c>
      <c r="F314" t="s">
        <v>73</v>
      </c>
      <c r="G314" t="s">
        <v>1034</v>
      </c>
      <c r="H314" t="s">
        <v>15</v>
      </c>
      <c r="I314" s="1">
        <v>1</v>
      </c>
      <c r="J314" s="2">
        <v>775.86</v>
      </c>
    </row>
    <row r="315" spans="2:10" x14ac:dyDescent="0.2">
      <c r="B315" t="s">
        <v>740</v>
      </c>
      <c r="C315" t="s">
        <v>233</v>
      </c>
      <c r="D315" t="s">
        <v>32</v>
      </c>
      <c r="E315" t="s">
        <v>157</v>
      </c>
      <c r="F315" t="s">
        <v>158</v>
      </c>
      <c r="G315" t="s">
        <v>14</v>
      </c>
      <c r="H315" t="s">
        <v>87</v>
      </c>
      <c r="I315" s="1">
        <v>1</v>
      </c>
      <c r="J315" s="2">
        <v>284.48</v>
      </c>
    </row>
    <row r="316" spans="2:10" x14ac:dyDescent="0.2">
      <c r="B316" t="s">
        <v>740</v>
      </c>
      <c r="C316" t="s">
        <v>233</v>
      </c>
      <c r="D316" t="s">
        <v>32</v>
      </c>
      <c r="E316" t="s">
        <v>159</v>
      </c>
      <c r="F316" t="s">
        <v>160</v>
      </c>
      <c r="G316" t="s">
        <v>14</v>
      </c>
      <c r="H316" t="s">
        <v>87</v>
      </c>
      <c r="I316" s="1">
        <v>1</v>
      </c>
      <c r="J316" s="2">
        <v>284.48</v>
      </c>
    </row>
    <row r="317" spans="2:10" x14ac:dyDescent="0.2">
      <c r="B317" t="s">
        <v>740</v>
      </c>
      <c r="C317" t="s">
        <v>233</v>
      </c>
      <c r="D317" t="s">
        <v>32</v>
      </c>
      <c r="E317" t="s">
        <v>774</v>
      </c>
      <c r="F317" t="s">
        <v>775</v>
      </c>
      <c r="G317" t="s">
        <v>1033</v>
      </c>
      <c r="H317" t="s">
        <v>30</v>
      </c>
      <c r="I317" s="1">
        <v>1</v>
      </c>
      <c r="J317" s="2">
        <v>853.45</v>
      </c>
    </row>
    <row r="318" spans="2:10" x14ac:dyDescent="0.2">
      <c r="B318" t="s">
        <v>740</v>
      </c>
      <c r="C318" t="s">
        <v>233</v>
      </c>
      <c r="D318" t="s">
        <v>32</v>
      </c>
      <c r="E318" t="s">
        <v>16</v>
      </c>
      <c r="F318" t="s">
        <v>17</v>
      </c>
      <c r="G318" t="s">
        <v>1034</v>
      </c>
      <c r="H318" t="s">
        <v>15</v>
      </c>
      <c r="I318" s="1">
        <v>2</v>
      </c>
      <c r="J318" s="2">
        <v>1155.18</v>
      </c>
    </row>
    <row r="319" spans="2:10" x14ac:dyDescent="0.2">
      <c r="B319" t="s">
        <v>740</v>
      </c>
      <c r="C319" t="s">
        <v>236</v>
      </c>
      <c r="D319" t="s">
        <v>741</v>
      </c>
      <c r="E319" t="s">
        <v>535</v>
      </c>
      <c r="F319" t="s">
        <v>536</v>
      </c>
      <c r="G319" t="s">
        <v>14</v>
      </c>
      <c r="H319" t="s">
        <v>60</v>
      </c>
      <c r="I319" s="1">
        <v>1</v>
      </c>
      <c r="J319" s="2">
        <v>327.58999999999997</v>
      </c>
    </row>
    <row r="320" spans="2:10" x14ac:dyDescent="0.2">
      <c r="B320" t="s">
        <v>740</v>
      </c>
      <c r="C320" t="s">
        <v>236</v>
      </c>
      <c r="D320" t="s">
        <v>741</v>
      </c>
      <c r="E320" t="s">
        <v>318</v>
      </c>
      <c r="F320" t="s">
        <v>319</v>
      </c>
      <c r="G320" t="s">
        <v>1033</v>
      </c>
      <c r="H320" t="s">
        <v>30</v>
      </c>
      <c r="I320" s="1">
        <v>1</v>
      </c>
      <c r="J320" s="2">
        <v>456.9</v>
      </c>
    </row>
    <row r="321" spans="2:10" x14ac:dyDescent="0.2">
      <c r="B321" t="s">
        <v>740</v>
      </c>
      <c r="C321" t="s">
        <v>236</v>
      </c>
      <c r="D321" t="s">
        <v>741</v>
      </c>
      <c r="E321" t="s">
        <v>326</v>
      </c>
      <c r="F321" t="s">
        <v>327</v>
      </c>
      <c r="G321" t="s">
        <v>1033</v>
      </c>
      <c r="H321" t="s">
        <v>30</v>
      </c>
      <c r="I321" s="1">
        <v>1</v>
      </c>
      <c r="J321" s="2">
        <v>1862.07</v>
      </c>
    </row>
    <row r="322" spans="2:10" x14ac:dyDescent="0.2">
      <c r="B322" t="s">
        <v>740</v>
      </c>
      <c r="C322" t="s">
        <v>236</v>
      </c>
      <c r="D322" t="s">
        <v>741</v>
      </c>
      <c r="E322" t="s">
        <v>746</v>
      </c>
      <c r="F322" t="s">
        <v>747</v>
      </c>
      <c r="G322" t="s">
        <v>1033</v>
      </c>
      <c r="H322" t="s">
        <v>30</v>
      </c>
      <c r="I322" s="1">
        <v>1</v>
      </c>
      <c r="J322" s="2">
        <v>474.14</v>
      </c>
    </row>
    <row r="323" spans="2:10" x14ac:dyDescent="0.2">
      <c r="B323" t="s">
        <v>740</v>
      </c>
      <c r="C323" t="s">
        <v>236</v>
      </c>
      <c r="D323" t="s">
        <v>741</v>
      </c>
      <c r="E323" t="s">
        <v>354</v>
      </c>
      <c r="F323" t="s">
        <v>355</v>
      </c>
      <c r="G323" t="s">
        <v>1033</v>
      </c>
      <c r="H323" t="s">
        <v>30</v>
      </c>
      <c r="I323" s="1">
        <v>1</v>
      </c>
      <c r="J323" s="2">
        <v>2543.1</v>
      </c>
    </row>
    <row r="324" spans="2:10" x14ac:dyDescent="0.2">
      <c r="B324" t="s">
        <v>740</v>
      </c>
      <c r="C324" t="s">
        <v>236</v>
      </c>
      <c r="D324" t="s">
        <v>741</v>
      </c>
      <c r="E324" t="s">
        <v>342</v>
      </c>
      <c r="F324" t="s">
        <v>343</v>
      </c>
      <c r="G324" t="s">
        <v>1033</v>
      </c>
      <c r="H324" t="s">
        <v>30</v>
      </c>
      <c r="I324" s="1">
        <v>1</v>
      </c>
      <c r="J324" s="2">
        <v>1681.03</v>
      </c>
    </row>
    <row r="325" spans="2:10" x14ac:dyDescent="0.2">
      <c r="B325" t="s">
        <v>740</v>
      </c>
      <c r="C325" t="s">
        <v>236</v>
      </c>
      <c r="D325" t="s">
        <v>741</v>
      </c>
      <c r="E325" t="s">
        <v>56</v>
      </c>
      <c r="F325" t="s">
        <v>57</v>
      </c>
      <c r="G325" t="s">
        <v>1034</v>
      </c>
      <c r="H325" t="s">
        <v>15</v>
      </c>
      <c r="I325" s="1">
        <v>1</v>
      </c>
      <c r="J325" s="2">
        <v>431.03</v>
      </c>
    </row>
    <row r="326" spans="2:10" x14ac:dyDescent="0.2">
      <c r="B326" t="s">
        <v>740</v>
      </c>
      <c r="C326" t="s">
        <v>236</v>
      </c>
      <c r="D326" t="s">
        <v>741</v>
      </c>
      <c r="E326" t="s">
        <v>163</v>
      </c>
      <c r="F326" t="s">
        <v>164</v>
      </c>
      <c r="G326" t="s">
        <v>1034</v>
      </c>
      <c r="H326" t="s">
        <v>15</v>
      </c>
      <c r="I326" s="1">
        <v>1</v>
      </c>
      <c r="J326" s="2">
        <v>431.03</v>
      </c>
    </row>
    <row r="327" spans="2:10" x14ac:dyDescent="0.2">
      <c r="B327" t="s">
        <v>740</v>
      </c>
      <c r="C327" t="s">
        <v>237</v>
      </c>
      <c r="D327" t="s">
        <v>741</v>
      </c>
      <c r="E327" t="s">
        <v>19</v>
      </c>
      <c r="F327" t="s">
        <v>20</v>
      </c>
      <c r="G327" t="s">
        <v>14</v>
      </c>
      <c r="H327" t="s">
        <v>21</v>
      </c>
      <c r="I327" s="1">
        <v>1</v>
      </c>
      <c r="J327" s="2">
        <v>431.04</v>
      </c>
    </row>
    <row r="328" spans="2:10" x14ac:dyDescent="0.2">
      <c r="B328" t="s">
        <v>740</v>
      </c>
      <c r="C328" t="s">
        <v>237</v>
      </c>
      <c r="D328" t="s">
        <v>741</v>
      </c>
      <c r="E328" t="s">
        <v>221</v>
      </c>
      <c r="F328" t="s">
        <v>222</v>
      </c>
      <c r="G328" t="s">
        <v>1034</v>
      </c>
      <c r="H328" t="s">
        <v>15</v>
      </c>
      <c r="I328" s="1">
        <v>1</v>
      </c>
      <c r="J328" s="2">
        <v>431.03</v>
      </c>
    </row>
    <row r="329" spans="2:10" x14ac:dyDescent="0.2">
      <c r="B329" t="s">
        <v>740</v>
      </c>
      <c r="C329" t="s">
        <v>237</v>
      </c>
      <c r="D329" t="s">
        <v>741</v>
      </c>
      <c r="E329" t="s">
        <v>120</v>
      </c>
      <c r="F329" t="s">
        <v>121</v>
      </c>
      <c r="G329" t="s">
        <v>1034</v>
      </c>
      <c r="H329" t="s">
        <v>15</v>
      </c>
      <c r="I329" s="1">
        <v>1</v>
      </c>
      <c r="J329" s="2">
        <v>301.72000000000003</v>
      </c>
    </row>
    <row r="330" spans="2:10" x14ac:dyDescent="0.2">
      <c r="B330" t="s">
        <v>740</v>
      </c>
      <c r="C330" t="s">
        <v>237</v>
      </c>
      <c r="D330" t="s">
        <v>741</v>
      </c>
      <c r="E330" t="s">
        <v>214</v>
      </c>
      <c r="F330" t="s">
        <v>215</v>
      </c>
      <c r="G330" t="s">
        <v>1034</v>
      </c>
      <c r="H330" t="s">
        <v>15</v>
      </c>
      <c r="I330" s="1">
        <v>1</v>
      </c>
      <c r="J330" s="2">
        <v>301.72000000000003</v>
      </c>
    </row>
    <row r="331" spans="2:10" x14ac:dyDescent="0.2">
      <c r="B331" t="s">
        <v>740</v>
      </c>
      <c r="C331" t="s">
        <v>237</v>
      </c>
      <c r="D331" t="s">
        <v>741</v>
      </c>
      <c r="E331" t="s">
        <v>776</v>
      </c>
      <c r="F331" t="s">
        <v>777</v>
      </c>
      <c r="G331" t="s">
        <v>1033</v>
      </c>
      <c r="H331" t="s">
        <v>30</v>
      </c>
      <c r="I331" s="1">
        <v>1</v>
      </c>
      <c r="J331" s="2">
        <v>818.97</v>
      </c>
    </row>
    <row r="332" spans="2:10" x14ac:dyDescent="0.2">
      <c r="B332" t="s">
        <v>740</v>
      </c>
      <c r="C332" t="s">
        <v>237</v>
      </c>
      <c r="D332" t="s">
        <v>741</v>
      </c>
      <c r="E332" t="s">
        <v>273</v>
      </c>
      <c r="F332" t="s">
        <v>274</v>
      </c>
      <c r="G332" t="s">
        <v>1033</v>
      </c>
      <c r="H332" t="s">
        <v>30</v>
      </c>
      <c r="I332" s="1">
        <v>1</v>
      </c>
      <c r="J332" s="2">
        <v>1293.0999999999999</v>
      </c>
    </row>
    <row r="333" spans="2:10" x14ac:dyDescent="0.2">
      <c r="B333" t="s">
        <v>740</v>
      </c>
      <c r="C333" t="s">
        <v>237</v>
      </c>
      <c r="D333" t="s">
        <v>741</v>
      </c>
      <c r="E333" t="s">
        <v>58</v>
      </c>
      <c r="F333" t="s">
        <v>59</v>
      </c>
      <c r="G333" t="s">
        <v>14</v>
      </c>
      <c r="H333" t="s">
        <v>60</v>
      </c>
      <c r="I333" s="1">
        <v>1</v>
      </c>
      <c r="J333" s="2">
        <v>172.41</v>
      </c>
    </row>
    <row r="334" spans="2:10" x14ac:dyDescent="0.2">
      <c r="B334" t="s">
        <v>740</v>
      </c>
      <c r="C334" t="s">
        <v>237</v>
      </c>
      <c r="D334" t="s">
        <v>741</v>
      </c>
      <c r="E334" t="s">
        <v>61</v>
      </c>
      <c r="F334" t="s">
        <v>62</v>
      </c>
      <c r="G334" t="s">
        <v>1034</v>
      </c>
      <c r="H334" t="s">
        <v>15</v>
      </c>
      <c r="I334" s="1">
        <v>2</v>
      </c>
      <c r="J334" s="2">
        <v>344.82</v>
      </c>
    </row>
    <row r="335" spans="2:10" x14ac:dyDescent="0.2">
      <c r="B335" t="s">
        <v>740</v>
      </c>
      <c r="C335" t="s">
        <v>237</v>
      </c>
      <c r="D335" t="s">
        <v>741</v>
      </c>
      <c r="E335" t="s">
        <v>63</v>
      </c>
      <c r="F335" t="s">
        <v>64</v>
      </c>
      <c r="G335" t="s">
        <v>1034</v>
      </c>
      <c r="H335" t="s">
        <v>15</v>
      </c>
      <c r="I335" s="1">
        <v>2</v>
      </c>
      <c r="J335" s="2">
        <v>344.82</v>
      </c>
    </row>
    <row r="336" spans="2:10" x14ac:dyDescent="0.2">
      <c r="B336" t="s">
        <v>740</v>
      </c>
      <c r="C336" t="s">
        <v>237</v>
      </c>
      <c r="D336" t="s">
        <v>741</v>
      </c>
      <c r="E336" t="s">
        <v>16</v>
      </c>
      <c r="F336" t="s">
        <v>17</v>
      </c>
      <c r="G336" t="s">
        <v>1034</v>
      </c>
      <c r="H336" t="s">
        <v>15</v>
      </c>
      <c r="I336" s="1">
        <v>1</v>
      </c>
      <c r="J336" s="2">
        <v>577.59</v>
      </c>
    </row>
    <row r="337" spans="2:10" x14ac:dyDescent="0.2">
      <c r="B337" t="s">
        <v>740</v>
      </c>
      <c r="C337" t="s">
        <v>248</v>
      </c>
      <c r="D337" t="s">
        <v>741</v>
      </c>
      <c r="E337" t="s">
        <v>41</v>
      </c>
      <c r="F337" t="s">
        <v>42</v>
      </c>
      <c r="G337" t="s">
        <v>1033</v>
      </c>
      <c r="H337" t="s">
        <v>30</v>
      </c>
      <c r="I337" s="1">
        <v>2</v>
      </c>
      <c r="J337" s="2">
        <v>68.959999999999994</v>
      </c>
    </row>
    <row r="338" spans="2:10" x14ac:dyDescent="0.2">
      <c r="B338" t="s">
        <v>740</v>
      </c>
      <c r="C338" t="s">
        <v>248</v>
      </c>
      <c r="D338" t="s">
        <v>741</v>
      </c>
      <c r="E338" t="s">
        <v>44</v>
      </c>
      <c r="F338" t="s">
        <v>45</v>
      </c>
      <c r="G338" t="s">
        <v>1033</v>
      </c>
      <c r="H338" t="s">
        <v>30</v>
      </c>
      <c r="I338" s="1">
        <v>1</v>
      </c>
      <c r="J338" s="2">
        <v>81.900000000000006</v>
      </c>
    </row>
    <row r="339" spans="2:10" x14ac:dyDescent="0.2">
      <c r="B339" t="s">
        <v>740</v>
      </c>
      <c r="C339" t="s">
        <v>248</v>
      </c>
      <c r="D339" t="s">
        <v>741</v>
      </c>
      <c r="E339" t="s">
        <v>19</v>
      </c>
      <c r="F339" t="s">
        <v>20</v>
      </c>
      <c r="G339" t="s">
        <v>14</v>
      </c>
      <c r="H339" t="s">
        <v>21</v>
      </c>
      <c r="I339" s="1">
        <v>1</v>
      </c>
      <c r="J339" s="2">
        <v>431.04</v>
      </c>
    </row>
    <row r="340" spans="2:10" x14ac:dyDescent="0.2">
      <c r="B340" t="s">
        <v>740</v>
      </c>
      <c r="C340" t="s">
        <v>248</v>
      </c>
      <c r="D340" t="s">
        <v>741</v>
      </c>
      <c r="E340" t="s">
        <v>46</v>
      </c>
      <c r="F340" t="s">
        <v>47</v>
      </c>
      <c r="G340" t="s">
        <v>1034</v>
      </c>
      <c r="H340" t="s">
        <v>15</v>
      </c>
      <c r="I340" s="1">
        <v>1</v>
      </c>
      <c r="J340" s="2">
        <v>301.72000000000003</v>
      </c>
    </row>
    <row r="341" spans="2:10" x14ac:dyDescent="0.2">
      <c r="B341" t="s">
        <v>740</v>
      </c>
      <c r="C341" t="s">
        <v>248</v>
      </c>
      <c r="D341" t="s">
        <v>741</v>
      </c>
      <c r="E341" t="s">
        <v>600</v>
      </c>
      <c r="F341" t="s">
        <v>601</v>
      </c>
      <c r="G341" t="s">
        <v>1033</v>
      </c>
      <c r="H341" t="s">
        <v>30</v>
      </c>
      <c r="I341" s="1">
        <v>1</v>
      </c>
      <c r="J341" s="2">
        <v>301.72000000000003</v>
      </c>
    </row>
    <row r="342" spans="2:10" x14ac:dyDescent="0.2">
      <c r="B342" t="s">
        <v>740</v>
      </c>
      <c r="C342" t="s">
        <v>248</v>
      </c>
      <c r="D342" t="s">
        <v>741</v>
      </c>
      <c r="E342" t="s">
        <v>778</v>
      </c>
      <c r="F342" t="s">
        <v>779</v>
      </c>
      <c r="G342" t="s">
        <v>54</v>
      </c>
      <c r="H342" t="s">
        <v>138</v>
      </c>
      <c r="I342" s="1">
        <v>1</v>
      </c>
      <c r="J342" s="2">
        <v>599.14</v>
      </c>
    </row>
    <row r="343" spans="2:10" x14ac:dyDescent="0.2">
      <c r="B343" t="s">
        <v>740</v>
      </c>
      <c r="C343" t="s">
        <v>248</v>
      </c>
      <c r="D343" t="s">
        <v>741</v>
      </c>
      <c r="E343" t="s">
        <v>242</v>
      </c>
      <c r="F343" t="s">
        <v>243</v>
      </c>
      <c r="G343" t="s">
        <v>14</v>
      </c>
      <c r="H343" t="s">
        <v>87</v>
      </c>
      <c r="I343" s="1">
        <v>1</v>
      </c>
      <c r="J343" s="2">
        <v>120.69</v>
      </c>
    </row>
    <row r="344" spans="2:10" x14ac:dyDescent="0.2">
      <c r="B344" t="s">
        <v>740</v>
      </c>
      <c r="C344" t="s">
        <v>248</v>
      </c>
      <c r="D344" t="s">
        <v>741</v>
      </c>
      <c r="E344" t="s">
        <v>336</v>
      </c>
      <c r="F344" t="s">
        <v>337</v>
      </c>
      <c r="G344" t="s">
        <v>1034</v>
      </c>
      <c r="H344" t="s">
        <v>15</v>
      </c>
      <c r="I344" s="1">
        <v>1</v>
      </c>
      <c r="J344" s="2">
        <v>387.93</v>
      </c>
    </row>
    <row r="345" spans="2:10" x14ac:dyDescent="0.2">
      <c r="B345" t="s">
        <v>740</v>
      </c>
      <c r="C345" t="s">
        <v>248</v>
      </c>
      <c r="D345" t="s">
        <v>741</v>
      </c>
      <c r="E345" t="s">
        <v>74</v>
      </c>
      <c r="F345" t="s">
        <v>75</v>
      </c>
      <c r="G345" t="s">
        <v>76</v>
      </c>
      <c r="H345" t="s">
        <v>60</v>
      </c>
      <c r="I345" s="1">
        <v>1</v>
      </c>
      <c r="J345" s="2">
        <v>344.83</v>
      </c>
    </row>
    <row r="346" spans="2:10" x14ac:dyDescent="0.2">
      <c r="B346" t="s">
        <v>740</v>
      </c>
      <c r="C346" t="s">
        <v>248</v>
      </c>
      <c r="D346" t="s">
        <v>741</v>
      </c>
      <c r="E346" t="s">
        <v>507</v>
      </c>
      <c r="F346" t="s">
        <v>508</v>
      </c>
      <c r="G346" t="s">
        <v>14</v>
      </c>
      <c r="H346" t="s">
        <v>509</v>
      </c>
      <c r="I346" s="1">
        <v>1</v>
      </c>
      <c r="J346" s="2">
        <v>775.86</v>
      </c>
    </row>
    <row r="347" spans="2:10" x14ac:dyDescent="0.2">
      <c r="B347" t="s">
        <v>740</v>
      </c>
      <c r="C347" t="s">
        <v>248</v>
      </c>
      <c r="D347" t="s">
        <v>741</v>
      </c>
      <c r="E347" t="s">
        <v>216</v>
      </c>
      <c r="F347" t="s">
        <v>217</v>
      </c>
      <c r="G347" t="s">
        <v>14</v>
      </c>
      <c r="H347" t="s">
        <v>104</v>
      </c>
      <c r="I347" s="1">
        <v>4</v>
      </c>
      <c r="J347" s="2">
        <v>68.959999999999994</v>
      </c>
    </row>
    <row r="348" spans="2:10" x14ac:dyDescent="0.2">
      <c r="B348" t="s">
        <v>740</v>
      </c>
      <c r="C348" t="s">
        <v>248</v>
      </c>
      <c r="D348" t="s">
        <v>741</v>
      </c>
      <c r="E348" t="s">
        <v>687</v>
      </c>
      <c r="F348" t="s">
        <v>688</v>
      </c>
      <c r="G348" t="s">
        <v>43</v>
      </c>
      <c r="H348" t="s">
        <v>50</v>
      </c>
      <c r="I348" s="1">
        <v>1</v>
      </c>
      <c r="J348" s="2">
        <v>181.03</v>
      </c>
    </row>
    <row r="349" spans="2:10" x14ac:dyDescent="0.2">
      <c r="B349" t="s">
        <v>740</v>
      </c>
      <c r="C349" t="s">
        <v>248</v>
      </c>
      <c r="D349" t="s">
        <v>741</v>
      </c>
      <c r="E349" t="s">
        <v>38</v>
      </c>
      <c r="F349" t="s">
        <v>39</v>
      </c>
      <c r="G349" t="s">
        <v>1034</v>
      </c>
      <c r="H349" t="s">
        <v>15</v>
      </c>
      <c r="I349" s="1">
        <v>1</v>
      </c>
      <c r="J349" s="2">
        <v>431.03</v>
      </c>
    </row>
    <row r="350" spans="2:10" x14ac:dyDescent="0.2">
      <c r="B350" t="s">
        <v>740</v>
      </c>
      <c r="C350" t="s">
        <v>248</v>
      </c>
      <c r="D350" t="s">
        <v>741</v>
      </c>
      <c r="E350" t="s">
        <v>16</v>
      </c>
      <c r="F350" t="s">
        <v>17</v>
      </c>
      <c r="G350" t="s">
        <v>1034</v>
      </c>
      <c r="H350" t="s">
        <v>15</v>
      </c>
      <c r="I350" s="1">
        <v>2</v>
      </c>
      <c r="J350" s="2">
        <v>1155.18</v>
      </c>
    </row>
    <row r="351" spans="2:10" x14ac:dyDescent="0.2">
      <c r="B351" t="s">
        <v>740</v>
      </c>
      <c r="C351" t="s">
        <v>248</v>
      </c>
      <c r="D351" t="s">
        <v>741</v>
      </c>
      <c r="E351" t="s">
        <v>333</v>
      </c>
      <c r="F351" t="s">
        <v>334</v>
      </c>
      <c r="G351" t="s">
        <v>1033</v>
      </c>
      <c r="H351" t="s">
        <v>30</v>
      </c>
      <c r="I351" s="1">
        <v>1</v>
      </c>
      <c r="J351" s="2">
        <v>2413.79</v>
      </c>
    </row>
    <row r="352" spans="2:10" x14ac:dyDescent="0.2">
      <c r="B352" t="s">
        <v>740</v>
      </c>
      <c r="C352" t="s">
        <v>248</v>
      </c>
      <c r="D352" t="s">
        <v>741</v>
      </c>
      <c r="E352" t="s">
        <v>28</v>
      </c>
      <c r="F352" t="s">
        <v>29</v>
      </c>
      <c r="G352" t="s">
        <v>1033</v>
      </c>
      <c r="H352" t="s">
        <v>30</v>
      </c>
      <c r="I352" s="1">
        <v>1</v>
      </c>
      <c r="J352" s="2">
        <v>155.16999999999999</v>
      </c>
    </row>
    <row r="353" spans="2:10" x14ac:dyDescent="0.2">
      <c r="B353" t="s">
        <v>780</v>
      </c>
      <c r="C353" t="s">
        <v>227</v>
      </c>
      <c r="D353" t="s">
        <v>781</v>
      </c>
      <c r="E353" t="s">
        <v>816</v>
      </c>
      <c r="F353" t="s">
        <v>817</v>
      </c>
      <c r="G353" t="s">
        <v>14</v>
      </c>
      <c r="H353" t="s">
        <v>60</v>
      </c>
      <c r="I353" s="1">
        <v>1</v>
      </c>
      <c r="J353" s="2">
        <v>267.24</v>
      </c>
    </row>
    <row r="354" spans="2:10" x14ac:dyDescent="0.2">
      <c r="B354" t="s">
        <v>780</v>
      </c>
      <c r="C354" t="s">
        <v>227</v>
      </c>
      <c r="D354" t="s">
        <v>781</v>
      </c>
      <c r="E354" t="s">
        <v>56</v>
      </c>
      <c r="F354" t="s">
        <v>57</v>
      </c>
      <c r="G354" t="s">
        <v>1034</v>
      </c>
      <c r="H354" t="s">
        <v>15</v>
      </c>
      <c r="I354" s="1">
        <v>1</v>
      </c>
      <c r="J354" s="2">
        <v>431.03</v>
      </c>
    </row>
    <row r="355" spans="2:10" x14ac:dyDescent="0.2">
      <c r="B355" t="s">
        <v>780</v>
      </c>
      <c r="C355" t="s">
        <v>228</v>
      </c>
      <c r="D355" t="s">
        <v>781</v>
      </c>
      <c r="E355" t="s">
        <v>198</v>
      </c>
      <c r="F355" t="s">
        <v>199</v>
      </c>
      <c r="G355" t="s">
        <v>14</v>
      </c>
      <c r="H355" t="s">
        <v>200</v>
      </c>
      <c r="I355" s="1">
        <v>1</v>
      </c>
      <c r="J355" s="2">
        <v>594.83000000000004</v>
      </c>
    </row>
    <row r="356" spans="2:10" x14ac:dyDescent="0.2">
      <c r="B356" t="s">
        <v>780</v>
      </c>
      <c r="C356" t="s">
        <v>228</v>
      </c>
      <c r="D356" t="s">
        <v>781</v>
      </c>
      <c r="E356" t="s">
        <v>44</v>
      </c>
      <c r="F356" t="s">
        <v>45</v>
      </c>
      <c r="G356" t="s">
        <v>1033</v>
      </c>
      <c r="H356" t="s">
        <v>30</v>
      </c>
      <c r="I356" s="1">
        <v>1</v>
      </c>
      <c r="J356" s="2">
        <v>81.900000000000006</v>
      </c>
    </row>
    <row r="357" spans="2:10" x14ac:dyDescent="0.2">
      <c r="B357" t="s">
        <v>780</v>
      </c>
      <c r="C357" t="s">
        <v>228</v>
      </c>
      <c r="D357" t="s">
        <v>781</v>
      </c>
      <c r="E357" t="s">
        <v>19</v>
      </c>
      <c r="F357" t="s">
        <v>20</v>
      </c>
      <c r="G357" t="s">
        <v>14</v>
      </c>
      <c r="H357" t="s">
        <v>21</v>
      </c>
      <c r="I357" s="1">
        <v>1</v>
      </c>
      <c r="J357" s="2">
        <v>431.04</v>
      </c>
    </row>
    <row r="358" spans="2:10" x14ac:dyDescent="0.2">
      <c r="B358" t="s">
        <v>780</v>
      </c>
      <c r="C358" t="s">
        <v>228</v>
      </c>
      <c r="D358" t="s">
        <v>781</v>
      </c>
      <c r="E358" t="s">
        <v>122</v>
      </c>
      <c r="F358" t="s">
        <v>123</v>
      </c>
      <c r="G358" t="s">
        <v>1034</v>
      </c>
      <c r="H358" t="s">
        <v>15</v>
      </c>
      <c r="I358" s="1">
        <v>1</v>
      </c>
      <c r="J358" s="2">
        <v>387.93</v>
      </c>
    </row>
    <row r="359" spans="2:10" x14ac:dyDescent="0.2">
      <c r="B359" t="s">
        <v>780</v>
      </c>
      <c r="C359" t="s">
        <v>228</v>
      </c>
      <c r="D359" t="s">
        <v>781</v>
      </c>
      <c r="E359" t="s">
        <v>153</v>
      </c>
      <c r="F359" t="s">
        <v>154</v>
      </c>
      <c r="G359" t="s">
        <v>1034</v>
      </c>
      <c r="H359" t="s">
        <v>15</v>
      </c>
      <c r="I359" s="1">
        <v>1</v>
      </c>
      <c r="J359" s="2">
        <v>387.93</v>
      </c>
    </row>
    <row r="360" spans="2:10" x14ac:dyDescent="0.2">
      <c r="B360" t="s">
        <v>780</v>
      </c>
      <c r="C360" t="s">
        <v>228</v>
      </c>
      <c r="D360" t="s">
        <v>781</v>
      </c>
      <c r="E360" t="s">
        <v>406</v>
      </c>
      <c r="F360" t="s">
        <v>407</v>
      </c>
      <c r="G360" t="s">
        <v>14</v>
      </c>
      <c r="H360" t="s">
        <v>104</v>
      </c>
      <c r="I360" s="1">
        <v>5</v>
      </c>
      <c r="J360" s="2">
        <v>86.2</v>
      </c>
    </row>
    <row r="361" spans="2:10" x14ac:dyDescent="0.2">
      <c r="B361" t="s">
        <v>780</v>
      </c>
      <c r="C361" t="s">
        <v>228</v>
      </c>
      <c r="D361" t="s">
        <v>781</v>
      </c>
      <c r="E361" t="s">
        <v>16</v>
      </c>
      <c r="F361" t="s">
        <v>17</v>
      </c>
      <c r="G361" t="s">
        <v>1034</v>
      </c>
      <c r="H361" t="s">
        <v>15</v>
      </c>
      <c r="I361" s="1">
        <v>2</v>
      </c>
      <c r="J361" s="2">
        <v>1155.18</v>
      </c>
    </row>
    <row r="362" spans="2:10" x14ac:dyDescent="0.2">
      <c r="B362" t="s">
        <v>780</v>
      </c>
      <c r="C362" t="s">
        <v>228</v>
      </c>
      <c r="D362" t="s">
        <v>781</v>
      </c>
      <c r="E362" t="s">
        <v>28</v>
      </c>
      <c r="F362" t="s">
        <v>29</v>
      </c>
      <c r="G362" t="s">
        <v>1033</v>
      </c>
      <c r="H362" t="s">
        <v>30</v>
      </c>
      <c r="I362" s="1">
        <v>1</v>
      </c>
      <c r="J362" s="2">
        <v>155.16999999999999</v>
      </c>
    </row>
    <row r="363" spans="2:10" x14ac:dyDescent="0.2">
      <c r="B363" t="s">
        <v>780</v>
      </c>
      <c r="C363" t="s">
        <v>233</v>
      </c>
      <c r="D363" t="s">
        <v>781</v>
      </c>
      <c r="E363" t="s">
        <v>56</v>
      </c>
      <c r="F363" t="s">
        <v>57</v>
      </c>
      <c r="G363" t="s">
        <v>1034</v>
      </c>
      <c r="H363" t="s">
        <v>15</v>
      </c>
      <c r="I363" s="1">
        <v>1</v>
      </c>
      <c r="J363" s="2">
        <v>431.03</v>
      </c>
    </row>
    <row r="364" spans="2:10" x14ac:dyDescent="0.2">
      <c r="B364" t="s">
        <v>780</v>
      </c>
      <c r="C364" t="s">
        <v>233</v>
      </c>
      <c r="D364" t="s">
        <v>781</v>
      </c>
      <c r="E364" t="s">
        <v>406</v>
      </c>
      <c r="F364" t="s">
        <v>407</v>
      </c>
      <c r="G364" t="s">
        <v>14</v>
      </c>
      <c r="H364" t="s">
        <v>104</v>
      </c>
      <c r="I364" s="1">
        <v>5</v>
      </c>
      <c r="J364" s="2">
        <v>86.2</v>
      </c>
    </row>
    <row r="365" spans="2:10" x14ac:dyDescent="0.2">
      <c r="B365" t="s">
        <v>780</v>
      </c>
      <c r="C365" t="s">
        <v>233</v>
      </c>
      <c r="D365" t="s">
        <v>781</v>
      </c>
      <c r="E365" t="s">
        <v>16</v>
      </c>
      <c r="F365" t="s">
        <v>17</v>
      </c>
      <c r="G365" t="s">
        <v>1034</v>
      </c>
      <c r="H365" t="s">
        <v>15</v>
      </c>
      <c r="I365" s="1">
        <v>3</v>
      </c>
      <c r="J365" s="2">
        <v>1732.77</v>
      </c>
    </row>
    <row r="366" spans="2:10" x14ac:dyDescent="0.2">
      <c r="B366" t="s">
        <v>780</v>
      </c>
      <c r="C366" t="s">
        <v>236</v>
      </c>
      <c r="D366" t="s">
        <v>781</v>
      </c>
      <c r="E366" t="s">
        <v>818</v>
      </c>
      <c r="F366" t="s">
        <v>819</v>
      </c>
      <c r="G366" t="s">
        <v>54</v>
      </c>
      <c r="H366" t="s">
        <v>138</v>
      </c>
      <c r="I366" s="1">
        <v>1</v>
      </c>
      <c r="J366" s="2">
        <v>431.03</v>
      </c>
    </row>
    <row r="367" spans="2:10" x14ac:dyDescent="0.2">
      <c r="B367" t="s">
        <v>780</v>
      </c>
      <c r="C367" t="s">
        <v>236</v>
      </c>
      <c r="D367" t="s">
        <v>781</v>
      </c>
      <c r="E367" t="s">
        <v>820</v>
      </c>
      <c r="F367" t="s">
        <v>821</v>
      </c>
      <c r="G367" t="s">
        <v>1033</v>
      </c>
      <c r="H367" t="s">
        <v>30</v>
      </c>
      <c r="I367" s="1">
        <v>1</v>
      </c>
      <c r="J367" s="2">
        <v>258.62</v>
      </c>
    </row>
    <row r="368" spans="2:10" x14ac:dyDescent="0.2">
      <c r="B368" t="s">
        <v>780</v>
      </c>
      <c r="C368" t="s">
        <v>237</v>
      </c>
      <c r="D368" t="s">
        <v>277</v>
      </c>
      <c r="E368" t="s">
        <v>669</v>
      </c>
      <c r="F368" t="s">
        <v>670</v>
      </c>
      <c r="G368" t="s">
        <v>14</v>
      </c>
      <c r="H368" t="s">
        <v>27</v>
      </c>
      <c r="I368" s="1">
        <v>1</v>
      </c>
      <c r="J368" s="2">
        <v>448.28</v>
      </c>
    </row>
    <row r="369" spans="2:10" x14ac:dyDescent="0.2">
      <c r="B369" t="s">
        <v>780</v>
      </c>
      <c r="C369" t="s">
        <v>237</v>
      </c>
      <c r="D369" t="s">
        <v>277</v>
      </c>
      <c r="E369" t="s">
        <v>822</v>
      </c>
      <c r="F369" t="s">
        <v>823</v>
      </c>
      <c r="G369" t="s">
        <v>1033</v>
      </c>
      <c r="H369" t="s">
        <v>30</v>
      </c>
      <c r="I369" s="1">
        <v>1</v>
      </c>
      <c r="J369" s="2">
        <v>793.1</v>
      </c>
    </row>
    <row r="370" spans="2:10" x14ac:dyDescent="0.2">
      <c r="B370" t="s">
        <v>780</v>
      </c>
      <c r="C370" t="s">
        <v>237</v>
      </c>
      <c r="D370" t="s">
        <v>277</v>
      </c>
      <c r="E370" t="s">
        <v>273</v>
      </c>
      <c r="F370" t="s">
        <v>274</v>
      </c>
      <c r="G370" t="s">
        <v>1033</v>
      </c>
      <c r="H370" t="s">
        <v>30</v>
      </c>
      <c r="I370" s="1">
        <v>1</v>
      </c>
      <c r="J370" s="2">
        <v>1293.0999999999999</v>
      </c>
    </row>
    <row r="371" spans="2:10" x14ac:dyDescent="0.2">
      <c r="B371" t="s">
        <v>780</v>
      </c>
      <c r="C371" t="s">
        <v>237</v>
      </c>
      <c r="D371" t="s">
        <v>277</v>
      </c>
      <c r="E371" t="s">
        <v>61</v>
      </c>
      <c r="F371" t="s">
        <v>62</v>
      </c>
      <c r="G371" t="s">
        <v>1034</v>
      </c>
      <c r="H371" t="s">
        <v>15</v>
      </c>
      <c r="I371" s="1">
        <v>1</v>
      </c>
      <c r="J371" s="2">
        <v>172.41</v>
      </c>
    </row>
    <row r="372" spans="2:10" x14ac:dyDescent="0.2">
      <c r="B372" t="s">
        <v>780</v>
      </c>
      <c r="C372" t="s">
        <v>237</v>
      </c>
      <c r="D372" t="s">
        <v>277</v>
      </c>
      <c r="E372" t="s">
        <v>110</v>
      </c>
      <c r="F372" t="s">
        <v>111</v>
      </c>
      <c r="G372" t="s">
        <v>14</v>
      </c>
      <c r="H372" t="s">
        <v>112</v>
      </c>
      <c r="I372" s="1">
        <v>1</v>
      </c>
      <c r="J372" s="2">
        <v>301.72000000000003</v>
      </c>
    </row>
    <row r="373" spans="2:10" x14ac:dyDescent="0.2">
      <c r="B373" t="s">
        <v>780</v>
      </c>
      <c r="C373" t="s">
        <v>237</v>
      </c>
      <c r="D373" t="s">
        <v>277</v>
      </c>
      <c r="E373" t="s">
        <v>28</v>
      </c>
      <c r="F373" t="s">
        <v>29</v>
      </c>
      <c r="G373" t="s">
        <v>1033</v>
      </c>
      <c r="H373" t="s">
        <v>30</v>
      </c>
      <c r="I373" s="1">
        <v>1</v>
      </c>
      <c r="J373" s="2">
        <v>155.16999999999999</v>
      </c>
    </row>
    <row r="374" spans="2:10" x14ac:dyDescent="0.2">
      <c r="B374" t="s">
        <v>780</v>
      </c>
      <c r="C374" t="s">
        <v>248</v>
      </c>
      <c r="D374" t="s">
        <v>781</v>
      </c>
      <c r="E374" t="s">
        <v>167</v>
      </c>
      <c r="F374" t="s">
        <v>168</v>
      </c>
      <c r="G374" t="s">
        <v>1033</v>
      </c>
      <c r="H374" t="s">
        <v>30</v>
      </c>
      <c r="I374" s="1">
        <v>1</v>
      </c>
      <c r="J374" s="2">
        <v>1267.24</v>
      </c>
    </row>
    <row r="375" spans="2:10" x14ac:dyDescent="0.2">
      <c r="B375" t="s">
        <v>780</v>
      </c>
      <c r="C375" t="s">
        <v>248</v>
      </c>
      <c r="D375" t="s">
        <v>781</v>
      </c>
      <c r="E375" t="s">
        <v>44</v>
      </c>
      <c r="F375" t="s">
        <v>45</v>
      </c>
      <c r="G375" t="s">
        <v>1033</v>
      </c>
      <c r="H375" t="s">
        <v>30</v>
      </c>
      <c r="I375" s="1">
        <v>1</v>
      </c>
      <c r="J375" s="2">
        <v>81.900000000000006</v>
      </c>
    </row>
    <row r="376" spans="2:10" x14ac:dyDescent="0.2">
      <c r="B376" t="s">
        <v>780</v>
      </c>
      <c r="C376" t="s">
        <v>248</v>
      </c>
      <c r="D376" t="s">
        <v>781</v>
      </c>
      <c r="E376" t="s">
        <v>395</v>
      </c>
      <c r="F376" t="s">
        <v>396</v>
      </c>
      <c r="G376" t="s">
        <v>14</v>
      </c>
      <c r="H376" t="s">
        <v>35</v>
      </c>
      <c r="I376" s="1">
        <v>1</v>
      </c>
      <c r="J376" s="2">
        <v>60.34</v>
      </c>
    </row>
    <row r="377" spans="2:10" x14ac:dyDescent="0.2">
      <c r="B377" t="s">
        <v>780</v>
      </c>
      <c r="C377" t="s">
        <v>248</v>
      </c>
      <c r="D377" t="s">
        <v>781</v>
      </c>
      <c r="E377" t="s">
        <v>566</v>
      </c>
      <c r="F377" t="s">
        <v>567</v>
      </c>
      <c r="G377" t="s">
        <v>14</v>
      </c>
      <c r="H377" t="s">
        <v>35</v>
      </c>
      <c r="I377" s="1">
        <v>1</v>
      </c>
      <c r="J377" s="2">
        <v>77.59</v>
      </c>
    </row>
    <row r="378" spans="2:10" x14ac:dyDescent="0.2">
      <c r="B378" t="s">
        <v>780</v>
      </c>
      <c r="C378" t="s">
        <v>248</v>
      </c>
      <c r="D378" t="s">
        <v>781</v>
      </c>
      <c r="E378" t="s">
        <v>122</v>
      </c>
      <c r="F378" t="s">
        <v>123</v>
      </c>
      <c r="G378" t="s">
        <v>1034</v>
      </c>
      <c r="H378" t="s">
        <v>15</v>
      </c>
      <c r="I378" s="1">
        <v>1</v>
      </c>
      <c r="J378" s="2">
        <v>387.93</v>
      </c>
    </row>
    <row r="379" spans="2:10" x14ac:dyDescent="0.2">
      <c r="B379" t="s">
        <v>780</v>
      </c>
      <c r="C379" t="s">
        <v>248</v>
      </c>
      <c r="D379" t="s">
        <v>781</v>
      </c>
      <c r="E379" t="s">
        <v>223</v>
      </c>
      <c r="F379" t="s">
        <v>224</v>
      </c>
      <c r="G379" t="s">
        <v>43</v>
      </c>
      <c r="H379" t="s">
        <v>50</v>
      </c>
      <c r="I379" s="1">
        <v>1</v>
      </c>
      <c r="J379" s="2">
        <v>1637.93</v>
      </c>
    </row>
    <row r="380" spans="2:10" x14ac:dyDescent="0.2">
      <c r="B380" t="s">
        <v>780</v>
      </c>
      <c r="C380" t="s">
        <v>248</v>
      </c>
      <c r="D380" t="s">
        <v>781</v>
      </c>
      <c r="E380" t="s">
        <v>61</v>
      </c>
      <c r="F380" t="s">
        <v>62</v>
      </c>
      <c r="G380" t="s">
        <v>1034</v>
      </c>
      <c r="H380" t="s">
        <v>15</v>
      </c>
      <c r="I380" s="1">
        <v>1</v>
      </c>
      <c r="J380" s="2">
        <v>172.41</v>
      </c>
    </row>
    <row r="381" spans="2:10" x14ac:dyDescent="0.2">
      <c r="B381" t="s">
        <v>780</v>
      </c>
      <c r="C381" t="s">
        <v>248</v>
      </c>
      <c r="D381" t="s">
        <v>781</v>
      </c>
      <c r="E381" t="s">
        <v>63</v>
      </c>
      <c r="F381" t="s">
        <v>64</v>
      </c>
      <c r="G381" t="s">
        <v>1034</v>
      </c>
      <c r="H381" t="s">
        <v>15</v>
      </c>
      <c r="I381" s="1">
        <v>1</v>
      </c>
      <c r="J381" s="2">
        <v>172.41</v>
      </c>
    </row>
    <row r="382" spans="2:10" x14ac:dyDescent="0.2">
      <c r="B382" t="s">
        <v>824</v>
      </c>
      <c r="C382" t="s">
        <v>227</v>
      </c>
      <c r="D382" t="s">
        <v>825</v>
      </c>
      <c r="E382" t="s">
        <v>36</v>
      </c>
      <c r="F382" t="s">
        <v>37</v>
      </c>
      <c r="G382" t="s">
        <v>1034</v>
      </c>
      <c r="H382" t="s">
        <v>15</v>
      </c>
      <c r="I382" s="1">
        <v>1</v>
      </c>
      <c r="J382" s="2">
        <v>301.72000000000003</v>
      </c>
    </row>
    <row r="383" spans="2:10" x14ac:dyDescent="0.2">
      <c r="B383" t="s">
        <v>824</v>
      </c>
      <c r="C383" t="s">
        <v>227</v>
      </c>
      <c r="D383" t="s">
        <v>825</v>
      </c>
      <c r="E383" t="s">
        <v>74</v>
      </c>
      <c r="F383" t="s">
        <v>75</v>
      </c>
      <c r="G383" t="s">
        <v>76</v>
      </c>
      <c r="H383" t="s">
        <v>60</v>
      </c>
      <c r="I383" s="1">
        <v>1</v>
      </c>
      <c r="J383" s="2">
        <v>344.83</v>
      </c>
    </row>
    <row r="384" spans="2:10" x14ac:dyDescent="0.2">
      <c r="B384" t="s">
        <v>824</v>
      </c>
      <c r="C384" t="s">
        <v>227</v>
      </c>
      <c r="D384" t="s">
        <v>825</v>
      </c>
      <c r="E384" t="s">
        <v>79</v>
      </c>
      <c r="F384" t="s">
        <v>80</v>
      </c>
      <c r="G384" t="s">
        <v>43</v>
      </c>
      <c r="H384" t="s">
        <v>81</v>
      </c>
      <c r="I384" s="1">
        <v>1</v>
      </c>
      <c r="J384" s="2">
        <v>1810.34</v>
      </c>
    </row>
    <row r="385" spans="2:10" x14ac:dyDescent="0.2">
      <c r="B385" t="s">
        <v>824</v>
      </c>
      <c r="C385" t="s">
        <v>228</v>
      </c>
      <c r="D385" t="s">
        <v>825</v>
      </c>
      <c r="E385" t="s">
        <v>44</v>
      </c>
      <c r="F385" t="s">
        <v>45</v>
      </c>
      <c r="G385" t="s">
        <v>1033</v>
      </c>
      <c r="H385" t="s">
        <v>30</v>
      </c>
      <c r="I385" s="1">
        <v>1</v>
      </c>
      <c r="J385" s="2">
        <v>81.900000000000006</v>
      </c>
    </row>
    <row r="386" spans="2:10" x14ac:dyDescent="0.2">
      <c r="B386" t="s">
        <v>824</v>
      </c>
      <c r="C386" t="s">
        <v>228</v>
      </c>
      <c r="D386" t="s">
        <v>825</v>
      </c>
      <c r="E386" t="s">
        <v>46</v>
      </c>
      <c r="F386" t="s">
        <v>47</v>
      </c>
      <c r="G386" t="s">
        <v>1034</v>
      </c>
      <c r="H386" t="s">
        <v>15</v>
      </c>
      <c r="I386" s="1">
        <v>1</v>
      </c>
      <c r="J386" s="2">
        <v>301.72000000000003</v>
      </c>
    </row>
    <row r="387" spans="2:10" x14ac:dyDescent="0.2">
      <c r="B387" t="s">
        <v>824</v>
      </c>
      <c r="C387" t="s">
        <v>228</v>
      </c>
      <c r="D387" t="s">
        <v>825</v>
      </c>
      <c r="E387" t="s">
        <v>488</v>
      </c>
      <c r="F387" t="s">
        <v>489</v>
      </c>
      <c r="G387" t="s">
        <v>43</v>
      </c>
      <c r="H387" t="s">
        <v>128</v>
      </c>
      <c r="I387" s="1">
        <v>1</v>
      </c>
      <c r="J387" s="2">
        <v>5862.07</v>
      </c>
    </row>
    <row r="388" spans="2:10" x14ac:dyDescent="0.2">
      <c r="B388" t="s">
        <v>824</v>
      </c>
      <c r="C388" t="s">
        <v>228</v>
      </c>
      <c r="D388" t="s">
        <v>825</v>
      </c>
      <c r="E388" t="s">
        <v>214</v>
      </c>
      <c r="F388" t="s">
        <v>215</v>
      </c>
      <c r="G388" t="s">
        <v>1034</v>
      </c>
      <c r="H388" t="s">
        <v>15</v>
      </c>
      <c r="I388" s="1">
        <v>1</v>
      </c>
      <c r="J388" s="2">
        <v>301.72000000000003</v>
      </c>
    </row>
    <row r="389" spans="2:10" x14ac:dyDescent="0.2">
      <c r="B389" t="s">
        <v>824</v>
      </c>
      <c r="C389" t="s">
        <v>228</v>
      </c>
      <c r="D389" t="s">
        <v>825</v>
      </c>
      <c r="E389" t="s">
        <v>122</v>
      </c>
      <c r="F389" t="s">
        <v>123</v>
      </c>
      <c r="G389" t="s">
        <v>1034</v>
      </c>
      <c r="H389" t="s">
        <v>15</v>
      </c>
      <c r="I389" s="1">
        <v>1</v>
      </c>
      <c r="J389" s="2">
        <v>387.93</v>
      </c>
    </row>
    <row r="390" spans="2:10" x14ac:dyDescent="0.2">
      <c r="B390" t="s">
        <v>824</v>
      </c>
      <c r="C390" t="s">
        <v>228</v>
      </c>
      <c r="D390" t="s">
        <v>825</v>
      </c>
      <c r="E390" t="s">
        <v>596</v>
      </c>
      <c r="F390" t="s">
        <v>597</v>
      </c>
      <c r="G390" t="s">
        <v>43</v>
      </c>
      <c r="H390" t="s">
        <v>50</v>
      </c>
      <c r="I390" s="1">
        <v>1</v>
      </c>
      <c r="J390" s="2">
        <v>181.03</v>
      </c>
    </row>
    <row r="391" spans="2:10" x14ac:dyDescent="0.2">
      <c r="B391" t="s">
        <v>824</v>
      </c>
      <c r="C391" t="s">
        <v>228</v>
      </c>
      <c r="D391" t="s">
        <v>825</v>
      </c>
      <c r="E391" t="s">
        <v>56</v>
      </c>
      <c r="F391" t="s">
        <v>57</v>
      </c>
      <c r="G391" t="s">
        <v>1034</v>
      </c>
      <c r="H391" t="s">
        <v>15</v>
      </c>
      <c r="I391" s="1">
        <v>1</v>
      </c>
      <c r="J391" s="2">
        <v>431.03</v>
      </c>
    </row>
    <row r="392" spans="2:10" x14ac:dyDescent="0.2">
      <c r="B392" t="s">
        <v>824</v>
      </c>
      <c r="C392" t="s">
        <v>228</v>
      </c>
      <c r="D392" t="s">
        <v>825</v>
      </c>
      <c r="E392" t="s">
        <v>406</v>
      </c>
      <c r="F392" t="s">
        <v>407</v>
      </c>
      <c r="G392" t="s">
        <v>14</v>
      </c>
      <c r="H392" t="s">
        <v>104</v>
      </c>
      <c r="I392" s="1">
        <v>1</v>
      </c>
      <c r="J392" s="2">
        <v>17.239999999999998</v>
      </c>
    </row>
    <row r="393" spans="2:10" x14ac:dyDescent="0.2">
      <c r="B393" t="s">
        <v>824</v>
      </c>
      <c r="C393" t="s">
        <v>228</v>
      </c>
      <c r="D393" t="s">
        <v>825</v>
      </c>
      <c r="E393" t="s">
        <v>61</v>
      </c>
      <c r="F393" t="s">
        <v>62</v>
      </c>
      <c r="G393" t="s">
        <v>1034</v>
      </c>
      <c r="H393" t="s">
        <v>15</v>
      </c>
      <c r="I393" s="1">
        <v>1</v>
      </c>
      <c r="J393" s="2">
        <v>172.41</v>
      </c>
    </row>
    <row r="394" spans="2:10" x14ac:dyDescent="0.2">
      <c r="B394" t="s">
        <v>824</v>
      </c>
      <c r="C394" t="s">
        <v>233</v>
      </c>
      <c r="D394" t="s">
        <v>277</v>
      </c>
      <c r="E394" t="s">
        <v>19</v>
      </c>
      <c r="F394" t="s">
        <v>20</v>
      </c>
      <c r="G394" t="s">
        <v>14</v>
      </c>
      <c r="H394" t="s">
        <v>21</v>
      </c>
      <c r="I394" s="1">
        <v>1</v>
      </c>
      <c r="J394" s="2">
        <v>431.04</v>
      </c>
    </row>
    <row r="395" spans="2:10" x14ac:dyDescent="0.2">
      <c r="B395" t="s">
        <v>824</v>
      </c>
      <c r="C395" t="s">
        <v>233</v>
      </c>
      <c r="D395" t="s">
        <v>277</v>
      </c>
      <c r="E395" t="s">
        <v>324</v>
      </c>
      <c r="F395" t="s">
        <v>325</v>
      </c>
      <c r="G395" t="s">
        <v>1033</v>
      </c>
      <c r="H395" t="s">
        <v>30</v>
      </c>
      <c r="I395" s="1">
        <v>1</v>
      </c>
      <c r="J395" s="2">
        <v>2000</v>
      </c>
    </row>
    <row r="396" spans="2:10" x14ac:dyDescent="0.2">
      <c r="B396" t="s">
        <v>824</v>
      </c>
      <c r="C396" t="s">
        <v>233</v>
      </c>
      <c r="D396" t="s">
        <v>277</v>
      </c>
      <c r="E396" t="s">
        <v>573</v>
      </c>
      <c r="F396" t="s">
        <v>574</v>
      </c>
      <c r="G396" t="s">
        <v>1033</v>
      </c>
      <c r="H396" t="s">
        <v>30</v>
      </c>
      <c r="I396" s="1">
        <v>1</v>
      </c>
      <c r="J396" s="2">
        <v>775.86</v>
      </c>
    </row>
    <row r="397" spans="2:10" x14ac:dyDescent="0.2">
      <c r="B397" t="s">
        <v>824</v>
      </c>
      <c r="C397" t="s">
        <v>233</v>
      </c>
      <c r="D397" t="s">
        <v>277</v>
      </c>
      <c r="E397" t="s">
        <v>56</v>
      </c>
      <c r="F397" t="s">
        <v>57</v>
      </c>
      <c r="G397" t="s">
        <v>1034</v>
      </c>
      <c r="H397" t="s">
        <v>15</v>
      </c>
      <c r="I397" s="1">
        <v>1</v>
      </c>
      <c r="J397" s="2">
        <v>431.03</v>
      </c>
    </row>
    <row r="398" spans="2:10" x14ac:dyDescent="0.2">
      <c r="B398" t="s">
        <v>824</v>
      </c>
      <c r="C398" t="s">
        <v>233</v>
      </c>
      <c r="D398" t="s">
        <v>277</v>
      </c>
      <c r="E398" t="s">
        <v>61</v>
      </c>
      <c r="F398" t="s">
        <v>62</v>
      </c>
      <c r="G398" t="s">
        <v>1034</v>
      </c>
      <c r="H398" t="s">
        <v>15</v>
      </c>
      <c r="I398" s="1">
        <v>1</v>
      </c>
      <c r="J398" s="2">
        <v>172.41</v>
      </c>
    </row>
    <row r="399" spans="2:10" x14ac:dyDescent="0.2">
      <c r="B399" t="s">
        <v>824</v>
      </c>
      <c r="C399" t="s">
        <v>236</v>
      </c>
      <c r="D399" t="s">
        <v>825</v>
      </c>
      <c r="E399" t="s">
        <v>221</v>
      </c>
      <c r="F399" t="s">
        <v>222</v>
      </c>
      <c r="G399" t="s">
        <v>1034</v>
      </c>
      <c r="H399" t="s">
        <v>15</v>
      </c>
      <c r="I399" s="1">
        <v>1</v>
      </c>
      <c r="J399" s="2">
        <v>431.03</v>
      </c>
    </row>
    <row r="400" spans="2:10" x14ac:dyDescent="0.2">
      <c r="B400" t="s">
        <v>824</v>
      </c>
      <c r="C400" t="s">
        <v>236</v>
      </c>
      <c r="D400" t="s">
        <v>825</v>
      </c>
      <c r="E400" t="s">
        <v>72</v>
      </c>
      <c r="F400" t="s">
        <v>73</v>
      </c>
      <c r="G400" t="s">
        <v>1034</v>
      </c>
      <c r="H400" t="s">
        <v>15</v>
      </c>
      <c r="I400" s="1">
        <v>1</v>
      </c>
      <c r="J400" s="2">
        <v>775.86</v>
      </c>
    </row>
    <row r="401" spans="2:10" x14ac:dyDescent="0.2">
      <c r="B401" t="s">
        <v>824</v>
      </c>
      <c r="C401" t="s">
        <v>236</v>
      </c>
      <c r="D401" t="s">
        <v>825</v>
      </c>
      <c r="E401" t="s">
        <v>216</v>
      </c>
      <c r="F401" t="s">
        <v>217</v>
      </c>
      <c r="G401" t="s">
        <v>14</v>
      </c>
      <c r="H401" t="s">
        <v>104</v>
      </c>
      <c r="I401" s="1">
        <v>3</v>
      </c>
      <c r="J401" s="2">
        <v>51.72</v>
      </c>
    </row>
    <row r="402" spans="2:10" x14ac:dyDescent="0.2">
      <c r="B402" t="s">
        <v>824</v>
      </c>
      <c r="C402" t="s">
        <v>236</v>
      </c>
      <c r="D402" t="s">
        <v>825</v>
      </c>
      <c r="E402" t="s">
        <v>687</v>
      </c>
      <c r="F402" t="s">
        <v>688</v>
      </c>
      <c r="G402" t="s">
        <v>43</v>
      </c>
      <c r="H402" t="s">
        <v>50</v>
      </c>
      <c r="I402" s="1">
        <v>1</v>
      </c>
      <c r="J402" s="2">
        <v>181.03</v>
      </c>
    </row>
    <row r="403" spans="2:10" x14ac:dyDescent="0.2">
      <c r="B403" t="s">
        <v>824</v>
      </c>
      <c r="C403" t="s">
        <v>236</v>
      </c>
      <c r="D403" t="s">
        <v>825</v>
      </c>
      <c r="E403" t="s">
        <v>38</v>
      </c>
      <c r="F403" t="s">
        <v>39</v>
      </c>
      <c r="G403" t="s">
        <v>1034</v>
      </c>
      <c r="H403" t="s">
        <v>15</v>
      </c>
      <c r="I403" s="1">
        <v>1</v>
      </c>
      <c r="J403" s="2">
        <v>431.03</v>
      </c>
    </row>
    <row r="404" spans="2:10" x14ac:dyDescent="0.2">
      <c r="B404" t="s">
        <v>824</v>
      </c>
      <c r="C404" t="s">
        <v>236</v>
      </c>
      <c r="D404" t="s">
        <v>825</v>
      </c>
      <c r="E404" t="s">
        <v>521</v>
      </c>
      <c r="F404" t="s">
        <v>522</v>
      </c>
      <c r="G404" t="s">
        <v>14</v>
      </c>
      <c r="H404" t="s">
        <v>104</v>
      </c>
      <c r="I404" s="1">
        <v>1</v>
      </c>
      <c r="J404" s="2">
        <v>21.55</v>
      </c>
    </row>
    <row r="405" spans="2:10" x14ac:dyDescent="0.2">
      <c r="B405" t="s">
        <v>824</v>
      </c>
      <c r="C405" t="s">
        <v>236</v>
      </c>
      <c r="D405" t="s">
        <v>825</v>
      </c>
      <c r="E405" t="s">
        <v>406</v>
      </c>
      <c r="F405" t="s">
        <v>407</v>
      </c>
      <c r="G405" t="s">
        <v>14</v>
      </c>
      <c r="H405" t="s">
        <v>104</v>
      </c>
      <c r="I405" s="1">
        <v>6</v>
      </c>
      <c r="J405" s="2">
        <v>103.44</v>
      </c>
    </row>
    <row r="406" spans="2:10" x14ac:dyDescent="0.2">
      <c r="B406" t="s">
        <v>824</v>
      </c>
      <c r="C406" t="s">
        <v>236</v>
      </c>
      <c r="D406" t="s">
        <v>825</v>
      </c>
      <c r="E406" t="s">
        <v>61</v>
      </c>
      <c r="F406" t="s">
        <v>62</v>
      </c>
      <c r="G406" t="s">
        <v>1034</v>
      </c>
      <c r="H406" t="s">
        <v>15</v>
      </c>
      <c r="I406" s="1">
        <v>2</v>
      </c>
      <c r="J406" s="2">
        <v>344.82</v>
      </c>
    </row>
    <row r="407" spans="2:10" x14ac:dyDescent="0.2">
      <c r="B407" t="s">
        <v>824</v>
      </c>
      <c r="C407" t="s">
        <v>237</v>
      </c>
      <c r="D407" t="s">
        <v>825</v>
      </c>
      <c r="E407" t="s">
        <v>46</v>
      </c>
      <c r="F407" t="s">
        <v>47</v>
      </c>
      <c r="G407" t="s">
        <v>1034</v>
      </c>
      <c r="H407" t="s">
        <v>15</v>
      </c>
      <c r="I407" s="1">
        <v>1</v>
      </c>
      <c r="J407" s="2">
        <v>301.72000000000003</v>
      </c>
    </row>
    <row r="408" spans="2:10" x14ac:dyDescent="0.2">
      <c r="B408" t="s">
        <v>824</v>
      </c>
      <c r="C408" t="s">
        <v>237</v>
      </c>
      <c r="D408" t="s">
        <v>825</v>
      </c>
      <c r="E408" t="s">
        <v>221</v>
      </c>
      <c r="F408" t="s">
        <v>222</v>
      </c>
      <c r="G408" t="s">
        <v>1034</v>
      </c>
      <c r="H408" t="s">
        <v>15</v>
      </c>
      <c r="I408" s="1">
        <v>1</v>
      </c>
      <c r="J408" s="2">
        <v>431.03</v>
      </c>
    </row>
    <row r="409" spans="2:10" x14ac:dyDescent="0.2">
      <c r="B409" t="s">
        <v>824</v>
      </c>
      <c r="C409" t="s">
        <v>237</v>
      </c>
      <c r="D409" t="s">
        <v>825</v>
      </c>
      <c r="E409" t="s">
        <v>56</v>
      </c>
      <c r="F409" t="s">
        <v>57</v>
      </c>
      <c r="G409" t="s">
        <v>1034</v>
      </c>
      <c r="H409" t="s">
        <v>15</v>
      </c>
      <c r="I409" s="1">
        <v>4</v>
      </c>
      <c r="J409" s="2">
        <v>1724.1299999999999</v>
      </c>
    </row>
    <row r="410" spans="2:10" x14ac:dyDescent="0.2">
      <c r="B410" t="s">
        <v>824</v>
      </c>
      <c r="C410" t="s">
        <v>237</v>
      </c>
      <c r="D410" t="s">
        <v>825</v>
      </c>
      <c r="E410" t="s">
        <v>16</v>
      </c>
      <c r="F410" t="s">
        <v>17</v>
      </c>
      <c r="G410" t="s">
        <v>1034</v>
      </c>
      <c r="H410" t="s">
        <v>15</v>
      </c>
      <c r="I410" s="1">
        <v>1</v>
      </c>
      <c r="J410" s="2">
        <v>577.59</v>
      </c>
    </row>
    <row r="411" spans="2:10" x14ac:dyDescent="0.2">
      <c r="B411" t="s">
        <v>824</v>
      </c>
      <c r="C411" t="s">
        <v>248</v>
      </c>
      <c r="D411" t="s">
        <v>825</v>
      </c>
      <c r="E411" t="s">
        <v>302</v>
      </c>
      <c r="F411" t="s">
        <v>303</v>
      </c>
      <c r="G411" t="s">
        <v>1033</v>
      </c>
      <c r="H411" t="s">
        <v>30</v>
      </c>
      <c r="I411" s="1">
        <v>1</v>
      </c>
      <c r="J411" s="2">
        <v>474.14</v>
      </c>
    </row>
    <row r="412" spans="2:10" x14ac:dyDescent="0.2">
      <c r="B412" t="s">
        <v>824</v>
      </c>
      <c r="C412" t="s">
        <v>248</v>
      </c>
      <c r="D412" t="s">
        <v>825</v>
      </c>
      <c r="E412" t="s">
        <v>858</v>
      </c>
      <c r="F412" t="s">
        <v>859</v>
      </c>
      <c r="G412" t="s">
        <v>54</v>
      </c>
      <c r="H412" t="s">
        <v>471</v>
      </c>
      <c r="I412" s="1">
        <v>1</v>
      </c>
      <c r="J412" s="2">
        <v>724.14</v>
      </c>
    </row>
    <row r="413" spans="2:10" x14ac:dyDescent="0.2">
      <c r="B413" t="s">
        <v>824</v>
      </c>
      <c r="C413" t="s">
        <v>248</v>
      </c>
      <c r="D413" t="s">
        <v>825</v>
      </c>
      <c r="E413" t="s">
        <v>46</v>
      </c>
      <c r="F413" t="s">
        <v>47</v>
      </c>
      <c r="G413" t="s">
        <v>1034</v>
      </c>
      <c r="H413" t="s">
        <v>15</v>
      </c>
      <c r="I413" s="1">
        <v>3</v>
      </c>
      <c r="J413" s="2">
        <v>905.16000000000008</v>
      </c>
    </row>
    <row r="414" spans="2:10" x14ac:dyDescent="0.2">
      <c r="B414" t="s">
        <v>824</v>
      </c>
      <c r="C414" t="s">
        <v>248</v>
      </c>
      <c r="D414" t="s">
        <v>825</v>
      </c>
      <c r="E414" t="s">
        <v>287</v>
      </c>
      <c r="F414" t="s">
        <v>288</v>
      </c>
      <c r="G414" t="s">
        <v>14</v>
      </c>
      <c r="H414" t="s">
        <v>35</v>
      </c>
      <c r="I414" s="1">
        <v>1</v>
      </c>
      <c r="J414" s="2">
        <v>60.34</v>
      </c>
    </row>
    <row r="415" spans="2:10" x14ac:dyDescent="0.2">
      <c r="B415" t="s">
        <v>824</v>
      </c>
      <c r="C415" t="s">
        <v>248</v>
      </c>
      <c r="D415" t="s">
        <v>825</v>
      </c>
      <c r="E415" t="s">
        <v>860</v>
      </c>
      <c r="F415" t="s">
        <v>861</v>
      </c>
      <c r="G415" t="s">
        <v>54</v>
      </c>
      <c r="H415" t="s">
        <v>138</v>
      </c>
      <c r="I415" s="1">
        <v>1</v>
      </c>
      <c r="J415" s="2">
        <v>814.66</v>
      </c>
    </row>
    <row r="416" spans="2:10" x14ac:dyDescent="0.2">
      <c r="B416" t="s">
        <v>824</v>
      </c>
      <c r="C416" t="s">
        <v>248</v>
      </c>
      <c r="D416" t="s">
        <v>825</v>
      </c>
      <c r="E416" t="s">
        <v>862</v>
      </c>
      <c r="F416" t="s">
        <v>863</v>
      </c>
      <c r="G416" t="s">
        <v>54</v>
      </c>
      <c r="H416" t="s">
        <v>138</v>
      </c>
      <c r="I416" s="1">
        <v>1</v>
      </c>
      <c r="J416" s="2">
        <v>814.66</v>
      </c>
    </row>
    <row r="417" spans="2:10" x14ac:dyDescent="0.2">
      <c r="B417" t="s">
        <v>824</v>
      </c>
      <c r="C417" t="s">
        <v>248</v>
      </c>
      <c r="D417" t="s">
        <v>825</v>
      </c>
      <c r="E417" t="s">
        <v>864</v>
      </c>
      <c r="F417" t="s">
        <v>865</v>
      </c>
      <c r="G417" t="s">
        <v>54</v>
      </c>
      <c r="H417" t="s">
        <v>138</v>
      </c>
      <c r="I417" s="1">
        <v>1</v>
      </c>
      <c r="J417" s="2">
        <v>383.62</v>
      </c>
    </row>
    <row r="418" spans="2:10" x14ac:dyDescent="0.2">
      <c r="B418" t="s">
        <v>824</v>
      </c>
      <c r="C418" t="s">
        <v>248</v>
      </c>
      <c r="D418" t="s">
        <v>825</v>
      </c>
      <c r="E418" t="s">
        <v>70</v>
      </c>
      <c r="F418" t="s">
        <v>71</v>
      </c>
      <c r="G418" t="s">
        <v>1033</v>
      </c>
      <c r="H418" t="s">
        <v>30</v>
      </c>
      <c r="I418" s="1">
        <v>2</v>
      </c>
      <c r="J418" s="2">
        <v>4224.1400000000003</v>
      </c>
    </row>
    <row r="419" spans="2:10" x14ac:dyDescent="0.2">
      <c r="B419" t="s">
        <v>824</v>
      </c>
      <c r="C419" t="s">
        <v>248</v>
      </c>
      <c r="D419" t="s">
        <v>825</v>
      </c>
      <c r="E419" t="s">
        <v>36</v>
      </c>
      <c r="F419" t="s">
        <v>37</v>
      </c>
      <c r="G419" t="s">
        <v>1034</v>
      </c>
      <c r="H419" t="s">
        <v>15</v>
      </c>
      <c r="I419" s="1">
        <v>1</v>
      </c>
      <c r="J419" s="2">
        <v>301.72000000000003</v>
      </c>
    </row>
    <row r="420" spans="2:10" x14ac:dyDescent="0.2">
      <c r="B420" t="s">
        <v>824</v>
      </c>
      <c r="C420" t="s">
        <v>248</v>
      </c>
      <c r="D420" t="s">
        <v>825</v>
      </c>
      <c r="E420" t="s">
        <v>72</v>
      </c>
      <c r="F420" t="s">
        <v>73</v>
      </c>
      <c r="G420" t="s">
        <v>1034</v>
      </c>
      <c r="H420" t="s">
        <v>15</v>
      </c>
      <c r="I420" s="1">
        <v>2</v>
      </c>
      <c r="J420" s="2">
        <v>1551.72</v>
      </c>
    </row>
    <row r="421" spans="2:10" x14ac:dyDescent="0.2">
      <c r="B421" t="s">
        <v>824</v>
      </c>
      <c r="C421" t="s">
        <v>248</v>
      </c>
      <c r="D421" t="s">
        <v>825</v>
      </c>
      <c r="E421" t="s">
        <v>122</v>
      </c>
      <c r="F421" t="s">
        <v>123</v>
      </c>
      <c r="G421" t="s">
        <v>1034</v>
      </c>
      <c r="H421" t="s">
        <v>15</v>
      </c>
      <c r="I421" s="1">
        <v>1</v>
      </c>
      <c r="J421" s="2">
        <v>387.93</v>
      </c>
    </row>
    <row r="422" spans="2:10" x14ac:dyDescent="0.2">
      <c r="B422" t="s">
        <v>824</v>
      </c>
      <c r="C422" t="s">
        <v>248</v>
      </c>
      <c r="D422" t="s">
        <v>825</v>
      </c>
      <c r="E422" t="s">
        <v>427</v>
      </c>
      <c r="F422" t="s">
        <v>428</v>
      </c>
      <c r="G422" t="s">
        <v>14</v>
      </c>
      <c r="H422" t="s">
        <v>87</v>
      </c>
      <c r="I422" s="1">
        <v>1</v>
      </c>
      <c r="J422" s="2">
        <v>120.69</v>
      </c>
    </row>
    <row r="423" spans="2:10" x14ac:dyDescent="0.2">
      <c r="B423" t="s">
        <v>824</v>
      </c>
      <c r="C423" t="s">
        <v>248</v>
      </c>
      <c r="D423" t="s">
        <v>825</v>
      </c>
      <c r="E423" t="s">
        <v>159</v>
      </c>
      <c r="F423" t="s">
        <v>160</v>
      </c>
      <c r="G423" t="s">
        <v>14</v>
      </c>
      <c r="H423" t="s">
        <v>87</v>
      </c>
      <c r="I423" s="1">
        <v>1</v>
      </c>
      <c r="J423" s="2">
        <v>284.48</v>
      </c>
    </row>
    <row r="424" spans="2:10" x14ac:dyDescent="0.2">
      <c r="B424" t="s">
        <v>824</v>
      </c>
      <c r="C424" t="s">
        <v>248</v>
      </c>
      <c r="D424" t="s">
        <v>825</v>
      </c>
      <c r="E424" t="s">
        <v>56</v>
      </c>
      <c r="F424" t="s">
        <v>57</v>
      </c>
      <c r="G424" t="s">
        <v>1034</v>
      </c>
      <c r="H424" t="s">
        <v>15</v>
      </c>
      <c r="I424" s="1">
        <v>1</v>
      </c>
      <c r="J424" s="2">
        <v>431.03</v>
      </c>
    </row>
    <row r="425" spans="2:10" x14ac:dyDescent="0.2">
      <c r="B425" t="s">
        <v>824</v>
      </c>
      <c r="C425" t="s">
        <v>248</v>
      </c>
      <c r="D425" t="s">
        <v>825</v>
      </c>
      <c r="E425" t="s">
        <v>406</v>
      </c>
      <c r="F425" t="s">
        <v>407</v>
      </c>
      <c r="G425" t="s">
        <v>14</v>
      </c>
      <c r="H425" t="s">
        <v>104</v>
      </c>
      <c r="I425" s="1">
        <v>13</v>
      </c>
      <c r="J425" s="2">
        <v>224.11999999999998</v>
      </c>
    </row>
    <row r="426" spans="2:10" x14ac:dyDescent="0.2">
      <c r="B426" t="s">
        <v>824</v>
      </c>
      <c r="C426" t="s">
        <v>248</v>
      </c>
      <c r="D426" t="s">
        <v>825</v>
      </c>
      <c r="E426" t="s">
        <v>61</v>
      </c>
      <c r="F426" t="s">
        <v>62</v>
      </c>
      <c r="G426" t="s">
        <v>1034</v>
      </c>
      <c r="H426" t="s">
        <v>15</v>
      </c>
      <c r="I426" s="1">
        <v>1</v>
      </c>
      <c r="J426" s="2">
        <v>172.41</v>
      </c>
    </row>
    <row r="427" spans="2:10" x14ac:dyDescent="0.2">
      <c r="B427" t="s">
        <v>824</v>
      </c>
      <c r="C427" t="s">
        <v>248</v>
      </c>
      <c r="D427" t="s">
        <v>825</v>
      </c>
      <c r="E427" t="s">
        <v>265</v>
      </c>
      <c r="F427" t="s">
        <v>266</v>
      </c>
      <c r="G427" t="s">
        <v>43</v>
      </c>
      <c r="H427" t="s">
        <v>128</v>
      </c>
      <c r="I427" s="1">
        <v>1</v>
      </c>
      <c r="J427" s="2">
        <v>5862.07</v>
      </c>
    </row>
    <row r="428" spans="2:10" x14ac:dyDescent="0.2">
      <c r="B428" t="s">
        <v>824</v>
      </c>
      <c r="C428" t="s">
        <v>248</v>
      </c>
      <c r="D428" t="s">
        <v>825</v>
      </c>
      <c r="E428" t="s">
        <v>28</v>
      </c>
      <c r="F428" t="s">
        <v>29</v>
      </c>
      <c r="G428" t="s">
        <v>1033</v>
      </c>
      <c r="H428" t="s">
        <v>30</v>
      </c>
      <c r="I428" s="1">
        <v>1</v>
      </c>
      <c r="J428" s="2">
        <v>155.16999999999999</v>
      </c>
    </row>
    <row r="429" spans="2:10" x14ac:dyDescent="0.2">
      <c r="B429" t="s">
        <v>866</v>
      </c>
      <c r="C429" t="s">
        <v>227</v>
      </c>
      <c r="D429" t="s">
        <v>32</v>
      </c>
      <c r="E429" t="s">
        <v>656</v>
      </c>
      <c r="F429" t="s">
        <v>657</v>
      </c>
      <c r="G429" t="s">
        <v>43</v>
      </c>
      <c r="H429" t="s">
        <v>50</v>
      </c>
      <c r="I429" s="1">
        <v>1</v>
      </c>
      <c r="J429" s="2">
        <v>181.03</v>
      </c>
    </row>
    <row r="430" spans="2:10" x14ac:dyDescent="0.2">
      <c r="B430" t="s">
        <v>866</v>
      </c>
      <c r="C430" t="s">
        <v>227</v>
      </c>
      <c r="D430" t="s">
        <v>32</v>
      </c>
      <c r="E430" t="s">
        <v>38</v>
      </c>
      <c r="F430" t="s">
        <v>39</v>
      </c>
      <c r="G430" t="s">
        <v>1034</v>
      </c>
      <c r="H430" t="s">
        <v>15</v>
      </c>
      <c r="I430" s="1">
        <v>1</v>
      </c>
      <c r="J430" s="2">
        <v>431.03</v>
      </c>
    </row>
    <row r="431" spans="2:10" x14ac:dyDescent="0.2">
      <c r="B431" t="s">
        <v>866</v>
      </c>
      <c r="C431" t="s">
        <v>227</v>
      </c>
      <c r="D431" t="s">
        <v>32</v>
      </c>
      <c r="E431" t="s">
        <v>56</v>
      </c>
      <c r="F431" t="s">
        <v>57</v>
      </c>
      <c r="G431" t="s">
        <v>1034</v>
      </c>
      <c r="H431" t="s">
        <v>15</v>
      </c>
      <c r="I431" s="1">
        <v>1</v>
      </c>
      <c r="J431" s="2">
        <v>431.03</v>
      </c>
    </row>
    <row r="432" spans="2:10" x14ac:dyDescent="0.2">
      <c r="B432" t="s">
        <v>866</v>
      </c>
      <c r="C432" t="s">
        <v>227</v>
      </c>
      <c r="D432" t="s">
        <v>32</v>
      </c>
      <c r="E432" t="s">
        <v>16</v>
      </c>
      <c r="F432" t="s">
        <v>17</v>
      </c>
      <c r="G432" t="s">
        <v>1034</v>
      </c>
      <c r="H432" t="s">
        <v>15</v>
      </c>
      <c r="I432" s="1">
        <v>1</v>
      </c>
      <c r="J432" s="2">
        <v>577.59</v>
      </c>
    </row>
    <row r="433" spans="2:10" x14ac:dyDescent="0.2">
      <c r="B433" t="s">
        <v>866</v>
      </c>
      <c r="C433" t="s">
        <v>228</v>
      </c>
      <c r="D433" t="s">
        <v>226</v>
      </c>
      <c r="E433" t="s">
        <v>19</v>
      </c>
      <c r="F433" t="s">
        <v>20</v>
      </c>
      <c r="G433" t="s">
        <v>14</v>
      </c>
      <c r="H433" t="s">
        <v>21</v>
      </c>
      <c r="I433" s="1">
        <v>1</v>
      </c>
      <c r="J433" s="2">
        <v>431.04</v>
      </c>
    </row>
    <row r="434" spans="2:10" x14ac:dyDescent="0.2">
      <c r="B434" t="s">
        <v>866</v>
      </c>
      <c r="C434" t="s">
        <v>233</v>
      </c>
      <c r="D434" t="s">
        <v>226</v>
      </c>
      <c r="E434" t="s">
        <v>44</v>
      </c>
      <c r="F434" t="s">
        <v>45</v>
      </c>
      <c r="G434" t="s">
        <v>1033</v>
      </c>
      <c r="H434" t="s">
        <v>30</v>
      </c>
      <c r="I434" s="1">
        <v>2</v>
      </c>
      <c r="J434" s="2">
        <v>163.80000000000001</v>
      </c>
    </row>
    <row r="435" spans="2:10" x14ac:dyDescent="0.2">
      <c r="B435" t="s">
        <v>866</v>
      </c>
      <c r="C435" t="s">
        <v>233</v>
      </c>
      <c r="D435" t="s">
        <v>226</v>
      </c>
      <c r="E435" t="s">
        <v>324</v>
      </c>
      <c r="F435" t="s">
        <v>325</v>
      </c>
      <c r="G435" t="s">
        <v>1033</v>
      </c>
      <c r="H435" t="s">
        <v>30</v>
      </c>
      <c r="I435" s="1">
        <v>1</v>
      </c>
      <c r="J435" s="2">
        <v>2000</v>
      </c>
    </row>
    <row r="436" spans="2:10" x14ac:dyDescent="0.2">
      <c r="B436" t="s">
        <v>866</v>
      </c>
      <c r="C436" t="s">
        <v>233</v>
      </c>
      <c r="D436" t="s">
        <v>226</v>
      </c>
      <c r="E436" t="s">
        <v>72</v>
      </c>
      <c r="F436" t="s">
        <v>73</v>
      </c>
      <c r="G436" t="s">
        <v>1034</v>
      </c>
      <c r="H436" t="s">
        <v>15</v>
      </c>
      <c r="I436" s="1">
        <v>1</v>
      </c>
      <c r="J436" s="2">
        <v>775.86</v>
      </c>
    </row>
    <row r="437" spans="2:10" x14ac:dyDescent="0.2">
      <c r="B437" t="s">
        <v>866</v>
      </c>
      <c r="C437" t="s">
        <v>233</v>
      </c>
      <c r="D437" t="s">
        <v>226</v>
      </c>
      <c r="E437" t="s">
        <v>687</v>
      </c>
      <c r="F437" t="s">
        <v>688</v>
      </c>
      <c r="G437" t="s">
        <v>43</v>
      </c>
      <c r="H437" t="s">
        <v>50</v>
      </c>
      <c r="I437" s="1">
        <v>1</v>
      </c>
      <c r="J437" s="2">
        <v>181.03</v>
      </c>
    </row>
    <row r="438" spans="2:10" x14ac:dyDescent="0.2">
      <c r="B438" t="s">
        <v>866</v>
      </c>
      <c r="C438" t="s">
        <v>233</v>
      </c>
      <c r="D438" t="s">
        <v>226</v>
      </c>
      <c r="E438" t="s">
        <v>897</v>
      </c>
      <c r="F438" t="s">
        <v>898</v>
      </c>
      <c r="G438" t="s">
        <v>43</v>
      </c>
      <c r="H438" t="s">
        <v>572</v>
      </c>
      <c r="I438" s="1">
        <v>1</v>
      </c>
      <c r="J438" s="2">
        <v>948.28</v>
      </c>
    </row>
    <row r="439" spans="2:10" x14ac:dyDescent="0.2">
      <c r="B439" t="s">
        <v>866</v>
      </c>
      <c r="C439" t="s">
        <v>233</v>
      </c>
      <c r="D439" t="s">
        <v>226</v>
      </c>
      <c r="E439" t="s">
        <v>28</v>
      </c>
      <c r="F439" t="s">
        <v>29</v>
      </c>
      <c r="G439" t="s">
        <v>1033</v>
      </c>
      <c r="H439" t="s">
        <v>30</v>
      </c>
      <c r="I439" s="1">
        <v>2</v>
      </c>
      <c r="J439" s="2">
        <v>310.33999999999997</v>
      </c>
    </row>
    <row r="440" spans="2:10" x14ac:dyDescent="0.2">
      <c r="B440" t="s">
        <v>866</v>
      </c>
      <c r="C440" t="s">
        <v>236</v>
      </c>
      <c r="D440" t="s">
        <v>226</v>
      </c>
      <c r="E440" t="s">
        <v>44</v>
      </c>
      <c r="F440" t="s">
        <v>45</v>
      </c>
      <c r="G440" t="s">
        <v>1033</v>
      </c>
      <c r="H440" t="s">
        <v>30</v>
      </c>
      <c r="I440" s="1">
        <v>1</v>
      </c>
      <c r="J440" s="2">
        <v>81.900000000000006</v>
      </c>
    </row>
    <row r="441" spans="2:10" x14ac:dyDescent="0.2">
      <c r="B441" t="s">
        <v>866</v>
      </c>
      <c r="C441" t="s">
        <v>236</v>
      </c>
      <c r="D441" t="s">
        <v>226</v>
      </c>
      <c r="E441" t="s">
        <v>899</v>
      </c>
      <c r="F441" t="s">
        <v>900</v>
      </c>
      <c r="G441" t="s">
        <v>43</v>
      </c>
      <c r="H441" t="s">
        <v>572</v>
      </c>
      <c r="I441" s="1">
        <v>1</v>
      </c>
      <c r="J441" s="2">
        <v>784.48</v>
      </c>
    </row>
    <row r="442" spans="2:10" x14ac:dyDescent="0.2">
      <c r="B442" t="s">
        <v>866</v>
      </c>
      <c r="C442" t="s">
        <v>237</v>
      </c>
      <c r="D442" t="s">
        <v>226</v>
      </c>
      <c r="E442" t="s">
        <v>198</v>
      </c>
      <c r="F442" t="s">
        <v>199</v>
      </c>
      <c r="G442" t="s">
        <v>14</v>
      </c>
      <c r="H442" t="s">
        <v>200</v>
      </c>
      <c r="I442" s="1">
        <v>1</v>
      </c>
      <c r="J442" s="2">
        <v>594.83000000000004</v>
      </c>
    </row>
    <row r="443" spans="2:10" x14ac:dyDescent="0.2">
      <c r="B443" t="s">
        <v>866</v>
      </c>
      <c r="C443" t="s">
        <v>237</v>
      </c>
      <c r="D443" t="s">
        <v>226</v>
      </c>
      <c r="E443" t="s">
        <v>901</v>
      </c>
      <c r="F443" t="s">
        <v>902</v>
      </c>
      <c r="G443" t="s">
        <v>1033</v>
      </c>
      <c r="H443" t="s">
        <v>30</v>
      </c>
      <c r="I443" s="1">
        <v>1</v>
      </c>
      <c r="J443" s="2">
        <v>284.48</v>
      </c>
    </row>
    <row r="444" spans="2:10" x14ac:dyDescent="0.2">
      <c r="B444" t="s">
        <v>866</v>
      </c>
      <c r="C444" t="s">
        <v>237</v>
      </c>
      <c r="D444" t="s">
        <v>226</v>
      </c>
      <c r="E444" t="s">
        <v>414</v>
      </c>
      <c r="F444" t="s">
        <v>415</v>
      </c>
      <c r="G444" t="s">
        <v>1033</v>
      </c>
      <c r="H444" t="s">
        <v>30</v>
      </c>
      <c r="I444" s="1">
        <v>1</v>
      </c>
      <c r="J444" s="2">
        <v>646.54999999999995</v>
      </c>
    </row>
    <row r="445" spans="2:10" x14ac:dyDescent="0.2">
      <c r="B445" t="s">
        <v>866</v>
      </c>
      <c r="C445" t="s">
        <v>237</v>
      </c>
      <c r="D445" t="s">
        <v>226</v>
      </c>
      <c r="E445" t="s">
        <v>545</v>
      </c>
      <c r="F445" t="s">
        <v>546</v>
      </c>
      <c r="G445" t="s">
        <v>284</v>
      </c>
      <c r="H445" t="s">
        <v>547</v>
      </c>
      <c r="I445" s="1">
        <v>2</v>
      </c>
      <c r="J445" s="2">
        <v>594.82000000000005</v>
      </c>
    </row>
    <row r="446" spans="2:10" x14ac:dyDescent="0.2">
      <c r="B446" t="s">
        <v>866</v>
      </c>
      <c r="C446" t="s">
        <v>237</v>
      </c>
      <c r="D446" t="s">
        <v>226</v>
      </c>
      <c r="E446" t="s">
        <v>120</v>
      </c>
      <c r="F446" t="s">
        <v>121</v>
      </c>
      <c r="G446" t="s">
        <v>1034</v>
      </c>
      <c r="H446" t="s">
        <v>15</v>
      </c>
      <c r="I446" s="1">
        <v>1</v>
      </c>
      <c r="J446" s="2">
        <v>301.72000000000003</v>
      </c>
    </row>
    <row r="447" spans="2:10" x14ac:dyDescent="0.2">
      <c r="B447" t="s">
        <v>866</v>
      </c>
      <c r="C447" t="s">
        <v>237</v>
      </c>
      <c r="D447" t="s">
        <v>226</v>
      </c>
      <c r="E447" t="s">
        <v>214</v>
      </c>
      <c r="F447" t="s">
        <v>215</v>
      </c>
      <c r="G447" t="s">
        <v>1034</v>
      </c>
      <c r="H447" t="s">
        <v>15</v>
      </c>
      <c r="I447" s="1">
        <v>1</v>
      </c>
      <c r="J447" s="2">
        <v>301.72000000000003</v>
      </c>
    </row>
    <row r="448" spans="2:10" x14ac:dyDescent="0.2">
      <c r="B448" t="s">
        <v>866</v>
      </c>
      <c r="C448" t="s">
        <v>237</v>
      </c>
      <c r="D448" t="s">
        <v>226</v>
      </c>
      <c r="E448" t="s">
        <v>267</v>
      </c>
      <c r="F448" t="s">
        <v>268</v>
      </c>
      <c r="G448" t="s">
        <v>1034</v>
      </c>
      <c r="H448" t="s">
        <v>15</v>
      </c>
      <c r="I448" s="1">
        <v>1</v>
      </c>
      <c r="J448" s="2">
        <v>258.62</v>
      </c>
    </row>
    <row r="449" spans="2:10" x14ac:dyDescent="0.2">
      <c r="B449" t="s">
        <v>866</v>
      </c>
      <c r="C449" t="s">
        <v>237</v>
      </c>
      <c r="D449" t="s">
        <v>226</v>
      </c>
      <c r="E449" t="s">
        <v>875</v>
      </c>
      <c r="F449" t="s">
        <v>876</v>
      </c>
      <c r="G449" t="s">
        <v>14</v>
      </c>
      <c r="H449" t="s">
        <v>60</v>
      </c>
      <c r="I449" s="1">
        <v>1</v>
      </c>
      <c r="J449" s="2">
        <v>310.35000000000002</v>
      </c>
    </row>
    <row r="450" spans="2:10" x14ac:dyDescent="0.2">
      <c r="B450" t="s">
        <v>866</v>
      </c>
      <c r="C450" t="s">
        <v>237</v>
      </c>
      <c r="D450" t="s">
        <v>226</v>
      </c>
      <c r="E450" t="s">
        <v>16</v>
      </c>
      <c r="F450" t="s">
        <v>17</v>
      </c>
      <c r="G450" t="s">
        <v>1034</v>
      </c>
      <c r="H450" t="s">
        <v>15</v>
      </c>
      <c r="I450" s="1">
        <v>1</v>
      </c>
      <c r="J450" s="2">
        <v>577.59</v>
      </c>
    </row>
    <row r="451" spans="2:10" x14ac:dyDescent="0.2">
      <c r="B451" t="s">
        <v>866</v>
      </c>
      <c r="C451" t="s">
        <v>237</v>
      </c>
      <c r="D451" t="s">
        <v>226</v>
      </c>
      <c r="E451" t="s">
        <v>110</v>
      </c>
      <c r="F451" t="s">
        <v>111</v>
      </c>
      <c r="G451" t="s">
        <v>14</v>
      </c>
      <c r="H451" t="s">
        <v>112</v>
      </c>
      <c r="I451" s="1">
        <v>1</v>
      </c>
      <c r="J451" s="2">
        <v>301.72000000000003</v>
      </c>
    </row>
    <row r="452" spans="2:10" x14ac:dyDescent="0.2">
      <c r="B452" t="s">
        <v>866</v>
      </c>
      <c r="C452" t="s">
        <v>237</v>
      </c>
      <c r="D452" t="s">
        <v>226</v>
      </c>
      <c r="E452" t="s">
        <v>903</v>
      </c>
      <c r="F452" t="s">
        <v>904</v>
      </c>
      <c r="G452" t="s">
        <v>43</v>
      </c>
      <c r="H452" t="s">
        <v>735</v>
      </c>
      <c r="I452" s="1">
        <v>1</v>
      </c>
      <c r="J452" s="2">
        <v>3017.24</v>
      </c>
    </row>
    <row r="453" spans="2:10" x14ac:dyDescent="0.2">
      <c r="B453" t="s">
        <v>866</v>
      </c>
      <c r="C453" t="s">
        <v>248</v>
      </c>
      <c r="D453" t="s">
        <v>226</v>
      </c>
      <c r="E453" t="s">
        <v>44</v>
      </c>
      <c r="F453" t="s">
        <v>45</v>
      </c>
      <c r="G453" t="s">
        <v>1033</v>
      </c>
      <c r="H453" t="s">
        <v>30</v>
      </c>
      <c r="I453" s="1">
        <v>1</v>
      </c>
      <c r="J453" s="2">
        <v>81.900000000000006</v>
      </c>
    </row>
    <row r="454" spans="2:10" x14ac:dyDescent="0.2">
      <c r="B454" t="s">
        <v>866</v>
      </c>
      <c r="C454" t="s">
        <v>248</v>
      </c>
      <c r="D454" t="s">
        <v>226</v>
      </c>
      <c r="E454" t="s">
        <v>46</v>
      </c>
      <c r="F454" t="s">
        <v>47</v>
      </c>
      <c r="G454" t="s">
        <v>1034</v>
      </c>
      <c r="H454" t="s">
        <v>15</v>
      </c>
      <c r="I454" s="1">
        <v>1</v>
      </c>
      <c r="J454" s="2">
        <v>301.72000000000003</v>
      </c>
    </row>
    <row r="455" spans="2:10" x14ac:dyDescent="0.2">
      <c r="B455" t="s">
        <v>866</v>
      </c>
      <c r="C455" t="s">
        <v>248</v>
      </c>
      <c r="D455" t="s">
        <v>226</v>
      </c>
      <c r="E455" t="s">
        <v>120</v>
      </c>
      <c r="F455" t="s">
        <v>121</v>
      </c>
      <c r="G455" t="s">
        <v>1034</v>
      </c>
      <c r="H455" t="s">
        <v>15</v>
      </c>
      <c r="I455" s="1">
        <v>1</v>
      </c>
      <c r="J455" s="2">
        <v>301.72000000000003</v>
      </c>
    </row>
    <row r="456" spans="2:10" x14ac:dyDescent="0.2">
      <c r="B456" t="s">
        <v>866</v>
      </c>
      <c r="C456" t="s">
        <v>248</v>
      </c>
      <c r="D456" t="s">
        <v>226</v>
      </c>
      <c r="E456" t="s">
        <v>72</v>
      </c>
      <c r="F456" t="s">
        <v>73</v>
      </c>
      <c r="G456" t="s">
        <v>1034</v>
      </c>
      <c r="H456" t="s">
        <v>15</v>
      </c>
      <c r="I456" s="1">
        <v>1</v>
      </c>
      <c r="J456" s="2">
        <v>775.86</v>
      </c>
    </row>
    <row r="457" spans="2:10" x14ac:dyDescent="0.2">
      <c r="B457" t="s">
        <v>866</v>
      </c>
      <c r="C457" t="s">
        <v>248</v>
      </c>
      <c r="D457" t="s">
        <v>226</v>
      </c>
      <c r="E457" t="s">
        <v>273</v>
      </c>
      <c r="F457" t="s">
        <v>274</v>
      </c>
      <c r="G457" t="s">
        <v>1033</v>
      </c>
      <c r="H457" t="s">
        <v>30</v>
      </c>
      <c r="I457" s="1">
        <v>1</v>
      </c>
      <c r="J457" s="2">
        <v>1293.0999999999999</v>
      </c>
    </row>
    <row r="458" spans="2:10" x14ac:dyDescent="0.2">
      <c r="B458" t="s">
        <v>866</v>
      </c>
      <c r="C458" t="s">
        <v>248</v>
      </c>
      <c r="D458" t="s">
        <v>226</v>
      </c>
      <c r="E458" t="s">
        <v>521</v>
      </c>
      <c r="F458" t="s">
        <v>522</v>
      </c>
      <c r="G458" t="s">
        <v>14</v>
      </c>
      <c r="H458" t="s">
        <v>104</v>
      </c>
      <c r="I458" s="1">
        <v>3</v>
      </c>
      <c r="J458" s="2">
        <v>64.650000000000006</v>
      </c>
    </row>
    <row r="459" spans="2:10" x14ac:dyDescent="0.2">
      <c r="B459" t="s">
        <v>866</v>
      </c>
      <c r="C459" t="s">
        <v>248</v>
      </c>
      <c r="D459" t="s">
        <v>226</v>
      </c>
      <c r="E459" t="s">
        <v>406</v>
      </c>
      <c r="F459" t="s">
        <v>407</v>
      </c>
      <c r="G459" t="s">
        <v>14</v>
      </c>
      <c r="H459" t="s">
        <v>104</v>
      </c>
      <c r="I459" s="1">
        <v>3</v>
      </c>
      <c r="J459" s="2">
        <v>51.72</v>
      </c>
    </row>
    <row r="460" spans="2:10" x14ac:dyDescent="0.2">
      <c r="B460" t="s">
        <v>866</v>
      </c>
      <c r="C460" t="s">
        <v>248</v>
      </c>
      <c r="D460" t="s">
        <v>226</v>
      </c>
      <c r="E460" t="s">
        <v>16</v>
      </c>
      <c r="F460" t="s">
        <v>17</v>
      </c>
      <c r="G460" t="s">
        <v>1034</v>
      </c>
      <c r="H460" t="s">
        <v>15</v>
      </c>
      <c r="I460" s="1">
        <v>2</v>
      </c>
      <c r="J460" s="2">
        <v>1155.18</v>
      </c>
    </row>
    <row r="461" spans="2:10" x14ac:dyDescent="0.2">
      <c r="B461" t="s">
        <v>866</v>
      </c>
      <c r="C461" t="s">
        <v>248</v>
      </c>
      <c r="D461" t="s">
        <v>226</v>
      </c>
      <c r="E461" t="s">
        <v>905</v>
      </c>
      <c r="F461" t="s">
        <v>906</v>
      </c>
      <c r="G461" t="s">
        <v>1033</v>
      </c>
      <c r="H461" t="s">
        <v>30</v>
      </c>
      <c r="I461" s="1">
        <v>1</v>
      </c>
      <c r="J461" s="2">
        <v>2672.41</v>
      </c>
    </row>
    <row r="462" spans="2:10" x14ac:dyDescent="0.2">
      <c r="B462" t="s">
        <v>907</v>
      </c>
      <c r="C462" t="s">
        <v>227</v>
      </c>
      <c r="D462" t="s">
        <v>908</v>
      </c>
      <c r="E462" t="s">
        <v>46</v>
      </c>
      <c r="F462" t="s">
        <v>47</v>
      </c>
      <c r="G462" t="s">
        <v>1034</v>
      </c>
      <c r="H462" t="s">
        <v>15</v>
      </c>
      <c r="I462" s="1">
        <v>1</v>
      </c>
      <c r="J462" s="2">
        <v>301.72000000000003</v>
      </c>
    </row>
    <row r="463" spans="2:10" x14ac:dyDescent="0.2">
      <c r="B463" t="s">
        <v>907</v>
      </c>
      <c r="C463" t="s">
        <v>227</v>
      </c>
      <c r="D463" t="s">
        <v>908</v>
      </c>
      <c r="E463" t="s">
        <v>120</v>
      </c>
      <c r="F463" t="s">
        <v>121</v>
      </c>
      <c r="G463" t="s">
        <v>1034</v>
      </c>
      <c r="H463" t="s">
        <v>15</v>
      </c>
      <c r="I463" s="1">
        <v>1</v>
      </c>
      <c r="J463" s="2">
        <v>301.72000000000003</v>
      </c>
    </row>
    <row r="464" spans="2:10" x14ac:dyDescent="0.2">
      <c r="B464" t="s">
        <v>907</v>
      </c>
      <c r="C464" t="s">
        <v>227</v>
      </c>
      <c r="D464" t="s">
        <v>908</v>
      </c>
      <c r="E464" t="s">
        <v>163</v>
      </c>
      <c r="F464" t="s">
        <v>164</v>
      </c>
      <c r="G464" t="s">
        <v>1034</v>
      </c>
      <c r="H464" t="s">
        <v>15</v>
      </c>
      <c r="I464" s="1">
        <v>1</v>
      </c>
      <c r="J464" s="2">
        <v>431.03</v>
      </c>
    </row>
    <row r="465" spans="2:10" x14ac:dyDescent="0.2">
      <c r="B465" t="s">
        <v>907</v>
      </c>
      <c r="C465" t="s">
        <v>227</v>
      </c>
      <c r="D465" t="s">
        <v>908</v>
      </c>
      <c r="E465" t="s">
        <v>929</v>
      </c>
      <c r="F465" t="s">
        <v>930</v>
      </c>
      <c r="G465" t="s">
        <v>1033</v>
      </c>
      <c r="H465" t="s">
        <v>30</v>
      </c>
      <c r="I465" s="1">
        <v>1</v>
      </c>
      <c r="J465" s="2">
        <v>1853.45</v>
      </c>
    </row>
    <row r="466" spans="2:10" x14ac:dyDescent="0.2">
      <c r="B466" t="s">
        <v>907</v>
      </c>
      <c r="C466" t="s">
        <v>227</v>
      </c>
      <c r="D466" t="s">
        <v>908</v>
      </c>
      <c r="E466" t="s">
        <v>28</v>
      </c>
      <c r="F466" t="s">
        <v>29</v>
      </c>
      <c r="G466" t="s">
        <v>1033</v>
      </c>
      <c r="H466" t="s">
        <v>30</v>
      </c>
      <c r="I466" s="1">
        <v>1</v>
      </c>
      <c r="J466" s="2">
        <v>155.16999999999999</v>
      </c>
    </row>
    <row r="467" spans="2:10" x14ac:dyDescent="0.2">
      <c r="B467" t="s">
        <v>907</v>
      </c>
      <c r="C467" t="s">
        <v>228</v>
      </c>
      <c r="D467" t="s">
        <v>908</v>
      </c>
      <c r="E467" t="s">
        <v>56</v>
      </c>
      <c r="F467" t="s">
        <v>57</v>
      </c>
      <c r="G467" t="s">
        <v>1034</v>
      </c>
      <c r="H467" t="s">
        <v>15</v>
      </c>
      <c r="I467" s="1">
        <v>1</v>
      </c>
      <c r="J467" s="2">
        <v>431.03</v>
      </c>
    </row>
    <row r="468" spans="2:10" x14ac:dyDescent="0.2">
      <c r="B468" t="s">
        <v>907</v>
      </c>
      <c r="C468" t="s">
        <v>233</v>
      </c>
      <c r="D468" t="s">
        <v>908</v>
      </c>
      <c r="E468" t="s">
        <v>931</v>
      </c>
      <c r="F468" t="s">
        <v>932</v>
      </c>
      <c r="G468" t="s">
        <v>1033</v>
      </c>
      <c r="H468" t="s">
        <v>30</v>
      </c>
      <c r="I468" s="1">
        <v>1</v>
      </c>
      <c r="J468" s="2">
        <v>168.1</v>
      </c>
    </row>
    <row r="469" spans="2:10" x14ac:dyDescent="0.2">
      <c r="B469" t="s">
        <v>907</v>
      </c>
      <c r="C469" t="s">
        <v>233</v>
      </c>
      <c r="D469" t="s">
        <v>908</v>
      </c>
      <c r="E469" t="s">
        <v>397</v>
      </c>
      <c r="F469" t="s">
        <v>398</v>
      </c>
      <c r="G469" t="s">
        <v>14</v>
      </c>
      <c r="H469" t="s">
        <v>35</v>
      </c>
      <c r="I469" s="1">
        <v>2</v>
      </c>
      <c r="J469" s="2">
        <v>155.16999999999999</v>
      </c>
    </row>
    <row r="470" spans="2:10" x14ac:dyDescent="0.2">
      <c r="B470" t="s">
        <v>907</v>
      </c>
      <c r="C470" t="s">
        <v>233</v>
      </c>
      <c r="D470" t="s">
        <v>908</v>
      </c>
      <c r="E470" t="s">
        <v>212</v>
      </c>
      <c r="F470" t="s">
        <v>213</v>
      </c>
      <c r="G470" t="s">
        <v>14</v>
      </c>
      <c r="H470" t="s">
        <v>35</v>
      </c>
      <c r="I470" s="1">
        <v>1</v>
      </c>
      <c r="J470" s="2">
        <v>77.59</v>
      </c>
    </row>
    <row r="471" spans="2:10" x14ac:dyDescent="0.2">
      <c r="B471" t="s">
        <v>907</v>
      </c>
      <c r="C471" t="s">
        <v>233</v>
      </c>
      <c r="D471" t="s">
        <v>908</v>
      </c>
      <c r="E471" t="s">
        <v>122</v>
      </c>
      <c r="F471" t="s">
        <v>123</v>
      </c>
      <c r="G471" t="s">
        <v>1034</v>
      </c>
      <c r="H471" t="s">
        <v>15</v>
      </c>
      <c r="I471" s="1">
        <v>1</v>
      </c>
      <c r="J471" s="2">
        <v>387.93</v>
      </c>
    </row>
    <row r="472" spans="2:10" x14ac:dyDescent="0.2">
      <c r="B472" t="s">
        <v>907</v>
      </c>
      <c r="C472" t="s">
        <v>233</v>
      </c>
      <c r="D472" t="s">
        <v>908</v>
      </c>
      <c r="E472" t="s">
        <v>153</v>
      </c>
      <c r="F472" t="s">
        <v>154</v>
      </c>
      <c r="G472" t="s">
        <v>1034</v>
      </c>
      <c r="H472" t="s">
        <v>15</v>
      </c>
      <c r="I472" s="1">
        <v>1</v>
      </c>
      <c r="J472" s="2">
        <v>387.93</v>
      </c>
    </row>
    <row r="473" spans="2:10" x14ac:dyDescent="0.2">
      <c r="B473" t="s">
        <v>907</v>
      </c>
      <c r="C473" t="s">
        <v>236</v>
      </c>
      <c r="D473" t="s">
        <v>908</v>
      </c>
      <c r="E473" t="s">
        <v>590</v>
      </c>
      <c r="F473" t="s">
        <v>591</v>
      </c>
      <c r="G473" t="s">
        <v>14</v>
      </c>
      <c r="H473" t="s">
        <v>35</v>
      </c>
      <c r="I473" s="1">
        <v>1</v>
      </c>
      <c r="J473" s="2">
        <v>77.59</v>
      </c>
    </row>
    <row r="474" spans="2:10" x14ac:dyDescent="0.2">
      <c r="B474" t="s">
        <v>907</v>
      </c>
      <c r="C474" t="s">
        <v>236</v>
      </c>
      <c r="D474" t="s">
        <v>908</v>
      </c>
      <c r="E474" t="s">
        <v>16</v>
      </c>
      <c r="F474" t="s">
        <v>17</v>
      </c>
      <c r="G474" t="s">
        <v>1034</v>
      </c>
      <c r="H474" t="s">
        <v>15</v>
      </c>
      <c r="I474" s="1">
        <v>3</v>
      </c>
      <c r="J474" s="2">
        <v>1732.77</v>
      </c>
    </row>
    <row r="475" spans="2:10" x14ac:dyDescent="0.2">
      <c r="B475" t="s">
        <v>907</v>
      </c>
      <c r="C475" t="s">
        <v>236</v>
      </c>
      <c r="D475" t="s">
        <v>908</v>
      </c>
      <c r="E475" t="s">
        <v>28</v>
      </c>
      <c r="F475" t="s">
        <v>29</v>
      </c>
      <c r="G475" t="s">
        <v>1033</v>
      </c>
      <c r="H475" t="s">
        <v>30</v>
      </c>
      <c r="I475" s="1">
        <v>1</v>
      </c>
      <c r="J475" s="2">
        <v>155.16999999999999</v>
      </c>
    </row>
    <row r="476" spans="2:10" x14ac:dyDescent="0.2">
      <c r="B476" t="s">
        <v>907</v>
      </c>
      <c r="C476" t="s">
        <v>237</v>
      </c>
      <c r="D476" t="s">
        <v>908</v>
      </c>
      <c r="E476" t="s">
        <v>609</v>
      </c>
      <c r="F476" t="s">
        <v>610</v>
      </c>
      <c r="G476" t="s">
        <v>1033</v>
      </c>
      <c r="H476" t="s">
        <v>30</v>
      </c>
      <c r="I476" s="1">
        <v>1</v>
      </c>
      <c r="J476" s="2">
        <v>1267.24</v>
      </c>
    </row>
    <row r="477" spans="2:10" x14ac:dyDescent="0.2">
      <c r="B477" t="s">
        <v>907</v>
      </c>
      <c r="C477" t="s">
        <v>237</v>
      </c>
      <c r="D477" t="s">
        <v>908</v>
      </c>
      <c r="E477" t="s">
        <v>46</v>
      </c>
      <c r="F477" t="s">
        <v>47</v>
      </c>
      <c r="G477" t="s">
        <v>1034</v>
      </c>
      <c r="H477" t="s">
        <v>15</v>
      </c>
      <c r="I477" s="1">
        <v>1</v>
      </c>
      <c r="J477" s="2">
        <v>301.72000000000003</v>
      </c>
    </row>
    <row r="478" spans="2:10" x14ac:dyDescent="0.2">
      <c r="B478" t="s">
        <v>907</v>
      </c>
      <c r="C478" t="s">
        <v>237</v>
      </c>
      <c r="D478" t="s">
        <v>908</v>
      </c>
      <c r="E478" t="s">
        <v>70</v>
      </c>
      <c r="F478" t="s">
        <v>71</v>
      </c>
      <c r="G478" t="s">
        <v>1033</v>
      </c>
      <c r="H478" t="s">
        <v>30</v>
      </c>
      <c r="I478" s="1">
        <v>1</v>
      </c>
      <c r="J478" s="2">
        <v>2112.0700000000002</v>
      </c>
    </row>
    <row r="479" spans="2:10" x14ac:dyDescent="0.2">
      <c r="B479" t="s">
        <v>907</v>
      </c>
      <c r="C479" t="s">
        <v>237</v>
      </c>
      <c r="D479" t="s">
        <v>908</v>
      </c>
      <c r="E479" t="s">
        <v>328</v>
      </c>
      <c r="F479" t="s">
        <v>329</v>
      </c>
      <c r="G479" t="s">
        <v>1033</v>
      </c>
      <c r="H479" t="s">
        <v>30</v>
      </c>
      <c r="I479" s="1">
        <v>1</v>
      </c>
      <c r="J479" s="2">
        <v>172.41</v>
      </c>
    </row>
    <row r="480" spans="2:10" x14ac:dyDescent="0.2">
      <c r="B480" t="s">
        <v>907</v>
      </c>
      <c r="C480" t="s">
        <v>237</v>
      </c>
      <c r="D480" t="s">
        <v>908</v>
      </c>
      <c r="E480" t="s">
        <v>214</v>
      </c>
      <c r="F480" t="s">
        <v>215</v>
      </c>
      <c r="G480" t="s">
        <v>1034</v>
      </c>
      <c r="H480" t="s">
        <v>15</v>
      </c>
      <c r="I480" s="1">
        <v>1</v>
      </c>
      <c r="J480" s="2">
        <v>301.72000000000003</v>
      </c>
    </row>
    <row r="481" spans="2:10" x14ac:dyDescent="0.2">
      <c r="B481" t="s">
        <v>907</v>
      </c>
      <c r="C481" t="s">
        <v>237</v>
      </c>
      <c r="D481" t="s">
        <v>908</v>
      </c>
      <c r="E481" t="s">
        <v>157</v>
      </c>
      <c r="F481" t="s">
        <v>158</v>
      </c>
      <c r="G481" t="s">
        <v>14</v>
      </c>
      <c r="H481" t="s">
        <v>87</v>
      </c>
      <c r="I481" s="1">
        <v>1</v>
      </c>
      <c r="J481" s="2">
        <v>284.48</v>
      </c>
    </row>
    <row r="482" spans="2:10" x14ac:dyDescent="0.2">
      <c r="B482" t="s">
        <v>907</v>
      </c>
      <c r="C482" t="s">
        <v>237</v>
      </c>
      <c r="D482" t="s">
        <v>908</v>
      </c>
      <c r="E482" t="s">
        <v>159</v>
      </c>
      <c r="F482" t="s">
        <v>160</v>
      </c>
      <c r="G482" t="s">
        <v>14</v>
      </c>
      <c r="H482" t="s">
        <v>87</v>
      </c>
      <c r="I482" s="1">
        <v>1</v>
      </c>
      <c r="J482" s="2">
        <v>284.48</v>
      </c>
    </row>
    <row r="483" spans="2:10" x14ac:dyDescent="0.2">
      <c r="B483" t="s">
        <v>907</v>
      </c>
      <c r="C483" t="s">
        <v>237</v>
      </c>
      <c r="D483" t="s">
        <v>908</v>
      </c>
      <c r="E483" t="s">
        <v>38</v>
      </c>
      <c r="F483" t="s">
        <v>39</v>
      </c>
      <c r="G483" t="s">
        <v>1034</v>
      </c>
      <c r="H483" t="s">
        <v>15</v>
      </c>
      <c r="I483" s="1">
        <v>1</v>
      </c>
      <c r="J483" s="2">
        <v>431.03</v>
      </c>
    </row>
    <row r="484" spans="2:10" x14ac:dyDescent="0.2">
      <c r="B484" t="s">
        <v>907</v>
      </c>
      <c r="C484" t="s">
        <v>237</v>
      </c>
      <c r="D484" t="s">
        <v>908</v>
      </c>
      <c r="E484" t="s">
        <v>16</v>
      </c>
      <c r="F484" t="s">
        <v>17</v>
      </c>
      <c r="G484" t="s">
        <v>1034</v>
      </c>
      <c r="H484" t="s">
        <v>15</v>
      </c>
      <c r="I484" s="1">
        <v>1</v>
      </c>
      <c r="J484" s="2">
        <v>577.59</v>
      </c>
    </row>
    <row r="485" spans="2:10" x14ac:dyDescent="0.2">
      <c r="B485" t="s">
        <v>907</v>
      </c>
      <c r="C485" t="s">
        <v>237</v>
      </c>
      <c r="D485" t="s">
        <v>908</v>
      </c>
      <c r="E485" t="s">
        <v>28</v>
      </c>
      <c r="F485" t="s">
        <v>29</v>
      </c>
      <c r="G485" t="s">
        <v>1033</v>
      </c>
      <c r="H485" t="s">
        <v>30</v>
      </c>
      <c r="I485" s="1">
        <v>1</v>
      </c>
      <c r="J485" s="2">
        <v>155.16999999999999</v>
      </c>
    </row>
    <row r="486" spans="2:10" x14ac:dyDescent="0.2">
      <c r="B486" t="s">
        <v>907</v>
      </c>
      <c r="C486" t="s">
        <v>248</v>
      </c>
      <c r="D486" t="s">
        <v>908</v>
      </c>
      <c r="E486" t="s">
        <v>44</v>
      </c>
      <c r="F486" t="s">
        <v>45</v>
      </c>
      <c r="G486" t="s">
        <v>1033</v>
      </c>
      <c r="H486" t="s">
        <v>30</v>
      </c>
      <c r="I486" s="1">
        <v>1</v>
      </c>
      <c r="J486" s="2">
        <v>81.900000000000006</v>
      </c>
    </row>
    <row r="487" spans="2:10" x14ac:dyDescent="0.2">
      <c r="B487" t="s">
        <v>907</v>
      </c>
      <c r="C487" t="s">
        <v>248</v>
      </c>
      <c r="D487" t="s">
        <v>908</v>
      </c>
      <c r="E487" t="s">
        <v>120</v>
      </c>
      <c r="F487" t="s">
        <v>121</v>
      </c>
      <c r="G487" t="s">
        <v>1034</v>
      </c>
      <c r="H487" t="s">
        <v>15</v>
      </c>
      <c r="I487" s="1">
        <v>1</v>
      </c>
      <c r="J487" s="2">
        <v>301.72000000000003</v>
      </c>
    </row>
    <row r="488" spans="2:10" x14ac:dyDescent="0.2">
      <c r="B488" t="s">
        <v>907</v>
      </c>
      <c r="C488" t="s">
        <v>248</v>
      </c>
      <c r="D488" t="s">
        <v>908</v>
      </c>
      <c r="E488" t="s">
        <v>406</v>
      </c>
      <c r="F488" t="s">
        <v>407</v>
      </c>
      <c r="G488" t="s">
        <v>14</v>
      </c>
      <c r="H488" t="s">
        <v>104</v>
      </c>
      <c r="I488" s="1">
        <v>3</v>
      </c>
      <c r="J488" s="2">
        <v>51.72</v>
      </c>
    </row>
    <row r="489" spans="2:10" x14ac:dyDescent="0.2">
      <c r="B489" t="s">
        <v>907</v>
      </c>
      <c r="C489" t="s">
        <v>248</v>
      </c>
      <c r="D489" t="s">
        <v>908</v>
      </c>
      <c r="E489" t="s">
        <v>28</v>
      </c>
      <c r="F489" t="s">
        <v>29</v>
      </c>
      <c r="G489" t="s">
        <v>1033</v>
      </c>
      <c r="H489" t="s">
        <v>30</v>
      </c>
      <c r="I489" s="1">
        <v>4</v>
      </c>
      <c r="J489" s="2">
        <v>620.67999999999995</v>
      </c>
    </row>
    <row r="490" spans="2:10" x14ac:dyDescent="0.2">
      <c r="B490" t="s">
        <v>933</v>
      </c>
      <c r="C490" t="s">
        <v>227</v>
      </c>
      <c r="D490" t="s">
        <v>934</v>
      </c>
      <c r="E490" t="s">
        <v>600</v>
      </c>
      <c r="F490" t="s">
        <v>601</v>
      </c>
      <c r="G490" t="s">
        <v>1033</v>
      </c>
      <c r="H490" t="s">
        <v>30</v>
      </c>
      <c r="I490" s="1">
        <v>1</v>
      </c>
      <c r="J490" s="2">
        <v>301.72000000000003</v>
      </c>
    </row>
    <row r="491" spans="2:10" x14ac:dyDescent="0.2">
      <c r="B491" t="s">
        <v>933</v>
      </c>
      <c r="C491" t="s">
        <v>227</v>
      </c>
      <c r="D491" t="s">
        <v>934</v>
      </c>
      <c r="E491" t="s">
        <v>101</v>
      </c>
      <c r="F491" t="s">
        <v>102</v>
      </c>
      <c r="G491" t="s">
        <v>103</v>
      </c>
      <c r="H491" t="s">
        <v>104</v>
      </c>
      <c r="I491" s="1">
        <v>2</v>
      </c>
      <c r="J491" s="2">
        <v>0.02</v>
      </c>
    </row>
    <row r="492" spans="2:10" x14ac:dyDescent="0.2">
      <c r="B492" t="s">
        <v>933</v>
      </c>
      <c r="C492" t="s">
        <v>227</v>
      </c>
      <c r="D492" t="s">
        <v>934</v>
      </c>
      <c r="E492" t="s">
        <v>216</v>
      </c>
      <c r="F492" t="s">
        <v>217</v>
      </c>
      <c r="G492" t="s">
        <v>14</v>
      </c>
      <c r="H492" t="s">
        <v>104</v>
      </c>
      <c r="I492" s="1">
        <v>1</v>
      </c>
      <c r="J492" s="2">
        <v>17.239999999999998</v>
      </c>
    </row>
    <row r="493" spans="2:10" x14ac:dyDescent="0.2">
      <c r="B493" t="s">
        <v>933</v>
      </c>
      <c r="C493" t="s">
        <v>227</v>
      </c>
      <c r="D493" t="s">
        <v>934</v>
      </c>
      <c r="E493" t="s">
        <v>521</v>
      </c>
      <c r="F493" t="s">
        <v>522</v>
      </c>
      <c r="G493" t="s">
        <v>14</v>
      </c>
      <c r="H493" t="s">
        <v>104</v>
      </c>
      <c r="I493" s="1">
        <v>1</v>
      </c>
      <c r="J493" s="2">
        <v>21.55</v>
      </c>
    </row>
    <row r="494" spans="2:10" x14ac:dyDescent="0.2">
      <c r="B494" t="s">
        <v>933</v>
      </c>
      <c r="C494" t="s">
        <v>227</v>
      </c>
      <c r="D494" t="s">
        <v>934</v>
      </c>
      <c r="E494" t="s">
        <v>16</v>
      </c>
      <c r="F494" t="s">
        <v>17</v>
      </c>
      <c r="G494" t="s">
        <v>1034</v>
      </c>
      <c r="H494" t="s">
        <v>15</v>
      </c>
      <c r="I494" s="1">
        <v>4</v>
      </c>
      <c r="J494" s="2">
        <v>2310.36</v>
      </c>
    </row>
    <row r="495" spans="2:10" x14ac:dyDescent="0.2">
      <c r="B495" t="s">
        <v>933</v>
      </c>
      <c r="C495" t="s">
        <v>228</v>
      </c>
      <c r="D495" t="s">
        <v>934</v>
      </c>
      <c r="E495" t="s">
        <v>669</v>
      </c>
      <c r="F495" t="s">
        <v>670</v>
      </c>
      <c r="G495" t="s">
        <v>14</v>
      </c>
      <c r="H495" t="s">
        <v>27</v>
      </c>
      <c r="I495" s="1">
        <v>1</v>
      </c>
      <c r="J495" s="2">
        <v>448.28</v>
      </c>
    </row>
    <row r="496" spans="2:10" x14ac:dyDescent="0.2">
      <c r="B496" t="s">
        <v>933</v>
      </c>
      <c r="C496" t="s">
        <v>228</v>
      </c>
      <c r="D496" t="s">
        <v>934</v>
      </c>
      <c r="E496" t="s">
        <v>44</v>
      </c>
      <c r="F496" t="s">
        <v>45</v>
      </c>
      <c r="G496" t="s">
        <v>1033</v>
      </c>
      <c r="H496" t="s">
        <v>30</v>
      </c>
      <c r="I496" s="1">
        <v>1</v>
      </c>
      <c r="J496" s="2">
        <v>81.900000000000006</v>
      </c>
    </row>
    <row r="497" spans="2:10" x14ac:dyDescent="0.2">
      <c r="B497" t="s">
        <v>933</v>
      </c>
      <c r="C497" t="s">
        <v>228</v>
      </c>
      <c r="D497" t="s">
        <v>934</v>
      </c>
      <c r="E497" t="s">
        <v>120</v>
      </c>
      <c r="F497" t="s">
        <v>121</v>
      </c>
      <c r="G497" t="s">
        <v>1034</v>
      </c>
      <c r="H497" t="s">
        <v>15</v>
      </c>
      <c r="I497" s="1">
        <v>1</v>
      </c>
      <c r="J497" s="2">
        <v>301.72000000000003</v>
      </c>
    </row>
    <row r="498" spans="2:10" x14ac:dyDescent="0.2">
      <c r="B498" t="s">
        <v>933</v>
      </c>
      <c r="C498" t="s">
        <v>228</v>
      </c>
      <c r="D498" t="s">
        <v>934</v>
      </c>
      <c r="E498" t="s">
        <v>72</v>
      </c>
      <c r="F498" t="s">
        <v>73</v>
      </c>
      <c r="G498" t="s">
        <v>1034</v>
      </c>
      <c r="H498" t="s">
        <v>15</v>
      </c>
      <c r="I498" s="1">
        <v>1</v>
      </c>
      <c r="J498" s="2">
        <v>775.86</v>
      </c>
    </row>
    <row r="499" spans="2:10" x14ac:dyDescent="0.2">
      <c r="B499" t="s">
        <v>933</v>
      </c>
      <c r="C499" t="s">
        <v>228</v>
      </c>
      <c r="D499" t="s">
        <v>934</v>
      </c>
      <c r="E499" t="s">
        <v>101</v>
      </c>
      <c r="F499" t="s">
        <v>102</v>
      </c>
      <c r="G499" t="s">
        <v>103</v>
      </c>
      <c r="H499" t="s">
        <v>104</v>
      </c>
      <c r="I499" s="1">
        <v>1</v>
      </c>
      <c r="J499" s="2">
        <v>0.01</v>
      </c>
    </row>
    <row r="500" spans="2:10" x14ac:dyDescent="0.2">
      <c r="B500" t="s">
        <v>933</v>
      </c>
      <c r="C500" t="s">
        <v>228</v>
      </c>
      <c r="D500" t="s">
        <v>934</v>
      </c>
      <c r="E500" t="s">
        <v>74</v>
      </c>
      <c r="F500" t="s">
        <v>75</v>
      </c>
      <c r="G500" t="s">
        <v>76</v>
      </c>
      <c r="H500" t="s">
        <v>60</v>
      </c>
      <c r="I500" s="1">
        <v>1</v>
      </c>
      <c r="J500" s="2">
        <v>344.83</v>
      </c>
    </row>
    <row r="501" spans="2:10" x14ac:dyDescent="0.2">
      <c r="B501" t="s">
        <v>933</v>
      </c>
      <c r="C501" t="s">
        <v>228</v>
      </c>
      <c r="D501" t="s">
        <v>934</v>
      </c>
      <c r="E501" t="s">
        <v>61</v>
      </c>
      <c r="F501" t="s">
        <v>62</v>
      </c>
      <c r="G501" t="s">
        <v>1034</v>
      </c>
      <c r="H501" t="s">
        <v>15</v>
      </c>
      <c r="I501" s="1">
        <v>1</v>
      </c>
      <c r="J501" s="2">
        <v>172.41</v>
      </c>
    </row>
    <row r="502" spans="2:10" x14ac:dyDescent="0.2">
      <c r="B502" t="s">
        <v>933</v>
      </c>
      <c r="C502" t="s">
        <v>228</v>
      </c>
      <c r="D502" t="s">
        <v>934</v>
      </c>
      <c r="E502" t="s">
        <v>16</v>
      </c>
      <c r="F502" t="s">
        <v>17</v>
      </c>
      <c r="G502" t="s">
        <v>1034</v>
      </c>
      <c r="H502" t="s">
        <v>15</v>
      </c>
      <c r="I502" s="1">
        <v>2</v>
      </c>
      <c r="J502" s="2">
        <v>1155.18</v>
      </c>
    </row>
    <row r="503" spans="2:10" x14ac:dyDescent="0.2">
      <c r="B503" t="s">
        <v>933</v>
      </c>
      <c r="C503" t="s">
        <v>228</v>
      </c>
      <c r="D503" t="s">
        <v>934</v>
      </c>
      <c r="E503" t="s">
        <v>333</v>
      </c>
      <c r="F503" t="s">
        <v>334</v>
      </c>
      <c r="G503" t="s">
        <v>1033</v>
      </c>
      <c r="H503" t="s">
        <v>30</v>
      </c>
      <c r="I503" s="1">
        <v>1</v>
      </c>
      <c r="J503" s="2">
        <v>2413.79</v>
      </c>
    </row>
    <row r="504" spans="2:10" x14ac:dyDescent="0.2">
      <c r="B504" t="s">
        <v>933</v>
      </c>
      <c r="C504" t="s">
        <v>233</v>
      </c>
      <c r="D504" t="s">
        <v>934</v>
      </c>
      <c r="E504" t="s">
        <v>210</v>
      </c>
      <c r="F504" t="s">
        <v>211</v>
      </c>
      <c r="G504" t="s">
        <v>1033</v>
      </c>
      <c r="H504" t="s">
        <v>30</v>
      </c>
      <c r="I504" s="1">
        <v>1</v>
      </c>
      <c r="J504" s="2">
        <v>301.72000000000003</v>
      </c>
    </row>
    <row r="505" spans="2:10" x14ac:dyDescent="0.2">
      <c r="B505" t="s">
        <v>933</v>
      </c>
      <c r="C505" t="s">
        <v>233</v>
      </c>
      <c r="D505" t="s">
        <v>934</v>
      </c>
      <c r="E505" t="s">
        <v>214</v>
      </c>
      <c r="F505" t="s">
        <v>215</v>
      </c>
      <c r="G505" t="s">
        <v>1034</v>
      </c>
      <c r="H505" t="s">
        <v>15</v>
      </c>
      <c r="I505" s="1">
        <v>1</v>
      </c>
      <c r="J505" s="2">
        <v>301.72000000000003</v>
      </c>
    </row>
    <row r="506" spans="2:10" x14ac:dyDescent="0.2">
      <c r="B506" t="s">
        <v>933</v>
      </c>
      <c r="C506" t="s">
        <v>233</v>
      </c>
      <c r="D506" t="s">
        <v>934</v>
      </c>
      <c r="E506" t="s">
        <v>72</v>
      </c>
      <c r="F506" t="s">
        <v>73</v>
      </c>
      <c r="G506" t="s">
        <v>1034</v>
      </c>
      <c r="H506" t="s">
        <v>15</v>
      </c>
      <c r="I506" s="1">
        <v>2</v>
      </c>
      <c r="J506" s="2">
        <v>1551.72</v>
      </c>
    </row>
    <row r="507" spans="2:10" x14ac:dyDescent="0.2">
      <c r="B507" t="s">
        <v>933</v>
      </c>
      <c r="C507" t="s">
        <v>233</v>
      </c>
      <c r="D507" t="s">
        <v>934</v>
      </c>
      <c r="E507" t="s">
        <v>179</v>
      </c>
      <c r="F507" t="s">
        <v>180</v>
      </c>
      <c r="G507" t="s">
        <v>76</v>
      </c>
      <c r="H507" t="s">
        <v>60</v>
      </c>
      <c r="I507" s="1">
        <v>1</v>
      </c>
      <c r="J507" s="2">
        <v>344.83</v>
      </c>
    </row>
    <row r="508" spans="2:10" x14ac:dyDescent="0.2">
      <c r="B508" t="s">
        <v>933</v>
      </c>
      <c r="C508" t="s">
        <v>233</v>
      </c>
      <c r="D508" t="s">
        <v>934</v>
      </c>
      <c r="E508" t="s">
        <v>56</v>
      </c>
      <c r="F508" t="s">
        <v>57</v>
      </c>
      <c r="G508" t="s">
        <v>1034</v>
      </c>
      <c r="H508" t="s">
        <v>15</v>
      </c>
      <c r="I508" s="1">
        <v>1</v>
      </c>
      <c r="J508" s="2">
        <v>431.03</v>
      </c>
    </row>
    <row r="509" spans="2:10" x14ac:dyDescent="0.2">
      <c r="B509" t="s">
        <v>933</v>
      </c>
      <c r="C509" t="s">
        <v>233</v>
      </c>
      <c r="D509" t="s">
        <v>934</v>
      </c>
      <c r="E509" t="s">
        <v>406</v>
      </c>
      <c r="F509" t="s">
        <v>407</v>
      </c>
      <c r="G509" t="s">
        <v>14</v>
      </c>
      <c r="H509" t="s">
        <v>104</v>
      </c>
      <c r="I509" s="1">
        <v>1</v>
      </c>
      <c r="J509" s="2">
        <v>17.239999999999998</v>
      </c>
    </row>
    <row r="510" spans="2:10" x14ac:dyDescent="0.2">
      <c r="B510" t="s">
        <v>933</v>
      </c>
      <c r="C510" t="s">
        <v>233</v>
      </c>
      <c r="D510" t="s">
        <v>934</v>
      </c>
      <c r="E510" t="s">
        <v>16</v>
      </c>
      <c r="F510" t="s">
        <v>17</v>
      </c>
      <c r="G510" t="s">
        <v>1034</v>
      </c>
      <c r="H510" t="s">
        <v>15</v>
      </c>
      <c r="I510" s="1">
        <v>1</v>
      </c>
      <c r="J510" s="2">
        <v>577.59</v>
      </c>
    </row>
    <row r="511" spans="2:10" x14ac:dyDescent="0.2">
      <c r="B511" t="s">
        <v>933</v>
      </c>
      <c r="C511" t="s">
        <v>236</v>
      </c>
      <c r="D511" t="s">
        <v>934</v>
      </c>
      <c r="E511" t="s">
        <v>575</v>
      </c>
      <c r="F511" t="s">
        <v>576</v>
      </c>
      <c r="G511" t="s">
        <v>1033</v>
      </c>
      <c r="H511" t="s">
        <v>30</v>
      </c>
      <c r="I511" s="1">
        <v>1</v>
      </c>
      <c r="J511" s="2">
        <v>474.14</v>
      </c>
    </row>
    <row r="512" spans="2:10" x14ac:dyDescent="0.2">
      <c r="B512" t="s">
        <v>933</v>
      </c>
      <c r="C512" t="s">
        <v>236</v>
      </c>
      <c r="D512" t="s">
        <v>934</v>
      </c>
      <c r="E512" t="s">
        <v>302</v>
      </c>
      <c r="F512" t="s">
        <v>303</v>
      </c>
      <c r="G512" t="s">
        <v>1033</v>
      </c>
      <c r="H512" t="s">
        <v>30</v>
      </c>
      <c r="I512" s="1">
        <v>1</v>
      </c>
      <c r="J512" s="2">
        <v>474.14</v>
      </c>
    </row>
    <row r="513" spans="2:10" x14ac:dyDescent="0.2">
      <c r="B513" t="s">
        <v>933</v>
      </c>
      <c r="C513" t="s">
        <v>236</v>
      </c>
      <c r="D513" t="s">
        <v>934</v>
      </c>
      <c r="E513" t="s">
        <v>523</v>
      </c>
      <c r="F513" t="s">
        <v>524</v>
      </c>
      <c r="G513" t="s">
        <v>14</v>
      </c>
      <c r="H513" t="s">
        <v>35</v>
      </c>
      <c r="I513" s="1">
        <v>1</v>
      </c>
      <c r="J513" s="2">
        <v>60.34</v>
      </c>
    </row>
    <row r="514" spans="2:10" x14ac:dyDescent="0.2">
      <c r="B514" t="s">
        <v>933</v>
      </c>
      <c r="C514" t="s">
        <v>236</v>
      </c>
      <c r="D514" t="s">
        <v>934</v>
      </c>
      <c r="E514" t="s">
        <v>201</v>
      </c>
      <c r="F514" t="s">
        <v>202</v>
      </c>
      <c r="G514" t="s">
        <v>1033</v>
      </c>
      <c r="H514" t="s">
        <v>30</v>
      </c>
      <c r="I514" s="1">
        <v>1</v>
      </c>
      <c r="J514" s="2">
        <v>948.28</v>
      </c>
    </row>
    <row r="515" spans="2:10" x14ac:dyDescent="0.2">
      <c r="B515" t="s">
        <v>933</v>
      </c>
      <c r="C515" t="s">
        <v>236</v>
      </c>
      <c r="D515" t="s">
        <v>934</v>
      </c>
      <c r="E515" t="s">
        <v>358</v>
      </c>
      <c r="F515" t="s">
        <v>359</v>
      </c>
      <c r="G515" t="s">
        <v>1033</v>
      </c>
      <c r="H515" t="s">
        <v>30</v>
      </c>
      <c r="I515" s="1">
        <v>1</v>
      </c>
      <c r="J515" s="2">
        <v>1500</v>
      </c>
    </row>
    <row r="516" spans="2:10" x14ac:dyDescent="0.2">
      <c r="B516" t="s">
        <v>933</v>
      </c>
      <c r="C516" t="s">
        <v>236</v>
      </c>
      <c r="D516" t="s">
        <v>934</v>
      </c>
      <c r="E516" t="s">
        <v>101</v>
      </c>
      <c r="F516" t="s">
        <v>102</v>
      </c>
      <c r="G516" t="s">
        <v>103</v>
      </c>
      <c r="H516" t="s">
        <v>104</v>
      </c>
      <c r="I516" s="1">
        <v>3</v>
      </c>
      <c r="J516" s="2">
        <v>0.03</v>
      </c>
    </row>
    <row r="517" spans="2:10" x14ac:dyDescent="0.2">
      <c r="B517" t="s">
        <v>933</v>
      </c>
      <c r="C517" t="s">
        <v>236</v>
      </c>
      <c r="D517" t="s">
        <v>934</v>
      </c>
      <c r="E517" t="s">
        <v>304</v>
      </c>
      <c r="F517" t="s">
        <v>305</v>
      </c>
      <c r="G517" t="s">
        <v>76</v>
      </c>
      <c r="H517" t="s">
        <v>60</v>
      </c>
      <c r="I517" s="1">
        <v>1</v>
      </c>
      <c r="J517" s="2">
        <v>344.83</v>
      </c>
    </row>
    <row r="518" spans="2:10" x14ac:dyDescent="0.2">
      <c r="B518" t="s">
        <v>933</v>
      </c>
      <c r="C518" t="s">
        <v>236</v>
      </c>
      <c r="D518" t="s">
        <v>934</v>
      </c>
      <c r="E518" t="s">
        <v>406</v>
      </c>
      <c r="F518" t="s">
        <v>407</v>
      </c>
      <c r="G518" t="s">
        <v>14</v>
      </c>
      <c r="H518" t="s">
        <v>104</v>
      </c>
      <c r="I518" s="1">
        <v>1</v>
      </c>
      <c r="J518" s="2">
        <v>17.239999999999998</v>
      </c>
    </row>
    <row r="519" spans="2:10" x14ac:dyDescent="0.2">
      <c r="B519" t="s">
        <v>933</v>
      </c>
      <c r="C519" t="s">
        <v>236</v>
      </c>
      <c r="D519" t="s">
        <v>934</v>
      </c>
      <c r="E519" t="s">
        <v>63</v>
      </c>
      <c r="F519" t="s">
        <v>64</v>
      </c>
      <c r="G519" t="s">
        <v>1034</v>
      </c>
      <c r="H519" t="s">
        <v>15</v>
      </c>
      <c r="I519" s="1">
        <v>1</v>
      </c>
      <c r="J519" s="2">
        <v>172.41</v>
      </c>
    </row>
    <row r="520" spans="2:10" x14ac:dyDescent="0.2">
      <c r="B520" t="s">
        <v>933</v>
      </c>
      <c r="C520" t="s">
        <v>237</v>
      </c>
      <c r="D520" t="s">
        <v>934</v>
      </c>
      <c r="E520" t="s">
        <v>953</v>
      </c>
      <c r="F520" t="s">
        <v>954</v>
      </c>
      <c r="G520" t="s">
        <v>54</v>
      </c>
      <c r="H520" t="s">
        <v>138</v>
      </c>
      <c r="I520" s="1">
        <v>1</v>
      </c>
      <c r="J520" s="2">
        <v>465.52</v>
      </c>
    </row>
    <row r="521" spans="2:10" x14ac:dyDescent="0.2">
      <c r="B521" t="s">
        <v>933</v>
      </c>
      <c r="C521" t="s">
        <v>237</v>
      </c>
      <c r="D521" t="s">
        <v>934</v>
      </c>
      <c r="E521" t="s">
        <v>72</v>
      </c>
      <c r="F521" t="s">
        <v>73</v>
      </c>
      <c r="G521" t="s">
        <v>1034</v>
      </c>
      <c r="H521" t="s">
        <v>15</v>
      </c>
      <c r="I521" s="1">
        <v>1</v>
      </c>
      <c r="J521" s="2">
        <v>775.86</v>
      </c>
    </row>
    <row r="522" spans="2:10" x14ac:dyDescent="0.2">
      <c r="B522" t="s">
        <v>933</v>
      </c>
      <c r="C522" t="s">
        <v>237</v>
      </c>
      <c r="D522" t="s">
        <v>934</v>
      </c>
      <c r="E522" t="s">
        <v>74</v>
      </c>
      <c r="F522" t="s">
        <v>75</v>
      </c>
      <c r="G522" t="s">
        <v>76</v>
      </c>
      <c r="H522" t="s">
        <v>60</v>
      </c>
      <c r="I522" s="1">
        <v>1</v>
      </c>
      <c r="J522" s="2">
        <v>344.83</v>
      </c>
    </row>
    <row r="523" spans="2:10" x14ac:dyDescent="0.2">
      <c r="B523" t="s">
        <v>933</v>
      </c>
      <c r="C523" t="s">
        <v>237</v>
      </c>
      <c r="D523" t="s">
        <v>934</v>
      </c>
      <c r="E523" t="s">
        <v>61</v>
      </c>
      <c r="F523" t="s">
        <v>62</v>
      </c>
      <c r="G523" t="s">
        <v>1034</v>
      </c>
      <c r="H523" t="s">
        <v>15</v>
      </c>
      <c r="I523" s="1">
        <v>7</v>
      </c>
      <c r="J523" s="2">
        <v>1206.8700000000001</v>
      </c>
    </row>
    <row r="524" spans="2:10" x14ac:dyDescent="0.2">
      <c r="B524" t="s">
        <v>933</v>
      </c>
      <c r="C524" t="s">
        <v>237</v>
      </c>
      <c r="D524" t="s">
        <v>934</v>
      </c>
      <c r="E524" t="s">
        <v>63</v>
      </c>
      <c r="F524" t="s">
        <v>64</v>
      </c>
      <c r="G524" t="s">
        <v>1034</v>
      </c>
      <c r="H524" t="s">
        <v>15</v>
      </c>
      <c r="I524" s="1">
        <v>1</v>
      </c>
      <c r="J524" s="2">
        <v>172.41</v>
      </c>
    </row>
    <row r="525" spans="2:10" x14ac:dyDescent="0.2">
      <c r="B525" t="s">
        <v>933</v>
      </c>
      <c r="C525" t="s">
        <v>237</v>
      </c>
      <c r="D525" t="s">
        <v>934</v>
      </c>
      <c r="E525" t="s">
        <v>16</v>
      </c>
      <c r="F525" t="s">
        <v>17</v>
      </c>
      <c r="G525" t="s">
        <v>1034</v>
      </c>
      <c r="H525" t="s">
        <v>15</v>
      </c>
      <c r="I525" s="1">
        <v>1</v>
      </c>
      <c r="J525" s="2">
        <v>577.59</v>
      </c>
    </row>
    <row r="526" spans="2:10" x14ac:dyDescent="0.2">
      <c r="B526" t="s">
        <v>933</v>
      </c>
      <c r="C526" t="s">
        <v>248</v>
      </c>
      <c r="D526" t="s">
        <v>277</v>
      </c>
      <c r="E526" t="s">
        <v>613</v>
      </c>
      <c r="F526" t="s">
        <v>614</v>
      </c>
      <c r="G526" t="s">
        <v>1034</v>
      </c>
      <c r="H526" t="s">
        <v>15</v>
      </c>
      <c r="I526" s="1">
        <v>1</v>
      </c>
      <c r="J526" s="2">
        <v>431.03</v>
      </c>
    </row>
    <row r="527" spans="2:10" x14ac:dyDescent="0.2">
      <c r="B527" t="s">
        <v>933</v>
      </c>
      <c r="C527" t="s">
        <v>248</v>
      </c>
      <c r="D527" t="s">
        <v>277</v>
      </c>
      <c r="E527" t="s">
        <v>48</v>
      </c>
      <c r="F527" t="s">
        <v>49</v>
      </c>
      <c r="G527" t="s">
        <v>43</v>
      </c>
      <c r="H527" t="s">
        <v>50</v>
      </c>
      <c r="I527" s="1">
        <v>1</v>
      </c>
      <c r="J527" s="2">
        <v>1318.97</v>
      </c>
    </row>
    <row r="528" spans="2:10" x14ac:dyDescent="0.2">
      <c r="B528" t="s">
        <v>933</v>
      </c>
      <c r="C528" t="s">
        <v>248</v>
      </c>
      <c r="D528" t="s">
        <v>277</v>
      </c>
      <c r="E528" t="s">
        <v>16</v>
      </c>
      <c r="F528" t="s">
        <v>17</v>
      </c>
      <c r="G528" t="s">
        <v>1034</v>
      </c>
      <c r="H528" t="s">
        <v>15</v>
      </c>
      <c r="I528" s="1">
        <v>1</v>
      </c>
      <c r="J528" s="2">
        <v>577.59</v>
      </c>
    </row>
    <row r="529" spans="2:10" x14ac:dyDescent="0.2">
      <c r="B529" t="s">
        <v>955</v>
      </c>
      <c r="C529" t="s">
        <v>227</v>
      </c>
      <c r="D529" t="s">
        <v>956</v>
      </c>
      <c r="E529" t="s">
        <v>44</v>
      </c>
      <c r="F529" t="s">
        <v>45</v>
      </c>
      <c r="G529" t="s">
        <v>1033</v>
      </c>
      <c r="H529" t="s">
        <v>30</v>
      </c>
      <c r="I529" s="1">
        <v>2</v>
      </c>
      <c r="J529" s="2">
        <v>163.80000000000001</v>
      </c>
    </row>
    <row r="530" spans="2:10" x14ac:dyDescent="0.2">
      <c r="B530" t="s">
        <v>955</v>
      </c>
      <c r="C530" t="s">
        <v>227</v>
      </c>
      <c r="D530" t="s">
        <v>956</v>
      </c>
      <c r="E530" t="s">
        <v>953</v>
      </c>
      <c r="F530" t="s">
        <v>954</v>
      </c>
      <c r="G530" t="s">
        <v>54</v>
      </c>
      <c r="H530" t="s">
        <v>138</v>
      </c>
      <c r="I530" s="1">
        <v>1</v>
      </c>
      <c r="J530" s="2">
        <v>465.52</v>
      </c>
    </row>
    <row r="531" spans="2:10" x14ac:dyDescent="0.2">
      <c r="B531" t="s">
        <v>955</v>
      </c>
      <c r="C531" t="s">
        <v>227</v>
      </c>
      <c r="D531" t="s">
        <v>956</v>
      </c>
      <c r="E531" t="s">
        <v>414</v>
      </c>
      <c r="F531" t="s">
        <v>415</v>
      </c>
      <c r="G531" t="s">
        <v>1033</v>
      </c>
      <c r="H531" t="s">
        <v>30</v>
      </c>
      <c r="I531" s="1">
        <v>1</v>
      </c>
      <c r="J531" s="2">
        <v>646.54999999999995</v>
      </c>
    </row>
    <row r="532" spans="2:10" x14ac:dyDescent="0.2">
      <c r="B532" t="s">
        <v>955</v>
      </c>
      <c r="C532" t="s">
        <v>227</v>
      </c>
      <c r="D532" t="s">
        <v>956</v>
      </c>
      <c r="E532" t="s">
        <v>36</v>
      </c>
      <c r="F532" t="s">
        <v>37</v>
      </c>
      <c r="G532" t="s">
        <v>1034</v>
      </c>
      <c r="H532" t="s">
        <v>15</v>
      </c>
      <c r="I532" s="1">
        <v>1</v>
      </c>
      <c r="J532" s="2">
        <v>301.72000000000003</v>
      </c>
    </row>
    <row r="533" spans="2:10" x14ac:dyDescent="0.2">
      <c r="B533" t="s">
        <v>955</v>
      </c>
      <c r="C533" t="s">
        <v>228</v>
      </c>
      <c r="D533" t="s">
        <v>277</v>
      </c>
      <c r="E533" t="s">
        <v>72</v>
      </c>
      <c r="F533" t="s">
        <v>73</v>
      </c>
      <c r="G533" t="s">
        <v>1034</v>
      </c>
      <c r="H533" t="s">
        <v>15</v>
      </c>
      <c r="I533" s="1">
        <v>1</v>
      </c>
      <c r="J533" s="2">
        <v>775.86</v>
      </c>
    </row>
    <row r="534" spans="2:10" x14ac:dyDescent="0.2">
      <c r="B534" t="s">
        <v>955</v>
      </c>
      <c r="C534" t="s">
        <v>228</v>
      </c>
      <c r="D534" t="s">
        <v>277</v>
      </c>
      <c r="E534" t="s">
        <v>38</v>
      </c>
      <c r="F534" t="s">
        <v>39</v>
      </c>
      <c r="G534" t="s">
        <v>1034</v>
      </c>
      <c r="H534" t="s">
        <v>15</v>
      </c>
      <c r="I534" s="1">
        <v>1</v>
      </c>
      <c r="J534" s="2">
        <v>431.03</v>
      </c>
    </row>
    <row r="535" spans="2:10" x14ac:dyDescent="0.2">
      <c r="B535" t="s">
        <v>955</v>
      </c>
      <c r="C535" t="s">
        <v>228</v>
      </c>
      <c r="D535" t="s">
        <v>277</v>
      </c>
      <c r="E535" t="s">
        <v>16</v>
      </c>
      <c r="F535" t="s">
        <v>17</v>
      </c>
      <c r="G535" t="s">
        <v>1034</v>
      </c>
      <c r="H535" t="s">
        <v>15</v>
      </c>
      <c r="I535" s="1">
        <v>1</v>
      </c>
      <c r="J535" s="2">
        <v>577.59</v>
      </c>
    </row>
    <row r="536" spans="2:10" x14ac:dyDescent="0.2">
      <c r="B536" t="s">
        <v>955</v>
      </c>
      <c r="C536" t="s">
        <v>233</v>
      </c>
      <c r="D536" t="s">
        <v>956</v>
      </c>
      <c r="E536" t="s">
        <v>941</v>
      </c>
      <c r="F536" t="s">
        <v>942</v>
      </c>
      <c r="G536" t="s">
        <v>54</v>
      </c>
      <c r="H536" t="s">
        <v>138</v>
      </c>
      <c r="I536" s="1">
        <v>1</v>
      </c>
      <c r="J536" s="2">
        <v>508.62</v>
      </c>
    </row>
    <row r="537" spans="2:10" x14ac:dyDescent="0.2">
      <c r="B537" t="s">
        <v>955</v>
      </c>
      <c r="C537" t="s">
        <v>236</v>
      </c>
      <c r="D537" t="s">
        <v>32</v>
      </c>
      <c r="E537" t="s">
        <v>1008</v>
      </c>
      <c r="F537" t="s">
        <v>1009</v>
      </c>
      <c r="G537" t="s">
        <v>43</v>
      </c>
      <c r="H537" t="s">
        <v>755</v>
      </c>
      <c r="I537" s="1">
        <v>1</v>
      </c>
      <c r="J537" s="2">
        <v>4137.93</v>
      </c>
    </row>
    <row r="538" spans="2:10" x14ac:dyDescent="0.2">
      <c r="B538" t="s">
        <v>955</v>
      </c>
      <c r="C538" t="s">
        <v>236</v>
      </c>
      <c r="D538" t="s">
        <v>32</v>
      </c>
      <c r="E538" t="s">
        <v>19</v>
      </c>
      <c r="F538" t="s">
        <v>20</v>
      </c>
      <c r="G538" t="s">
        <v>14</v>
      </c>
      <c r="H538" t="s">
        <v>21</v>
      </c>
      <c r="I538" s="1">
        <v>2</v>
      </c>
      <c r="J538" s="2">
        <v>862.08</v>
      </c>
    </row>
    <row r="539" spans="2:10" x14ac:dyDescent="0.2">
      <c r="B539" t="s">
        <v>955</v>
      </c>
      <c r="C539" t="s">
        <v>236</v>
      </c>
      <c r="D539" t="s">
        <v>32</v>
      </c>
      <c r="E539" t="s">
        <v>120</v>
      </c>
      <c r="F539" t="s">
        <v>121</v>
      </c>
      <c r="G539" t="s">
        <v>1034</v>
      </c>
      <c r="H539" t="s">
        <v>15</v>
      </c>
      <c r="I539" s="1">
        <v>1</v>
      </c>
      <c r="J539" s="2">
        <v>301.72000000000003</v>
      </c>
    </row>
    <row r="540" spans="2:10" x14ac:dyDescent="0.2">
      <c r="B540" t="s">
        <v>955</v>
      </c>
      <c r="C540" t="s">
        <v>236</v>
      </c>
      <c r="D540" t="s">
        <v>32</v>
      </c>
      <c r="E540" t="s">
        <v>72</v>
      </c>
      <c r="F540" t="s">
        <v>73</v>
      </c>
      <c r="G540" t="s">
        <v>1034</v>
      </c>
      <c r="H540" t="s">
        <v>15</v>
      </c>
      <c r="I540" s="1">
        <v>1</v>
      </c>
      <c r="J540" s="2">
        <v>775.86</v>
      </c>
    </row>
    <row r="541" spans="2:10" x14ac:dyDescent="0.2">
      <c r="B541" t="s">
        <v>955</v>
      </c>
      <c r="C541" t="s">
        <v>236</v>
      </c>
      <c r="D541" t="s">
        <v>32</v>
      </c>
      <c r="E541" t="s">
        <v>656</v>
      </c>
      <c r="F541" t="s">
        <v>657</v>
      </c>
      <c r="G541" t="s">
        <v>43</v>
      </c>
      <c r="H541" t="s">
        <v>50</v>
      </c>
      <c r="I541" s="1">
        <v>1</v>
      </c>
      <c r="J541" s="2">
        <v>181.03</v>
      </c>
    </row>
    <row r="542" spans="2:10" x14ac:dyDescent="0.2">
      <c r="B542" t="s">
        <v>955</v>
      </c>
      <c r="C542" t="s">
        <v>236</v>
      </c>
      <c r="D542" t="s">
        <v>32</v>
      </c>
      <c r="E542" t="s">
        <v>596</v>
      </c>
      <c r="F542" t="s">
        <v>597</v>
      </c>
      <c r="G542" t="s">
        <v>43</v>
      </c>
      <c r="H542" t="s">
        <v>50</v>
      </c>
      <c r="I542" s="1">
        <v>1</v>
      </c>
      <c r="J542" s="2">
        <v>181.03</v>
      </c>
    </row>
    <row r="543" spans="2:10" x14ac:dyDescent="0.2">
      <c r="B543" t="s">
        <v>955</v>
      </c>
      <c r="C543" t="s">
        <v>236</v>
      </c>
      <c r="D543" t="s">
        <v>32</v>
      </c>
      <c r="E543" t="s">
        <v>687</v>
      </c>
      <c r="F543" t="s">
        <v>688</v>
      </c>
      <c r="G543" t="s">
        <v>43</v>
      </c>
      <c r="H543" t="s">
        <v>50</v>
      </c>
      <c r="I543" s="1">
        <v>1</v>
      </c>
      <c r="J543" s="2">
        <v>181.03</v>
      </c>
    </row>
    <row r="544" spans="2:10" x14ac:dyDescent="0.2">
      <c r="B544" t="s">
        <v>955</v>
      </c>
      <c r="C544" t="s">
        <v>236</v>
      </c>
      <c r="D544" t="s">
        <v>32</v>
      </c>
      <c r="E544" t="s">
        <v>429</v>
      </c>
      <c r="F544" t="s">
        <v>430</v>
      </c>
      <c r="G544" t="s">
        <v>43</v>
      </c>
      <c r="H544" t="s">
        <v>50</v>
      </c>
      <c r="I544" s="1">
        <v>1</v>
      </c>
      <c r="J544" s="2">
        <v>181.03</v>
      </c>
    </row>
    <row r="545" spans="2:10" x14ac:dyDescent="0.2">
      <c r="B545" t="s">
        <v>955</v>
      </c>
      <c r="C545" t="s">
        <v>236</v>
      </c>
      <c r="D545" t="s">
        <v>32</v>
      </c>
      <c r="E545" t="s">
        <v>431</v>
      </c>
      <c r="F545" t="s">
        <v>432</v>
      </c>
      <c r="G545" t="s">
        <v>43</v>
      </c>
      <c r="H545" t="s">
        <v>50</v>
      </c>
      <c r="I545" s="1">
        <v>1</v>
      </c>
      <c r="J545" s="2">
        <v>181.03</v>
      </c>
    </row>
    <row r="546" spans="2:10" x14ac:dyDescent="0.2">
      <c r="B546" t="s">
        <v>955</v>
      </c>
      <c r="C546" t="s">
        <v>236</v>
      </c>
      <c r="D546" t="s">
        <v>32</v>
      </c>
      <c r="E546" t="s">
        <v>16</v>
      </c>
      <c r="F546" t="s">
        <v>17</v>
      </c>
      <c r="G546" t="s">
        <v>1034</v>
      </c>
      <c r="H546" t="s">
        <v>15</v>
      </c>
      <c r="I546" s="1">
        <v>1</v>
      </c>
      <c r="J546" s="2">
        <v>577.59</v>
      </c>
    </row>
    <row r="547" spans="2:10" x14ac:dyDescent="0.2">
      <c r="B547" t="s">
        <v>955</v>
      </c>
      <c r="C547" t="s">
        <v>236</v>
      </c>
      <c r="D547" t="s">
        <v>32</v>
      </c>
      <c r="E547" t="s">
        <v>1010</v>
      </c>
      <c r="F547" t="s">
        <v>1011</v>
      </c>
      <c r="G547" t="s">
        <v>43</v>
      </c>
      <c r="H547" t="s">
        <v>128</v>
      </c>
      <c r="I547" s="1">
        <v>1</v>
      </c>
      <c r="J547" s="2">
        <v>5172.41</v>
      </c>
    </row>
    <row r="548" spans="2:10" x14ac:dyDescent="0.2">
      <c r="B548" t="s">
        <v>955</v>
      </c>
      <c r="C548" t="s">
        <v>236</v>
      </c>
      <c r="D548" t="s">
        <v>32</v>
      </c>
      <c r="E548" t="s">
        <v>472</v>
      </c>
      <c r="F548" t="s">
        <v>473</v>
      </c>
      <c r="G548" t="s">
        <v>14</v>
      </c>
      <c r="H548" t="s">
        <v>200</v>
      </c>
      <c r="I548" s="1">
        <v>1</v>
      </c>
      <c r="J548" s="2">
        <v>517.24</v>
      </c>
    </row>
    <row r="549" spans="2:10" x14ac:dyDescent="0.2">
      <c r="B549" t="s">
        <v>955</v>
      </c>
      <c r="C549" t="s">
        <v>236</v>
      </c>
      <c r="D549" t="s">
        <v>32</v>
      </c>
      <c r="E549" t="s">
        <v>527</v>
      </c>
      <c r="F549" t="s">
        <v>528</v>
      </c>
      <c r="G549" t="s">
        <v>1034</v>
      </c>
      <c r="H549" t="s">
        <v>15</v>
      </c>
      <c r="I549" s="1">
        <v>1</v>
      </c>
      <c r="J549" s="2">
        <v>241.38</v>
      </c>
    </row>
    <row r="550" spans="2:10" x14ac:dyDescent="0.2">
      <c r="B550" t="s">
        <v>955</v>
      </c>
      <c r="C550" t="s">
        <v>237</v>
      </c>
      <c r="D550" t="s">
        <v>956</v>
      </c>
      <c r="E550" t="s">
        <v>44</v>
      </c>
      <c r="F550" t="s">
        <v>45</v>
      </c>
      <c r="G550" t="s">
        <v>1033</v>
      </c>
      <c r="H550" t="s">
        <v>30</v>
      </c>
      <c r="I550" s="1">
        <v>2</v>
      </c>
      <c r="J550" s="2">
        <v>163.80000000000001</v>
      </c>
    </row>
    <row r="551" spans="2:10" x14ac:dyDescent="0.2">
      <c r="B551" t="s">
        <v>955</v>
      </c>
      <c r="C551" t="s">
        <v>237</v>
      </c>
      <c r="D551" t="s">
        <v>956</v>
      </c>
      <c r="E551" t="s">
        <v>12</v>
      </c>
      <c r="F551" t="s">
        <v>13</v>
      </c>
      <c r="G551" t="s">
        <v>1034</v>
      </c>
      <c r="H551" t="s">
        <v>15</v>
      </c>
      <c r="I551" s="1">
        <v>1</v>
      </c>
      <c r="J551" s="2">
        <v>1077.5899999999999</v>
      </c>
    </row>
    <row r="552" spans="2:10" x14ac:dyDescent="0.2">
      <c r="B552" t="s">
        <v>955</v>
      </c>
      <c r="C552" t="s">
        <v>237</v>
      </c>
      <c r="D552" t="s">
        <v>956</v>
      </c>
      <c r="E552" t="s">
        <v>988</v>
      </c>
      <c r="F552" t="s">
        <v>989</v>
      </c>
      <c r="G552" t="s">
        <v>14</v>
      </c>
      <c r="H552" t="s">
        <v>509</v>
      </c>
      <c r="I552" s="1">
        <v>1</v>
      </c>
      <c r="J552" s="2">
        <v>620.69000000000005</v>
      </c>
    </row>
    <row r="553" spans="2:10" x14ac:dyDescent="0.2">
      <c r="B553" t="s">
        <v>955</v>
      </c>
      <c r="C553" t="s">
        <v>237</v>
      </c>
      <c r="D553" t="s">
        <v>956</v>
      </c>
      <c r="E553" t="s">
        <v>28</v>
      </c>
      <c r="F553" t="s">
        <v>29</v>
      </c>
      <c r="G553" t="s">
        <v>1033</v>
      </c>
      <c r="H553" t="s">
        <v>30</v>
      </c>
      <c r="I553" s="1">
        <v>2</v>
      </c>
      <c r="J553" s="2">
        <v>310.33999999999997</v>
      </c>
    </row>
    <row r="554" spans="2:10" x14ac:dyDescent="0.2">
      <c r="B554" t="s">
        <v>955</v>
      </c>
      <c r="C554" t="s">
        <v>248</v>
      </c>
      <c r="D554" t="s">
        <v>956</v>
      </c>
      <c r="E554" t="s">
        <v>44</v>
      </c>
      <c r="F554" t="s">
        <v>45</v>
      </c>
      <c r="G554" t="s">
        <v>1033</v>
      </c>
      <c r="H554" t="s">
        <v>30</v>
      </c>
      <c r="I554" s="1">
        <v>1</v>
      </c>
      <c r="J554" s="2">
        <v>81.900000000000006</v>
      </c>
    </row>
    <row r="555" spans="2:10" x14ac:dyDescent="0.2">
      <c r="B555" t="s">
        <v>955</v>
      </c>
      <c r="C555" t="s">
        <v>248</v>
      </c>
      <c r="D555" t="s">
        <v>956</v>
      </c>
      <c r="E555" t="s">
        <v>943</v>
      </c>
      <c r="F555" t="s">
        <v>944</v>
      </c>
      <c r="G555" t="s">
        <v>54</v>
      </c>
      <c r="H555" t="s">
        <v>138</v>
      </c>
      <c r="I555" s="1">
        <v>1</v>
      </c>
      <c r="J555" s="2">
        <v>517.24</v>
      </c>
    </row>
    <row r="556" spans="2:10" x14ac:dyDescent="0.2">
      <c r="B556" t="s">
        <v>955</v>
      </c>
      <c r="C556" t="s">
        <v>248</v>
      </c>
      <c r="D556" t="s">
        <v>956</v>
      </c>
      <c r="E556" t="s">
        <v>19</v>
      </c>
      <c r="F556" t="s">
        <v>20</v>
      </c>
      <c r="G556" t="s">
        <v>14</v>
      </c>
      <c r="H556" t="s">
        <v>21</v>
      </c>
      <c r="I556" s="1">
        <v>2</v>
      </c>
      <c r="J556" s="2">
        <v>862.08</v>
      </c>
    </row>
    <row r="557" spans="2:10" x14ac:dyDescent="0.2">
      <c r="B557" t="s">
        <v>955</v>
      </c>
      <c r="C557" t="s">
        <v>248</v>
      </c>
      <c r="D557" t="s">
        <v>956</v>
      </c>
      <c r="E557" t="s">
        <v>1012</v>
      </c>
      <c r="F557" t="s">
        <v>1013</v>
      </c>
      <c r="G557" t="s">
        <v>54</v>
      </c>
      <c r="H557" t="s">
        <v>138</v>
      </c>
      <c r="I557" s="1">
        <v>1</v>
      </c>
      <c r="J557" s="2">
        <v>560.34</v>
      </c>
    </row>
    <row r="558" spans="2:10" x14ac:dyDescent="0.2">
      <c r="B558" t="s">
        <v>955</v>
      </c>
      <c r="C558" t="s">
        <v>248</v>
      </c>
      <c r="D558" t="s">
        <v>956</v>
      </c>
      <c r="E558" t="s">
        <v>189</v>
      </c>
      <c r="F558" t="s">
        <v>190</v>
      </c>
      <c r="G558" t="s">
        <v>1033</v>
      </c>
      <c r="H558" t="s">
        <v>30</v>
      </c>
      <c r="I558" s="1">
        <v>1</v>
      </c>
      <c r="J558" s="2">
        <v>818.97</v>
      </c>
    </row>
    <row r="559" spans="2:10" x14ac:dyDescent="0.2">
      <c r="B559" t="s">
        <v>955</v>
      </c>
      <c r="C559" t="s">
        <v>248</v>
      </c>
      <c r="D559" t="s">
        <v>956</v>
      </c>
      <c r="E559" t="s">
        <v>149</v>
      </c>
      <c r="F559" t="s">
        <v>150</v>
      </c>
      <c r="G559" t="s">
        <v>43</v>
      </c>
      <c r="H559" t="s">
        <v>50</v>
      </c>
      <c r="I559" s="1">
        <v>1</v>
      </c>
      <c r="J559" s="2">
        <v>3017.24</v>
      </c>
    </row>
    <row r="560" spans="2:10" x14ac:dyDescent="0.2">
      <c r="B560" t="s">
        <v>955</v>
      </c>
      <c r="C560" t="s">
        <v>248</v>
      </c>
      <c r="D560" t="s">
        <v>956</v>
      </c>
      <c r="E560" t="s">
        <v>120</v>
      </c>
      <c r="F560" t="s">
        <v>121</v>
      </c>
      <c r="G560" t="s">
        <v>1034</v>
      </c>
      <c r="H560" t="s">
        <v>15</v>
      </c>
      <c r="I560" s="1">
        <v>1</v>
      </c>
      <c r="J560" s="2">
        <v>301.72000000000003</v>
      </c>
    </row>
    <row r="561" spans="2:10" x14ac:dyDescent="0.2">
      <c r="B561" t="s">
        <v>955</v>
      </c>
      <c r="C561" t="s">
        <v>248</v>
      </c>
      <c r="D561" t="s">
        <v>956</v>
      </c>
      <c r="E561" t="s">
        <v>36</v>
      </c>
      <c r="F561" t="s">
        <v>37</v>
      </c>
      <c r="G561" t="s">
        <v>1034</v>
      </c>
      <c r="H561" t="s">
        <v>15</v>
      </c>
      <c r="I561" s="1">
        <v>1</v>
      </c>
      <c r="J561" s="2">
        <v>301.72000000000003</v>
      </c>
    </row>
    <row r="562" spans="2:10" x14ac:dyDescent="0.2">
      <c r="B562" t="s">
        <v>955</v>
      </c>
      <c r="C562" t="s">
        <v>248</v>
      </c>
      <c r="D562" t="s">
        <v>956</v>
      </c>
      <c r="E562" t="s">
        <v>988</v>
      </c>
      <c r="F562" t="s">
        <v>989</v>
      </c>
      <c r="G562" t="s">
        <v>14</v>
      </c>
      <c r="H562" t="s">
        <v>509</v>
      </c>
      <c r="I562" s="1">
        <v>1</v>
      </c>
      <c r="J562" s="2">
        <v>620.69000000000005</v>
      </c>
    </row>
    <row r="563" spans="2:10" x14ac:dyDescent="0.2">
      <c r="B563" t="s">
        <v>955</v>
      </c>
      <c r="C563" t="s">
        <v>248</v>
      </c>
      <c r="D563" t="s">
        <v>956</v>
      </c>
      <c r="E563" t="s">
        <v>38</v>
      </c>
      <c r="F563" t="s">
        <v>39</v>
      </c>
      <c r="G563" t="s">
        <v>1034</v>
      </c>
      <c r="H563" t="s">
        <v>15</v>
      </c>
      <c r="I563" s="1">
        <v>2</v>
      </c>
      <c r="J563" s="2">
        <v>862.06</v>
      </c>
    </row>
    <row r="564" spans="2:10" x14ac:dyDescent="0.2">
      <c r="B564" t="s">
        <v>955</v>
      </c>
      <c r="C564" t="s">
        <v>248</v>
      </c>
      <c r="D564" t="s">
        <v>956</v>
      </c>
      <c r="E564" t="s">
        <v>16</v>
      </c>
      <c r="F564" t="s">
        <v>17</v>
      </c>
      <c r="G564" t="s">
        <v>1034</v>
      </c>
      <c r="H564" t="s">
        <v>15</v>
      </c>
      <c r="I564" s="1">
        <v>4</v>
      </c>
      <c r="J564" s="2">
        <v>2310.36</v>
      </c>
    </row>
    <row r="565" spans="2:10" x14ac:dyDescent="0.2">
      <c r="B565" t="s">
        <v>955</v>
      </c>
      <c r="C565" t="s">
        <v>248</v>
      </c>
      <c r="D565" t="s">
        <v>956</v>
      </c>
      <c r="E565" t="s">
        <v>996</v>
      </c>
      <c r="F565" t="s">
        <v>997</v>
      </c>
      <c r="G565" t="s">
        <v>43</v>
      </c>
      <c r="H565" t="s">
        <v>128</v>
      </c>
      <c r="I565" s="1">
        <v>1</v>
      </c>
      <c r="J565" s="2">
        <v>4396.55</v>
      </c>
    </row>
    <row r="566" spans="2:10" x14ac:dyDescent="0.2">
      <c r="B566" t="s">
        <v>955</v>
      </c>
      <c r="C566" t="s">
        <v>248</v>
      </c>
      <c r="D566" t="s">
        <v>956</v>
      </c>
      <c r="E566" t="s">
        <v>1014</v>
      </c>
      <c r="F566" t="s">
        <v>1015</v>
      </c>
      <c r="G566" t="s">
        <v>43</v>
      </c>
      <c r="H566" t="s">
        <v>128</v>
      </c>
      <c r="I566" s="1">
        <v>1</v>
      </c>
      <c r="J566" s="2">
        <v>5086.21</v>
      </c>
    </row>
    <row r="567" spans="2:10" x14ac:dyDescent="0.2">
      <c r="B567" t="s">
        <v>955</v>
      </c>
      <c r="C567" t="s">
        <v>248</v>
      </c>
      <c r="D567" t="s">
        <v>956</v>
      </c>
      <c r="E567" t="s">
        <v>193</v>
      </c>
      <c r="F567" t="s">
        <v>194</v>
      </c>
      <c r="G567" t="s">
        <v>1034</v>
      </c>
      <c r="H567" t="s">
        <v>15</v>
      </c>
      <c r="I567" s="1">
        <v>1</v>
      </c>
      <c r="J567" s="2">
        <v>1293.0999999999999</v>
      </c>
    </row>
    <row r="568" spans="2:10" x14ac:dyDescent="0.2">
      <c r="B568" t="s">
        <v>955</v>
      </c>
      <c r="C568" t="s">
        <v>248</v>
      </c>
      <c r="D568" t="s">
        <v>956</v>
      </c>
      <c r="E568" t="s">
        <v>408</v>
      </c>
      <c r="F568" t="s">
        <v>409</v>
      </c>
      <c r="G568" t="s">
        <v>43</v>
      </c>
      <c r="H568" t="s">
        <v>81</v>
      </c>
      <c r="I568" s="1">
        <v>1</v>
      </c>
      <c r="J568" s="2">
        <v>1465.52</v>
      </c>
    </row>
    <row r="569" spans="2:10" x14ac:dyDescent="0.2">
      <c r="B569" t="s">
        <v>955</v>
      </c>
      <c r="C569" t="s">
        <v>248</v>
      </c>
      <c r="D569" t="s">
        <v>956</v>
      </c>
      <c r="E569" t="s">
        <v>440</v>
      </c>
      <c r="F569" t="s">
        <v>441</v>
      </c>
      <c r="G569" t="s">
        <v>43</v>
      </c>
      <c r="H569" t="s">
        <v>81</v>
      </c>
      <c r="I569" s="1">
        <v>1</v>
      </c>
      <c r="J569" s="2">
        <v>1120.69</v>
      </c>
    </row>
    <row r="570" spans="2:10" x14ac:dyDescent="0.2">
      <c r="B570" t="s">
        <v>955</v>
      </c>
      <c r="C570" t="s">
        <v>248</v>
      </c>
      <c r="D570" t="s">
        <v>956</v>
      </c>
      <c r="E570" t="s">
        <v>28</v>
      </c>
      <c r="F570" t="s">
        <v>29</v>
      </c>
      <c r="G570" t="s">
        <v>1033</v>
      </c>
      <c r="H570" t="s">
        <v>30</v>
      </c>
      <c r="I570" s="1">
        <v>1</v>
      </c>
      <c r="J570" s="2">
        <v>155.16999999999999</v>
      </c>
    </row>
    <row r="571" spans="2:10" x14ac:dyDescent="0.2">
      <c r="B571" t="s">
        <v>1016</v>
      </c>
      <c r="C571" t="s">
        <v>227</v>
      </c>
      <c r="D571" t="s">
        <v>1017</v>
      </c>
      <c r="E571" t="s">
        <v>976</v>
      </c>
      <c r="F571" t="s">
        <v>977</v>
      </c>
      <c r="G571" t="s">
        <v>54</v>
      </c>
      <c r="H571" t="s">
        <v>138</v>
      </c>
      <c r="I571" s="1">
        <v>1</v>
      </c>
      <c r="J571" s="2">
        <v>560.34</v>
      </c>
    </row>
    <row r="572" spans="2:10" x14ac:dyDescent="0.2">
      <c r="B572" t="s">
        <v>1016</v>
      </c>
      <c r="C572" t="s">
        <v>227</v>
      </c>
      <c r="D572" t="s">
        <v>1017</v>
      </c>
      <c r="E572" t="s">
        <v>101</v>
      </c>
      <c r="F572" t="s">
        <v>102</v>
      </c>
      <c r="G572" t="s">
        <v>103</v>
      </c>
      <c r="H572" t="s">
        <v>104</v>
      </c>
      <c r="I572" s="1">
        <v>1</v>
      </c>
      <c r="J572" s="2">
        <v>0.01</v>
      </c>
    </row>
    <row r="573" spans="2:10" x14ac:dyDescent="0.2">
      <c r="B573" t="s">
        <v>1016</v>
      </c>
      <c r="C573" t="s">
        <v>227</v>
      </c>
      <c r="D573" t="s">
        <v>1017</v>
      </c>
      <c r="E573" t="s">
        <v>16</v>
      </c>
      <c r="F573" t="s">
        <v>17</v>
      </c>
      <c r="G573" t="s">
        <v>1034</v>
      </c>
      <c r="H573" t="s">
        <v>15</v>
      </c>
      <c r="I573" s="1">
        <v>3</v>
      </c>
      <c r="J573" s="2">
        <v>1732.77</v>
      </c>
    </row>
    <row r="574" spans="2:10" x14ac:dyDescent="0.2">
      <c r="B574" t="s">
        <v>1016</v>
      </c>
      <c r="C574" t="s">
        <v>228</v>
      </c>
      <c r="D574" t="s">
        <v>1017</v>
      </c>
      <c r="E574" t="s">
        <v>214</v>
      </c>
      <c r="F574" t="s">
        <v>215</v>
      </c>
      <c r="G574" t="s">
        <v>1034</v>
      </c>
      <c r="H574" t="s">
        <v>15</v>
      </c>
      <c r="I574" s="1">
        <v>2</v>
      </c>
      <c r="J574" s="2">
        <v>603.44000000000005</v>
      </c>
    </row>
    <row r="575" spans="2:10" x14ac:dyDescent="0.2">
      <c r="B575" t="s">
        <v>1016</v>
      </c>
      <c r="C575" t="s">
        <v>228</v>
      </c>
      <c r="D575" t="s">
        <v>1017</v>
      </c>
      <c r="E575" t="s">
        <v>83</v>
      </c>
      <c r="F575" t="s">
        <v>84</v>
      </c>
      <c r="G575" t="s">
        <v>1034</v>
      </c>
      <c r="H575" t="s">
        <v>15</v>
      </c>
      <c r="I575" s="1">
        <v>1</v>
      </c>
      <c r="J575" s="2">
        <v>387.93</v>
      </c>
    </row>
    <row r="576" spans="2:10" x14ac:dyDescent="0.2">
      <c r="B576" t="s">
        <v>1016</v>
      </c>
      <c r="C576" t="s">
        <v>228</v>
      </c>
      <c r="D576" t="s">
        <v>1017</v>
      </c>
      <c r="E576" t="s">
        <v>500</v>
      </c>
      <c r="F576" t="s">
        <v>501</v>
      </c>
      <c r="G576" t="s">
        <v>1033</v>
      </c>
      <c r="H576" t="s">
        <v>30</v>
      </c>
      <c r="I576" s="1">
        <v>1</v>
      </c>
      <c r="J576" s="2">
        <v>3017.24</v>
      </c>
    </row>
    <row r="577" spans="2:10" x14ac:dyDescent="0.2">
      <c r="B577" t="s">
        <v>1016</v>
      </c>
      <c r="C577" t="s">
        <v>228</v>
      </c>
      <c r="D577" t="s">
        <v>1017</v>
      </c>
      <c r="E577" t="s">
        <v>312</v>
      </c>
      <c r="F577" t="s">
        <v>313</v>
      </c>
      <c r="G577" t="s">
        <v>1033</v>
      </c>
      <c r="H577" t="s">
        <v>30</v>
      </c>
      <c r="I577" s="1">
        <v>1</v>
      </c>
      <c r="J577" s="2">
        <v>603.45000000000005</v>
      </c>
    </row>
    <row r="578" spans="2:10" x14ac:dyDescent="0.2">
      <c r="B578" t="s">
        <v>1016</v>
      </c>
      <c r="C578" t="s">
        <v>228</v>
      </c>
      <c r="D578" t="s">
        <v>1017</v>
      </c>
      <c r="E578" t="s">
        <v>435</v>
      </c>
      <c r="F578" t="s">
        <v>436</v>
      </c>
      <c r="G578" t="s">
        <v>1033</v>
      </c>
      <c r="H578" t="s">
        <v>30</v>
      </c>
      <c r="I578" s="1">
        <v>1</v>
      </c>
      <c r="J578" s="2">
        <v>2060.9299999999998</v>
      </c>
    </row>
    <row r="579" spans="2:10" x14ac:dyDescent="0.2">
      <c r="B579" t="s">
        <v>1016</v>
      </c>
      <c r="C579" t="s">
        <v>233</v>
      </c>
      <c r="D579" t="s">
        <v>1017</v>
      </c>
      <c r="E579" t="s">
        <v>44</v>
      </c>
      <c r="F579" t="s">
        <v>45</v>
      </c>
      <c r="G579" t="s">
        <v>1033</v>
      </c>
      <c r="H579" t="s">
        <v>30</v>
      </c>
      <c r="I579" s="1">
        <v>1</v>
      </c>
      <c r="J579" s="2">
        <v>81.900000000000006</v>
      </c>
    </row>
    <row r="580" spans="2:10" x14ac:dyDescent="0.2">
      <c r="B580" t="s">
        <v>1016</v>
      </c>
      <c r="C580" t="s">
        <v>233</v>
      </c>
      <c r="D580" t="s">
        <v>1017</v>
      </c>
      <c r="E580" t="s">
        <v>120</v>
      </c>
      <c r="F580" t="s">
        <v>121</v>
      </c>
      <c r="G580" t="s">
        <v>1034</v>
      </c>
      <c r="H580" t="s">
        <v>15</v>
      </c>
      <c r="I580" s="1">
        <v>1</v>
      </c>
      <c r="J580" s="2">
        <v>301.72000000000003</v>
      </c>
    </row>
    <row r="581" spans="2:10" x14ac:dyDescent="0.2">
      <c r="B581" t="s">
        <v>1016</v>
      </c>
      <c r="C581" t="s">
        <v>233</v>
      </c>
      <c r="D581" t="s">
        <v>1017</v>
      </c>
      <c r="E581" t="s">
        <v>656</v>
      </c>
      <c r="F581" t="s">
        <v>657</v>
      </c>
      <c r="G581" t="s">
        <v>43</v>
      </c>
      <c r="H581" t="s">
        <v>50</v>
      </c>
      <c r="I581" s="1">
        <v>1</v>
      </c>
      <c r="J581" s="2">
        <v>181.03</v>
      </c>
    </row>
    <row r="582" spans="2:10" x14ac:dyDescent="0.2">
      <c r="B582" t="s">
        <v>1016</v>
      </c>
      <c r="C582" t="s">
        <v>233</v>
      </c>
      <c r="D582" t="s">
        <v>1017</v>
      </c>
      <c r="E582" t="s">
        <v>596</v>
      </c>
      <c r="F582" t="s">
        <v>597</v>
      </c>
      <c r="G582" t="s">
        <v>43</v>
      </c>
      <c r="H582" t="s">
        <v>50</v>
      </c>
      <c r="I582" s="1">
        <v>1</v>
      </c>
      <c r="J582" s="2">
        <v>181.03</v>
      </c>
    </row>
    <row r="583" spans="2:10" x14ac:dyDescent="0.2">
      <c r="B583" t="s">
        <v>1016</v>
      </c>
      <c r="C583" t="s">
        <v>233</v>
      </c>
      <c r="D583" t="s">
        <v>1017</v>
      </c>
      <c r="E583" t="s">
        <v>687</v>
      </c>
      <c r="F583" t="s">
        <v>688</v>
      </c>
      <c r="G583" t="s">
        <v>43</v>
      </c>
      <c r="H583" t="s">
        <v>50</v>
      </c>
      <c r="I583" s="1">
        <v>1</v>
      </c>
      <c r="J583" s="2">
        <v>181.03</v>
      </c>
    </row>
    <row r="584" spans="2:10" x14ac:dyDescent="0.2">
      <c r="B584" t="s">
        <v>1016</v>
      </c>
      <c r="C584" t="s">
        <v>233</v>
      </c>
      <c r="D584" t="s">
        <v>1017</v>
      </c>
      <c r="E584" t="s">
        <v>429</v>
      </c>
      <c r="F584" t="s">
        <v>430</v>
      </c>
      <c r="G584" t="s">
        <v>43</v>
      </c>
      <c r="H584" t="s">
        <v>50</v>
      </c>
      <c r="I584" s="1">
        <v>1</v>
      </c>
      <c r="J584" s="2">
        <v>181.03</v>
      </c>
    </row>
    <row r="585" spans="2:10" x14ac:dyDescent="0.2">
      <c r="B585" t="s">
        <v>1016</v>
      </c>
      <c r="C585" t="s">
        <v>233</v>
      </c>
      <c r="D585" t="s">
        <v>1017</v>
      </c>
      <c r="E585" t="s">
        <v>431</v>
      </c>
      <c r="F585" t="s">
        <v>432</v>
      </c>
      <c r="G585" t="s">
        <v>43</v>
      </c>
      <c r="H585" t="s">
        <v>50</v>
      </c>
      <c r="I585" s="1">
        <v>1</v>
      </c>
      <c r="J585" s="2">
        <v>181.03</v>
      </c>
    </row>
    <row r="586" spans="2:10" x14ac:dyDescent="0.2">
      <c r="B586" t="s">
        <v>1016</v>
      </c>
      <c r="C586" t="s">
        <v>233</v>
      </c>
      <c r="D586" t="s">
        <v>1017</v>
      </c>
      <c r="E586" t="s">
        <v>163</v>
      </c>
      <c r="F586" t="s">
        <v>164</v>
      </c>
      <c r="G586" t="s">
        <v>1034</v>
      </c>
      <c r="H586" t="s">
        <v>15</v>
      </c>
      <c r="I586" s="1">
        <v>1</v>
      </c>
      <c r="J586" s="2">
        <v>431.03</v>
      </c>
    </row>
    <row r="587" spans="2:10" x14ac:dyDescent="0.2">
      <c r="B587" t="s">
        <v>1016</v>
      </c>
      <c r="C587" t="s">
        <v>233</v>
      </c>
      <c r="D587" t="s">
        <v>1017</v>
      </c>
      <c r="E587" t="s">
        <v>61</v>
      </c>
      <c r="F587" t="s">
        <v>62</v>
      </c>
      <c r="G587" t="s">
        <v>1034</v>
      </c>
      <c r="H587" t="s">
        <v>15</v>
      </c>
      <c r="I587" s="1">
        <v>2</v>
      </c>
      <c r="J587" s="2">
        <v>344.82</v>
      </c>
    </row>
    <row r="588" spans="2:10" x14ac:dyDescent="0.2">
      <c r="B588" t="s">
        <v>1016</v>
      </c>
      <c r="C588" t="s">
        <v>233</v>
      </c>
      <c r="D588" t="s">
        <v>1017</v>
      </c>
      <c r="E588" t="s">
        <v>16</v>
      </c>
      <c r="F588" t="s">
        <v>17</v>
      </c>
      <c r="G588" t="s">
        <v>1034</v>
      </c>
      <c r="H588" t="s">
        <v>15</v>
      </c>
      <c r="I588" s="1">
        <v>1</v>
      </c>
      <c r="J588" s="2">
        <v>577.59</v>
      </c>
    </row>
    <row r="589" spans="2:10" x14ac:dyDescent="0.2">
      <c r="B589" t="s">
        <v>1016</v>
      </c>
      <c r="C589" t="s">
        <v>233</v>
      </c>
      <c r="D589" t="s">
        <v>1017</v>
      </c>
      <c r="E589" t="s">
        <v>181</v>
      </c>
      <c r="F589" t="s">
        <v>182</v>
      </c>
      <c r="G589" t="s">
        <v>43</v>
      </c>
      <c r="H589" t="s">
        <v>81</v>
      </c>
      <c r="I589" s="1">
        <v>1</v>
      </c>
      <c r="J589" s="2">
        <v>1379.31</v>
      </c>
    </row>
    <row r="590" spans="2:10" x14ac:dyDescent="0.2">
      <c r="B590" t="s">
        <v>1016</v>
      </c>
      <c r="C590" t="s">
        <v>236</v>
      </c>
      <c r="D590" t="s">
        <v>1017</v>
      </c>
      <c r="E590" t="s">
        <v>167</v>
      </c>
      <c r="F590" t="s">
        <v>168</v>
      </c>
      <c r="G590" t="s">
        <v>1033</v>
      </c>
      <c r="H590" t="s">
        <v>30</v>
      </c>
      <c r="I590" s="1">
        <v>2</v>
      </c>
      <c r="J590" s="2">
        <v>2534.48</v>
      </c>
    </row>
    <row r="591" spans="2:10" x14ac:dyDescent="0.2">
      <c r="B591" t="s">
        <v>1016</v>
      </c>
      <c r="C591" t="s">
        <v>236</v>
      </c>
      <c r="D591" t="s">
        <v>1017</v>
      </c>
      <c r="E591" t="s">
        <v>120</v>
      </c>
      <c r="F591" t="s">
        <v>121</v>
      </c>
      <c r="G591" t="s">
        <v>1034</v>
      </c>
      <c r="H591" t="s">
        <v>15</v>
      </c>
      <c r="I591" s="1">
        <v>1</v>
      </c>
      <c r="J591" s="2">
        <v>301.72000000000003</v>
      </c>
    </row>
    <row r="592" spans="2:10" x14ac:dyDescent="0.2">
      <c r="B592" t="s">
        <v>1016</v>
      </c>
      <c r="C592" t="s">
        <v>236</v>
      </c>
      <c r="D592" t="s">
        <v>1017</v>
      </c>
      <c r="E592" t="s">
        <v>12</v>
      </c>
      <c r="F592" t="s">
        <v>13</v>
      </c>
      <c r="G592" t="s">
        <v>1034</v>
      </c>
      <c r="H592" t="s">
        <v>15</v>
      </c>
      <c r="I592" s="1">
        <v>1</v>
      </c>
      <c r="J592" s="2">
        <v>1077.5899999999999</v>
      </c>
    </row>
    <row r="593" spans="2:10" x14ac:dyDescent="0.2">
      <c r="B593" t="s">
        <v>1016</v>
      </c>
      <c r="C593" t="s">
        <v>236</v>
      </c>
      <c r="D593" t="s">
        <v>1017</v>
      </c>
      <c r="E593" t="s">
        <v>253</v>
      </c>
      <c r="F593" t="s">
        <v>254</v>
      </c>
      <c r="G593" t="s">
        <v>1034</v>
      </c>
      <c r="H593" t="s">
        <v>15</v>
      </c>
      <c r="I593" s="1">
        <v>1</v>
      </c>
      <c r="J593" s="2">
        <v>775.86</v>
      </c>
    </row>
    <row r="594" spans="2:10" x14ac:dyDescent="0.2">
      <c r="B594" t="s">
        <v>1016</v>
      </c>
      <c r="C594" t="s">
        <v>236</v>
      </c>
      <c r="D594" t="s">
        <v>1017</v>
      </c>
      <c r="E594" t="s">
        <v>38</v>
      </c>
      <c r="F594" t="s">
        <v>39</v>
      </c>
      <c r="G594" t="s">
        <v>1034</v>
      </c>
      <c r="H594" t="s">
        <v>15</v>
      </c>
      <c r="I594" s="1">
        <v>1</v>
      </c>
      <c r="J594" s="2">
        <v>431.03</v>
      </c>
    </row>
    <row r="595" spans="2:10" x14ac:dyDescent="0.2">
      <c r="B595" t="s">
        <v>1016</v>
      </c>
      <c r="C595" t="s">
        <v>236</v>
      </c>
      <c r="D595" t="s">
        <v>1017</v>
      </c>
      <c r="E595" t="s">
        <v>163</v>
      </c>
      <c r="F595" t="s">
        <v>164</v>
      </c>
      <c r="G595" t="s">
        <v>1034</v>
      </c>
      <c r="H595" t="s">
        <v>15</v>
      </c>
      <c r="I595" s="1">
        <v>1</v>
      </c>
      <c r="J595" s="2">
        <v>431.03</v>
      </c>
    </row>
    <row r="596" spans="2:10" x14ac:dyDescent="0.2">
      <c r="B596" t="s">
        <v>1016</v>
      </c>
      <c r="C596" t="s">
        <v>236</v>
      </c>
      <c r="D596" t="s">
        <v>1017</v>
      </c>
      <c r="E596" t="s">
        <v>61</v>
      </c>
      <c r="F596" t="s">
        <v>62</v>
      </c>
      <c r="G596" t="s">
        <v>1034</v>
      </c>
      <c r="H596" t="s">
        <v>15</v>
      </c>
      <c r="I596" s="1">
        <v>3</v>
      </c>
      <c r="J596" s="2">
        <v>517.23</v>
      </c>
    </row>
    <row r="597" spans="2:10" x14ac:dyDescent="0.2">
      <c r="B597" t="s">
        <v>1016</v>
      </c>
      <c r="C597" t="s">
        <v>236</v>
      </c>
      <c r="D597" t="s">
        <v>1017</v>
      </c>
      <c r="E597" t="s">
        <v>63</v>
      </c>
      <c r="F597" t="s">
        <v>64</v>
      </c>
      <c r="G597" t="s">
        <v>1034</v>
      </c>
      <c r="H597" t="s">
        <v>15</v>
      </c>
      <c r="I597" s="1">
        <v>5</v>
      </c>
      <c r="J597" s="2">
        <v>862.05</v>
      </c>
    </row>
    <row r="598" spans="2:10" x14ac:dyDescent="0.2">
      <c r="B598" t="s">
        <v>1016</v>
      </c>
      <c r="C598" t="s">
        <v>236</v>
      </c>
      <c r="D598" t="s">
        <v>1017</v>
      </c>
      <c r="E598" t="s">
        <v>16</v>
      </c>
      <c r="F598" t="s">
        <v>17</v>
      </c>
      <c r="G598" t="s">
        <v>1034</v>
      </c>
      <c r="H598" t="s">
        <v>15</v>
      </c>
      <c r="I598" s="1">
        <v>1</v>
      </c>
      <c r="J598" s="2">
        <v>577.59</v>
      </c>
    </row>
    <row r="599" spans="2:10" x14ac:dyDescent="0.2">
      <c r="B599" t="s">
        <v>1016</v>
      </c>
      <c r="C599" t="s">
        <v>236</v>
      </c>
      <c r="D599" t="s">
        <v>1017</v>
      </c>
      <c r="E599" t="s">
        <v>193</v>
      </c>
      <c r="F599" t="s">
        <v>194</v>
      </c>
      <c r="G599" t="s">
        <v>1034</v>
      </c>
      <c r="H599" t="s">
        <v>15</v>
      </c>
      <c r="I599" s="1">
        <v>1</v>
      </c>
      <c r="J599" s="2">
        <v>1293.0999999999999</v>
      </c>
    </row>
    <row r="600" spans="2:10" x14ac:dyDescent="0.2">
      <c r="B600" t="s">
        <v>1016</v>
      </c>
      <c r="C600" t="s">
        <v>236</v>
      </c>
      <c r="D600" t="s">
        <v>1017</v>
      </c>
      <c r="E600" t="s">
        <v>1010</v>
      </c>
      <c r="F600" t="s">
        <v>1011</v>
      </c>
      <c r="G600" t="s">
        <v>43</v>
      </c>
      <c r="H600" t="s">
        <v>128</v>
      </c>
      <c r="I600" s="1">
        <v>1</v>
      </c>
      <c r="J600" s="2">
        <v>5172.41</v>
      </c>
    </row>
    <row r="601" spans="2:10" x14ac:dyDescent="0.2">
      <c r="B601" t="s">
        <v>1016</v>
      </c>
      <c r="C601" t="s">
        <v>236</v>
      </c>
      <c r="D601" t="s">
        <v>1017</v>
      </c>
      <c r="E601" t="s">
        <v>762</v>
      </c>
      <c r="F601" t="s">
        <v>763</v>
      </c>
      <c r="G601" t="s">
        <v>1033</v>
      </c>
      <c r="H601" t="s">
        <v>30</v>
      </c>
      <c r="I601" s="1">
        <v>1</v>
      </c>
      <c r="J601" s="2">
        <v>2396.5500000000002</v>
      </c>
    </row>
    <row r="602" spans="2:10" x14ac:dyDescent="0.2">
      <c r="B602" t="s">
        <v>1016</v>
      </c>
      <c r="C602" t="s">
        <v>236</v>
      </c>
      <c r="D602" t="s">
        <v>1017</v>
      </c>
      <c r="E602" t="s">
        <v>28</v>
      </c>
      <c r="F602" t="s">
        <v>29</v>
      </c>
      <c r="G602" t="s">
        <v>1033</v>
      </c>
      <c r="H602" t="s">
        <v>30</v>
      </c>
      <c r="I602" s="1">
        <v>1</v>
      </c>
      <c r="J602" s="2">
        <v>155.16999999999999</v>
      </c>
    </row>
    <row r="603" spans="2:10" x14ac:dyDescent="0.2">
      <c r="B603" t="s">
        <v>1016</v>
      </c>
      <c r="C603" t="s">
        <v>237</v>
      </c>
      <c r="D603" t="s">
        <v>1017</v>
      </c>
      <c r="E603" t="s">
        <v>592</v>
      </c>
      <c r="F603" t="s">
        <v>593</v>
      </c>
      <c r="G603" t="s">
        <v>54</v>
      </c>
      <c r="H603" t="s">
        <v>138</v>
      </c>
      <c r="I603" s="1">
        <v>1</v>
      </c>
      <c r="J603" s="2">
        <v>387.93</v>
      </c>
    </row>
    <row r="604" spans="2:10" x14ac:dyDescent="0.2">
      <c r="B604" t="s">
        <v>1016</v>
      </c>
      <c r="C604" t="s">
        <v>237</v>
      </c>
      <c r="D604" t="s">
        <v>1017</v>
      </c>
      <c r="E604" t="s">
        <v>253</v>
      </c>
      <c r="F604" t="s">
        <v>254</v>
      </c>
      <c r="G604" t="s">
        <v>1034</v>
      </c>
      <c r="H604" t="s">
        <v>15</v>
      </c>
      <c r="I604" s="1">
        <v>1</v>
      </c>
      <c r="J604" s="2">
        <v>775.86</v>
      </c>
    </row>
    <row r="605" spans="2:10" x14ac:dyDescent="0.2">
      <c r="B605" t="s">
        <v>1016</v>
      </c>
      <c r="C605" t="s">
        <v>237</v>
      </c>
      <c r="D605" t="s">
        <v>1017</v>
      </c>
      <c r="E605" t="s">
        <v>83</v>
      </c>
      <c r="F605" t="s">
        <v>84</v>
      </c>
      <c r="G605" t="s">
        <v>1034</v>
      </c>
      <c r="H605" t="s">
        <v>15</v>
      </c>
      <c r="I605" s="1">
        <v>1</v>
      </c>
      <c r="J605" s="2">
        <v>387.93</v>
      </c>
    </row>
    <row r="606" spans="2:10" x14ac:dyDescent="0.2">
      <c r="B606" t="s">
        <v>1016</v>
      </c>
      <c r="C606" t="s">
        <v>237</v>
      </c>
      <c r="D606" t="s">
        <v>1017</v>
      </c>
      <c r="E606" t="s">
        <v>38</v>
      </c>
      <c r="F606" t="s">
        <v>39</v>
      </c>
      <c r="G606" t="s">
        <v>1034</v>
      </c>
      <c r="H606" t="s">
        <v>15</v>
      </c>
      <c r="I606" s="1">
        <v>1</v>
      </c>
      <c r="J606" s="2">
        <v>431.03</v>
      </c>
    </row>
    <row r="607" spans="2:10" x14ac:dyDescent="0.2">
      <c r="B607" t="s">
        <v>1016</v>
      </c>
      <c r="C607" t="s">
        <v>237</v>
      </c>
      <c r="D607" t="s">
        <v>1017</v>
      </c>
      <c r="E607" t="s">
        <v>56</v>
      </c>
      <c r="F607" t="s">
        <v>57</v>
      </c>
      <c r="G607" t="s">
        <v>1034</v>
      </c>
      <c r="H607" t="s">
        <v>15</v>
      </c>
      <c r="I607" s="1">
        <v>1</v>
      </c>
      <c r="J607" s="2">
        <v>431.03</v>
      </c>
    </row>
    <row r="608" spans="2:10" x14ac:dyDescent="0.2">
      <c r="B608" t="s">
        <v>1016</v>
      </c>
      <c r="C608" t="s">
        <v>237</v>
      </c>
      <c r="D608" t="s">
        <v>1017</v>
      </c>
      <c r="E608" t="s">
        <v>63</v>
      </c>
      <c r="F608" t="s">
        <v>64</v>
      </c>
      <c r="G608" t="s">
        <v>1034</v>
      </c>
      <c r="H608" t="s">
        <v>15</v>
      </c>
      <c r="I608" s="1">
        <v>1</v>
      </c>
      <c r="J608" s="2">
        <v>172.41</v>
      </c>
    </row>
    <row r="609" spans="2:10" x14ac:dyDescent="0.2">
      <c r="B609" t="s">
        <v>1016</v>
      </c>
      <c r="C609" t="s">
        <v>237</v>
      </c>
      <c r="D609" t="s">
        <v>1017</v>
      </c>
      <c r="E609" t="s">
        <v>16</v>
      </c>
      <c r="F609" t="s">
        <v>17</v>
      </c>
      <c r="G609" t="s">
        <v>1034</v>
      </c>
      <c r="H609" t="s">
        <v>15</v>
      </c>
      <c r="I609" s="1">
        <v>1</v>
      </c>
      <c r="J609" s="2">
        <v>577.59</v>
      </c>
    </row>
    <row r="610" spans="2:10" x14ac:dyDescent="0.2">
      <c r="B610" t="s">
        <v>1016</v>
      </c>
      <c r="C610" t="s">
        <v>237</v>
      </c>
      <c r="D610" t="s">
        <v>1017</v>
      </c>
      <c r="E610" t="s">
        <v>79</v>
      </c>
      <c r="F610" t="s">
        <v>80</v>
      </c>
      <c r="G610" t="s">
        <v>43</v>
      </c>
      <c r="H610" t="s">
        <v>81</v>
      </c>
      <c r="I610" s="1">
        <v>1</v>
      </c>
      <c r="J610" s="2">
        <v>1810.34</v>
      </c>
    </row>
    <row r="611" spans="2:10" x14ac:dyDescent="0.2">
      <c r="B611" t="s">
        <v>1016</v>
      </c>
      <c r="C611" t="s">
        <v>237</v>
      </c>
      <c r="D611" t="s">
        <v>1017</v>
      </c>
      <c r="E611" t="s">
        <v>929</v>
      </c>
      <c r="F611" t="s">
        <v>930</v>
      </c>
      <c r="G611" t="s">
        <v>1033</v>
      </c>
      <c r="H611" t="s">
        <v>30</v>
      </c>
      <c r="I611" s="1">
        <v>1</v>
      </c>
      <c r="J611" s="2">
        <v>1853.45</v>
      </c>
    </row>
    <row r="612" spans="2:10" x14ac:dyDescent="0.2">
      <c r="B612" t="s">
        <v>1016</v>
      </c>
      <c r="C612" t="s">
        <v>237</v>
      </c>
      <c r="D612" t="s">
        <v>1017</v>
      </c>
      <c r="E612" t="s">
        <v>1031</v>
      </c>
      <c r="F612" t="s">
        <v>1032</v>
      </c>
      <c r="G612" t="s">
        <v>1033</v>
      </c>
      <c r="H612" t="s">
        <v>30</v>
      </c>
      <c r="I612" s="1">
        <v>1</v>
      </c>
      <c r="J612" s="2">
        <v>2284.48</v>
      </c>
    </row>
    <row r="613" spans="2:10" x14ac:dyDescent="0.2">
      <c r="B613" t="s">
        <v>1016</v>
      </c>
      <c r="C613" t="s">
        <v>248</v>
      </c>
      <c r="D613" t="s">
        <v>32</v>
      </c>
      <c r="E613" t="s">
        <v>44</v>
      </c>
      <c r="F613" t="s">
        <v>45</v>
      </c>
      <c r="G613" t="s">
        <v>1033</v>
      </c>
      <c r="H613" t="s">
        <v>30</v>
      </c>
      <c r="I613" s="1">
        <v>1</v>
      </c>
      <c r="J613" s="2">
        <v>81.900000000000006</v>
      </c>
    </row>
    <row r="614" spans="2:10" x14ac:dyDescent="0.2">
      <c r="B614" t="s">
        <v>1016</v>
      </c>
      <c r="C614" t="s">
        <v>248</v>
      </c>
      <c r="D614" t="s">
        <v>32</v>
      </c>
      <c r="E614" t="s">
        <v>120</v>
      </c>
      <c r="F614" t="s">
        <v>121</v>
      </c>
      <c r="G614" t="s">
        <v>1034</v>
      </c>
      <c r="H614" t="s">
        <v>15</v>
      </c>
      <c r="I614" s="1">
        <v>1</v>
      </c>
      <c r="J614" s="2">
        <v>301.72000000000003</v>
      </c>
    </row>
    <row r="615" spans="2:10" x14ac:dyDescent="0.2">
      <c r="B615" t="s">
        <v>1016</v>
      </c>
      <c r="C615" t="s">
        <v>248</v>
      </c>
      <c r="D615" t="s">
        <v>32</v>
      </c>
      <c r="E615" t="s">
        <v>427</v>
      </c>
      <c r="F615" t="s">
        <v>428</v>
      </c>
      <c r="G615" t="s">
        <v>14</v>
      </c>
      <c r="H615" t="s">
        <v>87</v>
      </c>
      <c r="I615" s="1">
        <v>1</v>
      </c>
      <c r="J615" s="2">
        <v>120.69</v>
      </c>
    </row>
    <row r="616" spans="2:10" x14ac:dyDescent="0.2">
      <c r="B616" t="s">
        <v>1016</v>
      </c>
      <c r="C616" t="s">
        <v>248</v>
      </c>
      <c r="D616" t="s">
        <v>32</v>
      </c>
      <c r="E616" t="s">
        <v>77</v>
      </c>
      <c r="F616" t="s">
        <v>78</v>
      </c>
      <c r="G616" t="s">
        <v>14</v>
      </c>
      <c r="H616" t="s">
        <v>27</v>
      </c>
      <c r="I616" s="1">
        <v>1</v>
      </c>
      <c r="J616" s="2">
        <v>51.72</v>
      </c>
    </row>
    <row r="617" spans="2:10" x14ac:dyDescent="0.2">
      <c r="B617" t="s">
        <v>1016</v>
      </c>
      <c r="C617" t="s">
        <v>248</v>
      </c>
      <c r="D617" t="s">
        <v>32</v>
      </c>
      <c r="E617" t="s">
        <v>28</v>
      </c>
      <c r="F617" t="s">
        <v>29</v>
      </c>
      <c r="G617" t="s">
        <v>1033</v>
      </c>
      <c r="H617" t="s">
        <v>30</v>
      </c>
      <c r="I617" s="1">
        <v>1</v>
      </c>
      <c r="J617" s="2">
        <v>155.16999999999999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C17A-BA67-4B3C-9C11-E3A387DB4FD3}">
  <dimension ref="B4:P652"/>
  <sheetViews>
    <sheetView showGridLines="0" topLeftCell="G1" workbookViewId="0">
      <selection activeCell="N9" sqref="N9"/>
    </sheetView>
  </sheetViews>
  <sheetFormatPr baseColWidth="10" defaultRowHeight="12.75" x14ac:dyDescent="0.2"/>
  <cols>
    <col min="12" max="12" width="27.7109375" bestFit="1" customWidth="1"/>
    <col min="13" max="13" width="17.42578125" bestFit="1" customWidth="1"/>
    <col min="15" max="15" width="13.85546875" bestFit="1" customWidth="1"/>
    <col min="16" max="16" width="12.28515625" bestFit="1" customWidth="1"/>
  </cols>
  <sheetData>
    <row r="4" spans="2:16" x14ac:dyDescent="0.2"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  <c r="P4" t="s">
        <v>1099</v>
      </c>
    </row>
    <row r="5" spans="2:16" x14ac:dyDescent="0.2">
      <c r="B5" t="s">
        <v>9</v>
      </c>
      <c r="C5" t="s">
        <v>186</v>
      </c>
      <c r="D5" t="s">
        <v>11</v>
      </c>
      <c r="E5" t="s">
        <v>41</v>
      </c>
      <c r="F5" t="s">
        <v>42</v>
      </c>
      <c r="G5" t="s">
        <v>1033</v>
      </c>
      <c r="H5" t="s">
        <v>30</v>
      </c>
      <c r="I5" s="1">
        <v>1</v>
      </c>
      <c r="J5" s="2">
        <v>34.479999999999997</v>
      </c>
      <c r="L5" s="139" t="s">
        <v>1094</v>
      </c>
      <c r="M5" t="s">
        <v>1096</v>
      </c>
      <c r="N5" s="145">
        <v>0.01</v>
      </c>
      <c r="O5" t="s">
        <v>1098</v>
      </c>
      <c r="P5" s="3">
        <v>7</v>
      </c>
    </row>
    <row r="6" spans="2:16" x14ac:dyDescent="0.2">
      <c r="B6" t="s">
        <v>9</v>
      </c>
      <c r="C6" t="s">
        <v>186</v>
      </c>
      <c r="D6" t="s">
        <v>11</v>
      </c>
      <c r="E6" t="s">
        <v>187</v>
      </c>
      <c r="F6" t="s">
        <v>188</v>
      </c>
      <c r="G6" t="s">
        <v>1033</v>
      </c>
      <c r="H6" t="s">
        <v>30</v>
      </c>
      <c r="I6" s="1">
        <v>1</v>
      </c>
      <c r="J6" s="2">
        <v>258.62</v>
      </c>
      <c r="L6" s="140" t="s">
        <v>9</v>
      </c>
      <c r="M6" s="2">
        <v>32439.580000000005</v>
      </c>
      <c r="O6" s="144">
        <v>200000</v>
      </c>
      <c r="P6" s="144">
        <f>O6/31*$P$5</f>
        <v>45161.290322580651</v>
      </c>
    </row>
    <row r="7" spans="2:16" x14ac:dyDescent="0.2">
      <c r="B7" t="s">
        <v>9</v>
      </c>
      <c r="C7" t="s">
        <v>186</v>
      </c>
      <c r="D7" t="s">
        <v>11</v>
      </c>
      <c r="E7" t="s">
        <v>189</v>
      </c>
      <c r="F7" t="s">
        <v>190</v>
      </c>
      <c r="G7" t="s">
        <v>1033</v>
      </c>
      <c r="H7" t="s">
        <v>30</v>
      </c>
      <c r="I7" s="1">
        <v>1</v>
      </c>
      <c r="J7" s="2">
        <v>818.97</v>
      </c>
      <c r="L7" s="140" t="s">
        <v>261</v>
      </c>
      <c r="M7" s="2">
        <v>39413.73000000001</v>
      </c>
      <c r="N7" s="142"/>
      <c r="O7" s="144">
        <v>175000</v>
      </c>
      <c r="P7" s="144">
        <f t="shared" ref="P7:P22" si="0">O7/31*$P$5</f>
        <v>39516.129032258061</v>
      </c>
    </row>
    <row r="8" spans="2:16" x14ac:dyDescent="0.2">
      <c r="B8" t="s">
        <v>9</v>
      </c>
      <c r="C8" t="s">
        <v>186</v>
      </c>
      <c r="D8" t="s">
        <v>11</v>
      </c>
      <c r="E8" t="s">
        <v>120</v>
      </c>
      <c r="F8" t="s">
        <v>121</v>
      </c>
      <c r="G8" t="s">
        <v>1034</v>
      </c>
      <c r="H8" t="s">
        <v>15</v>
      </c>
      <c r="I8" s="1">
        <v>1</v>
      </c>
      <c r="J8" s="2">
        <v>301.72000000000003</v>
      </c>
      <c r="L8" s="140" t="s">
        <v>376</v>
      </c>
      <c r="M8" s="2">
        <v>24676.719999999998</v>
      </c>
      <c r="N8" s="142"/>
      <c r="O8" s="144">
        <v>110000</v>
      </c>
      <c r="P8" s="144">
        <f t="shared" si="0"/>
        <v>24838.709677419356</v>
      </c>
    </row>
    <row r="9" spans="2:16" x14ac:dyDescent="0.2">
      <c r="B9" t="s">
        <v>9</v>
      </c>
      <c r="C9" t="s">
        <v>186</v>
      </c>
      <c r="D9" t="s">
        <v>11</v>
      </c>
      <c r="E9" t="s">
        <v>191</v>
      </c>
      <c r="F9" t="s">
        <v>192</v>
      </c>
      <c r="G9" t="s">
        <v>43</v>
      </c>
      <c r="H9" t="s">
        <v>50</v>
      </c>
      <c r="I9" s="1">
        <v>1</v>
      </c>
      <c r="J9" s="2">
        <v>3534.48</v>
      </c>
      <c r="L9" s="140" t="s">
        <v>453</v>
      </c>
      <c r="M9" s="2">
        <v>57836.020000000019</v>
      </c>
      <c r="N9" s="142">
        <f>GETPIVOTDATA("SUBTOT",$L$5,"UBICACION","Conchitas CEL")*N5</f>
        <v>578.36020000000019</v>
      </c>
      <c r="O9" s="144">
        <v>210000</v>
      </c>
      <c r="P9" s="144">
        <f t="shared" si="0"/>
        <v>47419.354838709674</v>
      </c>
    </row>
    <row r="10" spans="2:16" x14ac:dyDescent="0.2">
      <c r="B10" t="s">
        <v>9</v>
      </c>
      <c r="C10" t="s">
        <v>186</v>
      </c>
      <c r="D10" t="s">
        <v>11</v>
      </c>
      <c r="E10" t="s">
        <v>61</v>
      </c>
      <c r="F10" t="s">
        <v>62</v>
      </c>
      <c r="G10" t="s">
        <v>1034</v>
      </c>
      <c r="H10" t="s">
        <v>15</v>
      </c>
      <c r="I10" s="1">
        <v>5</v>
      </c>
      <c r="J10" s="2">
        <v>862.05</v>
      </c>
      <c r="L10" s="140" t="s">
        <v>531</v>
      </c>
      <c r="M10" s="2">
        <v>4366.329999999999</v>
      </c>
      <c r="N10" s="142"/>
      <c r="O10" s="144">
        <v>100000</v>
      </c>
      <c r="P10" s="144">
        <f t="shared" si="0"/>
        <v>22580.645161290326</v>
      </c>
    </row>
    <row r="11" spans="2:16" x14ac:dyDescent="0.2">
      <c r="B11" t="s">
        <v>9</v>
      </c>
      <c r="C11" t="s">
        <v>186</v>
      </c>
      <c r="D11" t="s">
        <v>11</v>
      </c>
      <c r="E11" t="s">
        <v>63</v>
      </c>
      <c r="F11" t="s">
        <v>64</v>
      </c>
      <c r="G11" t="s">
        <v>1034</v>
      </c>
      <c r="H11" t="s">
        <v>15</v>
      </c>
      <c r="I11" s="1">
        <v>5</v>
      </c>
      <c r="J11" s="2">
        <v>862.05</v>
      </c>
      <c r="L11" s="140" t="s">
        <v>583</v>
      </c>
      <c r="M11" s="2">
        <v>13581.829999999998</v>
      </c>
      <c r="N11" s="142"/>
      <c r="O11" s="144">
        <v>120000</v>
      </c>
      <c r="P11" s="144">
        <f t="shared" si="0"/>
        <v>27096.774193548386</v>
      </c>
    </row>
    <row r="12" spans="2:16" x14ac:dyDescent="0.2">
      <c r="B12" t="s">
        <v>9</v>
      </c>
      <c r="C12" t="s">
        <v>186</v>
      </c>
      <c r="D12" t="s">
        <v>11</v>
      </c>
      <c r="E12" t="s">
        <v>193</v>
      </c>
      <c r="F12" t="s">
        <v>194</v>
      </c>
      <c r="G12" t="s">
        <v>1034</v>
      </c>
      <c r="H12" t="s">
        <v>15</v>
      </c>
      <c r="I12" s="1">
        <v>1</v>
      </c>
      <c r="J12" s="2">
        <v>1293.0999999999999</v>
      </c>
      <c r="L12" s="140" t="s">
        <v>615</v>
      </c>
      <c r="M12" s="2">
        <v>15280.129999999997</v>
      </c>
      <c r="N12" s="142"/>
      <c r="O12" s="144">
        <v>100000</v>
      </c>
      <c r="P12" s="144">
        <f t="shared" si="0"/>
        <v>22580.645161290326</v>
      </c>
    </row>
    <row r="13" spans="2:16" x14ac:dyDescent="0.2">
      <c r="B13" t="s">
        <v>9</v>
      </c>
      <c r="C13" t="s">
        <v>186</v>
      </c>
      <c r="D13" t="s">
        <v>11</v>
      </c>
      <c r="E13" t="s">
        <v>195</v>
      </c>
      <c r="F13" t="s">
        <v>196</v>
      </c>
      <c r="G13" t="s">
        <v>1033</v>
      </c>
      <c r="H13" t="s">
        <v>30</v>
      </c>
      <c r="I13" s="1">
        <v>1</v>
      </c>
      <c r="J13" s="2">
        <v>2120.69</v>
      </c>
      <c r="L13" s="140" t="s">
        <v>654</v>
      </c>
      <c r="M13" s="2">
        <v>14844.8</v>
      </c>
      <c r="N13" s="142"/>
      <c r="O13" s="144">
        <v>100000</v>
      </c>
      <c r="P13" s="144">
        <f t="shared" si="0"/>
        <v>22580.645161290326</v>
      </c>
    </row>
    <row r="14" spans="2:16" x14ac:dyDescent="0.2">
      <c r="B14" t="s">
        <v>9</v>
      </c>
      <c r="C14" t="s">
        <v>186</v>
      </c>
      <c r="D14" t="s">
        <v>11</v>
      </c>
      <c r="E14" t="s">
        <v>28</v>
      </c>
      <c r="F14" t="s">
        <v>29</v>
      </c>
      <c r="G14" t="s">
        <v>1033</v>
      </c>
      <c r="H14" t="s">
        <v>30</v>
      </c>
      <c r="I14" s="1">
        <v>2</v>
      </c>
      <c r="J14" s="2">
        <v>310.33999999999997</v>
      </c>
      <c r="L14" s="140" t="s">
        <v>690</v>
      </c>
      <c r="M14" s="2">
        <v>22077.540000000005</v>
      </c>
      <c r="N14" s="142"/>
      <c r="O14" s="144">
        <v>100000</v>
      </c>
      <c r="P14" s="144">
        <f t="shared" si="0"/>
        <v>22580.645161290326</v>
      </c>
    </row>
    <row r="15" spans="2:16" x14ac:dyDescent="0.2">
      <c r="B15" t="s">
        <v>9</v>
      </c>
      <c r="C15" t="s">
        <v>197</v>
      </c>
      <c r="D15" t="s">
        <v>11</v>
      </c>
      <c r="E15" t="s">
        <v>198</v>
      </c>
      <c r="F15" t="s">
        <v>199</v>
      </c>
      <c r="G15" t="s">
        <v>14</v>
      </c>
      <c r="H15" t="s">
        <v>200</v>
      </c>
      <c r="I15" s="1">
        <v>1</v>
      </c>
      <c r="J15" s="2">
        <v>594.83000000000004</v>
      </c>
      <c r="L15" s="140" t="s">
        <v>740</v>
      </c>
      <c r="M15" s="2">
        <v>26732.719999999998</v>
      </c>
      <c r="N15" s="142"/>
      <c r="O15" s="144">
        <v>185000</v>
      </c>
      <c r="P15" s="144">
        <f t="shared" si="0"/>
        <v>41774.193548387098</v>
      </c>
    </row>
    <row r="16" spans="2:16" x14ac:dyDescent="0.2">
      <c r="B16" t="s">
        <v>9</v>
      </c>
      <c r="C16" t="s">
        <v>197</v>
      </c>
      <c r="D16" t="s">
        <v>11</v>
      </c>
      <c r="E16" t="s">
        <v>44</v>
      </c>
      <c r="F16" t="s">
        <v>45</v>
      </c>
      <c r="G16" t="s">
        <v>1033</v>
      </c>
      <c r="H16" t="s">
        <v>30</v>
      </c>
      <c r="I16" s="1">
        <v>1</v>
      </c>
      <c r="J16" s="2">
        <v>81.900000000000006</v>
      </c>
      <c r="L16" s="140" t="s">
        <v>780</v>
      </c>
      <c r="M16" s="2">
        <v>31493.490000000009</v>
      </c>
      <c r="N16" s="142">
        <f>GETPIVOTDATA("SUBTOT",$L$5,"UBICACION","Plaza Alamo CELESTERRA")*N5</f>
        <v>314.93490000000008</v>
      </c>
      <c r="O16" s="144">
        <v>100000</v>
      </c>
      <c r="P16" s="144">
        <f t="shared" si="0"/>
        <v>22580.645161290326</v>
      </c>
    </row>
    <row r="17" spans="2:16" x14ac:dyDescent="0.2">
      <c r="B17" t="s">
        <v>9</v>
      </c>
      <c r="C17" t="s">
        <v>197</v>
      </c>
      <c r="D17" t="s">
        <v>11</v>
      </c>
      <c r="E17" t="s">
        <v>142</v>
      </c>
      <c r="F17" t="s">
        <v>143</v>
      </c>
      <c r="G17" t="s">
        <v>43</v>
      </c>
      <c r="H17" t="s">
        <v>50</v>
      </c>
      <c r="I17" s="1">
        <v>1</v>
      </c>
      <c r="J17" s="2">
        <v>2155.17</v>
      </c>
      <c r="L17" s="140" t="s">
        <v>824</v>
      </c>
      <c r="M17" s="2">
        <v>23969.790000000005</v>
      </c>
      <c r="N17" s="142"/>
      <c r="O17" s="144">
        <v>150000</v>
      </c>
      <c r="P17" s="144">
        <f t="shared" si="0"/>
        <v>33870.967741935485</v>
      </c>
    </row>
    <row r="18" spans="2:16" x14ac:dyDescent="0.2">
      <c r="B18" t="s">
        <v>9</v>
      </c>
      <c r="C18" t="s">
        <v>197</v>
      </c>
      <c r="D18" t="s">
        <v>11</v>
      </c>
      <c r="E18" t="s">
        <v>201</v>
      </c>
      <c r="F18" t="s">
        <v>202</v>
      </c>
      <c r="G18" t="s">
        <v>1033</v>
      </c>
      <c r="H18" t="s">
        <v>30</v>
      </c>
      <c r="I18" s="1">
        <v>1</v>
      </c>
      <c r="J18" s="2">
        <v>948.28</v>
      </c>
      <c r="L18" s="140" t="s">
        <v>866</v>
      </c>
      <c r="M18" s="2">
        <v>23469.760000000002</v>
      </c>
      <c r="N18" s="142"/>
      <c r="O18" s="144">
        <v>180000</v>
      </c>
      <c r="P18" s="144">
        <f t="shared" si="0"/>
        <v>40645.161290322576</v>
      </c>
    </row>
    <row r="19" spans="2:16" x14ac:dyDescent="0.2">
      <c r="B19" t="s">
        <v>9</v>
      </c>
      <c r="C19" t="s">
        <v>197</v>
      </c>
      <c r="D19" t="s">
        <v>11</v>
      </c>
      <c r="E19" t="s">
        <v>203</v>
      </c>
      <c r="F19" t="s">
        <v>204</v>
      </c>
      <c r="G19" t="s">
        <v>43</v>
      </c>
      <c r="H19" t="s">
        <v>205</v>
      </c>
      <c r="I19" s="1">
        <v>1</v>
      </c>
      <c r="J19" s="2">
        <v>344.83</v>
      </c>
      <c r="L19" s="140" t="s">
        <v>907</v>
      </c>
      <c r="M19" s="2">
        <v>28754.23</v>
      </c>
      <c r="O19" s="144">
        <v>115000</v>
      </c>
      <c r="P19" s="144">
        <f t="shared" si="0"/>
        <v>25967.741935483871</v>
      </c>
    </row>
    <row r="20" spans="2:16" x14ac:dyDescent="0.2">
      <c r="B20" t="s">
        <v>9</v>
      </c>
      <c r="C20" t="s">
        <v>197</v>
      </c>
      <c r="D20" t="s">
        <v>11</v>
      </c>
      <c r="E20" t="s">
        <v>72</v>
      </c>
      <c r="F20" t="s">
        <v>73</v>
      </c>
      <c r="G20" t="s">
        <v>1034</v>
      </c>
      <c r="H20" t="s">
        <v>15</v>
      </c>
      <c r="I20" s="1">
        <v>2</v>
      </c>
      <c r="J20" s="2">
        <v>1551.72</v>
      </c>
      <c r="L20" s="140" t="s">
        <v>933</v>
      </c>
      <c r="M20" s="2">
        <v>27587.670000000009</v>
      </c>
      <c r="O20" s="144">
        <v>155000</v>
      </c>
      <c r="P20" s="144">
        <f t="shared" si="0"/>
        <v>35000</v>
      </c>
    </row>
    <row r="21" spans="2:16" x14ac:dyDescent="0.2">
      <c r="B21" t="s">
        <v>9</v>
      </c>
      <c r="C21" t="s">
        <v>197</v>
      </c>
      <c r="D21" t="s">
        <v>11</v>
      </c>
      <c r="E21" t="s">
        <v>28</v>
      </c>
      <c r="F21" t="s">
        <v>29</v>
      </c>
      <c r="G21" t="s">
        <v>1033</v>
      </c>
      <c r="H21" t="s">
        <v>30</v>
      </c>
      <c r="I21" s="1">
        <v>2</v>
      </c>
      <c r="J21" s="2">
        <v>310.33999999999997</v>
      </c>
      <c r="L21" s="140" t="s">
        <v>955</v>
      </c>
      <c r="M21" s="2">
        <v>47810.320000000007</v>
      </c>
      <c r="O21" s="144">
        <v>435000</v>
      </c>
      <c r="P21" s="144">
        <f t="shared" si="0"/>
        <v>98225.806451612909</v>
      </c>
    </row>
    <row r="22" spans="2:16" x14ac:dyDescent="0.2">
      <c r="B22" t="s">
        <v>9</v>
      </c>
      <c r="C22" t="s">
        <v>206</v>
      </c>
      <c r="D22" t="s">
        <v>11</v>
      </c>
      <c r="E22" t="s">
        <v>207</v>
      </c>
      <c r="F22" t="s">
        <v>208</v>
      </c>
      <c r="G22" t="s">
        <v>14</v>
      </c>
      <c r="H22" t="s">
        <v>209</v>
      </c>
      <c r="I22" s="1">
        <v>1</v>
      </c>
      <c r="J22" s="2">
        <v>926.72</v>
      </c>
      <c r="L22" s="140" t="s">
        <v>1016</v>
      </c>
      <c r="M22" s="2">
        <v>16590.419999999995</v>
      </c>
      <c r="O22" s="144">
        <v>145000</v>
      </c>
      <c r="P22" s="144">
        <f t="shared" si="0"/>
        <v>32741.935483870966</v>
      </c>
    </row>
    <row r="23" spans="2:16" x14ac:dyDescent="0.2">
      <c r="B23" t="s">
        <v>9</v>
      </c>
      <c r="C23" t="s">
        <v>206</v>
      </c>
      <c r="D23" t="s">
        <v>11</v>
      </c>
      <c r="E23" t="s">
        <v>44</v>
      </c>
      <c r="F23" t="s">
        <v>45</v>
      </c>
      <c r="G23" t="s">
        <v>1033</v>
      </c>
      <c r="H23" t="s">
        <v>30</v>
      </c>
      <c r="I23" s="1">
        <v>2</v>
      </c>
      <c r="J23" s="2">
        <v>163.80000000000001</v>
      </c>
      <c r="L23" s="140" t="s">
        <v>1095</v>
      </c>
      <c r="M23" s="2">
        <v>450925.07999999996</v>
      </c>
      <c r="N23" s="156">
        <f>SUM(N6:N22)</f>
        <v>893.29510000000028</v>
      </c>
      <c r="O23" s="144">
        <f>SUM(O6:O22)</f>
        <v>2680000</v>
      </c>
      <c r="P23" s="156">
        <f>SUM(P6:P22)</f>
        <v>605161.29032258049</v>
      </c>
    </row>
    <row r="24" spans="2:16" x14ac:dyDescent="0.2">
      <c r="B24" t="s">
        <v>9</v>
      </c>
      <c r="C24" t="s">
        <v>206</v>
      </c>
      <c r="D24" t="s">
        <v>11</v>
      </c>
      <c r="E24" t="s">
        <v>210</v>
      </c>
      <c r="F24" t="s">
        <v>211</v>
      </c>
      <c r="G24" t="s">
        <v>1033</v>
      </c>
      <c r="H24" t="s">
        <v>30</v>
      </c>
      <c r="I24" s="1">
        <v>1</v>
      </c>
      <c r="J24" s="2">
        <v>301.72000000000003</v>
      </c>
    </row>
    <row r="25" spans="2:16" x14ac:dyDescent="0.2">
      <c r="B25" t="s">
        <v>9</v>
      </c>
      <c r="C25" t="s">
        <v>206</v>
      </c>
      <c r="D25" t="s">
        <v>11</v>
      </c>
      <c r="E25" t="s">
        <v>212</v>
      </c>
      <c r="F25" t="s">
        <v>213</v>
      </c>
      <c r="G25" t="s">
        <v>14</v>
      </c>
      <c r="H25" t="s">
        <v>35</v>
      </c>
      <c r="I25" s="1">
        <v>1</v>
      </c>
      <c r="J25" s="2">
        <v>77.59</v>
      </c>
    </row>
    <row r="26" spans="2:16" x14ac:dyDescent="0.2">
      <c r="B26" t="s">
        <v>9</v>
      </c>
      <c r="C26" t="s">
        <v>206</v>
      </c>
      <c r="D26" t="s">
        <v>11</v>
      </c>
      <c r="E26" t="s">
        <v>214</v>
      </c>
      <c r="F26" t="s">
        <v>215</v>
      </c>
      <c r="G26" t="s">
        <v>1034</v>
      </c>
      <c r="H26" t="s">
        <v>15</v>
      </c>
      <c r="I26" s="1">
        <v>1</v>
      </c>
      <c r="J26" s="2">
        <v>301.72000000000003</v>
      </c>
    </row>
    <row r="27" spans="2:16" x14ac:dyDescent="0.2">
      <c r="B27" t="s">
        <v>9</v>
      </c>
      <c r="C27" t="s">
        <v>206</v>
      </c>
      <c r="D27" t="s">
        <v>11</v>
      </c>
      <c r="E27" t="s">
        <v>36</v>
      </c>
      <c r="F27" t="s">
        <v>37</v>
      </c>
      <c r="G27" t="s">
        <v>1034</v>
      </c>
      <c r="H27" t="s">
        <v>15</v>
      </c>
      <c r="I27" s="1">
        <v>2</v>
      </c>
      <c r="J27" s="2">
        <v>603.44000000000005</v>
      </c>
    </row>
    <row r="28" spans="2:16" x14ac:dyDescent="0.2">
      <c r="B28" t="s">
        <v>9</v>
      </c>
      <c r="C28" t="s">
        <v>206</v>
      </c>
      <c r="D28" t="s">
        <v>11</v>
      </c>
      <c r="E28" t="s">
        <v>72</v>
      </c>
      <c r="F28" t="s">
        <v>73</v>
      </c>
      <c r="G28" t="s">
        <v>1034</v>
      </c>
      <c r="H28" t="s">
        <v>15</v>
      </c>
      <c r="I28" s="1">
        <v>1</v>
      </c>
      <c r="J28" s="2">
        <v>775.86</v>
      </c>
    </row>
    <row r="29" spans="2:16" x14ac:dyDescent="0.2">
      <c r="B29" t="s">
        <v>9</v>
      </c>
      <c r="C29" t="s">
        <v>206</v>
      </c>
      <c r="D29" t="s">
        <v>11</v>
      </c>
      <c r="E29" t="s">
        <v>216</v>
      </c>
      <c r="F29" t="s">
        <v>217</v>
      </c>
      <c r="G29" t="s">
        <v>14</v>
      </c>
      <c r="H29" t="s">
        <v>104</v>
      </c>
      <c r="I29" s="1">
        <v>1</v>
      </c>
      <c r="J29" s="2">
        <v>17.239999999999998</v>
      </c>
    </row>
    <row r="30" spans="2:16" x14ac:dyDescent="0.2">
      <c r="B30" t="s">
        <v>9</v>
      </c>
      <c r="C30" t="s">
        <v>206</v>
      </c>
      <c r="D30" t="s">
        <v>11</v>
      </c>
      <c r="E30" t="s">
        <v>16</v>
      </c>
      <c r="F30" t="s">
        <v>17</v>
      </c>
      <c r="G30" t="s">
        <v>1034</v>
      </c>
      <c r="H30" t="s">
        <v>15</v>
      </c>
      <c r="I30" s="1">
        <v>5</v>
      </c>
      <c r="J30" s="2">
        <v>2887.9500000000003</v>
      </c>
    </row>
    <row r="31" spans="2:16" x14ac:dyDescent="0.2">
      <c r="B31" t="s">
        <v>9</v>
      </c>
      <c r="C31" t="s">
        <v>206</v>
      </c>
      <c r="D31" t="s">
        <v>11</v>
      </c>
      <c r="E31" t="s">
        <v>218</v>
      </c>
      <c r="F31" t="s">
        <v>219</v>
      </c>
      <c r="G31" t="s">
        <v>43</v>
      </c>
      <c r="H31" t="s">
        <v>128</v>
      </c>
      <c r="I31" s="1">
        <v>1</v>
      </c>
      <c r="J31" s="2">
        <v>4396.55</v>
      </c>
    </row>
    <row r="32" spans="2:16" x14ac:dyDescent="0.2">
      <c r="B32" t="s">
        <v>9</v>
      </c>
      <c r="C32" t="s">
        <v>206</v>
      </c>
      <c r="D32" t="s">
        <v>11</v>
      </c>
      <c r="E32" t="s">
        <v>28</v>
      </c>
      <c r="F32" t="s">
        <v>29</v>
      </c>
      <c r="G32" t="s">
        <v>1033</v>
      </c>
      <c r="H32" t="s">
        <v>30</v>
      </c>
      <c r="I32" s="1">
        <v>4</v>
      </c>
      <c r="J32" s="2">
        <v>620.67999999999995</v>
      </c>
    </row>
    <row r="33" spans="2:10" x14ac:dyDescent="0.2">
      <c r="B33" t="s">
        <v>9</v>
      </c>
      <c r="C33" t="s">
        <v>220</v>
      </c>
      <c r="D33" t="s">
        <v>11</v>
      </c>
      <c r="E33" t="s">
        <v>44</v>
      </c>
      <c r="F33" t="s">
        <v>45</v>
      </c>
      <c r="G33" t="s">
        <v>1033</v>
      </c>
      <c r="H33" t="s">
        <v>30</v>
      </c>
      <c r="I33" s="1">
        <v>1</v>
      </c>
      <c r="J33" s="2">
        <v>81.900000000000006</v>
      </c>
    </row>
    <row r="34" spans="2:10" x14ac:dyDescent="0.2">
      <c r="B34" t="s">
        <v>9</v>
      </c>
      <c r="C34" t="s">
        <v>220</v>
      </c>
      <c r="D34" t="s">
        <v>11</v>
      </c>
      <c r="E34" t="s">
        <v>221</v>
      </c>
      <c r="F34" t="s">
        <v>222</v>
      </c>
      <c r="G34" t="s">
        <v>1034</v>
      </c>
      <c r="H34" t="s">
        <v>15</v>
      </c>
      <c r="I34" s="1">
        <v>1</v>
      </c>
      <c r="J34" s="2">
        <v>431.03</v>
      </c>
    </row>
    <row r="35" spans="2:10" x14ac:dyDescent="0.2">
      <c r="B35" t="s">
        <v>9</v>
      </c>
      <c r="C35" t="s">
        <v>220</v>
      </c>
      <c r="D35" t="s">
        <v>11</v>
      </c>
      <c r="E35" t="s">
        <v>223</v>
      </c>
      <c r="F35" t="s">
        <v>224</v>
      </c>
      <c r="G35" t="s">
        <v>43</v>
      </c>
      <c r="H35" t="s">
        <v>50</v>
      </c>
      <c r="I35" s="1">
        <v>1</v>
      </c>
      <c r="J35" s="2">
        <v>1637.93</v>
      </c>
    </row>
    <row r="36" spans="2:10" x14ac:dyDescent="0.2">
      <c r="B36" t="s">
        <v>9</v>
      </c>
      <c r="C36" t="s">
        <v>220</v>
      </c>
      <c r="D36" t="s">
        <v>11</v>
      </c>
      <c r="E36" t="s">
        <v>16</v>
      </c>
      <c r="F36" t="s">
        <v>17</v>
      </c>
      <c r="G36" t="s">
        <v>1034</v>
      </c>
      <c r="H36" t="s">
        <v>15</v>
      </c>
      <c r="I36" s="1">
        <v>1</v>
      </c>
      <c r="J36" s="2">
        <v>577.59</v>
      </c>
    </row>
    <row r="37" spans="2:10" x14ac:dyDescent="0.2">
      <c r="B37" t="s">
        <v>9</v>
      </c>
      <c r="C37" t="s">
        <v>220</v>
      </c>
      <c r="D37" t="s">
        <v>11</v>
      </c>
      <c r="E37" t="s">
        <v>28</v>
      </c>
      <c r="F37" t="s">
        <v>29</v>
      </c>
      <c r="G37" t="s">
        <v>1033</v>
      </c>
      <c r="H37" t="s">
        <v>30</v>
      </c>
      <c r="I37" s="1">
        <v>3</v>
      </c>
      <c r="J37" s="2">
        <v>465.52</v>
      </c>
    </row>
    <row r="38" spans="2:10" x14ac:dyDescent="0.2">
      <c r="B38" t="s">
        <v>9</v>
      </c>
      <c r="C38" t="s">
        <v>225</v>
      </c>
      <c r="D38" t="s">
        <v>226</v>
      </c>
      <c r="E38" t="s">
        <v>44</v>
      </c>
      <c r="F38" t="s">
        <v>45</v>
      </c>
      <c r="G38" t="s">
        <v>1033</v>
      </c>
      <c r="H38" t="s">
        <v>30</v>
      </c>
      <c r="I38" s="1">
        <v>1</v>
      </c>
      <c r="J38" s="2">
        <v>81.900000000000006</v>
      </c>
    </row>
    <row r="39" spans="2:10" x14ac:dyDescent="0.2">
      <c r="B39" t="s">
        <v>9</v>
      </c>
      <c r="C39" t="s">
        <v>225</v>
      </c>
      <c r="D39" t="s">
        <v>226</v>
      </c>
      <c r="E39" t="s">
        <v>214</v>
      </c>
      <c r="F39" t="s">
        <v>215</v>
      </c>
      <c r="G39" t="s">
        <v>1034</v>
      </c>
      <c r="H39" t="s">
        <v>15</v>
      </c>
      <c r="I39" s="1">
        <v>1</v>
      </c>
      <c r="J39" s="2">
        <v>301.72000000000003</v>
      </c>
    </row>
    <row r="40" spans="2:10" x14ac:dyDescent="0.2">
      <c r="B40" t="s">
        <v>9</v>
      </c>
      <c r="C40" t="s">
        <v>225</v>
      </c>
      <c r="D40" t="s">
        <v>226</v>
      </c>
      <c r="E40" t="s">
        <v>36</v>
      </c>
      <c r="F40" t="s">
        <v>37</v>
      </c>
      <c r="G40" t="s">
        <v>1034</v>
      </c>
      <c r="H40" t="s">
        <v>15</v>
      </c>
      <c r="I40" s="1">
        <v>1</v>
      </c>
      <c r="J40" s="2">
        <v>301.72000000000003</v>
      </c>
    </row>
    <row r="41" spans="2:10" x14ac:dyDescent="0.2">
      <c r="B41" t="s">
        <v>9</v>
      </c>
      <c r="C41" t="s">
        <v>225</v>
      </c>
      <c r="D41" t="s">
        <v>226</v>
      </c>
      <c r="E41" t="s">
        <v>56</v>
      </c>
      <c r="F41" t="s">
        <v>57</v>
      </c>
      <c r="G41" t="s">
        <v>1034</v>
      </c>
      <c r="H41" t="s">
        <v>15</v>
      </c>
      <c r="I41" s="1">
        <v>1</v>
      </c>
      <c r="J41" s="2">
        <v>431.03</v>
      </c>
    </row>
    <row r="42" spans="2:10" x14ac:dyDescent="0.2">
      <c r="B42" t="s">
        <v>9</v>
      </c>
      <c r="C42" t="s">
        <v>225</v>
      </c>
      <c r="D42" t="s">
        <v>226</v>
      </c>
      <c r="E42" t="s">
        <v>61</v>
      </c>
      <c r="F42" t="s">
        <v>62</v>
      </c>
      <c r="G42" t="s">
        <v>1034</v>
      </c>
      <c r="H42" t="s">
        <v>15</v>
      </c>
      <c r="I42" s="1">
        <v>2</v>
      </c>
      <c r="J42" s="2">
        <v>344.82</v>
      </c>
    </row>
    <row r="43" spans="2:10" x14ac:dyDescent="0.2">
      <c r="B43" t="s">
        <v>9</v>
      </c>
      <c r="C43" t="s">
        <v>225</v>
      </c>
      <c r="D43" t="s">
        <v>226</v>
      </c>
      <c r="E43" t="s">
        <v>63</v>
      </c>
      <c r="F43" t="s">
        <v>64</v>
      </c>
      <c r="G43" t="s">
        <v>1034</v>
      </c>
      <c r="H43" t="s">
        <v>15</v>
      </c>
      <c r="I43" s="1">
        <v>1</v>
      </c>
      <c r="J43" s="2">
        <v>172.41</v>
      </c>
    </row>
    <row r="44" spans="2:10" x14ac:dyDescent="0.2">
      <c r="B44" t="s">
        <v>9</v>
      </c>
      <c r="C44" t="s">
        <v>225</v>
      </c>
      <c r="D44" t="s">
        <v>226</v>
      </c>
      <c r="E44" t="s">
        <v>28</v>
      </c>
      <c r="F44" t="s">
        <v>29</v>
      </c>
      <c r="G44" t="s">
        <v>1033</v>
      </c>
      <c r="H44" t="s">
        <v>30</v>
      </c>
      <c r="I44" s="1">
        <v>1</v>
      </c>
      <c r="J44" s="2">
        <v>155.16999999999999</v>
      </c>
    </row>
    <row r="45" spans="2:10" x14ac:dyDescent="0.2">
      <c r="B45" t="s">
        <v>261</v>
      </c>
      <c r="C45" t="s">
        <v>335</v>
      </c>
      <c r="D45" t="s">
        <v>226</v>
      </c>
      <c r="E45" t="s">
        <v>214</v>
      </c>
      <c r="F45" t="s">
        <v>215</v>
      </c>
      <c r="G45" t="s">
        <v>1034</v>
      </c>
      <c r="H45" t="s">
        <v>15</v>
      </c>
      <c r="I45" s="1">
        <v>1</v>
      </c>
      <c r="J45" s="2">
        <v>301.72000000000003</v>
      </c>
    </row>
    <row r="46" spans="2:10" x14ac:dyDescent="0.2">
      <c r="B46" t="s">
        <v>261</v>
      </c>
      <c r="C46" t="s">
        <v>335</v>
      </c>
      <c r="D46" t="s">
        <v>226</v>
      </c>
      <c r="E46" t="s">
        <v>336</v>
      </c>
      <c r="F46" t="s">
        <v>337</v>
      </c>
      <c r="G46" t="s">
        <v>1034</v>
      </c>
      <c r="H46" t="s">
        <v>15</v>
      </c>
      <c r="I46" s="1">
        <v>1</v>
      </c>
      <c r="J46" s="2">
        <v>387.93</v>
      </c>
    </row>
    <row r="47" spans="2:10" x14ac:dyDescent="0.2">
      <c r="B47" t="s">
        <v>261</v>
      </c>
      <c r="C47" t="s">
        <v>186</v>
      </c>
      <c r="D47" t="s">
        <v>262</v>
      </c>
      <c r="E47" t="s">
        <v>149</v>
      </c>
      <c r="F47" t="s">
        <v>150</v>
      </c>
      <c r="G47" t="s">
        <v>43</v>
      </c>
      <c r="H47" t="s">
        <v>50</v>
      </c>
      <c r="I47" s="1">
        <v>1</v>
      </c>
      <c r="J47" s="2">
        <v>3017.24</v>
      </c>
    </row>
    <row r="48" spans="2:10" x14ac:dyDescent="0.2">
      <c r="B48" t="s">
        <v>261</v>
      </c>
      <c r="C48" t="s">
        <v>186</v>
      </c>
      <c r="D48" t="s">
        <v>262</v>
      </c>
      <c r="E48" t="s">
        <v>214</v>
      </c>
      <c r="F48" t="s">
        <v>215</v>
      </c>
      <c r="G48" t="s">
        <v>1034</v>
      </c>
      <c r="H48" t="s">
        <v>15</v>
      </c>
      <c r="I48" s="1">
        <v>2</v>
      </c>
      <c r="J48" s="2">
        <v>603.44000000000005</v>
      </c>
    </row>
    <row r="49" spans="2:10" x14ac:dyDescent="0.2">
      <c r="B49" t="s">
        <v>261</v>
      </c>
      <c r="C49" t="s">
        <v>186</v>
      </c>
      <c r="D49" t="s">
        <v>262</v>
      </c>
      <c r="E49" t="s">
        <v>36</v>
      </c>
      <c r="F49" t="s">
        <v>37</v>
      </c>
      <c r="G49" t="s">
        <v>1034</v>
      </c>
      <c r="H49" t="s">
        <v>15</v>
      </c>
      <c r="I49" s="1">
        <v>1</v>
      </c>
      <c r="J49" s="2">
        <v>301.72000000000003</v>
      </c>
    </row>
    <row r="50" spans="2:10" x14ac:dyDescent="0.2">
      <c r="B50" t="s">
        <v>261</v>
      </c>
      <c r="C50" t="s">
        <v>186</v>
      </c>
      <c r="D50" t="s">
        <v>262</v>
      </c>
      <c r="E50" t="s">
        <v>48</v>
      </c>
      <c r="F50" t="s">
        <v>49</v>
      </c>
      <c r="G50" t="s">
        <v>43</v>
      </c>
      <c r="H50" t="s">
        <v>50</v>
      </c>
      <c r="I50" s="1">
        <v>1</v>
      </c>
      <c r="J50" s="2">
        <v>1318.97</v>
      </c>
    </row>
    <row r="51" spans="2:10" x14ac:dyDescent="0.2">
      <c r="B51" t="s">
        <v>261</v>
      </c>
      <c r="C51" t="s">
        <v>186</v>
      </c>
      <c r="D51" t="s">
        <v>262</v>
      </c>
      <c r="E51" t="s">
        <v>16</v>
      </c>
      <c r="F51" t="s">
        <v>17</v>
      </c>
      <c r="G51" t="s">
        <v>1034</v>
      </c>
      <c r="H51" t="s">
        <v>15</v>
      </c>
      <c r="I51" s="1">
        <v>4</v>
      </c>
      <c r="J51" s="2">
        <v>2310.36</v>
      </c>
    </row>
    <row r="52" spans="2:10" x14ac:dyDescent="0.2">
      <c r="B52" t="s">
        <v>261</v>
      </c>
      <c r="C52" t="s">
        <v>197</v>
      </c>
      <c r="D52" t="s">
        <v>262</v>
      </c>
      <c r="E52" t="s">
        <v>214</v>
      </c>
      <c r="F52" t="s">
        <v>215</v>
      </c>
      <c r="G52" t="s">
        <v>1034</v>
      </c>
      <c r="H52" t="s">
        <v>15</v>
      </c>
      <c r="I52" s="1">
        <v>5</v>
      </c>
      <c r="J52" s="2">
        <v>1508.6000000000001</v>
      </c>
    </row>
    <row r="53" spans="2:10" x14ac:dyDescent="0.2">
      <c r="B53" t="s">
        <v>261</v>
      </c>
      <c r="C53" t="s">
        <v>197</v>
      </c>
      <c r="D53" t="s">
        <v>262</v>
      </c>
      <c r="E53" t="s">
        <v>72</v>
      </c>
      <c r="F53" t="s">
        <v>73</v>
      </c>
      <c r="G53" t="s">
        <v>1034</v>
      </c>
      <c r="H53" t="s">
        <v>15</v>
      </c>
      <c r="I53" s="1">
        <v>1</v>
      </c>
      <c r="J53" s="2">
        <v>775.86</v>
      </c>
    </row>
    <row r="54" spans="2:10" x14ac:dyDescent="0.2">
      <c r="B54" t="s">
        <v>261</v>
      </c>
      <c r="C54" t="s">
        <v>197</v>
      </c>
      <c r="D54" t="s">
        <v>262</v>
      </c>
      <c r="E54" t="s">
        <v>257</v>
      </c>
      <c r="F54" t="s">
        <v>258</v>
      </c>
      <c r="G54" t="s">
        <v>1033</v>
      </c>
      <c r="H54" t="s">
        <v>30</v>
      </c>
      <c r="I54" s="1">
        <v>1</v>
      </c>
      <c r="J54" s="2">
        <v>1577.59</v>
      </c>
    </row>
    <row r="55" spans="2:10" x14ac:dyDescent="0.2">
      <c r="B55" t="s">
        <v>261</v>
      </c>
      <c r="C55" t="s">
        <v>197</v>
      </c>
      <c r="D55" t="s">
        <v>262</v>
      </c>
      <c r="E55" t="s">
        <v>16</v>
      </c>
      <c r="F55" t="s">
        <v>17</v>
      </c>
      <c r="G55" t="s">
        <v>1034</v>
      </c>
      <c r="H55" t="s">
        <v>15</v>
      </c>
      <c r="I55" s="1">
        <v>1</v>
      </c>
      <c r="J55" s="2">
        <v>577.59</v>
      </c>
    </row>
    <row r="56" spans="2:10" x14ac:dyDescent="0.2">
      <c r="B56" t="s">
        <v>261</v>
      </c>
      <c r="C56" t="s">
        <v>206</v>
      </c>
      <c r="D56" t="s">
        <v>262</v>
      </c>
      <c r="E56" t="s">
        <v>19</v>
      </c>
      <c r="F56" t="s">
        <v>20</v>
      </c>
      <c r="G56" t="s">
        <v>14</v>
      </c>
      <c r="H56" t="s">
        <v>21</v>
      </c>
      <c r="I56" s="1">
        <v>1</v>
      </c>
      <c r="J56" s="2">
        <v>431.04</v>
      </c>
    </row>
    <row r="57" spans="2:10" x14ac:dyDescent="0.2">
      <c r="B57" t="s">
        <v>261</v>
      </c>
      <c r="C57" t="s">
        <v>206</v>
      </c>
      <c r="D57" t="s">
        <v>262</v>
      </c>
      <c r="E57" t="s">
        <v>173</v>
      </c>
      <c r="F57" t="s">
        <v>174</v>
      </c>
      <c r="G57" t="s">
        <v>14</v>
      </c>
      <c r="H57" t="s">
        <v>35</v>
      </c>
      <c r="I57" s="1">
        <v>2</v>
      </c>
      <c r="J57" s="2">
        <v>120.68</v>
      </c>
    </row>
    <row r="58" spans="2:10" x14ac:dyDescent="0.2">
      <c r="B58" t="s">
        <v>261</v>
      </c>
      <c r="C58" t="s">
        <v>206</v>
      </c>
      <c r="D58" t="s">
        <v>262</v>
      </c>
      <c r="E58" t="s">
        <v>338</v>
      </c>
      <c r="F58" t="s">
        <v>339</v>
      </c>
      <c r="G58" t="s">
        <v>1033</v>
      </c>
      <c r="H58" t="s">
        <v>30</v>
      </c>
      <c r="I58" s="1">
        <v>1</v>
      </c>
      <c r="J58" s="2">
        <v>1525.86</v>
      </c>
    </row>
    <row r="59" spans="2:10" x14ac:dyDescent="0.2">
      <c r="B59" t="s">
        <v>261</v>
      </c>
      <c r="C59" t="s">
        <v>206</v>
      </c>
      <c r="D59" t="s">
        <v>262</v>
      </c>
      <c r="E59" t="s">
        <v>201</v>
      </c>
      <c r="F59" t="s">
        <v>202</v>
      </c>
      <c r="G59" t="s">
        <v>1033</v>
      </c>
      <c r="H59" t="s">
        <v>30</v>
      </c>
      <c r="I59" s="1">
        <v>1</v>
      </c>
      <c r="J59" s="2">
        <v>948.28</v>
      </c>
    </row>
    <row r="60" spans="2:10" x14ac:dyDescent="0.2">
      <c r="B60" t="s">
        <v>261</v>
      </c>
      <c r="C60" t="s">
        <v>206</v>
      </c>
      <c r="D60" t="s">
        <v>262</v>
      </c>
      <c r="E60" t="s">
        <v>340</v>
      </c>
      <c r="F60" t="s">
        <v>341</v>
      </c>
      <c r="G60" t="s">
        <v>43</v>
      </c>
      <c r="H60" t="s">
        <v>50</v>
      </c>
      <c r="I60" s="1">
        <v>1</v>
      </c>
      <c r="J60" s="2">
        <v>5603.45</v>
      </c>
    </row>
    <row r="61" spans="2:10" x14ac:dyDescent="0.2">
      <c r="B61" t="s">
        <v>261</v>
      </c>
      <c r="C61" t="s">
        <v>206</v>
      </c>
      <c r="D61" t="s">
        <v>262</v>
      </c>
      <c r="E61" t="s">
        <v>120</v>
      </c>
      <c r="F61" t="s">
        <v>121</v>
      </c>
      <c r="G61" t="s">
        <v>1034</v>
      </c>
      <c r="H61" t="s">
        <v>15</v>
      </c>
      <c r="I61" s="1">
        <v>3</v>
      </c>
      <c r="J61" s="2">
        <v>905.16000000000008</v>
      </c>
    </row>
    <row r="62" spans="2:10" x14ac:dyDescent="0.2">
      <c r="B62" t="s">
        <v>261</v>
      </c>
      <c r="C62" t="s">
        <v>206</v>
      </c>
      <c r="D62" t="s">
        <v>262</v>
      </c>
      <c r="E62" t="s">
        <v>72</v>
      </c>
      <c r="F62" t="s">
        <v>73</v>
      </c>
      <c r="G62" t="s">
        <v>1034</v>
      </c>
      <c r="H62" t="s">
        <v>15</v>
      </c>
      <c r="I62" s="1">
        <v>3</v>
      </c>
      <c r="J62" s="2">
        <v>2327.58</v>
      </c>
    </row>
    <row r="63" spans="2:10" x14ac:dyDescent="0.2">
      <c r="B63" t="s">
        <v>261</v>
      </c>
      <c r="C63" t="s">
        <v>206</v>
      </c>
      <c r="D63" t="s">
        <v>262</v>
      </c>
      <c r="E63" t="s">
        <v>342</v>
      </c>
      <c r="F63" t="s">
        <v>343</v>
      </c>
      <c r="G63" t="s">
        <v>1033</v>
      </c>
      <c r="H63" t="s">
        <v>30</v>
      </c>
      <c r="I63" s="1">
        <v>1</v>
      </c>
      <c r="J63" s="2">
        <v>1681.03</v>
      </c>
    </row>
    <row r="64" spans="2:10" x14ac:dyDescent="0.2">
      <c r="B64" t="s">
        <v>261</v>
      </c>
      <c r="C64" t="s">
        <v>206</v>
      </c>
      <c r="D64" t="s">
        <v>262</v>
      </c>
      <c r="E64" t="s">
        <v>16</v>
      </c>
      <c r="F64" t="s">
        <v>17</v>
      </c>
      <c r="G64" t="s">
        <v>1034</v>
      </c>
      <c r="H64" t="s">
        <v>15</v>
      </c>
      <c r="I64" s="1">
        <v>1</v>
      </c>
      <c r="J64" s="2">
        <v>577.59</v>
      </c>
    </row>
    <row r="65" spans="2:10" x14ac:dyDescent="0.2">
      <c r="B65" t="s">
        <v>261</v>
      </c>
      <c r="C65" t="s">
        <v>206</v>
      </c>
      <c r="D65" t="s">
        <v>262</v>
      </c>
      <c r="E65" t="s">
        <v>193</v>
      </c>
      <c r="F65" t="s">
        <v>194</v>
      </c>
      <c r="G65" t="s">
        <v>1034</v>
      </c>
      <c r="H65" t="s">
        <v>15</v>
      </c>
      <c r="I65" s="1">
        <v>1</v>
      </c>
      <c r="J65" s="2">
        <v>1293.0999999999999</v>
      </c>
    </row>
    <row r="66" spans="2:10" x14ac:dyDescent="0.2">
      <c r="B66" t="s">
        <v>261</v>
      </c>
      <c r="C66" t="s">
        <v>206</v>
      </c>
      <c r="D66" t="s">
        <v>262</v>
      </c>
      <c r="E66" t="s">
        <v>344</v>
      </c>
      <c r="F66" t="s">
        <v>345</v>
      </c>
      <c r="G66" t="s">
        <v>1033</v>
      </c>
      <c r="H66" t="s">
        <v>30</v>
      </c>
      <c r="I66" s="1">
        <v>1</v>
      </c>
      <c r="J66" s="2">
        <v>2163.79</v>
      </c>
    </row>
    <row r="67" spans="2:10" x14ac:dyDescent="0.2">
      <c r="B67" t="s">
        <v>261</v>
      </c>
      <c r="C67" t="s">
        <v>220</v>
      </c>
      <c r="D67" t="s">
        <v>262</v>
      </c>
      <c r="E67" t="s">
        <v>19</v>
      </c>
      <c r="F67" t="s">
        <v>20</v>
      </c>
      <c r="G67" t="s">
        <v>14</v>
      </c>
      <c r="H67" t="s">
        <v>21</v>
      </c>
      <c r="I67" s="1">
        <v>1</v>
      </c>
      <c r="J67" s="2">
        <v>431.04</v>
      </c>
    </row>
    <row r="68" spans="2:10" x14ac:dyDescent="0.2">
      <c r="B68" t="s">
        <v>261</v>
      </c>
      <c r="C68" t="s">
        <v>220</v>
      </c>
      <c r="D68" t="s">
        <v>262</v>
      </c>
      <c r="E68" t="s">
        <v>72</v>
      </c>
      <c r="F68" t="s">
        <v>73</v>
      </c>
      <c r="G68" t="s">
        <v>1034</v>
      </c>
      <c r="H68" t="s">
        <v>15</v>
      </c>
      <c r="I68" s="1">
        <v>1</v>
      </c>
      <c r="J68" s="2">
        <v>775.86</v>
      </c>
    </row>
    <row r="69" spans="2:10" x14ac:dyDescent="0.2">
      <c r="B69" t="s">
        <v>261</v>
      </c>
      <c r="C69" t="s">
        <v>220</v>
      </c>
      <c r="D69" t="s">
        <v>262</v>
      </c>
      <c r="E69" t="s">
        <v>63</v>
      </c>
      <c r="F69" t="s">
        <v>64</v>
      </c>
      <c r="G69" t="s">
        <v>1034</v>
      </c>
      <c r="H69" t="s">
        <v>15</v>
      </c>
      <c r="I69" s="1">
        <v>2</v>
      </c>
      <c r="J69" s="2">
        <v>344.82</v>
      </c>
    </row>
    <row r="70" spans="2:10" x14ac:dyDescent="0.2">
      <c r="B70" t="s">
        <v>261</v>
      </c>
      <c r="C70" t="s">
        <v>220</v>
      </c>
      <c r="D70" t="s">
        <v>262</v>
      </c>
      <c r="E70" t="s">
        <v>16</v>
      </c>
      <c r="F70" t="s">
        <v>17</v>
      </c>
      <c r="G70" t="s">
        <v>1034</v>
      </c>
      <c r="H70" t="s">
        <v>15</v>
      </c>
      <c r="I70" s="1">
        <v>1</v>
      </c>
      <c r="J70" s="2">
        <v>577.59</v>
      </c>
    </row>
    <row r="71" spans="2:10" x14ac:dyDescent="0.2">
      <c r="B71" t="s">
        <v>261</v>
      </c>
      <c r="C71" t="s">
        <v>220</v>
      </c>
      <c r="D71" t="s">
        <v>262</v>
      </c>
      <c r="E71" t="s">
        <v>346</v>
      </c>
      <c r="F71" t="s">
        <v>347</v>
      </c>
      <c r="G71" t="s">
        <v>1033</v>
      </c>
      <c r="H71" t="s">
        <v>30</v>
      </c>
      <c r="I71" s="1">
        <v>1</v>
      </c>
      <c r="J71" s="2">
        <v>2413.79</v>
      </c>
    </row>
    <row r="72" spans="2:10" x14ac:dyDescent="0.2">
      <c r="B72" t="s">
        <v>261</v>
      </c>
      <c r="C72" t="s">
        <v>220</v>
      </c>
      <c r="D72" t="s">
        <v>262</v>
      </c>
      <c r="E72" t="s">
        <v>333</v>
      </c>
      <c r="F72" t="s">
        <v>334</v>
      </c>
      <c r="G72" t="s">
        <v>1033</v>
      </c>
      <c r="H72" t="s">
        <v>30</v>
      </c>
      <c r="I72" s="1">
        <v>1</v>
      </c>
      <c r="J72" s="2">
        <v>2413.79</v>
      </c>
    </row>
    <row r="73" spans="2:10" x14ac:dyDescent="0.2">
      <c r="B73" t="s">
        <v>261</v>
      </c>
      <c r="C73" t="s">
        <v>225</v>
      </c>
      <c r="D73" t="s">
        <v>262</v>
      </c>
      <c r="E73" t="s">
        <v>46</v>
      </c>
      <c r="F73" t="s">
        <v>47</v>
      </c>
      <c r="G73" t="s">
        <v>1034</v>
      </c>
      <c r="H73" t="s">
        <v>15</v>
      </c>
      <c r="I73" s="1">
        <v>1</v>
      </c>
      <c r="J73" s="2">
        <v>301.72000000000003</v>
      </c>
    </row>
    <row r="74" spans="2:10" x14ac:dyDescent="0.2">
      <c r="B74" t="s">
        <v>261</v>
      </c>
      <c r="C74" t="s">
        <v>225</v>
      </c>
      <c r="D74" t="s">
        <v>262</v>
      </c>
      <c r="E74" t="s">
        <v>214</v>
      </c>
      <c r="F74" t="s">
        <v>215</v>
      </c>
      <c r="G74" t="s">
        <v>1034</v>
      </c>
      <c r="H74" t="s">
        <v>15</v>
      </c>
      <c r="I74" s="1">
        <v>1</v>
      </c>
      <c r="J74" s="2">
        <v>301.72000000000003</v>
      </c>
    </row>
    <row r="75" spans="2:10" x14ac:dyDescent="0.2">
      <c r="B75" t="s">
        <v>261</v>
      </c>
      <c r="C75" t="s">
        <v>225</v>
      </c>
      <c r="D75" t="s">
        <v>262</v>
      </c>
      <c r="E75" t="s">
        <v>38</v>
      </c>
      <c r="F75" t="s">
        <v>39</v>
      </c>
      <c r="G75" t="s">
        <v>1034</v>
      </c>
      <c r="H75" t="s">
        <v>15</v>
      </c>
      <c r="I75" s="1">
        <v>1</v>
      </c>
      <c r="J75" s="2">
        <v>431.03</v>
      </c>
    </row>
    <row r="76" spans="2:10" x14ac:dyDescent="0.2">
      <c r="B76" t="s">
        <v>261</v>
      </c>
      <c r="C76" t="s">
        <v>225</v>
      </c>
      <c r="D76" t="s">
        <v>262</v>
      </c>
      <c r="E76" t="s">
        <v>61</v>
      </c>
      <c r="F76" t="s">
        <v>62</v>
      </c>
      <c r="G76" t="s">
        <v>1034</v>
      </c>
      <c r="H76" t="s">
        <v>15</v>
      </c>
      <c r="I76" s="1">
        <v>1</v>
      </c>
      <c r="J76" s="2">
        <v>172.41</v>
      </c>
    </row>
    <row r="77" spans="2:10" x14ac:dyDescent="0.2">
      <c r="B77" t="s">
        <v>261</v>
      </c>
      <c r="C77" t="s">
        <v>225</v>
      </c>
      <c r="D77" t="s">
        <v>262</v>
      </c>
      <c r="E77" t="s">
        <v>63</v>
      </c>
      <c r="F77" t="s">
        <v>64</v>
      </c>
      <c r="G77" t="s">
        <v>1034</v>
      </c>
      <c r="H77" t="s">
        <v>15</v>
      </c>
      <c r="I77" s="1">
        <v>1</v>
      </c>
      <c r="J77" s="2">
        <v>172.41</v>
      </c>
    </row>
    <row r="78" spans="2:10" x14ac:dyDescent="0.2">
      <c r="B78" t="s">
        <v>261</v>
      </c>
      <c r="C78" t="s">
        <v>225</v>
      </c>
      <c r="D78" t="s">
        <v>262</v>
      </c>
      <c r="E78" t="s">
        <v>16</v>
      </c>
      <c r="F78" t="s">
        <v>17</v>
      </c>
      <c r="G78" t="s">
        <v>1034</v>
      </c>
      <c r="H78" t="s">
        <v>15</v>
      </c>
      <c r="I78" s="1">
        <v>1</v>
      </c>
      <c r="J78" s="2">
        <v>577.59</v>
      </c>
    </row>
    <row r="79" spans="2:10" x14ac:dyDescent="0.2">
      <c r="B79" t="s">
        <v>261</v>
      </c>
      <c r="C79" t="s">
        <v>225</v>
      </c>
      <c r="D79" t="s">
        <v>262</v>
      </c>
      <c r="E79" t="s">
        <v>348</v>
      </c>
      <c r="F79" t="s">
        <v>349</v>
      </c>
      <c r="G79" t="s">
        <v>1034</v>
      </c>
      <c r="H79" t="s">
        <v>15</v>
      </c>
      <c r="I79" s="1">
        <v>1</v>
      </c>
      <c r="J79" s="2">
        <v>241.38</v>
      </c>
    </row>
    <row r="80" spans="2:10" x14ac:dyDescent="0.2">
      <c r="B80" t="s">
        <v>376</v>
      </c>
      <c r="C80" t="s">
        <v>335</v>
      </c>
      <c r="D80" t="s">
        <v>386</v>
      </c>
      <c r="E80" t="s">
        <v>167</v>
      </c>
      <c r="F80" t="s">
        <v>168</v>
      </c>
      <c r="G80" t="s">
        <v>1033</v>
      </c>
      <c r="H80" t="s">
        <v>30</v>
      </c>
      <c r="I80" s="1">
        <v>1</v>
      </c>
      <c r="J80" s="2">
        <v>1267.24</v>
      </c>
    </row>
    <row r="81" spans="2:10" x14ac:dyDescent="0.2">
      <c r="B81" t="s">
        <v>376</v>
      </c>
      <c r="C81" t="s">
        <v>335</v>
      </c>
      <c r="D81" t="s">
        <v>386</v>
      </c>
      <c r="E81" t="s">
        <v>46</v>
      </c>
      <c r="F81" t="s">
        <v>47</v>
      </c>
      <c r="G81" t="s">
        <v>1034</v>
      </c>
      <c r="H81" t="s">
        <v>15</v>
      </c>
      <c r="I81" s="1">
        <v>1</v>
      </c>
      <c r="J81" s="2">
        <v>301.72000000000003</v>
      </c>
    </row>
    <row r="82" spans="2:10" x14ac:dyDescent="0.2">
      <c r="B82" t="s">
        <v>376</v>
      </c>
      <c r="C82" t="s">
        <v>335</v>
      </c>
      <c r="D82" t="s">
        <v>386</v>
      </c>
      <c r="E82" t="s">
        <v>120</v>
      </c>
      <c r="F82" t="s">
        <v>121</v>
      </c>
      <c r="G82" t="s">
        <v>1034</v>
      </c>
      <c r="H82" t="s">
        <v>15</v>
      </c>
      <c r="I82" s="1">
        <v>1</v>
      </c>
      <c r="J82" s="2">
        <v>301.72000000000003</v>
      </c>
    </row>
    <row r="83" spans="2:10" x14ac:dyDescent="0.2">
      <c r="B83" t="s">
        <v>376</v>
      </c>
      <c r="C83" t="s">
        <v>335</v>
      </c>
      <c r="D83" t="s">
        <v>386</v>
      </c>
      <c r="E83" t="s">
        <v>253</v>
      </c>
      <c r="F83" t="s">
        <v>254</v>
      </c>
      <c r="G83" t="s">
        <v>1034</v>
      </c>
      <c r="H83" t="s">
        <v>15</v>
      </c>
      <c r="I83" s="1">
        <v>1</v>
      </c>
      <c r="J83" s="2">
        <v>775.86</v>
      </c>
    </row>
    <row r="84" spans="2:10" x14ac:dyDescent="0.2">
      <c r="B84" t="s">
        <v>376</v>
      </c>
      <c r="C84" t="s">
        <v>335</v>
      </c>
      <c r="D84" t="s">
        <v>386</v>
      </c>
      <c r="E84" t="s">
        <v>72</v>
      </c>
      <c r="F84" t="s">
        <v>73</v>
      </c>
      <c r="G84" t="s">
        <v>1034</v>
      </c>
      <c r="H84" t="s">
        <v>15</v>
      </c>
      <c r="I84" s="1">
        <v>1</v>
      </c>
      <c r="J84" s="2">
        <v>775.86</v>
      </c>
    </row>
    <row r="85" spans="2:10" x14ac:dyDescent="0.2">
      <c r="B85" t="s">
        <v>376</v>
      </c>
      <c r="C85" t="s">
        <v>335</v>
      </c>
      <c r="D85" t="s">
        <v>386</v>
      </c>
      <c r="E85" t="s">
        <v>161</v>
      </c>
      <c r="F85" t="s">
        <v>162</v>
      </c>
      <c r="G85" t="s">
        <v>1033</v>
      </c>
      <c r="H85" t="s">
        <v>30</v>
      </c>
      <c r="I85" s="1">
        <v>1</v>
      </c>
      <c r="J85" s="2">
        <v>2474.14</v>
      </c>
    </row>
    <row r="86" spans="2:10" x14ac:dyDescent="0.2">
      <c r="B86" t="s">
        <v>376</v>
      </c>
      <c r="C86" t="s">
        <v>335</v>
      </c>
      <c r="D86" t="s">
        <v>386</v>
      </c>
      <c r="E86" t="s">
        <v>16</v>
      </c>
      <c r="F86" t="s">
        <v>17</v>
      </c>
      <c r="G86" t="s">
        <v>1034</v>
      </c>
      <c r="H86" t="s">
        <v>15</v>
      </c>
      <c r="I86" s="1">
        <v>1</v>
      </c>
      <c r="J86" s="2">
        <v>577.59</v>
      </c>
    </row>
    <row r="87" spans="2:10" x14ac:dyDescent="0.2">
      <c r="B87" t="s">
        <v>376</v>
      </c>
      <c r="C87" t="s">
        <v>418</v>
      </c>
      <c r="D87" t="s">
        <v>386</v>
      </c>
      <c r="E87" t="s">
        <v>368</v>
      </c>
      <c r="F87" t="s">
        <v>369</v>
      </c>
      <c r="G87" t="s">
        <v>1033</v>
      </c>
      <c r="H87" t="s">
        <v>30</v>
      </c>
      <c r="I87" s="1">
        <v>1</v>
      </c>
      <c r="J87" s="2">
        <v>612.07000000000005</v>
      </c>
    </row>
    <row r="88" spans="2:10" x14ac:dyDescent="0.2">
      <c r="B88" t="s">
        <v>376</v>
      </c>
      <c r="C88" t="s">
        <v>418</v>
      </c>
      <c r="D88" t="s">
        <v>386</v>
      </c>
      <c r="E88" t="s">
        <v>120</v>
      </c>
      <c r="F88" t="s">
        <v>121</v>
      </c>
      <c r="G88" t="s">
        <v>1034</v>
      </c>
      <c r="H88" t="s">
        <v>15</v>
      </c>
      <c r="I88" s="1">
        <v>1</v>
      </c>
      <c r="J88" s="2">
        <v>301.72000000000003</v>
      </c>
    </row>
    <row r="89" spans="2:10" x14ac:dyDescent="0.2">
      <c r="B89" t="s">
        <v>376</v>
      </c>
      <c r="C89" t="s">
        <v>418</v>
      </c>
      <c r="D89" t="s">
        <v>386</v>
      </c>
      <c r="E89" t="s">
        <v>74</v>
      </c>
      <c r="F89" t="s">
        <v>75</v>
      </c>
      <c r="G89" t="s">
        <v>76</v>
      </c>
      <c r="H89" t="s">
        <v>60</v>
      </c>
      <c r="I89" s="1">
        <v>2</v>
      </c>
      <c r="J89" s="2">
        <v>689.66</v>
      </c>
    </row>
    <row r="90" spans="2:10" x14ac:dyDescent="0.2">
      <c r="B90" t="s">
        <v>376</v>
      </c>
      <c r="C90" t="s">
        <v>418</v>
      </c>
      <c r="D90" t="s">
        <v>386</v>
      </c>
      <c r="E90" t="s">
        <v>16</v>
      </c>
      <c r="F90" t="s">
        <v>17</v>
      </c>
      <c r="G90" t="s">
        <v>1034</v>
      </c>
      <c r="H90" t="s">
        <v>15</v>
      </c>
      <c r="I90" s="1">
        <v>1</v>
      </c>
      <c r="J90" s="2">
        <v>577.59</v>
      </c>
    </row>
    <row r="91" spans="2:10" x14ac:dyDescent="0.2">
      <c r="B91" t="s">
        <v>376</v>
      </c>
      <c r="C91" t="s">
        <v>418</v>
      </c>
      <c r="D91" t="s">
        <v>386</v>
      </c>
      <c r="E91" t="s">
        <v>181</v>
      </c>
      <c r="F91" t="s">
        <v>182</v>
      </c>
      <c r="G91" t="s">
        <v>43</v>
      </c>
      <c r="H91" t="s">
        <v>81</v>
      </c>
      <c r="I91" s="1">
        <v>1</v>
      </c>
      <c r="J91" s="2">
        <v>1379.31</v>
      </c>
    </row>
    <row r="92" spans="2:10" x14ac:dyDescent="0.2">
      <c r="B92" t="s">
        <v>376</v>
      </c>
      <c r="C92" t="s">
        <v>186</v>
      </c>
      <c r="D92" t="s">
        <v>386</v>
      </c>
      <c r="E92" t="s">
        <v>201</v>
      </c>
      <c r="F92" t="s">
        <v>202</v>
      </c>
      <c r="G92" t="s">
        <v>1033</v>
      </c>
      <c r="H92" t="s">
        <v>30</v>
      </c>
      <c r="I92" s="1">
        <v>1</v>
      </c>
      <c r="J92" s="2">
        <v>948.28</v>
      </c>
    </row>
    <row r="93" spans="2:10" x14ac:dyDescent="0.2">
      <c r="B93" t="s">
        <v>376</v>
      </c>
      <c r="C93" t="s">
        <v>197</v>
      </c>
      <c r="D93" t="s">
        <v>386</v>
      </c>
      <c r="E93" t="s">
        <v>419</v>
      </c>
      <c r="F93" t="s">
        <v>420</v>
      </c>
      <c r="G93" t="s">
        <v>14</v>
      </c>
      <c r="H93" t="s">
        <v>35</v>
      </c>
      <c r="I93" s="1">
        <v>1</v>
      </c>
      <c r="J93" s="2">
        <v>77.59</v>
      </c>
    </row>
    <row r="94" spans="2:10" x14ac:dyDescent="0.2">
      <c r="B94" t="s">
        <v>376</v>
      </c>
      <c r="C94" t="s">
        <v>197</v>
      </c>
      <c r="D94" t="s">
        <v>386</v>
      </c>
      <c r="E94" t="s">
        <v>421</v>
      </c>
      <c r="F94" t="s">
        <v>422</v>
      </c>
      <c r="G94" t="s">
        <v>54</v>
      </c>
      <c r="H94" t="s">
        <v>138</v>
      </c>
      <c r="I94" s="1">
        <v>1</v>
      </c>
      <c r="J94" s="2">
        <v>599.14</v>
      </c>
    </row>
    <row r="95" spans="2:10" x14ac:dyDescent="0.2">
      <c r="B95" t="s">
        <v>376</v>
      </c>
      <c r="C95" t="s">
        <v>197</v>
      </c>
      <c r="D95" t="s">
        <v>386</v>
      </c>
      <c r="E95" t="s">
        <v>201</v>
      </c>
      <c r="F95" t="s">
        <v>202</v>
      </c>
      <c r="G95" t="s">
        <v>1033</v>
      </c>
      <c r="H95" t="s">
        <v>30</v>
      </c>
      <c r="I95" s="1">
        <v>1</v>
      </c>
      <c r="J95" s="2">
        <v>948.28</v>
      </c>
    </row>
    <row r="96" spans="2:10" x14ac:dyDescent="0.2">
      <c r="B96" t="s">
        <v>376</v>
      </c>
      <c r="C96" t="s">
        <v>197</v>
      </c>
      <c r="D96" t="s">
        <v>386</v>
      </c>
      <c r="E96" t="s">
        <v>56</v>
      </c>
      <c r="F96" t="s">
        <v>57</v>
      </c>
      <c r="G96" t="s">
        <v>1034</v>
      </c>
      <c r="H96" t="s">
        <v>15</v>
      </c>
      <c r="I96" s="1">
        <v>1</v>
      </c>
      <c r="J96" s="2">
        <v>431.03</v>
      </c>
    </row>
    <row r="97" spans="2:10" x14ac:dyDescent="0.2">
      <c r="B97" t="s">
        <v>376</v>
      </c>
      <c r="C97" t="s">
        <v>197</v>
      </c>
      <c r="D97" t="s">
        <v>386</v>
      </c>
      <c r="E97" t="s">
        <v>16</v>
      </c>
      <c r="F97" t="s">
        <v>17</v>
      </c>
      <c r="G97" t="s">
        <v>1034</v>
      </c>
      <c r="H97" t="s">
        <v>15</v>
      </c>
      <c r="I97" s="1">
        <v>2</v>
      </c>
      <c r="J97" s="2">
        <v>1155.18</v>
      </c>
    </row>
    <row r="98" spans="2:10" x14ac:dyDescent="0.2">
      <c r="B98" t="s">
        <v>376</v>
      </c>
      <c r="C98" t="s">
        <v>197</v>
      </c>
      <c r="D98" t="s">
        <v>386</v>
      </c>
      <c r="E98" t="s">
        <v>423</v>
      </c>
      <c r="F98" t="s">
        <v>424</v>
      </c>
      <c r="G98" t="s">
        <v>43</v>
      </c>
      <c r="H98" t="s">
        <v>81</v>
      </c>
      <c r="I98" s="1">
        <v>1</v>
      </c>
      <c r="J98" s="2">
        <v>1896.55</v>
      </c>
    </row>
    <row r="99" spans="2:10" x14ac:dyDescent="0.2">
      <c r="B99" t="s">
        <v>376</v>
      </c>
      <c r="C99" t="s">
        <v>206</v>
      </c>
      <c r="D99" t="s">
        <v>386</v>
      </c>
      <c r="E99" t="s">
        <v>419</v>
      </c>
      <c r="F99" t="s">
        <v>420</v>
      </c>
      <c r="G99" t="s">
        <v>14</v>
      </c>
      <c r="H99" t="s">
        <v>35</v>
      </c>
      <c r="I99" s="1">
        <v>1</v>
      </c>
      <c r="J99" s="2">
        <v>77.59</v>
      </c>
    </row>
    <row r="100" spans="2:10" x14ac:dyDescent="0.2">
      <c r="B100" t="s">
        <v>376</v>
      </c>
      <c r="C100" t="s">
        <v>206</v>
      </c>
      <c r="D100" t="s">
        <v>386</v>
      </c>
      <c r="E100" t="s">
        <v>425</v>
      </c>
      <c r="F100" t="s">
        <v>426</v>
      </c>
      <c r="G100" t="s">
        <v>1033</v>
      </c>
      <c r="H100" t="s">
        <v>30</v>
      </c>
      <c r="I100" s="1">
        <v>1</v>
      </c>
      <c r="J100" s="2">
        <v>1137.93</v>
      </c>
    </row>
    <row r="101" spans="2:10" x14ac:dyDescent="0.2">
      <c r="B101" t="s">
        <v>376</v>
      </c>
      <c r="C101" t="s">
        <v>206</v>
      </c>
      <c r="D101" t="s">
        <v>386</v>
      </c>
      <c r="E101" t="s">
        <v>122</v>
      </c>
      <c r="F101" t="s">
        <v>123</v>
      </c>
      <c r="G101" t="s">
        <v>1034</v>
      </c>
      <c r="H101" t="s">
        <v>15</v>
      </c>
      <c r="I101" s="1">
        <v>1</v>
      </c>
      <c r="J101" s="2">
        <v>387.93</v>
      </c>
    </row>
    <row r="102" spans="2:10" x14ac:dyDescent="0.2">
      <c r="B102" t="s">
        <v>376</v>
      </c>
      <c r="C102" t="s">
        <v>206</v>
      </c>
      <c r="D102" t="s">
        <v>386</v>
      </c>
      <c r="E102" t="s">
        <v>427</v>
      </c>
      <c r="F102" t="s">
        <v>428</v>
      </c>
      <c r="G102" t="s">
        <v>14</v>
      </c>
      <c r="H102" t="s">
        <v>87</v>
      </c>
      <c r="I102" s="1">
        <v>1</v>
      </c>
      <c r="J102" s="2">
        <v>120.69</v>
      </c>
    </row>
    <row r="103" spans="2:10" x14ac:dyDescent="0.2">
      <c r="B103" t="s">
        <v>376</v>
      </c>
      <c r="C103" t="s">
        <v>206</v>
      </c>
      <c r="D103" t="s">
        <v>386</v>
      </c>
      <c r="E103" t="s">
        <v>273</v>
      </c>
      <c r="F103" t="s">
        <v>274</v>
      </c>
      <c r="G103" t="s">
        <v>1033</v>
      </c>
      <c r="H103" t="s">
        <v>30</v>
      </c>
      <c r="I103" s="1">
        <v>1</v>
      </c>
      <c r="J103" s="2">
        <v>1293.0999999999999</v>
      </c>
    </row>
    <row r="104" spans="2:10" x14ac:dyDescent="0.2">
      <c r="B104" t="s">
        <v>376</v>
      </c>
      <c r="C104" t="s">
        <v>206</v>
      </c>
      <c r="D104" t="s">
        <v>386</v>
      </c>
      <c r="E104" t="s">
        <v>406</v>
      </c>
      <c r="F104" t="s">
        <v>407</v>
      </c>
      <c r="G104" t="s">
        <v>14</v>
      </c>
      <c r="H104" t="s">
        <v>104</v>
      </c>
      <c r="I104" s="1">
        <v>1</v>
      </c>
      <c r="J104" s="2">
        <v>17.239999999999998</v>
      </c>
    </row>
    <row r="105" spans="2:10" x14ac:dyDescent="0.2">
      <c r="B105" t="s">
        <v>376</v>
      </c>
      <c r="C105" t="s">
        <v>206</v>
      </c>
      <c r="D105" t="s">
        <v>386</v>
      </c>
      <c r="E105" t="s">
        <v>61</v>
      </c>
      <c r="F105" t="s">
        <v>62</v>
      </c>
      <c r="G105" t="s">
        <v>1034</v>
      </c>
      <c r="H105" t="s">
        <v>15</v>
      </c>
      <c r="I105" s="1">
        <v>1</v>
      </c>
      <c r="J105" s="2">
        <v>172.41</v>
      </c>
    </row>
    <row r="106" spans="2:10" x14ac:dyDescent="0.2">
      <c r="B106" t="s">
        <v>376</v>
      </c>
      <c r="C106" t="s">
        <v>206</v>
      </c>
      <c r="D106" t="s">
        <v>386</v>
      </c>
      <c r="E106" t="s">
        <v>63</v>
      </c>
      <c r="F106" t="s">
        <v>64</v>
      </c>
      <c r="G106" t="s">
        <v>1034</v>
      </c>
      <c r="H106" t="s">
        <v>15</v>
      </c>
      <c r="I106" s="1">
        <v>2</v>
      </c>
      <c r="J106" s="2">
        <v>344.82</v>
      </c>
    </row>
    <row r="107" spans="2:10" x14ac:dyDescent="0.2">
      <c r="B107" t="s">
        <v>376</v>
      </c>
      <c r="C107" t="s">
        <v>206</v>
      </c>
      <c r="D107" t="s">
        <v>386</v>
      </c>
      <c r="E107" t="s">
        <v>16</v>
      </c>
      <c r="F107" t="s">
        <v>17</v>
      </c>
      <c r="G107" t="s">
        <v>1034</v>
      </c>
      <c r="H107" t="s">
        <v>15</v>
      </c>
      <c r="I107" s="1">
        <v>2</v>
      </c>
      <c r="J107" s="2">
        <v>1155.18</v>
      </c>
    </row>
    <row r="108" spans="2:10" x14ac:dyDescent="0.2">
      <c r="B108" t="s">
        <v>376</v>
      </c>
      <c r="C108" t="s">
        <v>220</v>
      </c>
      <c r="D108" t="s">
        <v>226</v>
      </c>
      <c r="E108" t="s">
        <v>214</v>
      </c>
      <c r="F108" t="s">
        <v>215</v>
      </c>
      <c r="G108" t="s">
        <v>1034</v>
      </c>
      <c r="H108" t="s">
        <v>15</v>
      </c>
      <c r="I108" s="1">
        <v>1</v>
      </c>
      <c r="J108" s="2">
        <v>301.72000000000003</v>
      </c>
    </row>
    <row r="109" spans="2:10" x14ac:dyDescent="0.2">
      <c r="B109" t="s">
        <v>376</v>
      </c>
      <c r="C109" t="s">
        <v>220</v>
      </c>
      <c r="D109" t="s">
        <v>226</v>
      </c>
      <c r="E109" t="s">
        <v>304</v>
      </c>
      <c r="F109" t="s">
        <v>305</v>
      </c>
      <c r="G109" t="s">
        <v>76</v>
      </c>
      <c r="H109" t="s">
        <v>60</v>
      </c>
      <c r="I109" s="1">
        <v>1</v>
      </c>
      <c r="J109" s="2">
        <v>344.83</v>
      </c>
    </row>
    <row r="110" spans="2:10" x14ac:dyDescent="0.2">
      <c r="B110" t="s">
        <v>376</v>
      </c>
      <c r="C110" t="s">
        <v>220</v>
      </c>
      <c r="D110" t="s">
        <v>226</v>
      </c>
      <c r="E110" t="s">
        <v>429</v>
      </c>
      <c r="F110" t="s">
        <v>430</v>
      </c>
      <c r="G110" t="s">
        <v>43</v>
      </c>
      <c r="H110" t="s">
        <v>50</v>
      </c>
      <c r="I110" s="1">
        <v>1</v>
      </c>
      <c r="J110" s="2">
        <v>181.03</v>
      </c>
    </row>
    <row r="111" spans="2:10" x14ac:dyDescent="0.2">
      <c r="B111" t="s">
        <v>376</v>
      </c>
      <c r="C111" t="s">
        <v>220</v>
      </c>
      <c r="D111" t="s">
        <v>226</v>
      </c>
      <c r="E111" t="s">
        <v>431</v>
      </c>
      <c r="F111" t="s">
        <v>432</v>
      </c>
      <c r="G111" t="s">
        <v>43</v>
      </c>
      <c r="H111" t="s">
        <v>50</v>
      </c>
      <c r="I111" s="1">
        <v>1</v>
      </c>
      <c r="J111" s="2">
        <v>181.03</v>
      </c>
    </row>
    <row r="112" spans="2:10" x14ac:dyDescent="0.2">
      <c r="B112" t="s">
        <v>376</v>
      </c>
      <c r="C112" t="s">
        <v>220</v>
      </c>
      <c r="D112" t="s">
        <v>226</v>
      </c>
      <c r="E112" t="s">
        <v>427</v>
      </c>
      <c r="F112" t="s">
        <v>428</v>
      </c>
      <c r="G112" t="s">
        <v>14</v>
      </c>
      <c r="H112" t="s">
        <v>87</v>
      </c>
      <c r="I112" s="1">
        <v>1</v>
      </c>
      <c r="J112" s="2">
        <v>120.69</v>
      </c>
    </row>
    <row r="113" spans="2:10" x14ac:dyDescent="0.2">
      <c r="B113" t="s">
        <v>376</v>
      </c>
      <c r="C113" t="s">
        <v>220</v>
      </c>
      <c r="D113" t="s">
        <v>226</v>
      </c>
      <c r="E113" t="s">
        <v>56</v>
      </c>
      <c r="F113" t="s">
        <v>57</v>
      </c>
      <c r="G113" t="s">
        <v>1034</v>
      </c>
      <c r="H113" t="s">
        <v>15</v>
      </c>
      <c r="I113" s="1">
        <v>2</v>
      </c>
      <c r="J113" s="2">
        <v>862.07</v>
      </c>
    </row>
    <row r="114" spans="2:10" x14ac:dyDescent="0.2">
      <c r="B114" t="s">
        <v>376</v>
      </c>
      <c r="C114" t="s">
        <v>220</v>
      </c>
      <c r="D114" t="s">
        <v>226</v>
      </c>
      <c r="E114" t="s">
        <v>61</v>
      </c>
      <c r="F114" t="s">
        <v>62</v>
      </c>
      <c r="G114" t="s">
        <v>1034</v>
      </c>
      <c r="H114" t="s">
        <v>15</v>
      </c>
      <c r="I114" s="1">
        <v>1</v>
      </c>
      <c r="J114" s="2">
        <v>172.41</v>
      </c>
    </row>
    <row r="115" spans="2:10" x14ac:dyDescent="0.2">
      <c r="B115" t="s">
        <v>376</v>
      </c>
      <c r="C115" t="s">
        <v>220</v>
      </c>
      <c r="D115" t="s">
        <v>226</v>
      </c>
      <c r="E115" t="s">
        <v>63</v>
      </c>
      <c r="F115" t="s">
        <v>64</v>
      </c>
      <c r="G115" t="s">
        <v>1034</v>
      </c>
      <c r="H115" t="s">
        <v>15</v>
      </c>
      <c r="I115" s="1">
        <v>1</v>
      </c>
      <c r="J115" s="2">
        <v>172.41</v>
      </c>
    </row>
    <row r="116" spans="2:10" x14ac:dyDescent="0.2">
      <c r="B116" t="s">
        <v>376</v>
      </c>
      <c r="C116" t="s">
        <v>220</v>
      </c>
      <c r="D116" t="s">
        <v>226</v>
      </c>
      <c r="E116" t="s">
        <v>16</v>
      </c>
      <c r="F116" t="s">
        <v>17</v>
      </c>
      <c r="G116" t="s">
        <v>1034</v>
      </c>
      <c r="H116" t="s">
        <v>15</v>
      </c>
      <c r="I116" s="1">
        <v>2</v>
      </c>
      <c r="J116" s="2">
        <v>1155.18</v>
      </c>
    </row>
    <row r="117" spans="2:10" x14ac:dyDescent="0.2">
      <c r="B117" t="s">
        <v>376</v>
      </c>
      <c r="C117" t="s">
        <v>225</v>
      </c>
      <c r="D117" t="s">
        <v>386</v>
      </c>
      <c r="E117" t="s">
        <v>153</v>
      </c>
      <c r="F117" t="s">
        <v>154</v>
      </c>
      <c r="G117" t="s">
        <v>1034</v>
      </c>
      <c r="H117" t="s">
        <v>15</v>
      </c>
      <c r="I117" s="1">
        <v>1</v>
      </c>
      <c r="J117" s="2">
        <v>387.93</v>
      </c>
    </row>
    <row r="118" spans="2:10" x14ac:dyDescent="0.2">
      <c r="B118" t="s">
        <v>453</v>
      </c>
      <c r="C118" t="s">
        <v>335</v>
      </c>
      <c r="D118" t="s">
        <v>456</v>
      </c>
      <c r="E118" t="s">
        <v>46</v>
      </c>
      <c r="F118" t="s">
        <v>47</v>
      </c>
      <c r="G118" t="s">
        <v>1034</v>
      </c>
      <c r="H118" t="s">
        <v>15</v>
      </c>
      <c r="I118" s="1">
        <v>1</v>
      </c>
      <c r="J118" s="2">
        <v>301.72000000000003</v>
      </c>
    </row>
    <row r="119" spans="2:10" x14ac:dyDescent="0.2">
      <c r="B119" t="s">
        <v>453</v>
      </c>
      <c r="C119" t="s">
        <v>335</v>
      </c>
      <c r="D119" t="s">
        <v>456</v>
      </c>
      <c r="E119" t="s">
        <v>338</v>
      </c>
      <c r="F119" t="s">
        <v>339</v>
      </c>
      <c r="G119" t="s">
        <v>1033</v>
      </c>
      <c r="H119" t="s">
        <v>30</v>
      </c>
      <c r="I119" s="1">
        <v>1</v>
      </c>
      <c r="J119" s="2">
        <v>1525.86</v>
      </c>
    </row>
    <row r="120" spans="2:10" x14ac:dyDescent="0.2">
      <c r="B120" t="s">
        <v>453</v>
      </c>
      <c r="C120" t="s">
        <v>335</v>
      </c>
      <c r="D120" t="s">
        <v>456</v>
      </c>
      <c r="E120" t="s">
        <v>120</v>
      </c>
      <c r="F120" t="s">
        <v>121</v>
      </c>
      <c r="G120" t="s">
        <v>1034</v>
      </c>
      <c r="H120" t="s">
        <v>15</v>
      </c>
      <c r="I120" s="1">
        <v>1</v>
      </c>
      <c r="J120" s="2">
        <v>301.72000000000003</v>
      </c>
    </row>
    <row r="121" spans="2:10" x14ac:dyDescent="0.2">
      <c r="B121" t="s">
        <v>453</v>
      </c>
      <c r="C121" t="s">
        <v>335</v>
      </c>
      <c r="D121" t="s">
        <v>456</v>
      </c>
      <c r="E121" t="s">
        <v>214</v>
      </c>
      <c r="F121" t="s">
        <v>215</v>
      </c>
      <c r="G121" t="s">
        <v>1034</v>
      </c>
      <c r="H121" t="s">
        <v>15</v>
      </c>
      <c r="I121" s="1">
        <v>1</v>
      </c>
      <c r="J121" s="2">
        <v>301.72000000000003</v>
      </c>
    </row>
    <row r="122" spans="2:10" x14ac:dyDescent="0.2">
      <c r="B122" t="s">
        <v>453</v>
      </c>
      <c r="C122" t="s">
        <v>335</v>
      </c>
      <c r="D122" t="s">
        <v>456</v>
      </c>
      <c r="E122" t="s">
        <v>36</v>
      </c>
      <c r="F122" t="s">
        <v>37</v>
      </c>
      <c r="G122" t="s">
        <v>1034</v>
      </c>
      <c r="H122" t="s">
        <v>15</v>
      </c>
      <c r="I122" s="1">
        <v>1</v>
      </c>
      <c r="J122" s="2">
        <v>301.72000000000003</v>
      </c>
    </row>
    <row r="123" spans="2:10" x14ac:dyDescent="0.2">
      <c r="B123" t="s">
        <v>453</v>
      </c>
      <c r="C123" t="s">
        <v>335</v>
      </c>
      <c r="D123" t="s">
        <v>456</v>
      </c>
      <c r="E123" t="s">
        <v>122</v>
      </c>
      <c r="F123" t="s">
        <v>123</v>
      </c>
      <c r="G123" t="s">
        <v>1034</v>
      </c>
      <c r="H123" t="s">
        <v>15</v>
      </c>
      <c r="I123" s="1">
        <v>1</v>
      </c>
      <c r="J123" s="2">
        <v>387.93</v>
      </c>
    </row>
    <row r="124" spans="2:10" x14ac:dyDescent="0.2">
      <c r="B124" t="s">
        <v>453</v>
      </c>
      <c r="C124" t="s">
        <v>335</v>
      </c>
      <c r="D124" t="s">
        <v>456</v>
      </c>
      <c r="E124" t="s">
        <v>275</v>
      </c>
      <c r="F124" t="s">
        <v>276</v>
      </c>
      <c r="G124" t="s">
        <v>1033</v>
      </c>
      <c r="H124" t="s">
        <v>30</v>
      </c>
      <c r="I124" s="1">
        <v>1</v>
      </c>
      <c r="J124" s="2">
        <v>1551.72</v>
      </c>
    </row>
    <row r="125" spans="2:10" x14ac:dyDescent="0.2">
      <c r="B125" t="s">
        <v>453</v>
      </c>
      <c r="C125" t="s">
        <v>335</v>
      </c>
      <c r="D125" t="s">
        <v>456</v>
      </c>
      <c r="E125" t="s">
        <v>61</v>
      </c>
      <c r="F125" t="s">
        <v>62</v>
      </c>
      <c r="G125" t="s">
        <v>1034</v>
      </c>
      <c r="H125" t="s">
        <v>15</v>
      </c>
      <c r="I125" s="1">
        <v>1</v>
      </c>
      <c r="J125" s="2">
        <v>172.41</v>
      </c>
    </row>
    <row r="126" spans="2:10" x14ac:dyDescent="0.2">
      <c r="B126" t="s">
        <v>453</v>
      </c>
      <c r="C126" t="s">
        <v>335</v>
      </c>
      <c r="D126" t="s">
        <v>456</v>
      </c>
      <c r="E126" t="s">
        <v>63</v>
      </c>
      <c r="F126" t="s">
        <v>64</v>
      </c>
      <c r="G126" t="s">
        <v>1034</v>
      </c>
      <c r="H126" t="s">
        <v>15</v>
      </c>
      <c r="I126" s="1">
        <v>2</v>
      </c>
      <c r="J126" s="2">
        <v>344.82</v>
      </c>
    </row>
    <row r="127" spans="2:10" x14ac:dyDescent="0.2">
      <c r="B127" t="s">
        <v>453</v>
      </c>
      <c r="C127" t="s">
        <v>335</v>
      </c>
      <c r="D127" t="s">
        <v>456</v>
      </c>
      <c r="E127" t="s">
        <v>16</v>
      </c>
      <c r="F127" t="s">
        <v>17</v>
      </c>
      <c r="G127" t="s">
        <v>1034</v>
      </c>
      <c r="H127" t="s">
        <v>15</v>
      </c>
      <c r="I127" s="1">
        <v>1</v>
      </c>
      <c r="J127" s="2">
        <v>577.59</v>
      </c>
    </row>
    <row r="128" spans="2:10" x14ac:dyDescent="0.2">
      <c r="B128" t="s">
        <v>453</v>
      </c>
      <c r="C128" t="s">
        <v>335</v>
      </c>
      <c r="D128" t="s">
        <v>456</v>
      </c>
      <c r="E128" t="s">
        <v>193</v>
      </c>
      <c r="F128" t="s">
        <v>194</v>
      </c>
      <c r="G128" t="s">
        <v>1034</v>
      </c>
      <c r="H128" t="s">
        <v>15</v>
      </c>
      <c r="I128" s="1">
        <v>1</v>
      </c>
      <c r="J128" s="2">
        <v>1293.0999999999999</v>
      </c>
    </row>
    <row r="129" spans="2:10" x14ac:dyDescent="0.2">
      <c r="B129" t="s">
        <v>453</v>
      </c>
      <c r="C129" t="s">
        <v>335</v>
      </c>
      <c r="D129" t="s">
        <v>456</v>
      </c>
      <c r="E129" t="s">
        <v>333</v>
      </c>
      <c r="F129" t="s">
        <v>334</v>
      </c>
      <c r="G129" t="s">
        <v>1033</v>
      </c>
      <c r="H129" t="s">
        <v>30</v>
      </c>
      <c r="I129" s="1">
        <v>1</v>
      </c>
      <c r="J129" s="2">
        <v>2413.79</v>
      </c>
    </row>
    <row r="130" spans="2:10" x14ac:dyDescent="0.2">
      <c r="B130" t="s">
        <v>453</v>
      </c>
      <c r="C130" t="s">
        <v>418</v>
      </c>
      <c r="D130" t="s">
        <v>456</v>
      </c>
      <c r="E130" t="s">
        <v>425</v>
      </c>
      <c r="F130" t="s">
        <v>426</v>
      </c>
      <c r="G130" t="s">
        <v>1033</v>
      </c>
      <c r="H130" t="s">
        <v>30</v>
      </c>
      <c r="I130" s="1">
        <v>1</v>
      </c>
      <c r="J130" s="2">
        <v>1137.93</v>
      </c>
    </row>
    <row r="131" spans="2:10" x14ac:dyDescent="0.2">
      <c r="B131" t="s">
        <v>453</v>
      </c>
      <c r="C131" t="s">
        <v>418</v>
      </c>
      <c r="D131" t="s">
        <v>456</v>
      </c>
      <c r="E131" t="s">
        <v>36</v>
      </c>
      <c r="F131" t="s">
        <v>37</v>
      </c>
      <c r="G131" t="s">
        <v>1034</v>
      </c>
      <c r="H131" t="s">
        <v>15</v>
      </c>
      <c r="I131" s="1">
        <v>2</v>
      </c>
      <c r="J131" s="2">
        <v>603.44000000000005</v>
      </c>
    </row>
    <row r="132" spans="2:10" x14ac:dyDescent="0.2">
      <c r="B132" t="s">
        <v>453</v>
      </c>
      <c r="C132" t="s">
        <v>418</v>
      </c>
      <c r="D132" t="s">
        <v>456</v>
      </c>
      <c r="E132" t="s">
        <v>153</v>
      </c>
      <c r="F132" t="s">
        <v>154</v>
      </c>
      <c r="G132" t="s">
        <v>1034</v>
      </c>
      <c r="H132" t="s">
        <v>15</v>
      </c>
      <c r="I132" s="1">
        <v>1</v>
      </c>
      <c r="J132" s="2">
        <v>387.93</v>
      </c>
    </row>
    <row r="133" spans="2:10" x14ac:dyDescent="0.2">
      <c r="B133" t="s">
        <v>453</v>
      </c>
      <c r="C133" t="s">
        <v>418</v>
      </c>
      <c r="D133" t="s">
        <v>456</v>
      </c>
      <c r="E133" t="s">
        <v>406</v>
      </c>
      <c r="F133" t="s">
        <v>407</v>
      </c>
      <c r="G133" t="s">
        <v>14</v>
      </c>
      <c r="H133" t="s">
        <v>104</v>
      </c>
      <c r="I133" s="1">
        <v>5</v>
      </c>
      <c r="J133" s="2">
        <v>86.2</v>
      </c>
    </row>
    <row r="134" spans="2:10" x14ac:dyDescent="0.2">
      <c r="B134" t="s">
        <v>453</v>
      </c>
      <c r="C134" t="s">
        <v>418</v>
      </c>
      <c r="D134" t="s">
        <v>456</v>
      </c>
      <c r="E134" t="s">
        <v>333</v>
      </c>
      <c r="F134" t="s">
        <v>334</v>
      </c>
      <c r="G134" t="s">
        <v>1033</v>
      </c>
      <c r="H134" t="s">
        <v>30</v>
      </c>
      <c r="I134" s="1">
        <v>1</v>
      </c>
      <c r="J134" s="2">
        <v>2413.79</v>
      </c>
    </row>
    <row r="135" spans="2:10" x14ac:dyDescent="0.2">
      <c r="B135" t="s">
        <v>453</v>
      </c>
      <c r="C135" t="s">
        <v>186</v>
      </c>
      <c r="D135" t="s">
        <v>456</v>
      </c>
      <c r="E135" t="s">
        <v>496</v>
      </c>
      <c r="F135" t="s">
        <v>497</v>
      </c>
      <c r="G135" t="s">
        <v>54</v>
      </c>
      <c r="H135" t="s">
        <v>138</v>
      </c>
      <c r="I135" s="1">
        <v>1</v>
      </c>
      <c r="J135" s="2">
        <v>655.16999999999996</v>
      </c>
    </row>
    <row r="136" spans="2:10" x14ac:dyDescent="0.2">
      <c r="B136" t="s">
        <v>453</v>
      </c>
      <c r="C136" t="s">
        <v>186</v>
      </c>
      <c r="D136" t="s">
        <v>456</v>
      </c>
      <c r="E136" t="s">
        <v>221</v>
      </c>
      <c r="F136" t="s">
        <v>222</v>
      </c>
      <c r="G136" t="s">
        <v>1034</v>
      </c>
      <c r="H136" t="s">
        <v>15</v>
      </c>
      <c r="I136" s="1">
        <v>1</v>
      </c>
      <c r="J136" s="2">
        <v>431.03</v>
      </c>
    </row>
    <row r="137" spans="2:10" x14ac:dyDescent="0.2">
      <c r="B137" t="s">
        <v>453</v>
      </c>
      <c r="C137" t="s">
        <v>186</v>
      </c>
      <c r="D137" t="s">
        <v>456</v>
      </c>
      <c r="E137" t="s">
        <v>498</v>
      </c>
      <c r="F137" t="s">
        <v>499</v>
      </c>
      <c r="G137" t="s">
        <v>1033</v>
      </c>
      <c r="H137" t="s">
        <v>30</v>
      </c>
      <c r="I137" s="1">
        <v>1</v>
      </c>
      <c r="J137" s="2">
        <v>2672.41</v>
      </c>
    </row>
    <row r="138" spans="2:10" x14ac:dyDescent="0.2">
      <c r="B138" t="s">
        <v>453</v>
      </c>
      <c r="C138" t="s">
        <v>186</v>
      </c>
      <c r="D138" t="s">
        <v>456</v>
      </c>
      <c r="E138" t="s">
        <v>72</v>
      </c>
      <c r="F138" t="s">
        <v>73</v>
      </c>
      <c r="G138" t="s">
        <v>1034</v>
      </c>
      <c r="H138" t="s">
        <v>15</v>
      </c>
      <c r="I138" s="1">
        <v>1</v>
      </c>
      <c r="J138" s="2">
        <v>775.86</v>
      </c>
    </row>
    <row r="139" spans="2:10" x14ac:dyDescent="0.2">
      <c r="B139" t="s">
        <v>453</v>
      </c>
      <c r="C139" t="s">
        <v>186</v>
      </c>
      <c r="D139" t="s">
        <v>456</v>
      </c>
      <c r="E139" t="s">
        <v>500</v>
      </c>
      <c r="F139" t="s">
        <v>501</v>
      </c>
      <c r="G139" t="s">
        <v>1033</v>
      </c>
      <c r="H139" t="s">
        <v>30</v>
      </c>
      <c r="I139" s="1">
        <v>1</v>
      </c>
      <c r="J139" s="2">
        <v>3017.24</v>
      </c>
    </row>
    <row r="140" spans="2:10" x14ac:dyDescent="0.2">
      <c r="B140" t="s">
        <v>453</v>
      </c>
      <c r="C140" t="s">
        <v>197</v>
      </c>
      <c r="D140" t="s">
        <v>456</v>
      </c>
      <c r="E140" t="s">
        <v>46</v>
      </c>
      <c r="F140" t="s">
        <v>47</v>
      </c>
      <c r="G140" t="s">
        <v>1034</v>
      </c>
      <c r="H140" t="s">
        <v>15</v>
      </c>
      <c r="I140" s="1">
        <v>1</v>
      </c>
      <c r="J140" s="2">
        <v>301.72000000000003</v>
      </c>
    </row>
    <row r="141" spans="2:10" x14ac:dyDescent="0.2">
      <c r="B141" t="s">
        <v>453</v>
      </c>
      <c r="C141" t="s">
        <v>197</v>
      </c>
      <c r="D141" t="s">
        <v>456</v>
      </c>
      <c r="E141" t="s">
        <v>324</v>
      </c>
      <c r="F141" t="s">
        <v>325</v>
      </c>
      <c r="G141" t="s">
        <v>1033</v>
      </c>
      <c r="H141" t="s">
        <v>30</v>
      </c>
      <c r="I141" s="1">
        <v>1</v>
      </c>
      <c r="J141" s="2">
        <v>2000</v>
      </c>
    </row>
    <row r="142" spans="2:10" x14ac:dyDescent="0.2">
      <c r="B142" t="s">
        <v>453</v>
      </c>
      <c r="C142" t="s">
        <v>197</v>
      </c>
      <c r="D142" t="s">
        <v>456</v>
      </c>
      <c r="E142" t="s">
        <v>502</v>
      </c>
      <c r="F142" t="s">
        <v>503</v>
      </c>
      <c r="G142" t="s">
        <v>43</v>
      </c>
      <c r="H142" t="s">
        <v>504</v>
      </c>
      <c r="I142" s="1">
        <v>1</v>
      </c>
      <c r="J142" s="2">
        <v>1547.41</v>
      </c>
    </row>
    <row r="143" spans="2:10" x14ac:dyDescent="0.2">
      <c r="B143" t="s">
        <v>453</v>
      </c>
      <c r="C143" t="s">
        <v>197</v>
      </c>
      <c r="D143" t="s">
        <v>456</v>
      </c>
      <c r="E143" t="s">
        <v>505</v>
      </c>
      <c r="F143" t="s">
        <v>506</v>
      </c>
      <c r="G143" t="s">
        <v>1033</v>
      </c>
      <c r="H143" t="s">
        <v>30</v>
      </c>
      <c r="I143" s="1">
        <v>1</v>
      </c>
      <c r="J143" s="2">
        <v>775.86</v>
      </c>
    </row>
    <row r="144" spans="2:10" x14ac:dyDescent="0.2">
      <c r="B144" t="s">
        <v>453</v>
      </c>
      <c r="C144" t="s">
        <v>197</v>
      </c>
      <c r="D144" t="s">
        <v>456</v>
      </c>
      <c r="E144" t="s">
        <v>36</v>
      </c>
      <c r="F144" t="s">
        <v>37</v>
      </c>
      <c r="G144" t="s">
        <v>1034</v>
      </c>
      <c r="H144" t="s">
        <v>15</v>
      </c>
      <c r="I144" s="1">
        <v>1</v>
      </c>
      <c r="J144" s="2">
        <v>301.72000000000003</v>
      </c>
    </row>
    <row r="145" spans="2:10" x14ac:dyDescent="0.2">
      <c r="B145" t="s">
        <v>453</v>
      </c>
      <c r="C145" t="s">
        <v>197</v>
      </c>
      <c r="D145" t="s">
        <v>456</v>
      </c>
      <c r="E145" t="s">
        <v>122</v>
      </c>
      <c r="F145" t="s">
        <v>123</v>
      </c>
      <c r="G145" t="s">
        <v>1034</v>
      </c>
      <c r="H145" t="s">
        <v>15</v>
      </c>
      <c r="I145" s="1">
        <v>1</v>
      </c>
      <c r="J145" s="2">
        <v>387.93</v>
      </c>
    </row>
    <row r="146" spans="2:10" x14ac:dyDescent="0.2">
      <c r="B146" t="s">
        <v>453</v>
      </c>
      <c r="C146" t="s">
        <v>197</v>
      </c>
      <c r="D146" t="s">
        <v>456</v>
      </c>
      <c r="E146" t="s">
        <v>507</v>
      </c>
      <c r="F146" t="s">
        <v>508</v>
      </c>
      <c r="G146" t="s">
        <v>14</v>
      </c>
      <c r="H146" t="s">
        <v>509</v>
      </c>
      <c r="I146" s="1">
        <v>1</v>
      </c>
      <c r="J146" s="2">
        <v>775.86</v>
      </c>
    </row>
    <row r="147" spans="2:10" x14ac:dyDescent="0.2">
      <c r="B147" t="s">
        <v>453</v>
      </c>
      <c r="C147" t="s">
        <v>197</v>
      </c>
      <c r="D147" t="s">
        <v>456</v>
      </c>
      <c r="E147" t="s">
        <v>16</v>
      </c>
      <c r="F147" t="s">
        <v>17</v>
      </c>
      <c r="G147" t="s">
        <v>1034</v>
      </c>
      <c r="H147" t="s">
        <v>15</v>
      </c>
      <c r="I147" s="1">
        <v>2</v>
      </c>
      <c r="J147" s="2">
        <v>1155.18</v>
      </c>
    </row>
    <row r="148" spans="2:10" x14ac:dyDescent="0.2">
      <c r="B148" t="s">
        <v>453</v>
      </c>
      <c r="C148" t="s">
        <v>206</v>
      </c>
      <c r="D148" t="s">
        <v>456</v>
      </c>
      <c r="E148" t="s">
        <v>510</v>
      </c>
      <c r="F148" t="s">
        <v>511</v>
      </c>
      <c r="G148" t="s">
        <v>1033</v>
      </c>
      <c r="H148" t="s">
        <v>30</v>
      </c>
      <c r="I148" s="1">
        <v>1</v>
      </c>
      <c r="J148" s="2">
        <v>2224.14</v>
      </c>
    </row>
    <row r="149" spans="2:10" x14ac:dyDescent="0.2">
      <c r="B149" t="s">
        <v>453</v>
      </c>
      <c r="C149" t="s">
        <v>206</v>
      </c>
      <c r="D149" t="s">
        <v>456</v>
      </c>
      <c r="E149" t="s">
        <v>61</v>
      </c>
      <c r="F149" t="s">
        <v>62</v>
      </c>
      <c r="G149" t="s">
        <v>1034</v>
      </c>
      <c r="H149" t="s">
        <v>15</v>
      </c>
      <c r="I149" s="1">
        <v>1</v>
      </c>
      <c r="J149" s="2">
        <v>172.41</v>
      </c>
    </row>
    <row r="150" spans="2:10" x14ac:dyDescent="0.2">
      <c r="B150" t="s">
        <v>453</v>
      </c>
      <c r="C150" t="s">
        <v>206</v>
      </c>
      <c r="D150" t="s">
        <v>456</v>
      </c>
      <c r="E150" t="s">
        <v>16</v>
      </c>
      <c r="F150" t="s">
        <v>17</v>
      </c>
      <c r="G150" t="s">
        <v>1034</v>
      </c>
      <c r="H150" t="s">
        <v>15</v>
      </c>
      <c r="I150" s="1">
        <v>1</v>
      </c>
      <c r="J150" s="2">
        <v>577.59</v>
      </c>
    </row>
    <row r="151" spans="2:10" x14ac:dyDescent="0.2">
      <c r="B151" t="s">
        <v>453</v>
      </c>
      <c r="C151" t="s">
        <v>220</v>
      </c>
      <c r="D151" t="s">
        <v>456</v>
      </c>
      <c r="E151" t="s">
        <v>46</v>
      </c>
      <c r="F151" t="s">
        <v>47</v>
      </c>
      <c r="G151" t="s">
        <v>1034</v>
      </c>
      <c r="H151" t="s">
        <v>15</v>
      </c>
      <c r="I151" s="1">
        <v>1</v>
      </c>
      <c r="J151" s="2">
        <v>301.72000000000003</v>
      </c>
    </row>
    <row r="152" spans="2:10" x14ac:dyDescent="0.2">
      <c r="B152" t="s">
        <v>453</v>
      </c>
      <c r="C152" t="s">
        <v>220</v>
      </c>
      <c r="D152" t="s">
        <v>456</v>
      </c>
      <c r="E152" t="s">
        <v>512</v>
      </c>
      <c r="F152" t="s">
        <v>513</v>
      </c>
      <c r="G152" t="s">
        <v>1033</v>
      </c>
      <c r="H152" t="s">
        <v>30</v>
      </c>
      <c r="I152" s="1">
        <v>1</v>
      </c>
      <c r="J152" s="2">
        <v>1293.0999999999999</v>
      </c>
    </row>
    <row r="153" spans="2:10" x14ac:dyDescent="0.2">
      <c r="B153" t="s">
        <v>453</v>
      </c>
      <c r="C153" t="s">
        <v>220</v>
      </c>
      <c r="D153" t="s">
        <v>456</v>
      </c>
      <c r="E153" t="s">
        <v>514</v>
      </c>
      <c r="F153" t="s">
        <v>515</v>
      </c>
      <c r="G153" t="s">
        <v>1033</v>
      </c>
      <c r="H153" t="s">
        <v>30</v>
      </c>
      <c r="I153" s="1">
        <v>1</v>
      </c>
      <c r="J153" s="2">
        <v>1293.0999999999999</v>
      </c>
    </row>
    <row r="154" spans="2:10" x14ac:dyDescent="0.2">
      <c r="B154" t="s">
        <v>453</v>
      </c>
      <c r="C154" t="s">
        <v>220</v>
      </c>
      <c r="D154" t="s">
        <v>456</v>
      </c>
      <c r="E154" t="s">
        <v>171</v>
      </c>
      <c r="F154" t="s">
        <v>172</v>
      </c>
      <c r="G154" t="s">
        <v>14</v>
      </c>
      <c r="H154" t="s">
        <v>35</v>
      </c>
      <c r="I154" s="1">
        <v>1</v>
      </c>
      <c r="J154" s="2">
        <v>77.59</v>
      </c>
    </row>
    <row r="155" spans="2:10" x14ac:dyDescent="0.2">
      <c r="B155" t="s">
        <v>453</v>
      </c>
      <c r="C155" t="s">
        <v>220</v>
      </c>
      <c r="D155" t="s">
        <v>456</v>
      </c>
      <c r="E155" t="s">
        <v>249</v>
      </c>
      <c r="F155" t="s">
        <v>250</v>
      </c>
      <c r="G155" t="s">
        <v>1033</v>
      </c>
      <c r="H155" t="s">
        <v>30</v>
      </c>
      <c r="I155" s="1">
        <v>1</v>
      </c>
      <c r="J155" s="2">
        <v>517.24</v>
      </c>
    </row>
    <row r="156" spans="2:10" x14ac:dyDescent="0.2">
      <c r="B156" t="s">
        <v>453</v>
      </c>
      <c r="C156" t="s">
        <v>220</v>
      </c>
      <c r="D156" t="s">
        <v>456</v>
      </c>
      <c r="E156" t="s">
        <v>324</v>
      </c>
      <c r="F156" t="s">
        <v>325</v>
      </c>
      <c r="G156" t="s">
        <v>1033</v>
      </c>
      <c r="H156" t="s">
        <v>30</v>
      </c>
      <c r="I156" s="1">
        <v>1</v>
      </c>
      <c r="J156" s="2">
        <v>2000</v>
      </c>
    </row>
    <row r="157" spans="2:10" x14ac:dyDescent="0.2">
      <c r="B157" t="s">
        <v>453</v>
      </c>
      <c r="C157" t="s">
        <v>220</v>
      </c>
      <c r="D157" t="s">
        <v>456</v>
      </c>
      <c r="E157" t="s">
        <v>70</v>
      </c>
      <c r="F157" t="s">
        <v>71</v>
      </c>
      <c r="G157" t="s">
        <v>1033</v>
      </c>
      <c r="H157" t="s">
        <v>30</v>
      </c>
      <c r="I157" s="1">
        <v>1</v>
      </c>
      <c r="J157" s="2">
        <v>2112.0700000000002</v>
      </c>
    </row>
    <row r="158" spans="2:10" x14ac:dyDescent="0.2">
      <c r="B158" t="s">
        <v>453</v>
      </c>
      <c r="C158" t="s">
        <v>220</v>
      </c>
      <c r="D158" t="s">
        <v>456</v>
      </c>
      <c r="E158" t="s">
        <v>177</v>
      </c>
      <c r="F158" t="s">
        <v>178</v>
      </c>
      <c r="G158" t="s">
        <v>1033</v>
      </c>
      <c r="H158" t="s">
        <v>30</v>
      </c>
      <c r="I158" s="1">
        <v>1</v>
      </c>
      <c r="J158" s="2">
        <v>637.92999999999995</v>
      </c>
    </row>
    <row r="159" spans="2:10" x14ac:dyDescent="0.2">
      <c r="B159" t="s">
        <v>453</v>
      </c>
      <c r="C159" t="s">
        <v>220</v>
      </c>
      <c r="D159" t="s">
        <v>456</v>
      </c>
      <c r="E159" t="s">
        <v>516</v>
      </c>
      <c r="F159" t="s">
        <v>517</v>
      </c>
      <c r="G159" t="s">
        <v>43</v>
      </c>
      <c r="H159" t="s">
        <v>133</v>
      </c>
      <c r="I159" s="1">
        <v>1</v>
      </c>
      <c r="J159" s="2">
        <v>1508.62</v>
      </c>
    </row>
    <row r="160" spans="2:10" x14ac:dyDescent="0.2">
      <c r="B160" t="s">
        <v>453</v>
      </c>
      <c r="C160" t="s">
        <v>220</v>
      </c>
      <c r="D160" t="s">
        <v>456</v>
      </c>
      <c r="E160" t="s">
        <v>505</v>
      </c>
      <c r="F160" t="s">
        <v>506</v>
      </c>
      <c r="G160" t="s">
        <v>1033</v>
      </c>
      <c r="H160" t="s">
        <v>30</v>
      </c>
      <c r="I160" s="1">
        <v>1</v>
      </c>
      <c r="J160" s="2">
        <v>775.86</v>
      </c>
    </row>
    <row r="161" spans="2:10" x14ac:dyDescent="0.2">
      <c r="B161" t="s">
        <v>453</v>
      </c>
      <c r="C161" t="s">
        <v>220</v>
      </c>
      <c r="D161" t="s">
        <v>456</v>
      </c>
      <c r="E161" t="s">
        <v>518</v>
      </c>
      <c r="F161" t="s">
        <v>519</v>
      </c>
      <c r="G161" t="s">
        <v>54</v>
      </c>
      <c r="H161" t="s">
        <v>520</v>
      </c>
      <c r="I161" s="1">
        <v>1</v>
      </c>
      <c r="J161" s="2">
        <v>271.55</v>
      </c>
    </row>
    <row r="162" spans="2:10" x14ac:dyDescent="0.2">
      <c r="B162" t="s">
        <v>453</v>
      </c>
      <c r="C162" t="s">
        <v>220</v>
      </c>
      <c r="D162" t="s">
        <v>456</v>
      </c>
      <c r="E162" t="s">
        <v>214</v>
      </c>
      <c r="F162" t="s">
        <v>215</v>
      </c>
      <c r="G162" t="s">
        <v>1034</v>
      </c>
      <c r="H162" t="s">
        <v>15</v>
      </c>
      <c r="I162" s="1">
        <v>1</v>
      </c>
      <c r="J162" s="2">
        <v>301.72000000000003</v>
      </c>
    </row>
    <row r="163" spans="2:10" x14ac:dyDescent="0.2">
      <c r="B163" t="s">
        <v>453</v>
      </c>
      <c r="C163" t="s">
        <v>220</v>
      </c>
      <c r="D163" t="s">
        <v>456</v>
      </c>
      <c r="E163" t="s">
        <v>72</v>
      </c>
      <c r="F163" t="s">
        <v>73</v>
      </c>
      <c r="G163" t="s">
        <v>1034</v>
      </c>
      <c r="H163" t="s">
        <v>15</v>
      </c>
      <c r="I163" s="1">
        <v>1</v>
      </c>
      <c r="J163" s="2">
        <v>775.86</v>
      </c>
    </row>
    <row r="164" spans="2:10" x14ac:dyDescent="0.2">
      <c r="B164" t="s">
        <v>453</v>
      </c>
      <c r="C164" t="s">
        <v>220</v>
      </c>
      <c r="D164" t="s">
        <v>456</v>
      </c>
      <c r="E164" t="s">
        <v>427</v>
      </c>
      <c r="F164" t="s">
        <v>428</v>
      </c>
      <c r="G164" t="s">
        <v>14</v>
      </c>
      <c r="H164" t="s">
        <v>87</v>
      </c>
      <c r="I164" s="1">
        <v>1</v>
      </c>
      <c r="J164" s="2">
        <v>120.69</v>
      </c>
    </row>
    <row r="165" spans="2:10" x14ac:dyDescent="0.2">
      <c r="B165" t="s">
        <v>453</v>
      </c>
      <c r="C165" t="s">
        <v>220</v>
      </c>
      <c r="D165" t="s">
        <v>456</v>
      </c>
      <c r="E165" t="s">
        <v>465</v>
      </c>
      <c r="F165" t="s">
        <v>466</v>
      </c>
      <c r="G165" t="s">
        <v>54</v>
      </c>
      <c r="H165" t="s">
        <v>439</v>
      </c>
      <c r="I165" s="1">
        <v>1</v>
      </c>
      <c r="J165" s="2">
        <v>120.69</v>
      </c>
    </row>
    <row r="166" spans="2:10" x14ac:dyDescent="0.2">
      <c r="B166" t="s">
        <v>453</v>
      </c>
      <c r="C166" t="s">
        <v>220</v>
      </c>
      <c r="D166" t="s">
        <v>456</v>
      </c>
      <c r="E166" t="s">
        <v>342</v>
      </c>
      <c r="F166" t="s">
        <v>343</v>
      </c>
      <c r="G166" t="s">
        <v>1033</v>
      </c>
      <c r="H166" t="s">
        <v>30</v>
      </c>
      <c r="I166" s="1">
        <v>1</v>
      </c>
      <c r="J166" s="2">
        <v>1681.03</v>
      </c>
    </row>
    <row r="167" spans="2:10" x14ac:dyDescent="0.2">
      <c r="B167" t="s">
        <v>453</v>
      </c>
      <c r="C167" t="s">
        <v>220</v>
      </c>
      <c r="D167" t="s">
        <v>456</v>
      </c>
      <c r="E167" t="s">
        <v>56</v>
      </c>
      <c r="F167" t="s">
        <v>57</v>
      </c>
      <c r="G167" t="s">
        <v>1034</v>
      </c>
      <c r="H167" t="s">
        <v>15</v>
      </c>
      <c r="I167" s="1">
        <v>1</v>
      </c>
      <c r="J167" s="2">
        <v>431.03</v>
      </c>
    </row>
    <row r="168" spans="2:10" x14ac:dyDescent="0.2">
      <c r="B168" t="s">
        <v>453</v>
      </c>
      <c r="C168" t="s">
        <v>220</v>
      </c>
      <c r="D168" t="s">
        <v>456</v>
      </c>
      <c r="E168" t="s">
        <v>521</v>
      </c>
      <c r="F168" t="s">
        <v>522</v>
      </c>
      <c r="G168" t="s">
        <v>14</v>
      </c>
      <c r="H168" t="s">
        <v>104</v>
      </c>
      <c r="I168" s="1">
        <v>1</v>
      </c>
      <c r="J168" s="2">
        <v>21.55</v>
      </c>
    </row>
    <row r="169" spans="2:10" x14ac:dyDescent="0.2">
      <c r="B169" t="s">
        <v>453</v>
      </c>
      <c r="C169" t="s">
        <v>220</v>
      </c>
      <c r="D169" t="s">
        <v>456</v>
      </c>
      <c r="E169" t="s">
        <v>61</v>
      </c>
      <c r="F169" t="s">
        <v>62</v>
      </c>
      <c r="G169" t="s">
        <v>1034</v>
      </c>
      <c r="H169" t="s">
        <v>15</v>
      </c>
      <c r="I169" s="1">
        <v>3</v>
      </c>
      <c r="J169" s="2">
        <v>517.23</v>
      </c>
    </row>
    <row r="170" spans="2:10" x14ac:dyDescent="0.2">
      <c r="B170" t="s">
        <v>453</v>
      </c>
      <c r="C170" t="s">
        <v>220</v>
      </c>
      <c r="D170" t="s">
        <v>456</v>
      </c>
      <c r="E170" t="s">
        <v>63</v>
      </c>
      <c r="F170" t="s">
        <v>64</v>
      </c>
      <c r="G170" t="s">
        <v>1034</v>
      </c>
      <c r="H170" t="s">
        <v>15</v>
      </c>
      <c r="I170" s="1">
        <v>1</v>
      </c>
      <c r="J170" s="2">
        <v>172.41</v>
      </c>
    </row>
    <row r="171" spans="2:10" x14ac:dyDescent="0.2">
      <c r="B171" t="s">
        <v>453</v>
      </c>
      <c r="C171" t="s">
        <v>220</v>
      </c>
      <c r="D171" t="s">
        <v>456</v>
      </c>
      <c r="E171" t="s">
        <v>16</v>
      </c>
      <c r="F171" t="s">
        <v>17</v>
      </c>
      <c r="G171" t="s">
        <v>1034</v>
      </c>
      <c r="H171" t="s">
        <v>15</v>
      </c>
      <c r="I171" s="1">
        <v>2</v>
      </c>
      <c r="J171" s="2">
        <v>1155.18</v>
      </c>
    </row>
    <row r="172" spans="2:10" x14ac:dyDescent="0.2">
      <c r="B172" t="s">
        <v>453</v>
      </c>
      <c r="C172" t="s">
        <v>225</v>
      </c>
      <c r="D172" t="s">
        <v>130</v>
      </c>
      <c r="E172" t="s">
        <v>44</v>
      </c>
      <c r="F172" t="s">
        <v>45</v>
      </c>
      <c r="G172" t="s">
        <v>1033</v>
      </c>
      <c r="H172" t="s">
        <v>30</v>
      </c>
      <c r="I172" s="1">
        <v>2</v>
      </c>
      <c r="J172" s="2">
        <v>163.80000000000001</v>
      </c>
    </row>
    <row r="173" spans="2:10" x14ac:dyDescent="0.2">
      <c r="B173" t="s">
        <v>453</v>
      </c>
      <c r="C173" t="s">
        <v>225</v>
      </c>
      <c r="D173" t="s">
        <v>130</v>
      </c>
      <c r="E173" t="s">
        <v>350</v>
      </c>
      <c r="F173" t="s">
        <v>351</v>
      </c>
      <c r="G173" t="s">
        <v>1033</v>
      </c>
      <c r="H173" t="s">
        <v>30</v>
      </c>
      <c r="I173" s="1">
        <v>1</v>
      </c>
      <c r="J173" s="2">
        <v>818.97</v>
      </c>
    </row>
    <row r="174" spans="2:10" x14ac:dyDescent="0.2">
      <c r="B174" t="s">
        <v>453</v>
      </c>
      <c r="C174" t="s">
        <v>225</v>
      </c>
      <c r="D174" t="s">
        <v>130</v>
      </c>
      <c r="E174" t="s">
        <v>523</v>
      </c>
      <c r="F174" t="s">
        <v>524</v>
      </c>
      <c r="G174" t="s">
        <v>14</v>
      </c>
      <c r="H174" t="s">
        <v>35</v>
      </c>
      <c r="I174" s="1">
        <v>1</v>
      </c>
      <c r="J174" s="2">
        <v>60.34</v>
      </c>
    </row>
    <row r="175" spans="2:10" x14ac:dyDescent="0.2">
      <c r="B175" t="s">
        <v>453</v>
      </c>
      <c r="C175" t="s">
        <v>225</v>
      </c>
      <c r="D175" t="s">
        <v>130</v>
      </c>
      <c r="E175" t="s">
        <v>397</v>
      </c>
      <c r="F175" t="s">
        <v>398</v>
      </c>
      <c r="G175" t="s">
        <v>14</v>
      </c>
      <c r="H175" t="s">
        <v>35</v>
      </c>
      <c r="I175" s="1">
        <v>1</v>
      </c>
      <c r="J175" s="2">
        <v>77.59</v>
      </c>
    </row>
    <row r="176" spans="2:10" x14ac:dyDescent="0.2">
      <c r="B176" t="s">
        <v>453</v>
      </c>
      <c r="C176" t="s">
        <v>225</v>
      </c>
      <c r="D176" t="s">
        <v>130</v>
      </c>
      <c r="E176" t="s">
        <v>203</v>
      </c>
      <c r="F176" t="s">
        <v>204</v>
      </c>
      <c r="G176" t="s">
        <v>43</v>
      </c>
      <c r="H176" t="s">
        <v>205</v>
      </c>
      <c r="I176" s="1">
        <v>1</v>
      </c>
      <c r="J176" s="2">
        <v>344.83</v>
      </c>
    </row>
    <row r="177" spans="2:10" x14ac:dyDescent="0.2">
      <c r="B177" t="s">
        <v>453</v>
      </c>
      <c r="C177" t="s">
        <v>225</v>
      </c>
      <c r="D177" t="s">
        <v>130</v>
      </c>
      <c r="E177" t="s">
        <v>525</v>
      </c>
      <c r="F177" t="s">
        <v>526</v>
      </c>
      <c r="G177" t="s">
        <v>43</v>
      </c>
      <c r="H177" t="s">
        <v>403</v>
      </c>
      <c r="I177" s="1">
        <v>1</v>
      </c>
      <c r="J177" s="2">
        <v>159.47999999999999</v>
      </c>
    </row>
    <row r="178" spans="2:10" x14ac:dyDescent="0.2">
      <c r="B178" t="s">
        <v>453</v>
      </c>
      <c r="C178" t="s">
        <v>225</v>
      </c>
      <c r="D178" t="s">
        <v>130</v>
      </c>
      <c r="E178" t="s">
        <v>177</v>
      </c>
      <c r="F178" t="s">
        <v>178</v>
      </c>
      <c r="G178" t="s">
        <v>1033</v>
      </c>
      <c r="H178" t="s">
        <v>30</v>
      </c>
      <c r="I178" s="1">
        <v>1</v>
      </c>
      <c r="J178" s="2">
        <v>637.92999999999995</v>
      </c>
    </row>
    <row r="179" spans="2:10" x14ac:dyDescent="0.2">
      <c r="B179" t="s">
        <v>453</v>
      </c>
      <c r="C179" t="s">
        <v>225</v>
      </c>
      <c r="D179" t="s">
        <v>130</v>
      </c>
      <c r="E179" t="s">
        <v>120</v>
      </c>
      <c r="F179" t="s">
        <v>121</v>
      </c>
      <c r="G179" t="s">
        <v>1034</v>
      </c>
      <c r="H179" t="s">
        <v>15</v>
      </c>
      <c r="I179" s="1">
        <v>1</v>
      </c>
      <c r="J179" s="2">
        <v>301.72000000000003</v>
      </c>
    </row>
    <row r="180" spans="2:10" x14ac:dyDescent="0.2">
      <c r="B180" t="s">
        <v>453</v>
      </c>
      <c r="C180" t="s">
        <v>225</v>
      </c>
      <c r="D180" t="s">
        <v>130</v>
      </c>
      <c r="E180" t="s">
        <v>36</v>
      </c>
      <c r="F180" t="s">
        <v>37</v>
      </c>
      <c r="G180" t="s">
        <v>1034</v>
      </c>
      <c r="H180" t="s">
        <v>15</v>
      </c>
      <c r="I180" s="1">
        <v>2</v>
      </c>
      <c r="J180" s="2">
        <v>603.44000000000005</v>
      </c>
    </row>
    <row r="181" spans="2:10" x14ac:dyDescent="0.2">
      <c r="B181" t="s">
        <v>453</v>
      </c>
      <c r="C181" t="s">
        <v>225</v>
      </c>
      <c r="D181" t="s">
        <v>130</v>
      </c>
      <c r="E181" t="s">
        <v>56</v>
      </c>
      <c r="F181" t="s">
        <v>57</v>
      </c>
      <c r="G181" t="s">
        <v>1034</v>
      </c>
      <c r="H181" t="s">
        <v>15</v>
      </c>
      <c r="I181" s="1">
        <v>3</v>
      </c>
      <c r="J181" s="2">
        <v>1293.0999999999999</v>
      </c>
    </row>
    <row r="182" spans="2:10" x14ac:dyDescent="0.2">
      <c r="B182" t="s">
        <v>453</v>
      </c>
      <c r="C182" t="s">
        <v>225</v>
      </c>
      <c r="D182" t="s">
        <v>130</v>
      </c>
      <c r="E182" t="s">
        <v>406</v>
      </c>
      <c r="F182" t="s">
        <v>407</v>
      </c>
      <c r="G182" t="s">
        <v>14</v>
      </c>
      <c r="H182" t="s">
        <v>104</v>
      </c>
      <c r="I182" s="1">
        <v>30</v>
      </c>
      <c r="J182" s="2">
        <v>517.20000000000005</v>
      </c>
    </row>
    <row r="183" spans="2:10" x14ac:dyDescent="0.2">
      <c r="B183" t="s">
        <v>453</v>
      </c>
      <c r="C183" t="s">
        <v>225</v>
      </c>
      <c r="D183" t="s">
        <v>130</v>
      </c>
      <c r="E183" t="s">
        <v>124</v>
      </c>
      <c r="F183" t="s">
        <v>125</v>
      </c>
      <c r="G183" t="s">
        <v>1034</v>
      </c>
      <c r="H183" t="s">
        <v>15</v>
      </c>
      <c r="I183" s="1">
        <v>1</v>
      </c>
      <c r="J183" s="2">
        <v>431.03</v>
      </c>
    </row>
    <row r="184" spans="2:10" x14ac:dyDescent="0.2">
      <c r="B184" t="s">
        <v>453</v>
      </c>
      <c r="C184" t="s">
        <v>225</v>
      </c>
      <c r="D184" t="s">
        <v>130</v>
      </c>
      <c r="E184" t="s">
        <v>61</v>
      </c>
      <c r="F184" t="s">
        <v>62</v>
      </c>
      <c r="G184" t="s">
        <v>1034</v>
      </c>
      <c r="H184" t="s">
        <v>15</v>
      </c>
      <c r="I184" s="1">
        <v>2</v>
      </c>
      <c r="J184" s="2">
        <v>344.82</v>
      </c>
    </row>
    <row r="185" spans="2:10" x14ac:dyDescent="0.2">
      <c r="B185" t="s">
        <v>453</v>
      </c>
      <c r="C185" t="s">
        <v>225</v>
      </c>
      <c r="D185" t="s">
        <v>130</v>
      </c>
      <c r="E185" t="s">
        <v>63</v>
      </c>
      <c r="F185" t="s">
        <v>64</v>
      </c>
      <c r="G185" t="s">
        <v>1034</v>
      </c>
      <c r="H185" t="s">
        <v>15</v>
      </c>
      <c r="I185" s="1">
        <v>2</v>
      </c>
      <c r="J185" s="2">
        <v>344.82</v>
      </c>
    </row>
    <row r="186" spans="2:10" x14ac:dyDescent="0.2">
      <c r="B186" t="s">
        <v>453</v>
      </c>
      <c r="C186" t="s">
        <v>225</v>
      </c>
      <c r="D186" t="s">
        <v>130</v>
      </c>
      <c r="E186" t="s">
        <v>16</v>
      </c>
      <c r="F186" t="s">
        <v>17</v>
      </c>
      <c r="G186" t="s">
        <v>1034</v>
      </c>
      <c r="H186" t="s">
        <v>15</v>
      </c>
      <c r="I186" s="1">
        <v>2</v>
      </c>
      <c r="J186" s="2">
        <v>1155.18</v>
      </c>
    </row>
    <row r="187" spans="2:10" x14ac:dyDescent="0.2">
      <c r="B187" t="s">
        <v>453</v>
      </c>
      <c r="C187" t="s">
        <v>225</v>
      </c>
      <c r="D187" t="s">
        <v>130</v>
      </c>
      <c r="E187" t="s">
        <v>384</v>
      </c>
      <c r="F187" t="s">
        <v>385</v>
      </c>
      <c r="G187" t="s">
        <v>43</v>
      </c>
      <c r="H187" t="s">
        <v>50</v>
      </c>
      <c r="I187" s="1">
        <v>1</v>
      </c>
      <c r="J187" s="2">
        <v>2155.17</v>
      </c>
    </row>
    <row r="188" spans="2:10" x14ac:dyDescent="0.2">
      <c r="B188" t="s">
        <v>453</v>
      </c>
      <c r="C188" t="s">
        <v>225</v>
      </c>
      <c r="D188" t="s">
        <v>130</v>
      </c>
      <c r="E188" t="s">
        <v>28</v>
      </c>
      <c r="F188" t="s">
        <v>29</v>
      </c>
      <c r="G188" t="s">
        <v>1033</v>
      </c>
      <c r="H188" t="s">
        <v>30</v>
      </c>
      <c r="I188" s="1">
        <v>3</v>
      </c>
      <c r="J188" s="2">
        <v>465.51</v>
      </c>
    </row>
    <row r="189" spans="2:10" x14ac:dyDescent="0.2">
      <c r="B189" t="s">
        <v>531</v>
      </c>
      <c r="C189" t="s">
        <v>335</v>
      </c>
      <c r="D189" t="s">
        <v>532</v>
      </c>
      <c r="E189" t="s">
        <v>216</v>
      </c>
      <c r="F189" t="s">
        <v>217</v>
      </c>
      <c r="G189" t="s">
        <v>14</v>
      </c>
      <c r="H189" t="s">
        <v>104</v>
      </c>
      <c r="I189" s="1">
        <v>1</v>
      </c>
      <c r="J189" s="2">
        <v>17.239999999999998</v>
      </c>
    </row>
    <row r="190" spans="2:10" x14ac:dyDescent="0.2">
      <c r="B190" t="s">
        <v>531</v>
      </c>
      <c r="C190" t="s">
        <v>335</v>
      </c>
      <c r="D190" t="s">
        <v>532</v>
      </c>
      <c r="E190" t="s">
        <v>406</v>
      </c>
      <c r="F190" t="s">
        <v>407</v>
      </c>
      <c r="G190" t="s">
        <v>14</v>
      </c>
      <c r="H190" t="s">
        <v>104</v>
      </c>
      <c r="I190" s="1">
        <v>1</v>
      </c>
      <c r="J190" s="2">
        <v>17.239999999999998</v>
      </c>
    </row>
    <row r="191" spans="2:10" x14ac:dyDescent="0.2">
      <c r="B191" t="s">
        <v>531</v>
      </c>
      <c r="C191" t="s">
        <v>197</v>
      </c>
      <c r="D191" t="s">
        <v>532</v>
      </c>
      <c r="E191" t="s">
        <v>575</v>
      </c>
      <c r="F191" t="s">
        <v>576</v>
      </c>
      <c r="G191" t="s">
        <v>1033</v>
      </c>
      <c r="H191" t="s">
        <v>30</v>
      </c>
      <c r="I191" s="1">
        <v>1</v>
      </c>
      <c r="J191" s="2">
        <v>474.14</v>
      </c>
    </row>
    <row r="192" spans="2:10" x14ac:dyDescent="0.2">
      <c r="B192" t="s">
        <v>531</v>
      </c>
      <c r="C192" t="s">
        <v>197</v>
      </c>
      <c r="D192" t="s">
        <v>532</v>
      </c>
      <c r="E192" t="s">
        <v>577</v>
      </c>
      <c r="F192" t="s">
        <v>578</v>
      </c>
      <c r="G192" t="s">
        <v>43</v>
      </c>
      <c r="H192" t="s">
        <v>572</v>
      </c>
      <c r="I192" s="1">
        <v>1</v>
      </c>
      <c r="J192" s="2">
        <v>913.79</v>
      </c>
    </row>
    <row r="193" spans="2:10" x14ac:dyDescent="0.2">
      <c r="B193" t="s">
        <v>531</v>
      </c>
      <c r="C193" t="s">
        <v>206</v>
      </c>
      <c r="D193" t="s">
        <v>532</v>
      </c>
      <c r="E193" t="s">
        <v>33</v>
      </c>
      <c r="F193" t="s">
        <v>34</v>
      </c>
      <c r="G193" t="s">
        <v>14</v>
      </c>
      <c r="H193" t="s">
        <v>35</v>
      </c>
      <c r="I193" s="1">
        <v>1</v>
      </c>
      <c r="J193" s="2">
        <v>60.34</v>
      </c>
    </row>
    <row r="194" spans="2:10" x14ac:dyDescent="0.2">
      <c r="B194" t="s">
        <v>531</v>
      </c>
      <c r="C194" t="s">
        <v>206</v>
      </c>
      <c r="D194" t="s">
        <v>532</v>
      </c>
      <c r="E194" t="s">
        <v>221</v>
      </c>
      <c r="F194" t="s">
        <v>222</v>
      </c>
      <c r="G194" t="s">
        <v>1034</v>
      </c>
      <c r="H194" t="s">
        <v>15</v>
      </c>
      <c r="I194" s="1">
        <v>1</v>
      </c>
      <c r="J194" s="2">
        <v>431.03</v>
      </c>
    </row>
    <row r="195" spans="2:10" x14ac:dyDescent="0.2">
      <c r="B195" t="s">
        <v>531</v>
      </c>
      <c r="C195" t="s">
        <v>206</v>
      </c>
      <c r="D195" t="s">
        <v>532</v>
      </c>
      <c r="E195" t="s">
        <v>521</v>
      </c>
      <c r="F195" t="s">
        <v>522</v>
      </c>
      <c r="G195" t="s">
        <v>14</v>
      </c>
      <c r="H195" t="s">
        <v>104</v>
      </c>
      <c r="I195" s="1">
        <v>6</v>
      </c>
      <c r="J195" s="2">
        <v>129.30000000000001</v>
      </c>
    </row>
    <row r="196" spans="2:10" x14ac:dyDescent="0.2">
      <c r="B196" t="s">
        <v>531</v>
      </c>
      <c r="C196" t="s">
        <v>206</v>
      </c>
      <c r="D196" t="s">
        <v>532</v>
      </c>
      <c r="E196" t="s">
        <v>406</v>
      </c>
      <c r="F196" t="s">
        <v>407</v>
      </c>
      <c r="G196" t="s">
        <v>14</v>
      </c>
      <c r="H196" t="s">
        <v>104</v>
      </c>
      <c r="I196" s="1">
        <v>2</v>
      </c>
      <c r="J196" s="2">
        <v>34.479999999999997</v>
      </c>
    </row>
    <row r="197" spans="2:10" x14ac:dyDescent="0.2">
      <c r="B197" t="s">
        <v>531</v>
      </c>
      <c r="C197" t="s">
        <v>206</v>
      </c>
      <c r="D197" t="s">
        <v>532</v>
      </c>
      <c r="E197" t="s">
        <v>124</v>
      </c>
      <c r="F197" t="s">
        <v>125</v>
      </c>
      <c r="G197" t="s">
        <v>1034</v>
      </c>
      <c r="H197" t="s">
        <v>15</v>
      </c>
      <c r="I197" s="1">
        <v>1</v>
      </c>
      <c r="J197" s="2">
        <v>431.03</v>
      </c>
    </row>
    <row r="198" spans="2:10" x14ac:dyDescent="0.2">
      <c r="B198" t="s">
        <v>531</v>
      </c>
      <c r="C198" t="s">
        <v>220</v>
      </c>
      <c r="D198" t="s">
        <v>532</v>
      </c>
      <c r="E198" t="s">
        <v>44</v>
      </c>
      <c r="F198" t="s">
        <v>45</v>
      </c>
      <c r="G198" t="s">
        <v>1033</v>
      </c>
      <c r="H198" t="s">
        <v>30</v>
      </c>
      <c r="I198" s="1">
        <v>1</v>
      </c>
      <c r="J198" s="2">
        <v>81.900000000000006</v>
      </c>
    </row>
    <row r="199" spans="2:10" x14ac:dyDescent="0.2">
      <c r="B199" t="s">
        <v>531</v>
      </c>
      <c r="C199" t="s">
        <v>220</v>
      </c>
      <c r="D199" t="s">
        <v>532</v>
      </c>
      <c r="E199" t="s">
        <v>579</v>
      </c>
      <c r="F199" t="s">
        <v>580</v>
      </c>
      <c r="G199" t="s">
        <v>1033</v>
      </c>
      <c r="H199" t="s">
        <v>30</v>
      </c>
      <c r="I199" s="1">
        <v>1</v>
      </c>
      <c r="J199" s="2">
        <v>77.59</v>
      </c>
    </row>
    <row r="200" spans="2:10" x14ac:dyDescent="0.2">
      <c r="B200" t="s">
        <v>531</v>
      </c>
      <c r="C200" t="s">
        <v>220</v>
      </c>
      <c r="D200" t="s">
        <v>532</v>
      </c>
      <c r="E200" t="s">
        <v>457</v>
      </c>
      <c r="F200" t="s">
        <v>458</v>
      </c>
      <c r="G200" t="s">
        <v>14</v>
      </c>
      <c r="H200" t="s">
        <v>27</v>
      </c>
      <c r="I200" s="1">
        <v>1</v>
      </c>
      <c r="J200" s="2">
        <v>413.79</v>
      </c>
    </row>
    <row r="201" spans="2:10" x14ac:dyDescent="0.2">
      <c r="B201" t="s">
        <v>531</v>
      </c>
      <c r="C201" t="s">
        <v>220</v>
      </c>
      <c r="D201" t="s">
        <v>532</v>
      </c>
      <c r="E201" t="s">
        <v>545</v>
      </c>
      <c r="F201" t="s">
        <v>546</v>
      </c>
      <c r="G201" t="s">
        <v>284</v>
      </c>
      <c r="H201" t="s">
        <v>547</v>
      </c>
      <c r="I201" s="1">
        <v>1</v>
      </c>
      <c r="J201" s="2">
        <v>297.41000000000003</v>
      </c>
    </row>
    <row r="202" spans="2:10" x14ac:dyDescent="0.2">
      <c r="B202" t="s">
        <v>531</v>
      </c>
      <c r="C202" t="s">
        <v>220</v>
      </c>
      <c r="D202" t="s">
        <v>532</v>
      </c>
      <c r="E202" t="s">
        <v>56</v>
      </c>
      <c r="F202" t="s">
        <v>57</v>
      </c>
      <c r="G202" t="s">
        <v>1034</v>
      </c>
      <c r="H202" t="s">
        <v>15</v>
      </c>
      <c r="I202" s="1">
        <v>2</v>
      </c>
      <c r="J202" s="2">
        <v>862.06</v>
      </c>
    </row>
    <row r="203" spans="2:10" x14ac:dyDescent="0.2">
      <c r="B203" t="s">
        <v>531</v>
      </c>
      <c r="C203" t="s">
        <v>220</v>
      </c>
      <c r="D203" t="s">
        <v>532</v>
      </c>
      <c r="E203" t="s">
        <v>521</v>
      </c>
      <c r="F203" t="s">
        <v>522</v>
      </c>
      <c r="G203" t="s">
        <v>14</v>
      </c>
      <c r="H203" t="s">
        <v>104</v>
      </c>
      <c r="I203" s="1">
        <v>1</v>
      </c>
      <c r="J203" s="2">
        <v>21.55</v>
      </c>
    </row>
    <row r="204" spans="2:10" x14ac:dyDescent="0.2">
      <c r="B204" t="s">
        <v>531</v>
      </c>
      <c r="C204" t="s">
        <v>220</v>
      </c>
      <c r="D204" t="s">
        <v>532</v>
      </c>
      <c r="E204" t="s">
        <v>406</v>
      </c>
      <c r="F204" t="s">
        <v>407</v>
      </c>
      <c r="G204" t="s">
        <v>14</v>
      </c>
      <c r="H204" t="s">
        <v>104</v>
      </c>
      <c r="I204" s="1">
        <v>6</v>
      </c>
      <c r="J204" s="2">
        <v>103.44</v>
      </c>
    </row>
    <row r="205" spans="2:10" x14ac:dyDescent="0.2">
      <c r="B205" t="s">
        <v>583</v>
      </c>
      <c r="C205" t="s">
        <v>335</v>
      </c>
      <c r="D205" t="s">
        <v>584</v>
      </c>
      <c r="E205" t="s">
        <v>38</v>
      </c>
      <c r="F205" t="s">
        <v>39</v>
      </c>
      <c r="G205" t="s">
        <v>1034</v>
      </c>
      <c r="H205" t="s">
        <v>15</v>
      </c>
      <c r="I205" s="1">
        <v>1</v>
      </c>
      <c r="J205" s="2">
        <v>431.03</v>
      </c>
    </row>
    <row r="206" spans="2:10" x14ac:dyDescent="0.2">
      <c r="B206" t="s">
        <v>583</v>
      </c>
      <c r="C206" t="s">
        <v>418</v>
      </c>
      <c r="D206" t="s">
        <v>226</v>
      </c>
      <c r="E206" t="s">
        <v>214</v>
      </c>
      <c r="F206" t="s">
        <v>215</v>
      </c>
      <c r="G206" t="s">
        <v>1034</v>
      </c>
      <c r="H206" t="s">
        <v>15</v>
      </c>
      <c r="I206" s="1">
        <v>1</v>
      </c>
      <c r="J206" s="2">
        <v>301.72000000000003</v>
      </c>
    </row>
    <row r="207" spans="2:10" x14ac:dyDescent="0.2">
      <c r="B207" t="s">
        <v>583</v>
      </c>
      <c r="C207" t="s">
        <v>418</v>
      </c>
      <c r="D207" t="s">
        <v>226</v>
      </c>
      <c r="E207" t="s">
        <v>38</v>
      </c>
      <c r="F207" t="s">
        <v>39</v>
      </c>
      <c r="G207" t="s">
        <v>1034</v>
      </c>
      <c r="H207" t="s">
        <v>15</v>
      </c>
      <c r="I207" s="1">
        <v>1</v>
      </c>
      <c r="J207" s="2">
        <v>431.03</v>
      </c>
    </row>
    <row r="208" spans="2:10" x14ac:dyDescent="0.2">
      <c r="B208" t="s">
        <v>583</v>
      </c>
      <c r="C208" t="s">
        <v>418</v>
      </c>
      <c r="D208" t="s">
        <v>226</v>
      </c>
      <c r="E208" t="s">
        <v>56</v>
      </c>
      <c r="F208" t="s">
        <v>57</v>
      </c>
      <c r="G208" t="s">
        <v>1034</v>
      </c>
      <c r="H208" t="s">
        <v>15</v>
      </c>
      <c r="I208" s="1">
        <v>1</v>
      </c>
      <c r="J208" s="2">
        <v>431.03</v>
      </c>
    </row>
    <row r="209" spans="2:10" x14ac:dyDescent="0.2">
      <c r="B209" t="s">
        <v>583</v>
      </c>
      <c r="C209" t="s">
        <v>418</v>
      </c>
      <c r="D209" t="s">
        <v>226</v>
      </c>
      <c r="E209" t="s">
        <v>607</v>
      </c>
      <c r="F209" t="s">
        <v>608</v>
      </c>
      <c r="G209" t="s">
        <v>43</v>
      </c>
      <c r="H209" t="s">
        <v>94</v>
      </c>
      <c r="I209" s="1">
        <v>1</v>
      </c>
      <c r="J209" s="2">
        <v>650.86</v>
      </c>
    </row>
    <row r="210" spans="2:10" x14ac:dyDescent="0.2">
      <c r="B210" t="s">
        <v>583</v>
      </c>
      <c r="C210" t="s">
        <v>186</v>
      </c>
      <c r="D210" t="s">
        <v>584</v>
      </c>
      <c r="E210" t="s">
        <v>609</v>
      </c>
      <c r="F210" t="s">
        <v>610</v>
      </c>
      <c r="G210" t="s">
        <v>1033</v>
      </c>
      <c r="H210" t="s">
        <v>30</v>
      </c>
      <c r="I210" s="1">
        <v>1</v>
      </c>
      <c r="J210" s="2">
        <v>1267.24</v>
      </c>
    </row>
    <row r="211" spans="2:10" x14ac:dyDescent="0.2">
      <c r="B211" t="s">
        <v>583</v>
      </c>
      <c r="C211" t="s">
        <v>186</v>
      </c>
      <c r="D211" t="s">
        <v>584</v>
      </c>
      <c r="E211" t="s">
        <v>425</v>
      </c>
      <c r="F211" t="s">
        <v>426</v>
      </c>
      <c r="G211" t="s">
        <v>1033</v>
      </c>
      <c r="H211" t="s">
        <v>30</v>
      </c>
      <c r="I211" s="1">
        <v>1</v>
      </c>
      <c r="J211" s="2">
        <v>1137.93</v>
      </c>
    </row>
    <row r="212" spans="2:10" x14ac:dyDescent="0.2">
      <c r="B212" t="s">
        <v>583</v>
      </c>
      <c r="C212" t="s">
        <v>186</v>
      </c>
      <c r="D212" t="s">
        <v>584</v>
      </c>
      <c r="E212" t="s">
        <v>83</v>
      </c>
      <c r="F212" t="s">
        <v>84</v>
      </c>
      <c r="G212" t="s">
        <v>1034</v>
      </c>
      <c r="H212" t="s">
        <v>15</v>
      </c>
      <c r="I212" s="1">
        <v>1</v>
      </c>
      <c r="J212" s="2">
        <v>387.93</v>
      </c>
    </row>
    <row r="213" spans="2:10" x14ac:dyDescent="0.2">
      <c r="B213" t="s">
        <v>583</v>
      </c>
      <c r="C213" t="s">
        <v>186</v>
      </c>
      <c r="D213" t="s">
        <v>584</v>
      </c>
      <c r="E213" t="s">
        <v>216</v>
      </c>
      <c r="F213" t="s">
        <v>217</v>
      </c>
      <c r="G213" t="s">
        <v>14</v>
      </c>
      <c r="H213" t="s">
        <v>104</v>
      </c>
      <c r="I213" s="1">
        <v>5</v>
      </c>
      <c r="J213" s="2">
        <v>86.2</v>
      </c>
    </row>
    <row r="214" spans="2:10" x14ac:dyDescent="0.2">
      <c r="B214" t="s">
        <v>583</v>
      </c>
      <c r="C214" t="s">
        <v>186</v>
      </c>
      <c r="D214" t="s">
        <v>584</v>
      </c>
      <c r="E214" t="s">
        <v>521</v>
      </c>
      <c r="F214" t="s">
        <v>522</v>
      </c>
      <c r="G214" t="s">
        <v>14</v>
      </c>
      <c r="H214" t="s">
        <v>104</v>
      </c>
      <c r="I214" s="1">
        <v>4</v>
      </c>
      <c r="J214" s="2">
        <v>86.2</v>
      </c>
    </row>
    <row r="215" spans="2:10" x14ac:dyDescent="0.2">
      <c r="B215" t="s">
        <v>583</v>
      </c>
      <c r="C215" t="s">
        <v>186</v>
      </c>
      <c r="D215" t="s">
        <v>584</v>
      </c>
      <c r="E215" t="s">
        <v>492</v>
      </c>
      <c r="F215" t="s">
        <v>493</v>
      </c>
      <c r="G215" t="s">
        <v>43</v>
      </c>
      <c r="H215" t="s">
        <v>94</v>
      </c>
      <c r="I215" s="1">
        <v>1</v>
      </c>
      <c r="J215" s="2">
        <v>2758.62</v>
      </c>
    </row>
    <row r="216" spans="2:10" x14ac:dyDescent="0.2">
      <c r="B216" t="s">
        <v>583</v>
      </c>
      <c r="C216" t="s">
        <v>206</v>
      </c>
      <c r="D216" t="s">
        <v>584</v>
      </c>
      <c r="E216" t="s">
        <v>406</v>
      </c>
      <c r="F216" t="s">
        <v>407</v>
      </c>
      <c r="G216" t="s">
        <v>14</v>
      </c>
      <c r="H216" t="s">
        <v>104</v>
      </c>
      <c r="I216" s="1">
        <v>5</v>
      </c>
      <c r="J216" s="2">
        <v>86.2</v>
      </c>
    </row>
    <row r="217" spans="2:10" x14ac:dyDescent="0.2">
      <c r="B217" t="s">
        <v>583</v>
      </c>
      <c r="C217" t="s">
        <v>206</v>
      </c>
      <c r="D217" t="s">
        <v>584</v>
      </c>
      <c r="E217" t="s">
        <v>16</v>
      </c>
      <c r="F217" t="s">
        <v>17</v>
      </c>
      <c r="G217" t="s">
        <v>1034</v>
      </c>
      <c r="H217" t="s">
        <v>15</v>
      </c>
      <c r="I217" s="1">
        <v>1</v>
      </c>
      <c r="J217" s="2">
        <v>577.59</v>
      </c>
    </row>
    <row r="218" spans="2:10" x14ac:dyDescent="0.2">
      <c r="B218" t="s">
        <v>583</v>
      </c>
      <c r="C218" t="s">
        <v>206</v>
      </c>
      <c r="D218" t="s">
        <v>584</v>
      </c>
      <c r="E218" t="s">
        <v>28</v>
      </c>
      <c r="F218" t="s">
        <v>29</v>
      </c>
      <c r="G218" t="s">
        <v>1033</v>
      </c>
      <c r="H218" t="s">
        <v>30</v>
      </c>
      <c r="I218" s="1">
        <v>1</v>
      </c>
      <c r="J218" s="2">
        <v>155.16999999999999</v>
      </c>
    </row>
    <row r="219" spans="2:10" x14ac:dyDescent="0.2">
      <c r="B219" t="s">
        <v>583</v>
      </c>
      <c r="C219" t="s">
        <v>220</v>
      </c>
      <c r="D219" t="s">
        <v>584</v>
      </c>
      <c r="E219" t="s">
        <v>338</v>
      </c>
      <c r="F219" t="s">
        <v>339</v>
      </c>
      <c r="G219" t="s">
        <v>1033</v>
      </c>
      <c r="H219" t="s">
        <v>30</v>
      </c>
      <c r="I219" s="1">
        <v>1</v>
      </c>
      <c r="J219" s="2">
        <v>1525.86</v>
      </c>
    </row>
    <row r="220" spans="2:10" x14ac:dyDescent="0.2">
      <c r="B220" t="s">
        <v>583</v>
      </c>
      <c r="C220" t="s">
        <v>220</v>
      </c>
      <c r="D220" t="s">
        <v>584</v>
      </c>
      <c r="E220" t="s">
        <v>214</v>
      </c>
      <c r="F220" t="s">
        <v>215</v>
      </c>
      <c r="G220" t="s">
        <v>1034</v>
      </c>
      <c r="H220" t="s">
        <v>15</v>
      </c>
      <c r="I220" s="1">
        <v>1</v>
      </c>
      <c r="J220" s="2">
        <v>301.72000000000003</v>
      </c>
    </row>
    <row r="221" spans="2:10" x14ac:dyDescent="0.2">
      <c r="B221" t="s">
        <v>583</v>
      </c>
      <c r="C221" t="s">
        <v>220</v>
      </c>
      <c r="D221" t="s">
        <v>584</v>
      </c>
      <c r="E221" t="s">
        <v>336</v>
      </c>
      <c r="F221" t="s">
        <v>337</v>
      </c>
      <c r="G221" t="s">
        <v>1034</v>
      </c>
      <c r="H221" t="s">
        <v>15</v>
      </c>
      <c r="I221" s="1">
        <v>1</v>
      </c>
      <c r="J221" s="2">
        <v>387.93</v>
      </c>
    </row>
    <row r="222" spans="2:10" x14ac:dyDescent="0.2">
      <c r="B222" t="s">
        <v>583</v>
      </c>
      <c r="C222" t="s">
        <v>220</v>
      </c>
      <c r="D222" t="s">
        <v>584</v>
      </c>
      <c r="E222" t="s">
        <v>83</v>
      </c>
      <c r="F222" t="s">
        <v>84</v>
      </c>
      <c r="G222" t="s">
        <v>1034</v>
      </c>
      <c r="H222" t="s">
        <v>15</v>
      </c>
      <c r="I222" s="1">
        <v>1</v>
      </c>
      <c r="J222" s="2">
        <v>387.93</v>
      </c>
    </row>
    <row r="223" spans="2:10" x14ac:dyDescent="0.2">
      <c r="B223" t="s">
        <v>583</v>
      </c>
      <c r="C223" t="s">
        <v>220</v>
      </c>
      <c r="D223" t="s">
        <v>584</v>
      </c>
      <c r="E223" t="s">
        <v>77</v>
      </c>
      <c r="F223" t="s">
        <v>78</v>
      </c>
      <c r="G223" t="s">
        <v>14</v>
      </c>
      <c r="H223" t="s">
        <v>27</v>
      </c>
      <c r="I223" s="1">
        <v>1</v>
      </c>
      <c r="J223" s="2">
        <v>51.72</v>
      </c>
    </row>
    <row r="224" spans="2:10" x14ac:dyDescent="0.2">
      <c r="B224" t="s">
        <v>583</v>
      </c>
      <c r="C224" t="s">
        <v>220</v>
      </c>
      <c r="D224" t="s">
        <v>584</v>
      </c>
      <c r="E224" t="s">
        <v>48</v>
      </c>
      <c r="F224" t="s">
        <v>49</v>
      </c>
      <c r="G224" t="s">
        <v>43</v>
      </c>
      <c r="H224" t="s">
        <v>50</v>
      </c>
      <c r="I224" s="1">
        <v>1</v>
      </c>
      <c r="J224" s="2">
        <v>1318.97</v>
      </c>
    </row>
    <row r="225" spans="2:10" x14ac:dyDescent="0.2">
      <c r="B225" t="s">
        <v>583</v>
      </c>
      <c r="C225" t="s">
        <v>220</v>
      </c>
      <c r="D225" t="s">
        <v>584</v>
      </c>
      <c r="E225" t="s">
        <v>406</v>
      </c>
      <c r="F225" t="s">
        <v>407</v>
      </c>
      <c r="G225" t="s">
        <v>14</v>
      </c>
      <c r="H225" t="s">
        <v>104</v>
      </c>
      <c r="I225" s="1">
        <v>10</v>
      </c>
      <c r="J225" s="2">
        <v>172.4</v>
      </c>
    </row>
    <row r="226" spans="2:10" x14ac:dyDescent="0.2">
      <c r="B226" t="s">
        <v>583</v>
      </c>
      <c r="C226" t="s">
        <v>225</v>
      </c>
      <c r="D226" t="s">
        <v>584</v>
      </c>
      <c r="E226" t="s">
        <v>414</v>
      </c>
      <c r="F226" t="s">
        <v>415</v>
      </c>
      <c r="G226" t="s">
        <v>1033</v>
      </c>
      <c r="H226" t="s">
        <v>30</v>
      </c>
      <c r="I226" s="1">
        <v>1</v>
      </c>
      <c r="J226" s="2">
        <v>646.54999999999995</v>
      </c>
    </row>
    <row r="227" spans="2:10" x14ac:dyDescent="0.2">
      <c r="B227" t="s">
        <v>615</v>
      </c>
      <c r="C227" t="s">
        <v>335</v>
      </c>
      <c r="D227" t="s">
        <v>130</v>
      </c>
      <c r="E227" t="s">
        <v>70</v>
      </c>
      <c r="F227" t="s">
        <v>71</v>
      </c>
      <c r="G227" t="s">
        <v>1033</v>
      </c>
      <c r="H227" t="s">
        <v>30</v>
      </c>
      <c r="I227" s="1">
        <v>1</v>
      </c>
      <c r="J227" s="2">
        <v>2112.0700000000002</v>
      </c>
    </row>
    <row r="228" spans="2:10" x14ac:dyDescent="0.2">
      <c r="B228" t="s">
        <v>615</v>
      </c>
      <c r="C228" t="s">
        <v>335</v>
      </c>
      <c r="D228" t="s">
        <v>130</v>
      </c>
      <c r="E228" t="s">
        <v>525</v>
      </c>
      <c r="F228" t="s">
        <v>526</v>
      </c>
      <c r="G228" t="s">
        <v>43</v>
      </c>
      <c r="H228" t="s">
        <v>403</v>
      </c>
      <c r="I228" s="1">
        <v>1</v>
      </c>
      <c r="J228" s="2">
        <v>159.47999999999999</v>
      </c>
    </row>
    <row r="229" spans="2:10" x14ac:dyDescent="0.2">
      <c r="B229" t="s">
        <v>615</v>
      </c>
      <c r="C229" t="s">
        <v>335</v>
      </c>
      <c r="D229" t="s">
        <v>130</v>
      </c>
      <c r="E229" t="s">
        <v>36</v>
      </c>
      <c r="F229" t="s">
        <v>37</v>
      </c>
      <c r="G229" t="s">
        <v>1034</v>
      </c>
      <c r="H229" t="s">
        <v>15</v>
      </c>
      <c r="I229" s="1">
        <v>1</v>
      </c>
      <c r="J229" s="2">
        <v>301.72000000000003</v>
      </c>
    </row>
    <row r="230" spans="2:10" x14ac:dyDescent="0.2">
      <c r="B230" t="s">
        <v>615</v>
      </c>
      <c r="C230" t="s">
        <v>335</v>
      </c>
      <c r="D230" t="s">
        <v>130</v>
      </c>
      <c r="E230" t="s">
        <v>16</v>
      </c>
      <c r="F230" t="s">
        <v>17</v>
      </c>
      <c r="G230" t="s">
        <v>1034</v>
      </c>
      <c r="H230" t="s">
        <v>15</v>
      </c>
      <c r="I230" s="1">
        <v>1</v>
      </c>
      <c r="J230" s="2">
        <v>577.59</v>
      </c>
    </row>
    <row r="231" spans="2:10" x14ac:dyDescent="0.2">
      <c r="B231" t="s">
        <v>615</v>
      </c>
      <c r="C231" t="s">
        <v>418</v>
      </c>
      <c r="D231" t="s">
        <v>616</v>
      </c>
      <c r="E231" t="s">
        <v>120</v>
      </c>
      <c r="F231" t="s">
        <v>121</v>
      </c>
      <c r="G231" t="s">
        <v>1034</v>
      </c>
      <c r="H231" t="s">
        <v>15</v>
      </c>
      <c r="I231" s="1">
        <v>1</v>
      </c>
      <c r="J231" s="2">
        <v>301.72000000000003</v>
      </c>
    </row>
    <row r="232" spans="2:10" x14ac:dyDescent="0.2">
      <c r="B232" t="s">
        <v>615</v>
      </c>
      <c r="C232" t="s">
        <v>418</v>
      </c>
      <c r="D232" t="s">
        <v>616</v>
      </c>
      <c r="E232" t="s">
        <v>63</v>
      </c>
      <c r="F232" t="s">
        <v>64</v>
      </c>
      <c r="G232" t="s">
        <v>1034</v>
      </c>
      <c r="H232" t="s">
        <v>15</v>
      </c>
      <c r="I232" s="1">
        <v>1</v>
      </c>
      <c r="J232" s="2">
        <v>172.41</v>
      </c>
    </row>
    <row r="233" spans="2:10" x14ac:dyDescent="0.2">
      <c r="B233" t="s">
        <v>615</v>
      </c>
      <c r="C233" t="s">
        <v>186</v>
      </c>
      <c r="D233" t="s">
        <v>616</v>
      </c>
      <c r="E233" t="s">
        <v>61</v>
      </c>
      <c r="F233" t="s">
        <v>62</v>
      </c>
      <c r="G233" t="s">
        <v>1034</v>
      </c>
      <c r="H233" t="s">
        <v>15</v>
      </c>
      <c r="I233" s="1">
        <v>1</v>
      </c>
      <c r="J233" s="2">
        <v>172.41</v>
      </c>
    </row>
    <row r="234" spans="2:10" x14ac:dyDescent="0.2">
      <c r="B234" t="s">
        <v>615</v>
      </c>
      <c r="C234" t="s">
        <v>197</v>
      </c>
      <c r="D234" t="s">
        <v>616</v>
      </c>
      <c r="E234" t="s">
        <v>63</v>
      </c>
      <c r="F234" t="s">
        <v>64</v>
      </c>
      <c r="G234" t="s">
        <v>1034</v>
      </c>
      <c r="H234" t="s">
        <v>15</v>
      </c>
      <c r="I234" s="1">
        <v>1</v>
      </c>
      <c r="J234" s="2">
        <v>172.41</v>
      </c>
    </row>
    <row r="235" spans="2:10" x14ac:dyDescent="0.2">
      <c r="B235" t="s">
        <v>615</v>
      </c>
      <c r="C235" t="s">
        <v>206</v>
      </c>
      <c r="D235" t="s">
        <v>616</v>
      </c>
      <c r="E235" t="s">
        <v>631</v>
      </c>
      <c r="F235" t="s">
        <v>632</v>
      </c>
      <c r="G235" t="s">
        <v>14</v>
      </c>
      <c r="H235" t="s">
        <v>27</v>
      </c>
      <c r="I235" s="1">
        <v>1</v>
      </c>
      <c r="J235" s="2">
        <v>448.28</v>
      </c>
    </row>
    <row r="236" spans="2:10" x14ac:dyDescent="0.2">
      <c r="B236" t="s">
        <v>615</v>
      </c>
      <c r="C236" t="s">
        <v>206</v>
      </c>
      <c r="D236" t="s">
        <v>616</v>
      </c>
      <c r="E236" t="s">
        <v>249</v>
      </c>
      <c r="F236" t="s">
        <v>250</v>
      </c>
      <c r="G236" t="s">
        <v>1033</v>
      </c>
      <c r="H236" t="s">
        <v>30</v>
      </c>
      <c r="I236" s="1">
        <v>1</v>
      </c>
      <c r="J236" s="2">
        <v>517.24</v>
      </c>
    </row>
    <row r="237" spans="2:10" x14ac:dyDescent="0.2">
      <c r="B237" t="s">
        <v>615</v>
      </c>
      <c r="C237" t="s">
        <v>206</v>
      </c>
      <c r="D237" t="s">
        <v>616</v>
      </c>
      <c r="E237" t="s">
        <v>189</v>
      </c>
      <c r="F237" t="s">
        <v>190</v>
      </c>
      <c r="G237" t="s">
        <v>1033</v>
      </c>
      <c r="H237" t="s">
        <v>30</v>
      </c>
      <c r="I237" s="1">
        <v>1</v>
      </c>
      <c r="J237" s="2">
        <v>818.97</v>
      </c>
    </row>
    <row r="238" spans="2:10" x14ac:dyDescent="0.2">
      <c r="B238" t="s">
        <v>615</v>
      </c>
      <c r="C238" t="s">
        <v>206</v>
      </c>
      <c r="D238" t="s">
        <v>616</v>
      </c>
      <c r="E238" t="s">
        <v>120</v>
      </c>
      <c r="F238" t="s">
        <v>121</v>
      </c>
      <c r="G238" t="s">
        <v>1034</v>
      </c>
      <c r="H238" t="s">
        <v>15</v>
      </c>
      <c r="I238" s="1">
        <v>1</v>
      </c>
      <c r="J238" s="2">
        <v>301.72000000000003</v>
      </c>
    </row>
    <row r="239" spans="2:10" x14ac:dyDescent="0.2">
      <c r="B239" t="s">
        <v>615</v>
      </c>
      <c r="C239" t="s">
        <v>206</v>
      </c>
      <c r="D239" t="s">
        <v>616</v>
      </c>
      <c r="E239" t="s">
        <v>633</v>
      </c>
      <c r="F239" t="s">
        <v>634</v>
      </c>
      <c r="G239" t="s">
        <v>43</v>
      </c>
      <c r="H239" t="s">
        <v>205</v>
      </c>
      <c r="I239" s="1">
        <v>1</v>
      </c>
      <c r="J239" s="2">
        <v>1435.34</v>
      </c>
    </row>
    <row r="240" spans="2:10" x14ac:dyDescent="0.2">
      <c r="B240" t="s">
        <v>615</v>
      </c>
      <c r="C240" t="s">
        <v>206</v>
      </c>
      <c r="D240" t="s">
        <v>616</v>
      </c>
      <c r="E240" t="s">
        <v>56</v>
      </c>
      <c r="F240" t="s">
        <v>57</v>
      </c>
      <c r="G240" t="s">
        <v>1034</v>
      </c>
      <c r="H240" t="s">
        <v>15</v>
      </c>
      <c r="I240" s="1">
        <v>2</v>
      </c>
      <c r="J240" s="2">
        <v>862.07</v>
      </c>
    </row>
    <row r="241" spans="2:10" x14ac:dyDescent="0.2">
      <c r="B241" t="s">
        <v>615</v>
      </c>
      <c r="C241" t="s">
        <v>206</v>
      </c>
      <c r="D241" t="s">
        <v>616</v>
      </c>
      <c r="E241" t="s">
        <v>61</v>
      </c>
      <c r="F241" t="s">
        <v>62</v>
      </c>
      <c r="G241" t="s">
        <v>1034</v>
      </c>
      <c r="H241" t="s">
        <v>15</v>
      </c>
      <c r="I241" s="1">
        <v>1</v>
      </c>
      <c r="J241" s="2">
        <v>172.41</v>
      </c>
    </row>
    <row r="242" spans="2:10" x14ac:dyDescent="0.2">
      <c r="B242" t="s">
        <v>615</v>
      </c>
      <c r="C242" t="s">
        <v>206</v>
      </c>
      <c r="D242" t="s">
        <v>616</v>
      </c>
      <c r="E242" t="s">
        <v>63</v>
      </c>
      <c r="F242" t="s">
        <v>64</v>
      </c>
      <c r="G242" t="s">
        <v>1034</v>
      </c>
      <c r="H242" t="s">
        <v>15</v>
      </c>
      <c r="I242" s="1">
        <v>1</v>
      </c>
      <c r="J242" s="2">
        <v>172.41</v>
      </c>
    </row>
    <row r="243" spans="2:10" x14ac:dyDescent="0.2">
      <c r="B243" t="s">
        <v>615</v>
      </c>
      <c r="C243" t="s">
        <v>206</v>
      </c>
      <c r="D243" t="s">
        <v>616</v>
      </c>
      <c r="E243" t="s">
        <v>28</v>
      </c>
      <c r="F243" t="s">
        <v>29</v>
      </c>
      <c r="G243" t="s">
        <v>1033</v>
      </c>
      <c r="H243" t="s">
        <v>30</v>
      </c>
      <c r="I243" s="1">
        <v>1</v>
      </c>
      <c r="J243" s="2">
        <v>155.16999999999999</v>
      </c>
    </row>
    <row r="244" spans="2:10" x14ac:dyDescent="0.2">
      <c r="B244" t="s">
        <v>615</v>
      </c>
      <c r="C244" t="s">
        <v>220</v>
      </c>
      <c r="D244" t="s">
        <v>616</v>
      </c>
      <c r="E244" t="s">
        <v>463</v>
      </c>
      <c r="F244" t="s">
        <v>464</v>
      </c>
      <c r="G244" t="s">
        <v>14</v>
      </c>
      <c r="H244" t="s">
        <v>35</v>
      </c>
      <c r="I244" s="1">
        <v>1</v>
      </c>
      <c r="J244" s="2">
        <v>77.59</v>
      </c>
    </row>
    <row r="245" spans="2:10" x14ac:dyDescent="0.2">
      <c r="B245" t="s">
        <v>615</v>
      </c>
      <c r="C245" t="s">
        <v>220</v>
      </c>
      <c r="D245" t="s">
        <v>616</v>
      </c>
      <c r="E245" t="s">
        <v>414</v>
      </c>
      <c r="F245" t="s">
        <v>415</v>
      </c>
      <c r="G245" t="s">
        <v>1033</v>
      </c>
      <c r="H245" t="s">
        <v>30</v>
      </c>
      <c r="I245" s="1">
        <v>1</v>
      </c>
      <c r="J245" s="2">
        <v>646.54999999999995</v>
      </c>
    </row>
    <row r="246" spans="2:10" x14ac:dyDescent="0.2">
      <c r="B246" t="s">
        <v>615</v>
      </c>
      <c r="C246" t="s">
        <v>220</v>
      </c>
      <c r="D246" t="s">
        <v>616</v>
      </c>
      <c r="E246" t="s">
        <v>324</v>
      </c>
      <c r="F246" t="s">
        <v>325</v>
      </c>
      <c r="G246" t="s">
        <v>1033</v>
      </c>
      <c r="H246" t="s">
        <v>30</v>
      </c>
      <c r="I246" s="1">
        <v>1</v>
      </c>
      <c r="J246" s="2">
        <v>2000</v>
      </c>
    </row>
    <row r="247" spans="2:10" x14ac:dyDescent="0.2">
      <c r="B247" t="s">
        <v>615</v>
      </c>
      <c r="C247" t="s">
        <v>220</v>
      </c>
      <c r="D247" t="s">
        <v>616</v>
      </c>
      <c r="E247" t="s">
        <v>635</v>
      </c>
      <c r="F247" t="s">
        <v>636</v>
      </c>
      <c r="G247" t="s">
        <v>43</v>
      </c>
      <c r="H247" t="s">
        <v>403</v>
      </c>
      <c r="I247" s="1">
        <v>1</v>
      </c>
      <c r="J247" s="2">
        <v>159.47999999999999</v>
      </c>
    </row>
    <row r="248" spans="2:10" x14ac:dyDescent="0.2">
      <c r="B248" t="s">
        <v>615</v>
      </c>
      <c r="C248" t="s">
        <v>220</v>
      </c>
      <c r="D248" t="s">
        <v>616</v>
      </c>
      <c r="E248" t="s">
        <v>214</v>
      </c>
      <c r="F248" t="s">
        <v>215</v>
      </c>
      <c r="G248" t="s">
        <v>1034</v>
      </c>
      <c r="H248" t="s">
        <v>15</v>
      </c>
      <c r="I248" s="1">
        <v>1</v>
      </c>
      <c r="J248" s="2">
        <v>301.72000000000003</v>
      </c>
    </row>
    <row r="249" spans="2:10" x14ac:dyDescent="0.2">
      <c r="B249" t="s">
        <v>615</v>
      </c>
      <c r="C249" t="s">
        <v>220</v>
      </c>
      <c r="D249" t="s">
        <v>616</v>
      </c>
      <c r="E249" t="s">
        <v>36</v>
      </c>
      <c r="F249" t="s">
        <v>37</v>
      </c>
      <c r="G249" t="s">
        <v>1034</v>
      </c>
      <c r="H249" t="s">
        <v>15</v>
      </c>
      <c r="I249" s="1">
        <v>1</v>
      </c>
      <c r="J249" s="2">
        <v>301.72000000000003</v>
      </c>
    </row>
    <row r="250" spans="2:10" x14ac:dyDescent="0.2">
      <c r="B250" t="s">
        <v>615</v>
      </c>
      <c r="C250" t="s">
        <v>220</v>
      </c>
      <c r="D250" t="s">
        <v>616</v>
      </c>
      <c r="E250" t="s">
        <v>16</v>
      </c>
      <c r="F250" t="s">
        <v>17</v>
      </c>
      <c r="G250" t="s">
        <v>1034</v>
      </c>
      <c r="H250" t="s">
        <v>15</v>
      </c>
      <c r="I250" s="1">
        <v>1</v>
      </c>
      <c r="J250" s="2">
        <v>577.59</v>
      </c>
    </row>
    <row r="251" spans="2:10" x14ac:dyDescent="0.2">
      <c r="B251" t="s">
        <v>615</v>
      </c>
      <c r="C251" t="s">
        <v>220</v>
      </c>
      <c r="D251" t="s">
        <v>616</v>
      </c>
      <c r="E251" t="s">
        <v>28</v>
      </c>
      <c r="F251" t="s">
        <v>29</v>
      </c>
      <c r="G251" t="s">
        <v>1033</v>
      </c>
      <c r="H251" t="s">
        <v>30</v>
      </c>
      <c r="I251" s="1">
        <v>1</v>
      </c>
      <c r="J251" s="2">
        <v>155.16999999999999</v>
      </c>
    </row>
    <row r="252" spans="2:10" x14ac:dyDescent="0.2">
      <c r="B252" t="s">
        <v>615</v>
      </c>
      <c r="C252" t="s">
        <v>225</v>
      </c>
      <c r="D252" t="s">
        <v>616</v>
      </c>
      <c r="E252" t="s">
        <v>238</v>
      </c>
      <c r="F252" t="s">
        <v>239</v>
      </c>
      <c r="G252" t="s">
        <v>1033</v>
      </c>
      <c r="H252" t="s">
        <v>30</v>
      </c>
      <c r="I252" s="1">
        <v>1</v>
      </c>
      <c r="J252" s="2">
        <v>396.55</v>
      </c>
    </row>
    <row r="253" spans="2:10" x14ac:dyDescent="0.2">
      <c r="B253" t="s">
        <v>615</v>
      </c>
      <c r="C253" t="s">
        <v>225</v>
      </c>
      <c r="D253" t="s">
        <v>616</v>
      </c>
      <c r="E253" t="s">
        <v>637</v>
      </c>
      <c r="F253" t="s">
        <v>638</v>
      </c>
      <c r="G253" t="s">
        <v>1033</v>
      </c>
      <c r="H253" t="s">
        <v>30</v>
      </c>
      <c r="I253" s="1">
        <v>1</v>
      </c>
      <c r="J253" s="2">
        <v>689.66</v>
      </c>
    </row>
    <row r="254" spans="2:10" x14ac:dyDescent="0.2">
      <c r="B254" t="s">
        <v>615</v>
      </c>
      <c r="C254" t="s">
        <v>225</v>
      </c>
      <c r="D254" t="s">
        <v>616</v>
      </c>
      <c r="E254" t="s">
        <v>639</v>
      </c>
      <c r="F254" t="s">
        <v>640</v>
      </c>
      <c r="G254" t="s">
        <v>1033</v>
      </c>
      <c r="H254" t="s">
        <v>30</v>
      </c>
      <c r="I254" s="1">
        <v>1</v>
      </c>
      <c r="J254" s="2">
        <v>344.83</v>
      </c>
    </row>
    <row r="255" spans="2:10" x14ac:dyDescent="0.2">
      <c r="B255" t="s">
        <v>615</v>
      </c>
      <c r="C255" t="s">
        <v>225</v>
      </c>
      <c r="D255" t="s">
        <v>616</v>
      </c>
      <c r="E255" t="s">
        <v>120</v>
      </c>
      <c r="F255" t="s">
        <v>121</v>
      </c>
      <c r="G255" t="s">
        <v>1034</v>
      </c>
      <c r="H255" t="s">
        <v>15</v>
      </c>
      <c r="I255" s="1">
        <v>2</v>
      </c>
      <c r="J255" s="2">
        <v>603.44000000000005</v>
      </c>
    </row>
    <row r="256" spans="2:10" x14ac:dyDescent="0.2">
      <c r="B256" t="s">
        <v>615</v>
      </c>
      <c r="C256" t="s">
        <v>225</v>
      </c>
      <c r="D256" t="s">
        <v>616</v>
      </c>
      <c r="E256" t="s">
        <v>61</v>
      </c>
      <c r="F256" t="s">
        <v>62</v>
      </c>
      <c r="G256" t="s">
        <v>1034</v>
      </c>
      <c r="H256" t="s">
        <v>15</v>
      </c>
      <c r="I256" s="1">
        <v>1</v>
      </c>
      <c r="J256" s="2">
        <v>172.41</v>
      </c>
    </row>
    <row r="257" spans="2:10" x14ac:dyDescent="0.2">
      <c r="B257" t="s">
        <v>654</v>
      </c>
      <c r="C257" t="s">
        <v>335</v>
      </c>
      <c r="D257" t="s">
        <v>655</v>
      </c>
      <c r="E257" t="s">
        <v>387</v>
      </c>
      <c r="F257" t="s">
        <v>388</v>
      </c>
      <c r="G257" t="s">
        <v>1033</v>
      </c>
      <c r="H257" t="s">
        <v>30</v>
      </c>
      <c r="I257" s="1">
        <v>1</v>
      </c>
      <c r="J257" s="2">
        <v>775.86</v>
      </c>
    </row>
    <row r="258" spans="2:10" x14ac:dyDescent="0.2">
      <c r="B258" t="s">
        <v>654</v>
      </c>
      <c r="C258" t="s">
        <v>418</v>
      </c>
      <c r="D258" t="s">
        <v>655</v>
      </c>
      <c r="E258" t="s">
        <v>673</v>
      </c>
      <c r="F258" t="s">
        <v>674</v>
      </c>
      <c r="G258" t="s">
        <v>1033</v>
      </c>
      <c r="H258" t="s">
        <v>30</v>
      </c>
      <c r="I258" s="1">
        <v>1</v>
      </c>
      <c r="J258" s="2">
        <v>625</v>
      </c>
    </row>
    <row r="259" spans="2:10" x14ac:dyDescent="0.2">
      <c r="B259" t="s">
        <v>654</v>
      </c>
      <c r="C259" t="s">
        <v>418</v>
      </c>
      <c r="D259" t="s">
        <v>655</v>
      </c>
      <c r="E259" t="s">
        <v>187</v>
      </c>
      <c r="F259" t="s">
        <v>188</v>
      </c>
      <c r="G259" t="s">
        <v>1033</v>
      </c>
      <c r="H259" t="s">
        <v>30</v>
      </c>
      <c r="I259" s="1">
        <v>1</v>
      </c>
      <c r="J259" s="2">
        <v>258.62</v>
      </c>
    </row>
    <row r="260" spans="2:10" x14ac:dyDescent="0.2">
      <c r="B260" t="s">
        <v>654</v>
      </c>
      <c r="C260" t="s">
        <v>418</v>
      </c>
      <c r="D260" t="s">
        <v>655</v>
      </c>
      <c r="E260" t="s">
        <v>605</v>
      </c>
      <c r="F260" t="s">
        <v>606</v>
      </c>
      <c r="G260" t="s">
        <v>1033</v>
      </c>
      <c r="H260" t="s">
        <v>30</v>
      </c>
      <c r="I260" s="1">
        <v>1</v>
      </c>
      <c r="J260" s="2">
        <v>465.52</v>
      </c>
    </row>
    <row r="261" spans="2:10" x14ac:dyDescent="0.2">
      <c r="B261" t="s">
        <v>654</v>
      </c>
      <c r="C261" t="s">
        <v>186</v>
      </c>
      <c r="D261" t="s">
        <v>655</v>
      </c>
      <c r="E261" t="s">
        <v>44</v>
      </c>
      <c r="F261" t="s">
        <v>45</v>
      </c>
      <c r="G261" t="s">
        <v>1033</v>
      </c>
      <c r="H261" t="s">
        <v>30</v>
      </c>
      <c r="I261" s="1">
        <v>2</v>
      </c>
      <c r="J261" s="2">
        <v>163.80000000000001</v>
      </c>
    </row>
    <row r="262" spans="2:10" x14ac:dyDescent="0.2">
      <c r="B262" t="s">
        <v>654</v>
      </c>
      <c r="C262" t="s">
        <v>186</v>
      </c>
      <c r="D262" t="s">
        <v>655</v>
      </c>
      <c r="E262" t="s">
        <v>399</v>
      </c>
      <c r="F262" t="s">
        <v>400</v>
      </c>
      <c r="G262" t="s">
        <v>1033</v>
      </c>
      <c r="H262" t="s">
        <v>30</v>
      </c>
      <c r="I262" s="1">
        <v>1</v>
      </c>
      <c r="J262" s="2">
        <v>818.97</v>
      </c>
    </row>
    <row r="263" spans="2:10" x14ac:dyDescent="0.2">
      <c r="B263" t="s">
        <v>654</v>
      </c>
      <c r="C263" t="s">
        <v>186</v>
      </c>
      <c r="D263" t="s">
        <v>655</v>
      </c>
      <c r="E263" t="s">
        <v>559</v>
      </c>
      <c r="F263" t="s">
        <v>560</v>
      </c>
      <c r="G263" t="s">
        <v>1033</v>
      </c>
      <c r="H263" t="s">
        <v>30</v>
      </c>
      <c r="I263" s="1">
        <v>1</v>
      </c>
      <c r="J263" s="2">
        <v>1706.9</v>
      </c>
    </row>
    <row r="264" spans="2:10" x14ac:dyDescent="0.2">
      <c r="B264" t="s">
        <v>654</v>
      </c>
      <c r="C264" t="s">
        <v>186</v>
      </c>
      <c r="D264" t="s">
        <v>655</v>
      </c>
      <c r="E264" t="s">
        <v>122</v>
      </c>
      <c r="F264" t="s">
        <v>123</v>
      </c>
      <c r="G264" t="s">
        <v>1034</v>
      </c>
      <c r="H264" t="s">
        <v>15</v>
      </c>
      <c r="I264" s="1">
        <v>1</v>
      </c>
      <c r="J264" s="2">
        <v>387.93</v>
      </c>
    </row>
    <row r="265" spans="2:10" x14ac:dyDescent="0.2">
      <c r="B265" t="s">
        <v>654</v>
      </c>
      <c r="C265" t="s">
        <v>186</v>
      </c>
      <c r="D265" t="s">
        <v>655</v>
      </c>
      <c r="E265" t="s">
        <v>61</v>
      </c>
      <c r="F265" t="s">
        <v>62</v>
      </c>
      <c r="G265" t="s">
        <v>1034</v>
      </c>
      <c r="H265" t="s">
        <v>15</v>
      </c>
      <c r="I265" s="1">
        <v>3</v>
      </c>
      <c r="J265" s="2">
        <v>517.23</v>
      </c>
    </row>
    <row r="266" spans="2:10" x14ac:dyDescent="0.2">
      <c r="B266" t="s">
        <v>654</v>
      </c>
      <c r="C266" t="s">
        <v>186</v>
      </c>
      <c r="D266" t="s">
        <v>655</v>
      </c>
      <c r="E266" t="s">
        <v>16</v>
      </c>
      <c r="F266" t="s">
        <v>17</v>
      </c>
      <c r="G266" t="s">
        <v>1034</v>
      </c>
      <c r="H266" t="s">
        <v>15</v>
      </c>
      <c r="I266" s="1">
        <v>1</v>
      </c>
      <c r="J266" s="2">
        <v>577.59</v>
      </c>
    </row>
    <row r="267" spans="2:10" x14ac:dyDescent="0.2">
      <c r="B267" t="s">
        <v>654</v>
      </c>
      <c r="C267" t="s">
        <v>197</v>
      </c>
      <c r="D267" t="s">
        <v>655</v>
      </c>
      <c r="E267" t="s">
        <v>575</v>
      </c>
      <c r="F267" t="s">
        <v>576</v>
      </c>
      <c r="G267" t="s">
        <v>1033</v>
      </c>
      <c r="H267" t="s">
        <v>30</v>
      </c>
      <c r="I267" s="1">
        <v>1</v>
      </c>
      <c r="J267" s="2">
        <v>474.14</v>
      </c>
    </row>
    <row r="268" spans="2:10" x14ac:dyDescent="0.2">
      <c r="B268" t="s">
        <v>654</v>
      </c>
      <c r="C268" t="s">
        <v>197</v>
      </c>
      <c r="D268" t="s">
        <v>655</v>
      </c>
      <c r="E268" t="s">
        <v>278</v>
      </c>
      <c r="F268" t="s">
        <v>279</v>
      </c>
      <c r="G268" t="s">
        <v>1033</v>
      </c>
      <c r="H268" t="s">
        <v>30</v>
      </c>
      <c r="I268" s="1">
        <v>1</v>
      </c>
      <c r="J268" s="2">
        <v>112.07</v>
      </c>
    </row>
    <row r="269" spans="2:10" x14ac:dyDescent="0.2">
      <c r="B269" t="s">
        <v>654</v>
      </c>
      <c r="C269" t="s">
        <v>197</v>
      </c>
      <c r="D269" t="s">
        <v>655</v>
      </c>
      <c r="E269" t="s">
        <v>242</v>
      </c>
      <c r="F269" t="s">
        <v>243</v>
      </c>
      <c r="G269" t="s">
        <v>14</v>
      </c>
      <c r="H269" t="s">
        <v>87</v>
      </c>
      <c r="I269" s="1">
        <v>1</v>
      </c>
      <c r="J269" s="2">
        <v>120.69</v>
      </c>
    </row>
    <row r="270" spans="2:10" x14ac:dyDescent="0.2">
      <c r="B270" t="s">
        <v>654</v>
      </c>
      <c r="C270" t="s">
        <v>197</v>
      </c>
      <c r="D270" t="s">
        <v>655</v>
      </c>
      <c r="E270" t="s">
        <v>545</v>
      </c>
      <c r="F270" t="s">
        <v>546</v>
      </c>
      <c r="G270" t="s">
        <v>284</v>
      </c>
      <c r="H270" t="s">
        <v>547</v>
      </c>
      <c r="I270" s="1">
        <v>1</v>
      </c>
      <c r="J270" s="2">
        <v>297.41000000000003</v>
      </c>
    </row>
    <row r="271" spans="2:10" x14ac:dyDescent="0.2">
      <c r="B271" t="s">
        <v>654</v>
      </c>
      <c r="C271" t="s">
        <v>197</v>
      </c>
      <c r="D271" t="s">
        <v>655</v>
      </c>
      <c r="E271" t="s">
        <v>122</v>
      </c>
      <c r="F271" t="s">
        <v>123</v>
      </c>
      <c r="G271" t="s">
        <v>1034</v>
      </c>
      <c r="H271" t="s">
        <v>15</v>
      </c>
      <c r="I271" s="1">
        <v>1</v>
      </c>
      <c r="J271" s="2">
        <v>387.93</v>
      </c>
    </row>
    <row r="272" spans="2:10" x14ac:dyDescent="0.2">
      <c r="B272" t="s">
        <v>654</v>
      </c>
      <c r="C272" t="s">
        <v>197</v>
      </c>
      <c r="D272" t="s">
        <v>655</v>
      </c>
      <c r="E272" t="s">
        <v>656</v>
      </c>
      <c r="F272" t="s">
        <v>657</v>
      </c>
      <c r="G272" t="s">
        <v>43</v>
      </c>
      <c r="H272" t="s">
        <v>50</v>
      </c>
      <c r="I272" s="1">
        <v>1</v>
      </c>
      <c r="J272" s="2">
        <v>181.03</v>
      </c>
    </row>
    <row r="273" spans="2:10" x14ac:dyDescent="0.2">
      <c r="B273" t="s">
        <v>654</v>
      </c>
      <c r="C273" t="s">
        <v>197</v>
      </c>
      <c r="D273" t="s">
        <v>655</v>
      </c>
      <c r="E273" t="s">
        <v>61</v>
      </c>
      <c r="F273" t="s">
        <v>62</v>
      </c>
      <c r="G273" t="s">
        <v>1034</v>
      </c>
      <c r="H273" t="s">
        <v>15</v>
      </c>
      <c r="I273" s="1">
        <v>1</v>
      </c>
      <c r="J273" s="2">
        <v>172.41</v>
      </c>
    </row>
    <row r="274" spans="2:10" x14ac:dyDescent="0.2">
      <c r="B274" t="s">
        <v>654</v>
      </c>
      <c r="C274" t="s">
        <v>206</v>
      </c>
      <c r="D274" t="s">
        <v>655</v>
      </c>
      <c r="E274" t="s">
        <v>675</v>
      </c>
      <c r="F274" t="s">
        <v>676</v>
      </c>
      <c r="G274" t="s">
        <v>1033</v>
      </c>
      <c r="H274" t="s">
        <v>30</v>
      </c>
      <c r="I274" s="1">
        <v>1</v>
      </c>
      <c r="J274" s="2">
        <v>1508.62</v>
      </c>
    </row>
    <row r="275" spans="2:10" x14ac:dyDescent="0.2">
      <c r="B275" t="s">
        <v>654</v>
      </c>
      <c r="C275" t="s">
        <v>206</v>
      </c>
      <c r="D275" t="s">
        <v>655</v>
      </c>
      <c r="E275" t="s">
        <v>46</v>
      </c>
      <c r="F275" t="s">
        <v>47</v>
      </c>
      <c r="G275" t="s">
        <v>1034</v>
      </c>
      <c r="H275" t="s">
        <v>15</v>
      </c>
      <c r="I275" s="1">
        <v>1</v>
      </c>
      <c r="J275" s="2">
        <v>301.72000000000003</v>
      </c>
    </row>
    <row r="276" spans="2:10" x14ac:dyDescent="0.2">
      <c r="B276" t="s">
        <v>654</v>
      </c>
      <c r="C276" t="s">
        <v>206</v>
      </c>
      <c r="D276" t="s">
        <v>655</v>
      </c>
      <c r="E276" t="s">
        <v>677</v>
      </c>
      <c r="F276" t="s">
        <v>678</v>
      </c>
      <c r="G276" t="s">
        <v>1033</v>
      </c>
      <c r="H276" t="s">
        <v>30</v>
      </c>
      <c r="I276" s="1">
        <v>1</v>
      </c>
      <c r="J276" s="2">
        <v>1116.3800000000001</v>
      </c>
    </row>
    <row r="277" spans="2:10" x14ac:dyDescent="0.2">
      <c r="B277" t="s">
        <v>654</v>
      </c>
      <c r="C277" t="s">
        <v>206</v>
      </c>
      <c r="D277" t="s">
        <v>655</v>
      </c>
      <c r="E277" t="s">
        <v>36</v>
      </c>
      <c r="F277" t="s">
        <v>37</v>
      </c>
      <c r="G277" t="s">
        <v>1034</v>
      </c>
      <c r="H277" t="s">
        <v>15</v>
      </c>
      <c r="I277" s="1">
        <v>1</v>
      </c>
      <c r="J277" s="2">
        <v>301.72000000000003</v>
      </c>
    </row>
    <row r="278" spans="2:10" x14ac:dyDescent="0.2">
      <c r="B278" t="s">
        <v>654</v>
      </c>
      <c r="C278" t="s">
        <v>206</v>
      </c>
      <c r="D278" t="s">
        <v>655</v>
      </c>
      <c r="E278" t="s">
        <v>153</v>
      </c>
      <c r="F278" t="s">
        <v>154</v>
      </c>
      <c r="G278" t="s">
        <v>1034</v>
      </c>
      <c r="H278" t="s">
        <v>15</v>
      </c>
      <c r="I278" s="1">
        <v>1</v>
      </c>
      <c r="J278" s="2">
        <v>387.93</v>
      </c>
    </row>
    <row r="279" spans="2:10" x14ac:dyDescent="0.2">
      <c r="B279" t="s">
        <v>654</v>
      </c>
      <c r="C279" t="s">
        <v>206</v>
      </c>
      <c r="D279" t="s">
        <v>655</v>
      </c>
      <c r="E279" t="s">
        <v>490</v>
      </c>
      <c r="F279" t="s">
        <v>491</v>
      </c>
      <c r="G279" t="s">
        <v>1033</v>
      </c>
      <c r="H279" t="s">
        <v>30</v>
      </c>
      <c r="I279" s="1">
        <v>1</v>
      </c>
      <c r="J279" s="2">
        <v>1982.76</v>
      </c>
    </row>
    <row r="280" spans="2:10" x14ac:dyDescent="0.2">
      <c r="B280" t="s">
        <v>654</v>
      </c>
      <c r="C280" t="s">
        <v>206</v>
      </c>
      <c r="D280" t="s">
        <v>655</v>
      </c>
      <c r="E280" t="s">
        <v>61</v>
      </c>
      <c r="F280" t="s">
        <v>62</v>
      </c>
      <c r="G280" t="s">
        <v>1034</v>
      </c>
      <c r="H280" t="s">
        <v>15</v>
      </c>
      <c r="I280" s="1">
        <v>2</v>
      </c>
      <c r="J280" s="2">
        <v>344.82</v>
      </c>
    </row>
    <row r="281" spans="2:10" x14ac:dyDescent="0.2">
      <c r="B281" t="s">
        <v>654</v>
      </c>
      <c r="C281" t="s">
        <v>206</v>
      </c>
      <c r="D281" t="s">
        <v>655</v>
      </c>
      <c r="E281" t="s">
        <v>16</v>
      </c>
      <c r="F281" t="s">
        <v>17</v>
      </c>
      <c r="G281" t="s">
        <v>1034</v>
      </c>
      <c r="H281" t="s">
        <v>15</v>
      </c>
      <c r="I281" s="1">
        <v>1</v>
      </c>
      <c r="J281" s="2">
        <v>577.59</v>
      </c>
    </row>
    <row r="282" spans="2:10" x14ac:dyDescent="0.2">
      <c r="B282" t="s">
        <v>654</v>
      </c>
      <c r="C282" t="s">
        <v>220</v>
      </c>
      <c r="D282" t="s">
        <v>655</v>
      </c>
      <c r="E282" t="s">
        <v>521</v>
      </c>
      <c r="F282" t="s">
        <v>522</v>
      </c>
      <c r="G282" t="s">
        <v>14</v>
      </c>
      <c r="H282" t="s">
        <v>104</v>
      </c>
      <c r="I282" s="1">
        <v>5</v>
      </c>
      <c r="J282" s="2">
        <v>107.75</v>
      </c>
    </row>
    <row r="283" spans="2:10" x14ac:dyDescent="0.2">
      <c r="B283" t="s">
        <v>654</v>
      </c>
      <c r="C283" t="s">
        <v>220</v>
      </c>
      <c r="D283" t="s">
        <v>655</v>
      </c>
      <c r="E283" t="s">
        <v>63</v>
      </c>
      <c r="F283" t="s">
        <v>64</v>
      </c>
      <c r="G283" t="s">
        <v>1034</v>
      </c>
      <c r="H283" t="s">
        <v>15</v>
      </c>
      <c r="I283" s="1">
        <v>1</v>
      </c>
      <c r="J283" s="2">
        <v>172.41</v>
      </c>
    </row>
    <row r="284" spans="2:10" x14ac:dyDescent="0.2">
      <c r="B284" t="s">
        <v>690</v>
      </c>
      <c r="C284" t="s">
        <v>335</v>
      </c>
      <c r="D284" t="s">
        <v>691</v>
      </c>
      <c r="E284" t="s">
        <v>635</v>
      </c>
      <c r="F284" t="s">
        <v>636</v>
      </c>
      <c r="G284" t="s">
        <v>43</v>
      </c>
      <c r="H284" t="s">
        <v>403</v>
      </c>
      <c r="I284" s="1">
        <v>1</v>
      </c>
      <c r="J284" s="2">
        <v>159.47999999999999</v>
      </c>
    </row>
    <row r="285" spans="2:10" x14ac:dyDescent="0.2">
      <c r="B285" t="s">
        <v>690</v>
      </c>
      <c r="C285" t="s">
        <v>335</v>
      </c>
      <c r="D285" t="s">
        <v>691</v>
      </c>
      <c r="E285" t="s">
        <v>72</v>
      </c>
      <c r="F285" t="s">
        <v>73</v>
      </c>
      <c r="G285" t="s">
        <v>1034</v>
      </c>
      <c r="H285" t="s">
        <v>15</v>
      </c>
      <c r="I285" s="1">
        <v>1</v>
      </c>
      <c r="J285" s="2">
        <v>775.86</v>
      </c>
    </row>
    <row r="286" spans="2:10" x14ac:dyDescent="0.2">
      <c r="B286" t="s">
        <v>690</v>
      </c>
      <c r="C286" t="s">
        <v>335</v>
      </c>
      <c r="D286" t="s">
        <v>691</v>
      </c>
      <c r="E286" t="s">
        <v>381</v>
      </c>
      <c r="F286" t="s">
        <v>728</v>
      </c>
      <c r="G286" t="s">
        <v>43</v>
      </c>
      <c r="H286" t="s">
        <v>383</v>
      </c>
      <c r="I286" s="1">
        <v>1</v>
      </c>
      <c r="J286" s="2">
        <v>301.72000000000003</v>
      </c>
    </row>
    <row r="287" spans="2:10" x14ac:dyDescent="0.2">
      <c r="B287" t="s">
        <v>690</v>
      </c>
      <c r="C287" t="s">
        <v>335</v>
      </c>
      <c r="D287" t="s">
        <v>691</v>
      </c>
      <c r="E287" t="s">
        <v>38</v>
      </c>
      <c r="F287" t="s">
        <v>39</v>
      </c>
      <c r="G287" t="s">
        <v>1034</v>
      </c>
      <c r="H287" t="s">
        <v>15</v>
      </c>
      <c r="I287" s="1">
        <v>1</v>
      </c>
      <c r="J287" s="2">
        <v>431.03</v>
      </c>
    </row>
    <row r="288" spans="2:10" x14ac:dyDescent="0.2">
      <c r="B288" t="s">
        <v>690</v>
      </c>
      <c r="C288" t="s">
        <v>335</v>
      </c>
      <c r="D288" t="s">
        <v>691</v>
      </c>
      <c r="E288" t="s">
        <v>61</v>
      </c>
      <c r="F288" t="s">
        <v>62</v>
      </c>
      <c r="G288" t="s">
        <v>1034</v>
      </c>
      <c r="H288" t="s">
        <v>15</v>
      </c>
      <c r="I288" s="1">
        <v>1</v>
      </c>
      <c r="J288" s="2">
        <v>172.41</v>
      </c>
    </row>
    <row r="289" spans="2:10" x14ac:dyDescent="0.2">
      <c r="B289" t="s">
        <v>690</v>
      </c>
      <c r="C289" t="s">
        <v>335</v>
      </c>
      <c r="D289" t="s">
        <v>691</v>
      </c>
      <c r="E289" t="s">
        <v>63</v>
      </c>
      <c r="F289" t="s">
        <v>64</v>
      </c>
      <c r="G289" t="s">
        <v>1034</v>
      </c>
      <c r="H289" t="s">
        <v>15</v>
      </c>
      <c r="I289" s="1">
        <v>1</v>
      </c>
      <c r="J289" s="2">
        <v>172.41</v>
      </c>
    </row>
    <row r="290" spans="2:10" x14ac:dyDescent="0.2">
      <c r="B290" t="s">
        <v>690</v>
      </c>
      <c r="C290" t="s">
        <v>335</v>
      </c>
      <c r="D290" t="s">
        <v>691</v>
      </c>
      <c r="E290" t="s">
        <v>16</v>
      </c>
      <c r="F290" t="s">
        <v>17</v>
      </c>
      <c r="G290" t="s">
        <v>1034</v>
      </c>
      <c r="H290" t="s">
        <v>15</v>
      </c>
      <c r="I290" s="1">
        <v>5</v>
      </c>
      <c r="J290" s="2">
        <v>2887.9500000000003</v>
      </c>
    </row>
    <row r="291" spans="2:10" x14ac:dyDescent="0.2">
      <c r="B291" t="s">
        <v>690</v>
      </c>
      <c r="C291" t="s">
        <v>418</v>
      </c>
      <c r="D291" t="s">
        <v>691</v>
      </c>
      <c r="E291" t="s">
        <v>16</v>
      </c>
      <c r="F291" t="s">
        <v>17</v>
      </c>
      <c r="G291" t="s">
        <v>1034</v>
      </c>
      <c r="H291" t="s">
        <v>15</v>
      </c>
      <c r="I291" s="1">
        <v>1</v>
      </c>
      <c r="J291" s="2">
        <v>577.59</v>
      </c>
    </row>
    <row r="292" spans="2:10" x14ac:dyDescent="0.2">
      <c r="B292" t="s">
        <v>690</v>
      </c>
      <c r="C292" t="s">
        <v>186</v>
      </c>
      <c r="D292" t="s">
        <v>691</v>
      </c>
      <c r="E292" t="s">
        <v>19</v>
      </c>
      <c r="F292" t="s">
        <v>20</v>
      </c>
      <c r="G292" t="s">
        <v>14</v>
      </c>
      <c r="H292" t="s">
        <v>21</v>
      </c>
      <c r="I292" s="1">
        <v>1</v>
      </c>
      <c r="J292" s="2">
        <v>431.04</v>
      </c>
    </row>
    <row r="293" spans="2:10" x14ac:dyDescent="0.2">
      <c r="B293" t="s">
        <v>690</v>
      </c>
      <c r="C293" t="s">
        <v>197</v>
      </c>
      <c r="D293" t="s">
        <v>691</v>
      </c>
      <c r="E293" t="s">
        <v>167</v>
      </c>
      <c r="F293" t="s">
        <v>168</v>
      </c>
      <c r="G293" t="s">
        <v>1033</v>
      </c>
      <c r="H293" t="s">
        <v>30</v>
      </c>
      <c r="I293" s="1">
        <v>1</v>
      </c>
      <c r="J293" s="2">
        <v>1267.24</v>
      </c>
    </row>
    <row r="294" spans="2:10" x14ac:dyDescent="0.2">
      <c r="B294" t="s">
        <v>690</v>
      </c>
      <c r="C294" t="s">
        <v>197</v>
      </c>
      <c r="D294" t="s">
        <v>691</v>
      </c>
      <c r="E294" t="s">
        <v>350</v>
      </c>
      <c r="F294" t="s">
        <v>351</v>
      </c>
      <c r="G294" t="s">
        <v>1033</v>
      </c>
      <c r="H294" t="s">
        <v>30</v>
      </c>
      <c r="I294" s="1">
        <v>1</v>
      </c>
      <c r="J294" s="2">
        <v>818.97</v>
      </c>
    </row>
    <row r="295" spans="2:10" x14ac:dyDescent="0.2">
      <c r="B295" t="s">
        <v>690</v>
      </c>
      <c r="C295" t="s">
        <v>197</v>
      </c>
      <c r="D295" t="s">
        <v>691</v>
      </c>
      <c r="E295" t="s">
        <v>278</v>
      </c>
      <c r="F295" t="s">
        <v>279</v>
      </c>
      <c r="G295" t="s">
        <v>1033</v>
      </c>
      <c r="H295" t="s">
        <v>30</v>
      </c>
      <c r="I295" s="1">
        <v>1</v>
      </c>
      <c r="J295" s="2">
        <v>112.07</v>
      </c>
    </row>
    <row r="296" spans="2:10" x14ac:dyDescent="0.2">
      <c r="B296" t="s">
        <v>690</v>
      </c>
      <c r="C296" t="s">
        <v>197</v>
      </c>
      <c r="D296" t="s">
        <v>691</v>
      </c>
      <c r="E296" t="s">
        <v>177</v>
      </c>
      <c r="F296" t="s">
        <v>178</v>
      </c>
      <c r="G296" t="s">
        <v>1033</v>
      </c>
      <c r="H296" t="s">
        <v>30</v>
      </c>
      <c r="I296" s="1">
        <v>1</v>
      </c>
      <c r="J296" s="2">
        <v>637.92999999999995</v>
      </c>
    </row>
    <row r="297" spans="2:10" x14ac:dyDescent="0.2">
      <c r="B297" t="s">
        <v>690</v>
      </c>
      <c r="C297" t="s">
        <v>197</v>
      </c>
      <c r="D297" t="s">
        <v>691</v>
      </c>
      <c r="E297" t="s">
        <v>729</v>
      </c>
      <c r="F297" t="s">
        <v>730</v>
      </c>
      <c r="G297" t="s">
        <v>1033</v>
      </c>
      <c r="H297" t="s">
        <v>30</v>
      </c>
      <c r="I297" s="1">
        <v>1</v>
      </c>
      <c r="J297" s="2">
        <v>1724.14</v>
      </c>
    </row>
    <row r="298" spans="2:10" x14ac:dyDescent="0.2">
      <c r="B298" t="s">
        <v>690</v>
      </c>
      <c r="C298" t="s">
        <v>197</v>
      </c>
      <c r="D298" t="s">
        <v>691</v>
      </c>
      <c r="E298" t="s">
        <v>12</v>
      </c>
      <c r="F298" t="s">
        <v>13</v>
      </c>
      <c r="G298" t="s">
        <v>1034</v>
      </c>
      <c r="H298" t="s">
        <v>15</v>
      </c>
      <c r="I298" s="1">
        <v>2</v>
      </c>
      <c r="J298" s="2">
        <v>2155.1799999999998</v>
      </c>
    </row>
    <row r="299" spans="2:10" x14ac:dyDescent="0.2">
      <c r="B299" t="s">
        <v>690</v>
      </c>
      <c r="C299" t="s">
        <v>197</v>
      </c>
      <c r="D299" t="s">
        <v>691</v>
      </c>
      <c r="E299" t="s">
        <v>72</v>
      </c>
      <c r="F299" t="s">
        <v>73</v>
      </c>
      <c r="G299" t="s">
        <v>1034</v>
      </c>
      <c r="H299" t="s">
        <v>15</v>
      </c>
      <c r="I299" s="1">
        <v>1</v>
      </c>
      <c r="J299" s="2">
        <v>775.86</v>
      </c>
    </row>
    <row r="300" spans="2:10" x14ac:dyDescent="0.2">
      <c r="B300" t="s">
        <v>690</v>
      </c>
      <c r="C300" t="s">
        <v>197</v>
      </c>
      <c r="D300" t="s">
        <v>691</v>
      </c>
      <c r="E300" t="s">
        <v>444</v>
      </c>
      <c r="F300" t="s">
        <v>445</v>
      </c>
      <c r="G300" t="s">
        <v>14</v>
      </c>
      <c r="H300" t="s">
        <v>27</v>
      </c>
      <c r="I300" s="1">
        <v>2</v>
      </c>
      <c r="J300" s="2">
        <v>1017.24</v>
      </c>
    </row>
    <row r="301" spans="2:10" x14ac:dyDescent="0.2">
      <c r="B301" t="s">
        <v>690</v>
      </c>
      <c r="C301" t="s">
        <v>197</v>
      </c>
      <c r="D301" t="s">
        <v>691</v>
      </c>
      <c r="E301" t="s">
        <v>38</v>
      </c>
      <c r="F301" t="s">
        <v>39</v>
      </c>
      <c r="G301" t="s">
        <v>1034</v>
      </c>
      <c r="H301" t="s">
        <v>15</v>
      </c>
      <c r="I301" s="1">
        <v>4</v>
      </c>
      <c r="J301" s="2">
        <v>1724.12</v>
      </c>
    </row>
    <row r="302" spans="2:10" x14ac:dyDescent="0.2">
      <c r="B302" t="s">
        <v>690</v>
      </c>
      <c r="C302" t="s">
        <v>197</v>
      </c>
      <c r="D302" t="s">
        <v>691</v>
      </c>
      <c r="E302" t="s">
        <v>406</v>
      </c>
      <c r="F302" t="s">
        <v>407</v>
      </c>
      <c r="G302" t="s">
        <v>14</v>
      </c>
      <c r="H302" t="s">
        <v>104</v>
      </c>
      <c r="I302" s="1">
        <v>6</v>
      </c>
      <c r="J302" s="2">
        <v>103.44</v>
      </c>
    </row>
    <row r="303" spans="2:10" x14ac:dyDescent="0.2">
      <c r="B303" t="s">
        <v>690</v>
      </c>
      <c r="C303" t="s">
        <v>197</v>
      </c>
      <c r="D303" t="s">
        <v>691</v>
      </c>
      <c r="E303" t="s">
        <v>61</v>
      </c>
      <c r="F303" t="s">
        <v>62</v>
      </c>
      <c r="G303" t="s">
        <v>1034</v>
      </c>
      <c r="H303" t="s">
        <v>15</v>
      </c>
      <c r="I303" s="1">
        <v>3</v>
      </c>
      <c r="J303" s="2">
        <v>517.23</v>
      </c>
    </row>
    <row r="304" spans="2:10" x14ac:dyDescent="0.2">
      <c r="B304" t="s">
        <v>690</v>
      </c>
      <c r="C304" t="s">
        <v>197</v>
      </c>
      <c r="D304" t="s">
        <v>691</v>
      </c>
      <c r="E304" t="s">
        <v>63</v>
      </c>
      <c r="F304" t="s">
        <v>64</v>
      </c>
      <c r="G304" t="s">
        <v>1034</v>
      </c>
      <c r="H304" t="s">
        <v>15</v>
      </c>
      <c r="I304" s="1">
        <v>3</v>
      </c>
      <c r="J304" s="2">
        <v>517.23</v>
      </c>
    </row>
    <row r="305" spans="2:10" x14ac:dyDescent="0.2">
      <c r="B305" t="s">
        <v>690</v>
      </c>
      <c r="C305" t="s">
        <v>197</v>
      </c>
      <c r="D305" t="s">
        <v>691</v>
      </c>
      <c r="E305" t="s">
        <v>79</v>
      </c>
      <c r="F305" t="s">
        <v>80</v>
      </c>
      <c r="G305" t="s">
        <v>43</v>
      </c>
      <c r="H305" t="s">
        <v>81</v>
      </c>
      <c r="I305" s="1">
        <v>1</v>
      </c>
      <c r="J305" s="2">
        <v>1810.34</v>
      </c>
    </row>
    <row r="306" spans="2:10" x14ac:dyDescent="0.2">
      <c r="B306" t="s">
        <v>690</v>
      </c>
      <c r="C306" t="s">
        <v>206</v>
      </c>
      <c r="D306" t="s">
        <v>691</v>
      </c>
      <c r="E306" t="s">
        <v>41</v>
      </c>
      <c r="F306" t="s">
        <v>42</v>
      </c>
      <c r="G306" t="s">
        <v>1033</v>
      </c>
      <c r="H306" t="s">
        <v>30</v>
      </c>
      <c r="I306" s="1">
        <v>2</v>
      </c>
      <c r="J306" s="2">
        <v>68.959999999999994</v>
      </c>
    </row>
    <row r="307" spans="2:10" x14ac:dyDescent="0.2">
      <c r="B307" t="s">
        <v>690</v>
      </c>
      <c r="C307" t="s">
        <v>206</v>
      </c>
      <c r="D307" t="s">
        <v>691</v>
      </c>
      <c r="E307" t="s">
        <v>731</v>
      </c>
      <c r="F307" t="s">
        <v>732</v>
      </c>
      <c r="G307" t="s">
        <v>14</v>
      </c>
      <c r="H307" t="s">
        <v>27</v>
      </c>
      <c r="I307" s="1">
        <v>1</v>
      </c>
      <c r="J307" s="2">
        <v>413.79</v>
      </c>
    </row>
    <row r="308" spans="2:10" x14ac:dyDescent="0.2">
      <c r="B308" t="s">
        <v>690</v>
      </c>
      <c r="C308" t="s">
        <v>206</v>
      </c>
      <c r="D308" t="s">
        <v>691</v>
      </c>
      <c r="E308" t="s">
        <v>635</v>
      </c>
      <c r="F308" t="s">
        <v>636</v>
      </c>
      <c r="G308" t="s">
        <v>43</v>
      </c>
      <c r="H308" t="s">
        <v>403</v>
      </c>
      <c r="I308" s="1">
        <v>1</v>
      </c>
      <c r="J308" s="2">
        <v>159.47999999999999</v>
      </c>
    </row>
    <row r="309" spans="2:10" x14ac:dyDescent="0.2">
      <c r="B309" t="s">
        <v>690</v>
      </c>
      <c r="C309" t="s">
        <v>206</v>
      </c>
      <c r="D309" t="s">
        <v>691</v>
      </c>
      <c r="E309" t="s">
        <v>605</v>
      </c>
      <c r="F309" t="s">
        <v>606</v>
      </c>
      <c r="G309" t="s">
        <v>1033</v>
      </c>
      <c r="H309" t="s">
        <v>30</v>
      </c>
      <c r="I309" s="1">
        <v>1</v>
      </c>
      <c r="J309" s="2">
        <v>465.52</v>
      </c>
    </row>
    <row r="310" spans="2:10" x14ac:dyDescent="0.2">
      <c r="B310" t="s">
        <v>690</v>
      </c>
      <c r="C310" t="s">
        <v>206</v>
      </c>
      <c r="D310" t="s">
        <v>691</v>
      </c>
      <c r="E310" t="s">
        <v>38</v>
      </c>
      <c r="F310" t="s">
        <v>39</v>
      </c>
      <c r="G310" t="s">
        <v>1034</v>
      </c>
      <c r="H310" t="s">
        <v>15</v>
      </c>
      <c r="I310" s="1">
        <v>1</v>
      </c>
      <c r="J310" s="2">
        <v>431.03</v>
      </c>
    </row>
    <row r="311" spans="2:10" x14ac:dyDescent="0.2">
      <c r="B311" t="s">
        <v>690</v>
      </c>
      <c r="C311" t="s">
        <v>206</v>
      </c>
      <c r="D311" t="s">
        <v>691</v>
      </c>
      <c r="E311" t="s">
        <v>181</v>
      </c>
      <c r="F311" t="s">
        <v>182</v>
      </c>
      <c r="G311" t="s">
        <v>43</v>
      </c>
      <c r="H311" t="s">
        <v>81</v>
      </c>
      <c r="I311" s="1">
        <v>1</v>
      </c>
      <c r="J311" s="2">
        <v>1379.31</v>
      </c>
    </row>
    <row r="312" spans="2:10" x14ac:dyDescent="0.2">
      <c r="B312" t="s">
        <v>690</v>
      </c>
      <c r="C312" t="s">
        <v>220</v>
      </c>
      <c r="D312" t="s">
        <v>691</v>
      </c>
      <c r="E312" t="s">
        <v>41</v>
      </c>
      <c r="F312" t="s">
        <v>42</v>
      </c>
      <c r="G312" t="s">
        <v>1033</v>
      </c>
      <c r="H312" t="s">
        <v>30</v>
      </c>
      <c r="I312" s="1">
        <v>2</v>
      </c>
      <c r="J312" s="2">
        <v>68.97</v>
      </c>
    </row>
    <row r="313" spans="2:10" x14ac:dyDescent="0.2">
      <c r="B313" t="s">
        <v>740</v>
      </c>
      <c r="C313" t="s">
        <v>335</v>
      </c>
      <c r="D313" t="s">
        <v>741</v>
      </c>
      <c r="E313" t="s">
        <v>756</v>
      </c>
      <c r="F313" t="s">
        <v>757</v>
      </c>
      <c r="G313" t="s">
        <v>1033</v>
      </c>
      <c r="H313" t="s">
        <v>30</v>
      </c>
      <c r="I313" s="1">
        <v>1</v>
      </c>
      <c r="J313" s="2">
        <v>1956.9</v>
      </c>
    </row>
    <row r="314" spans="2:10" x14ac:dyDescent="0.2">
      <c r="B314" t="s">
        <v>740</v>
      </c>
      <c r="C314" t="s">
        <v>335</v>
      </c>
      <c r="D314" t="s">
        <v>741</v>
      </c>
      <c r="E314" t="s">
        <v>36</v>
      </c>
      <c r="F314" t="s">
        <v>37</v>
      </c>
      <c r="G314" t="s">
        <v>1034</v>
      </c>
      <c r="H314" t="s">
        <v>15</v>
      </c>
      <c r="I314" s="1">
        <v>1</v>
      </c>
      <c r="J314" s="2">
        <v>301.72000000000003</v>
      </c>
    </row>
    <row r="315" spans="2:10" x14ac:dyDescent="0.2">
      <c r="B315" t="s">
        <v>740</v>
      </c>
      <c r="C315" t="s">
        <v>418</v>
      </c>
      <c r="D315" t="s">
        <v>741</v>
      </c>
      <c r="E315" t="s">
        <v>193</v>
      </c>
      <c r="F315" t="s">
        <v>194</v>
      </c>
      <c r="G315" t="s">
        <v>1034</v>
      </c>
      <c r="H315" t="s">
        <v>15</v>
      </c>
      <c r="I315" s="1">
        <v>1</v>
      </c>
      <c r="J315" s="2">
        <v>1293.0999999999999</v>
      </c>
    </row>
    <row r="316" spans="2:10" x14ac:dyDescent="0.2">
      <c r="B316" t="s">
        <v>740</v>
      </c>
      <c r="C316" t="s">
        <v>186</v>
      </c>
      <c r="D316" t="s">
        <v>741</v>
      </c>
      <c r="E316" t="s">
        <v>671</v>
      </c>
      <c r="F316" t="s">
        <v>672</v>
      </c>
      <c r="G316" t="s">
        <v>14</v>
      </c>
      <c r="H316" t="s">
        <v>35</v>
      </c>
      <c r="I316" s="1">
        <v>2</v>
      </c>
      <c r="J316" s="2">
        <v>155.16999999999999</v>
      </c>
    </row>
    <row r="317" spans="2:10" x14ac:dyDescent="0.2">
      <c r="B317" t="s">
        <v>740</v>
      </c>
      <c r="C317" t="s">
        <v>186</v>
      </c>
      <c r="D317" t="s">
        <v>741</v>
      </c>
      <c r="E317" t="s">
        <v>214</v>
      </c>
      <c r="F317" t="s">
        <v>215</v>
      </c>
      <c r="G317" t="s">
        <v>1034</v>
      </c>
      <c r="H317" t="s">
        <v>15</v>
      </c>
      <c r="I317" s="1">
        <v>2</v>
      </c>
      <c r="J317" s="2">
        <v>603.44000000000005</v>
      </c>
    </row>
    <row r="318" spans="2:10" x14ac:dyDescent="0.2">
      <c r="B318" t="s">
        <v>740</v>
      </c>
      <c r="C318" t="s">
        <v>186</v>
      </c>
      <c r="D318" t="s">
        <v>741</v>
      </c>
      <c r="E318" t="s">
        <v>16</v>
      </c>
      <c r="F318" t="s">
        <v>17</v>
      </c>
      <c r="G318" t="s">
        <v>1034</v>
      </c>
      <c r="H318" t="s">
        <v>15</v>
      </c>
      <c r="I318" s="1">
        <v>1</v>
      </c>
      <c r="J318" s="2">
        <v>577.59</v>
      </c>
    </row>
    <row r="319" spans="2:10" x14ac:dyDescent="0.2">
      <c r="B319" t="s">
        <v>740</v>
      </c>
      <c r="C319" t="s">
        <v>186</v>
      </c>
      <c r="D319" t="s">
        <v>741</v>
      </c>
      <c r="E319" t="s">
        <v>758</v>
      </c>
      <c r="F319" t="s">
        <v>759</v>
      </c>
      <c r="G319" t="s">
        <v>1033</v>
      </c>
      <c r="H319" t="s">
        <v>30</v>
      </c>
      <c r="I319" s="1">
        <v>1</v>
      </c>
      <c r="J319" s="2">
        <v>1681.03</v>
      </c>
    </row>
    <row r="320" spans="2:10" x14ac:dyDescent="0.2">
      <c r="B320" t="s">
        <v>740</v>
      </c>
      <c r="C320" t="s">
        <v>197</v>
      </c>
      <c r="D320" t="s">
        <v>130</v>
      </c>
      <c r="E320" t="s">
        <v>486</v>
      </c>
      <c r="F320" t="s">
        <v>487</v>
      </c>
      <c r="G320" t="s">
        <v>1033</v>
      </c>
      <c r="H320" t="s">
        <v>30</v>
      </c>
      <c r="I320" s="1">
        <v>1</v>
      </c>
      <c r="J320" s="2">
        <v>258.62</v>
      </c>
    </row>
    <row r="321" spans="2:10" x14ac:dyDescent="0.2">
      <c r="B321" t="s">
        <v>740</v>
      </c>
      <c r="C321" t="s">
        <v>197</v>
      </c>
      <c r="D321" t="s">
        <v>130</v>
      </c>
      <c r="E321" t="s">
        <v>358</v>
      </c>
      <c r="F321" t="s">
        <v>359</v>
      </c>
      <c r="G321" t="s">
        <v>1033</v>
      </c>
      <c r="H321" t="s">
        <v>30</v>
      </c>
      <c r="I321" s="1">
        <v>1</v>
      </c>
      <c r="J321" s="2">
        <v>1500</v>
      </c>
    </row>
    <row r="322" spans="2:10" x14ac:dyDescent="0.2">
      <c r="B322" t="s">
        <v>740</v>
      </c>
      <c r="C322" t="s">
        <v>197</v>
      </c>
      <c r="D322" t="s">
        <v>130</v>
      </c>
      <c r="E322" t="s">
        <v>36</v>
      </c>
      <c r="F322" t="s">
        <v>37</v>
      </c>
      <c r="G322" t="s">
        <v>1034</v>
      </c>
      <c r="H322" t="s">
        <v>15</v>
      </c>
      <c r="I322" s="1">
        <v>1</v>
      </c>
      <c r="J322" s="2">
        <v>301.72000000000003</v>
      </c>
    </row>
    <row r="323" spans="2:10" x14ac:dyDescent="0.2">
      <c r="B323" t="s">
        <v>740</v>
      </c>
      <c r="C323" t="s">
        <v>197</v>
      </c>
      <c r="D323" t="s">
        <v>130</v>
      </c>
      <c r="E323" t="s">
        <v>760</v>
      </c>
      <c r="F323" t="s">
        <v>761</v>
      </c>
      <c r="G323" t="s">
        <v>1033</v>
      </c>
      <c r="H323" t="s">
        <v>30</v>
      </c>
      <c r="I323" s="1">
        <v>1</v>
      </c>
      <c r="J323" s="2">
        <v>1896.55</v>
      </c>
    </row>
    <row r="324" spans="2:10" x14ac:dyDescent="0.2">
      <c r="B324" t="s">
        <v>740</v>
      </c>
      <c r="C324" t="s">
        <v>197</v>
      </c>
      <c r="D324" t="s">
        <v>130</v>
      </c>
      <c r="E324" t="s">
        <v>191</v>
      </c>
      <c r="F324" t="s">
        <v>192</v>
      </c>
      <c r="G324" t="s">
        <v>43</v>
      </c>
      <c r="H324" t="s">
        <v>50</v>
      </c>
      <c r="I324" s="1">
        <v>1</v>
      </c>
      <c r="J324" s="2">
        <v>3534.48</v>
      </c>
    </row>
    <row r="325" spans="2:10" x14ac:dyDescent="0.2">
      <c r="B325" t="s">
        <v>740</v>
      </c>
      <c r="C325" t="s">
        <v>197</v>
      </c>
      <c r="D325" t="s">
        <v>130</v>
      </c>
      <c r="E325" t="s">
        <v>163</v>
      </c>
      <c r="F325" t="s">
        <v>164</v>
      </c>
      <c r="G325" t="s">
        <v>1034</v>
      </c>
      <c r="H325" t="s">
        <v>15</v>
      </c>
      <c r="I325" s="1">
        <v>1</v>
      </c>
      <c r="J325" s="2">
        <v>431.03</v>
      </c>
    </row>
    <row r="326" spans="2:10" x14ac:dyDescent="0.2">
      <c r="B326" t="s">
        <v>740</v>
      </c>
      <c r="C326" t="s">
        <v>197</v>
      </c>
      <c r="D326" t="s">
        <v>130</v>
      </c>
      <c r="E326" t="s">
        <v>16</v>
      </c>
      <c r="F326" t="s">
        <v>17</v>
      </c>
      <c r="G326" t="s">
        <v>1034</v>
      </c>
      <c r="H326" t="s">
        <v>15</v>
      </c>
      <c r="I326" s="1">
        <v>1</v>
      </c>
      <c r="J326" s="2">
        <v>577.59</v>
      </c>
    </row>
    <row r="327" spans="2:10" x14ac:dyDescent="0.2">
      <c r="B327" t="s">
        <v>740</v>
      </c>
      <c r="C327" t="s">
        <v>206</v>
      </c>
      <c r="D327" t="s">
        <v>741</v>
      </c>
      <c r="E327" t="s">
        <v>41</v>
      </c>
      <c r="F327" t="s">
        <v>42</v>
      </c>
      <c r="G327" t="s">
        <v>1033</v>
      </c>
      <c r="H327" t="s">
        <v>30</v>
      </c>
      <c r="I327" s="1">
        <v>6</v>
      </c>
      <c r="J327" s="2">
        <v>206.9</v>
      </c>
    </row>
    <row r="328" spans="2:10" x14ac:dyDescent="0.2">
      <c r="B328" t="s">
        <v>740</v>
      </c>
      <c r="C328" t="s">
        <v>206</v>
      </c>
      <c r="D328" t="s">
        <v>741</v>
      </c>
      <c r="E328" t="s">
        <v>167</v>
      </c>
      <c r="F328" t="s">
        <v>168</v>
      </c>
      <c r="G328" t="s">
        <v>1033</v>
      </c>
      <c r="H328" t="s">
        <v>30</v>
      </c>
      <c r="I328" s="1">
        <v>1</v>
      </c>
      <c r="J328" s="2">
        <v>1267.24</v>
      </c>
    </row>
    <row r="329" spans="2:10" x14ac:dyDescent="0.2">
      <c r="B329" t="s">
        <v>740</v>
      </c>
      <c r="C329" t="s">
        <v>206</v>
      </c>
      <c r="D329" t="s">
        <v>741</v>
      </c>
      <c r="E329" t="s">
        <v>19</v>
      </c>
      <c r="F329" t="s">
        <v>20</v>
      </c>
      <c r="G329" t="s">
        <v>14</v>
      </c>
      <c r="H329" t="s">
        <v>21</v>
      </c>
      <c r="I329" s="1">
        <v>1</v>
      </c>
      <c r="J329" s="2">
        <v>431.04</v>
      </c>
    </row>
    <row r="330" spans="2:10" x14ac:dyDescent="0.2">
      <c r="B330" t="s">
        <v>740</v>
      </c>
      <c r="C330" t="s">
        <v>206</v>
      </c>
      <c r="D330" t="s">
        <v>741</v>
      </c>
      <c r="E330" t="s">
        <v>566</v>
      </c>
      <c r="F330" t="s">
        <v>567</v>
      </c>
      <c r="G330" t="s">
        <v>14</v>
      </c>
      <c r="H330" t="s">
        <v>35</v>
      </c>
      <c r="I330" s="1">
        <v>2</v>
      </c>
      <c r="J330" s="2">
        <v>155.16999999999999</v>
      </c>
    </row>
    <row r="331" spans="2:10" x14ac:dyDescent="0.2">
      <c r="B331" t="s">
        <v>740</v>
      </c>
      <c r="C331" t="s">
        <v>206</v>
      </c>
      <c r="D331" t="s">
        <v>741</v>
      </c>
      <c r="E331" t="s">
        <v>201</v>
      </c>
      <c r="F331" t="s">
        <v>202</v>
      </c>
      <c r="G331" t="s">
        <v>1033</v>
      </c>
      <c r="H331" t="s">
        <v>30</v>
      </c>
      <c r="I331" s="1">
        <v>1</v>
      </c>
      <c r="J331" s="2">
        <v>948.28</v>
      </c>
    </row>
    <row r="332" spans="2:10" x14ac:dyDescent="0.2">
      <c r="B332" t="s">
        <v>740</v>
      </c>
      <c r="C332" t="s">
        <v>206</v>
      </c>
      <c r="D332" t="s">
        <v>741</v>
      </c>
      <c r="E332" t="s">
        <v>214</v>
      </c>
      <c r="F332" t="s">
        <v>215</v>
      </c>
      <c r="G332" t="s">
        <v>1034</v>
      </c>
      <c r="H332" t="s">
        <v>15</v>
      </c>
      <c r="I332" s="1">
        <v>1</v>
      </c>
      <c r="J332" s="2">
        <v>301.72000000000003</v>
      </c>
    </row>
    <row r="333" spans="2:10" x14ac:dyDescent="0.2">
      <c r="B333" t="s">
        <v>740</v>
      </c>
      <c r="C333" t="s">
        <v>206</v>
      </c>
      <c r="D333" t="s">
        <v>741</v>
      </c>
      <c r="E333" t="s">
        <v>36</v>
      </c>
      <c r="F333" t="s">
        <v>37</v>
      </c>
      <c r="G333" t="s">
        <v>1034</v>
      </c>
      <c r="H333" t="s">
        <v>15</v>
      </c>
      <c r="I333" s="1">
        <v>1</v>
      </c>
      <c r="J333" s="2">
        <v>301.72000000000003</v>
      </c>
    </row>
    <row r="334" spans="2:10" x14ac:dyDescent="0.2">
      <c r="B334" t="s">
        <v>740</v>
      </c>
      <c r="C334" t="s">
        <v>206</v>
      </c>
      <c r="D334" t="s">
        <v>741</v>
      </c>
      <c r="E334" t="s">
        <v>342</v>
      </c>
      <c r="F334" t="s">
        <v>343</v>
      </c>
      <c r="G334" t="s">
        <v>1033</v>
      </c>
      <c r="H334" t="s">
        <v>30</v>
      </c>
      <c r="I334" s="1">
        <v>1</v>
      </c>
      <c r="J334" s="2">
        <v>1681.03</v>
      </c>
    </row>
    <row r="335" spans="2:10" x14ac:dyDescent="0.2">
      <c r="B335" t="s">
        <v>740</v>
      </c>
      <c r="C335" t="s">
        <v>206</v>
      </c>
      <c r="D335" t="s">
        <v>741</v>
      </c>
      <c r="E335" t="s">
        <v>61</v>
      </c>
      <c r="F335" t="s">
        <v>62</v>
      </c>
      <c r="G335" t="s">
        <v>1034</v>
      </c>
      <c r="H335" t="s">
        <v>15</v>
      </c>
      <c r="I335" s="1">
        <v>1</v>
      </c>
      <c r="J335" s="2">
        <v>172.41</v>
      </c>
    </row>
    <row r="336" spans="2:10" x14ac:dyDescent="0.2">
      <c r="B336" t="s">
        <v>740</v>
      </c>
      <c r="C336" t="s">
        <v>206</v>
      </c>
      <c r="D336" t="s">
        <v>741</v>
      </c>
      <c r="E336" t="s">
        <v>63</v>
      </c>
      <c r="F336" t="s">
        <v>64</v>
      </c>
      <c r="G336" t="s">
        <v>1034</v>
      </c>
      <c r="H336" t="s">
        <v>15</v>
      </c>
      <c r="I336" s="1">
        <v>1</v>
      </c>
      <c r="J336" s="2">
        <v>172.41</v>
      </c>
    </row>
    <row r="337" spans="2:10" x14ac:dyDescent="0.2">
      <c r="B337" t="s">
        <v>740</v>
      </c>
      <c r="C337" t="s">
        <v>206</v>
      </c>
      <c r="D337" t="s">
        <v>741</v>
      </c>
      <c r="E337" t="s">
        <v>16</v>
      </c>
      <c r="F337" t="s">
        <v>17</v>
      </c>
      <c r="G337" t="s">
        <v>1034</v>
      </c>
      <c r="H337" t="s">
        <v>15</v>
      </c>
      <c r="I337" s="1">
        <v>2</v>
      </c>
      <c r="J337" s="2">
        <v>1155.18</v>
      </c>
    </row>
    <row r="338" spans="2:10" x14ac:dyDescent="0.2">
      <c r="B338" t="s">
        <v>740</v>
      </c>
      <c r="C338" t="s">
        <v>206</v>
      </c>
      <c r="D338" t="s">
        <v>741</v>
      </c>
      <c r="E338" t="s">
        <v>193</v>
      </c>
      <c r="F338" t="s">
        <v>194</v>
      </c>
      <c r="G338" t="s">
        <v>1034</v>
      </c>
      <c r="H338" t="s">
        <v>15</v>
      </c>
      <c r="I338" s="1">
        <v>1</v>
      </c>
      <c r="J338" s="2">
        <v>1293.0999999999999</v>
      </c>
    </row>
    <row r="339" spans="2:10" x14ac:dyDescent="0.2">
      <c r="B339" t="s">
        <v>740</v>
      </c>
      <c r="C339" t="s">
        <v>220</v>
      </c>
      <c r="D339" t="s">
        <v>741</v>
      </c>
      <c r="E339" t="s">
        <v>214</v>
      </c>
      <c r="F339" t="s">
        <v>215</v>
      </c>
      <c r="G339" t="s">
        <v>1034</v>
      </c>
      <c r="H339" t="s">
        <v>15</v>
      </c>
      <c r="I339" s="1">
        <v>1</v>
      </c>
      <c r="J339" s="2">
        <v>301.72000000000003</v>
      </c>
    </row>
    <row r="340" spans="2:10" x14ac:dyDescent="0.2">
      <c r="B340" t="s">
        <v>740</v>
      </c>
      <c r="C340" t="s">
        <v>220</v>
      </c>
      <c r="D340" t="s">
        <v>741</v>
      </c>
      <c r="E340" t="s">
        <v>36</v>
      </c>
      <c r="F340" t="s">
        <v>37</v>
      </c>
      <c r="G340" t="s">
        <v>1034</v>
      </c>
      <c r="H340" t="s">
        <v>15</v>
      </c>
      <c r="I340" s="1">
        <v>1</v>
      </c>
      <c r="J340" s="2">
        <v>301.72000000000003</v>
      </c>
    </row>
    <row r="341" spans="2:10" x14ac:dyDescent="0.2">
      <c r="B341" t="s">
        <v>740</v>
      </c>
      <c r="C341" t="s">
        <v>220</v>
      </c>
      <c r="D341" t="s">
        <v>741</v>
      </c>
      <c r="E341" t="s">
        <v>16</v>
      </c>
      <c r="F341" t="s">
        <v>17</v>
      </c>
      <c r="G341" t="s">
        <v>1034</v>
      </c>
      <c r="H341" t="s">
        <v>15</v>
      </c>
      <c r="I341" s="1">
        <v>1</v>
      </c>
      <c r="J341" s="2">
        <v>577.59</v>
      </c>
    </row>
    <row r="342" spans="2:10" x14ac:dyDescent="0.2">
      <c r="B342" t="s">
        <v>740</v>
      </c>
      <c r="C342" t="s">
        <v>220</v>
      </c>
      <c r="D342" t="s">
        <v>741</v>
      </c>
      <c r="E342" t="s">
        <v>762</v>
      </c>
      <c r="F342" t="s">
        <v>763</v>
      </c>
      <c r="G342" t="s">
        <v>1033</v>
      </c>
      <c r="H342" t="s">
        <v>30</v>
      </c>
      <c r="I342" s="1">
        <v>1</v>
      </c>
      <c r="J342" s="2">
        <v>2396.5500000000002</v>
      </c>
    </row>
    <row r="343" spans="2:10" x14ac:dyDescent="0.2">
      <c r="B343" t="s">
        <v>780</v>
      </c>
      <c r="C343" t="s">
        <v>335</v>
      </c>
      <c r="D343" t="s">
        <v>781</v>
      </c>
      <c r="E343" t="s">
        <v>810</v>
      </c>
      <c r="F343" t="s">
        <v>811</v>
      </c>
      <c r="G343" t="s">
        <v>1033</v>
      </c>
      <c r="H343" t="s">
        <v>30</v>
      </c>
      <c r="I343" s="1">
        <v>1</v>
      </c>
      <c r="J343" s="2">
        <v>318.97000000000003</v>
      </c>
    </row>
    <row r="344" spans="2:10" x14ac:dyDescent="0.2">
      <c r="B344" t="s">
        <v>780</v>
      </c>
      <c r="C344" t="s">
        <v>335</v>
      </c>
      <c r="D344" t="s">
        <v>781</v>
      </c>
      <c r="E344" t="s">
        <v>251</v>
      </c>
      <c r="F344" t="s">
        <v>252</v>
      </c>
      <c r="G344" t="s">
        <v>1033</v>
      </c>
      <c r="H344" t="s">
        <v>30</v>
      </c>
      <c r="I344" s="1">
        <v>1</v>
      </c>
      <c r="J344" s="2">
        <v>1500</v>
      </c>
    </row>
    <row r="345" spans="2:10" x14ac:dyDescent="0.2">
      <c r="B345" t="s">
        <v>780</v>
      </c>
      <c r="C345" t="s">
        <v>335</v>
      </c>
      <c r="D345" t="s">
        <v>781</v>
      </c>
      <c r="E345" t="s">
        <v>505</v>
      </c>
      <c r="F345" t="s">
        <v>506</v>
      </c>
      <c r="G345" t="s">
        <v>1033</v>
      </c>
      <c r="H345" t="s">
        <v>30</v>
      </c>
      <c r="I345" s="1">
        <v>1</v>
      </c>
      <c r="J345" s="2">
        <v>775.86</v>
      </c>
    </row>
    <row r="346" spans="2:10" x14ac:dyDescent="0.2">
      <c r="B346" t="s">
        <v>780</v>
      </c>
      <c r="C346" t="s">
        <v>335</v>
      </c>
      <c r="D346" t="s">
        <v>781</v>
      </c>
      <c r="E346" t="s">
        <v>120</v>
      </c>
      <c r="F346" t="s">
        <v>121</v>
      </c>
      <c r="G346" t="s">
        <v>1034</v>
      </c>
      <c r="H346" t="s">
        <v>15</v>
      </c>
      <c r="I346" s="1">
        <v>1</v>
      </c>
      <c r="J346" s="2">
        <v>301.72000000000003</v>
      </c>
    </row>
    <row r="347" spans="2:10" x14ac:dyDescent="0.2">
      <c r="B347" t="s">
        <v>780</v>
      </c>
      <c r="C347" t="s">
        <v>335</v>
      </c>
      <c r="D347" t="s">
        <v>781</v>
      </c>
      <c r="E347" t="s">
        <v>122</v>
      </c>
      <c r="F347" t="s">
        <v>123</v>
      </c>
      <c r="G347" t="s">
        <v>1034</v>
      </c>
      <c r="H347" t="s">
        <v>15</v>
      </c>
      <c r="I347" s="1">
        <v>1</v>
      </c>
      <c r="J347" s="2">
        <v>387.93</v>
      </c>
    </row>
    <row r="348" spans="2:10" x14ac:dyDescent="0.2">
      <c r="B348" t="s">
        <v>780</v>
      </c>
      <c r="C348" t="s">
        <v>335</v>
      </c>
      <c r="D348" t="s">
        <v>781</v>
      </c>
      <c r="E348" t="s">
        <v>255</v>
      </c>
      <c r="F348" t="s">
        <v>256</v>
      </c>
      <c r="G348" t="s">
        <v>1033</v>
      </c>
      <c r="H348" t="s">
        <v>30</v>
      </c>
      <c r="I348" s="1">
        <v>1</v>
      </c>
      <c r="J348" s="2">
        <v>517.24</v>
      </c>
    </row>
    <row r="349" spans="2:10" x14ac:dyDescent="0.2">
      <c r="B349" t="s">
        <v>780</v>
      </c>
      <c r="C349" t="s">
        <v>335</v>
      </c>
      <c r="D349" t="s">
        <v>781</v>
      </c>
      <c r="E349" t="s">
        <v>223</v>
      </c>
      <c r="F349" t="s">
        <v>224</v>
      </c>
      <c r="G349" t="s">
        <v>43</v>
      </c>
      <c r="H349" t="s">
        <v>50</v>
      </c>
      <c r="I349" s="1">
        <v>1</v>
      </c>
      <c r="J349" s="2">
        <v>1637.93</v>
      </c>
    </row>
    <row r="350" spans="2:10" x14ac:dyDescent="0.2">
      <c r="B350" t="s">
        <v>780</v>
      </c>
      <c r="C350" t="s">
        <v>335</v>
      </c>
      <c r="D350" t="s">
        <v>781</v>
      </c>
      <c r="E350" t="s">
        <v>273</v>
      </c>
      <c r="F350" t="s">
        <v>274</v>
      </c>
      <c r="G350" t="s">
        <v>1033</v>
      </c>
      <c r="H350" t="s">
        <v>30</v>
      </c>
      <c r="I350" s="1">
        <v>1</v>
      </c>
      <c r="J350" s="2">
        <v>1293.0999999999999</v>
      </c>
    </row>
    <row r="351" spans="2:10" x14ac:dyDescent="0.2">
      <c r="B351" t="s">
        <v>780</v>
      </c>
      <c r="C351" t="s">
        <v>335</v>
      </c>
      <c r="D351" t="s">
        <v>781</v>
      </c>
      <c r="E351" t="s">
        <v>521</v>
      </c>
      <c r="F351" t="s">
        <v>522</v>
      </c>
      <c r="G351" t="s">
        <v>14</v>
      </c>
      <c r="H351" t="s">
        <v>104</v>
      </c>
      <c r="I351" s="1">
        <v>12</v>
      </c>
      <c r="J351" s="2">
        <v>258.60000000000002</v>
      </c>
    </row>
    <row r="352" spans="2:10" x14ac:dyDescent="0.2">
      <c r="B352" t="s">
        <v>780</v>
      </c>
      <c r="C352" t="s">
        <v>335</v>
      </c>
      <c r="D352" t="s">
        <v>781</v>
      </c>
      <c r="E352" t="s">
        <v>762</v>
      </c>
      <c r="F352" t="s">
        <v>763</v>
      </c>
      <c r="G352" t="s">
        <v>1033</v>
      </c>
      <c r="H352" t="s">
        <v>30</v>
      </c>
      <c r="I352" s="1">
        <v>1</v>
      </c>
      <c r="J352" s="2">
        <v>2396.5500000000002</v>
      </c>
    </row>
    <row r="353" spans="2:10" x14ac:dyDescent="0.2">
      <c r="B353" t="s">
        <v>780</v>
      </c>
      <c r="C353" t="s">
        <v>335</v>
      </c>
      <c r="D353" t="s">
        <v>781</v>
      </c>
      <c r="E353" t="s">
        <v>115</v>
      </c>
      <c r="F353" t="s">
        <v>116</v>
      </c>
      <c r="G353" t="s">
        <v>1033</v>
      </c>
      <c r="H353" t="s">
        <v>30</v>
      </c>
      <c r="I353" s="1">
        <v>1</v>
      </c>
      <c r="J353" s="2">
        <v>2465.52</v>
      </c>
    </row>
    <row r="354" spans="2:10" x14ac:dyDescent="0.2">
      <c r="B354" t="s">
        <v>780</v>
      </c>
      <c r="C354" t="s">
        <v>418</v>
      </c>
      <c r="D354" t="s">
        <v>781</v>
      </c>
      <c r="E354" t="s">
        <v>498</v>
      </c>
      <c r="F354" t="s">
        <v>499</v>
      </c>
      <c r="G354" t="s">
        <v>1033</v>
      </c>
      <c r="H354" t="s">
        <v>30</v>
      </c>
      <c r="I354" s="1">
        <v>1</v>
      </c>
      <c r="J354" s="2">
        <v>2672.41</v>
      </c>
    </row>
    <row r="355" spans="2:10" x14ac:dyDescent="0.2">
      <c r="B355" t="s">
        <v>780</v>
      </c>
      <c r="C355" t="s">
        <v>418</v>
      </c>
      <c r="D355" t="s">
        <v>781</v>
      </c>
      <c r="E355" t="s">
        <v>56</v>
      </c>
      <c r="F355" t="s">
        <v>57</v>
      </c>
      <c r="G355" t="s">
        <v>1034</v>
      </c>
      <c r="H355" t="s">
        <v>15</v>
      </c>
      <c r="I355" s="1">
        <v>1</v>
      </c>
      <c r="J355" s="2">
        <v>431.03</v>
      </c>
    </row>
    <row r="356" spans="2:10" x14ac:dyDescent="0.2">
      <c r="B356" t="s">
        <v>780</v>
      </c>
      <c r="C356" t="s">
        <v>418</v>
      </c>
      <c r="D356" t="s">
        <v>781</v>
      </c>
      <c r="E356" t="s">
        <v>16</v>
      </c>
      <c r="F356" t="s">
        <v>17</v>
      </c>
      <c r="G356" t="s">
        <v>1034</v>
      </c>
      <c r="H356" t="s">
        <v>15</v>
      </c>
      <c r="I356" s="1">
        <v>1</v>
      </c>
      <c r="J356" s="2">
        <v>577.59</v>
      </c>
    </row>
    <row r="357" spans="2:10" x14ac:dyDescent="0.2">
      <c r="B357" t="s">
        <v>780</v>
      </c>
      <c r="C357" t="s">
        <v>418</v>
      </c>
      <c r="D357" t="s">
        <v>781</v>
      </c>
      <c r="E357" t="s">
        <v>195</v>
      </c>
      <c r="F357" t="s">
        <v>196</v>
      </c>
      <c r="G357" t="s">
        <v>1033</v>
      </c>
      <c r="H357" t="s">
        <v>30</v>
      </c>
      <c r="I357" s="1">
        <v>1</v>
      </c>
      <c r="J357" s="2">
        <v>2120.69</v>
      </c>
    </row>
    <row r="358" spans="2:10" x14ac:dyDescent="0.2">
      <c r="B358" t="s">
        <v>780</v>
      </c>
      <c r="C358" t="s">
        <v>186</v>
      </c>
      <c r="D358" t="s">
        <v>226</v>
      </c>
      <c r="E358" t="s">
        <v>198</v>
      </c>
      <c r="F358" t="s">
        <v>199</v>
      </c>
      <c r="G358" t="s">
        <v>14</v>
      </c>
      <c r="H358" t="s">
        <v>200</v>
      </c>
      <c r="I358" s="1">
        <v>1</v>
      </c>
      <c r="J358" s="2">
        <v>594.83000000000004</v>
      </c>
    </row>
    <row r="359" spans="2:10" x14ac:dyDescent="0.2">
      <c r="B359" t="s">
        <v>780</v>
      </c>
      <c r="C359" t="s">
        <v>186</v>
      </c>
      <c r="D359" t="s">
        <v>226</v>
      </c>
      <c r="E359" t="s">
        <v>611</v>
      </c>
      <c r="F359" t="s">
        <v>612</v>
      </c>
      <c r="G359" t="s">
        <v>1033</v>
      </c>
      <c r="H359" t="s">
        <v>30</v>
      </c>
      <c r="I359" s="1">
        <v>1</v>
      </c>
      <c r="J359" s="2">
        <v>793.1</v>
      </c>
    </row>
    <row r="360" spans="2:10" x14ac:dyDescent="0.2">
      <c r="B360" t="s">
        <v>780</v>
      </c>
      <c r="C360" t="s">
        <v>186</v>
      </c>
      <c r="D360" t="s">
        <v>226</v>
      </c>
      <c r="E360" t="s">
        <v>169</v>
      </c>
      <c r="F360" t="s">
        <v>170</v>
      </c>
      <c r="G360" t="s">
        <v>1033</v>
      </c>
      <c r="H360" t="s">
        <v>30</v>
      </c>
      <c r="I360" s="1">
        <v>1</v>
      </c>
      <c r="J360" s="2">
        <v>258.62</v>
      </c>
    </row>
    <row r="361" spans="2:10" x14ac:dyDescent="0.2">
      <c r="B361" t="s">
        <v>780</v>
      </c>
      <c r="C361" t="s">
        <v>186</v>
      </c>
      <c r="D361" t="s">
        <v>226</v>
      </c>
      <c r="E361" t="s">
        <v>419</v>
      </c>
      <c r="F361" t="s">
        <v>420</v>
      </c>
      <c r="G361" t="s">
        <v>14</v>
      </c>
      <c r="H361" t="s">
        <v>35</v>
      </c>
      <c r="I361" s="1">
        <v>1</v>
      </c>
      <c r="J361" s="2">
        <v>77.59</v>
      </c>
    </row>
    <row r="362" spans="2:10" x14ac:dyDescent="0.2">
      <c r="B362" t="s">
        <v>780</v>
      </c>
      <c r="C362" t="s">
        <v>186</v>
      </c>
      <c r="D362" t="s">
        <v>226</v>
      </c>
      <c r="E362" t="s">
        <v>214</v>
      </c>
      <c r="F362" t="s">
        <v>215</v>
      </c>
      <c r="G362" t="s">
        <v>1034</v>
      </c>
      <c r="H362" t="s">
        <v>15</v>
      </c>
      <c r="I362" s="1">
        <v>1</v>
      </c>
      <c r="J362" s="2">
        <v>301.72000000000003</v>
      </c>
    </row>
    <row r="363" spans="2:10" x14ac:dyDescent="0.2">
      <c r="B363" t="s">
        <v>780</v>
      </c>
      <c r="C363" t="s">
        <v>186</v>
      </c>
      <c r="D363" t="s">
        <v>226</v>
      </c>
      <c r="E363" t="s">
        <v>16</v>
      </c>
      <c r="F363" t="s">
        <v>17</v>
      </c>
      <c r="G363" t="s">
        <v>1034</v>
      </c>
      <c r="H363" t="s">
        <v>15</v>
      </c>
      <c r="I363" s="1">
        <v>1</v>
      </c>
      <c r="J363" s="2">
        <v>577.59</v>
      </c>
    </row>
    <row r="364" spans="2:10" x14ac:dyDescent="0.2">
      <c r="B364" t="s">
        <v>780</v>
      </c>
      <c r="C364" t="s">
        <v>197</v>
      </c>
      <c r="D364" t="s">
        <v>781</v>
      </c>
      <c r="E364" t="s">
        <v>198</v>
      </c>
      <c r="F364" t="s">
        <v>199</v>
      </c>
      <c r="G364" t="s">
        <v>14</v>
      </c>
      <c r="H364" t="s">
        <v>200</v>
      </c>
      <c r="I364" s="1">
        <v>1</v>
      </c>
      <c r="J364" s="2">
        <v>594.83000000000004</v>
      </c>
    </row>
    <row r="365" spans="2:10" x14ac:dyDescent="0.2">
      <c r="B365" t="s">
        <v>780</v>
      </c>
      <c r="C365" t="s">
        <v>197</v>
      </c>
      <c r="D365" t="s">
        <v>781</v>
      </c>
      <c r="E365" t="s">
        <v>238</v>
      </c>
      <c r="F365" t="s">
        <v>239</v>
      </c>
      <c r="G365" t="s">
        <v>1033</v>
      </c>
      <c r="H365" t="s">
        <v>30</v>
      </c>
      <c r="I365" s="1">
        <v>1</v>
      </c>
      <c r="J365" s="2">
        <v>396.55</v>
      </c>
    </row>
    <row r="366" spans="2:10" x14ac:dyDescent="0.2">
      <c r="B366" t="s">
        <v>780</v>
      </c>
      <c r="C366" t="s">
        <v>197</v>
      </c>
      <c r="D366" t="s">
        <v>781</v>
      </c>
      <c r="E366" t="s">
        <v>611</v>
      </c>
      <c r="F366" t="s">
        <v>612</v>
      </c>
      <c r="G366" t="s">
        <v>1033</v>
      </c>
      <c r="H366" t="s">
        <v>30</v>
      </c>
      <c r="I366" s="1">
        <v>1</v>
      </c>
      <c r="J366" s="2">
        <v>793.1</v>
      </c>
    </row>
    <row r="367" spans="2:10" x14ac:dyDescent="0.2">
      <c r="B367" t="s">
        <v>780</v>
      </c>
      <c r="C367" t="s">
        <v>197</v>
      </c>
      <c r="D367" t="s">
        <v>781</v>
      </c>
      <c r="E367" t="s">
        <v>756</v>
      </c>
      <c r="F367" t="s">
        <v>757</v>
      </c>
      <c r="G367" t="s">
        <v>1033</v>
      </c>
      <c r="H367" t="s">
        <v>30</v>
      </c>
      <c r="I367" s="1">
        <v>1</v>
      </c>
      <c r="J367" s="2">
        <v>1956.9</v>
      </c>
    </row>
    <row r="368" spans="2:10" x14ac:dyDescent="0.2">
      <c r="B368" t="s">
        <v>780</v>
      </c>
      <c r="C368" t="s">
        <v>197</v>
      </c>
      <c r="D368" t="s">
        <v>781</v>
      </c>
      <c r="E368" t="s">
        <v>19</v>
      </c>
      <c r="F368" t="s">
        <v>20</v>
      </c>
      <c r="G368" t="s">
        <v>14</v>
      </c>
      <c r="H368" t="s">
        <v>21</v>
      </c>
      <c r="I368" s="1">
        <v>1</v>
      </c>
      <c r="J368" s="2">
        <v>431.04</v>
      </c>
    </row>
    <row r="369" spans="2:10" x14ac:dyDescent="0.2">
      <c r="B369" t="s">
        <v>780</v>
      </c>
      <c r="C369" t="s">
        <v>197</v>
      </c>
      <c r="D369" t="s">
        <v>781</v>
      </c>
      <c r="E369" t="s">
        <v>566</v>
      </c>
      <c r="F369" t="s">
        <v>567</v>
      </c>
      <c r="G369" t="s">
        <v>14</v>
      </c>
      <c r="H369" t="s">
        <v>35</v>
      </c>
      <c r="I369" s="1">
        <v>1</v>
      </c>
      <c r="J369" s="2">
        <v>77.59</v>
      </c>
    </row>
    <row r="370" spans="2:10" x14ac:dyDescent="0.2">
      <c r="B370" t="s">
        <v>780</v>
      </c>
      <c r="C370" t="s">
        <v>197</v>
      </c>
      <c r="D370" t="s">
        <v>781</v>
      </c>
      <c r="E370" t="s">
        <v>529</v>
      </c>
      <c r="F370" t="s">
        <v>530</v>
      </c>
      <c r="G370" t="s">
        <v>14</v>
      </c>
      <c r="H370" t="s">
        <v>35</v>
      </c>
      <c r="I370" s="1">
        <v>1</v>
      </c>
      <c r="J370" s="2">
        <v>77.59</v>
      </c>
    </row>
    <row r="371" spans="2:10" x14ac:dyDescent="0.2">
      <c r="B371" t="s">
        <v>780</v>
      </c>
      <c r="C371" t="s">
        <v>197</v>
      </c>
      <c r="D371" t="s">
        <v>781</v>
      </c>
      <c r="E371" t="s">
        <v>812</v>
      </c>
      <c r="F371" t="s">
        <v>813</v>
      </c>
      <c r="G371" t="s">
        <v>54</v>
      </c>
      <c r="H371" t="s">
        <v>138</v>
      </c>
      <c r="I371" s="1">
        <v>1</v>
      </c>
      <c r="J371" s="2">
        <v>489.22</v>
      </c>
    </row>
    <row r="372" spans="2:10" x14ac:dyDescent="0.2">
      <c r="B372" t="s">
        <v>780</v>
      </c>
      <c r="C372" t="s">
        <v>197</v>
      </c>
      <c r="D372" t="s">
        <v>781</v>
      </c>
      <c r="E372" t="s">
        <v>221</v>
      </c>
      <c r="F372" t="s">
        <v>222</v>
      </c>
      <c r="G372" t="s">
        <v>1034</v>
      </c>
      <c r="H372" t="s">
        <v>15</v>
      </c>
      <c r="I372" s="1">
        <v>1</v>
      </c>
      <c r="J372" s="2">
        <v>431.03</v>
      </c>
    </row>
    <row r="373" spans="2:10" x14ac:dyDescent="0.2">
      <c r="B373" t="s">
        <v>780</v>
      </c>
      <c r="C373" t="s">
        <v>197</v>
      </c>
      <c r="D373" t="s">
        <v>781</v>
      </c>
      <c r="E373" t="s">
        <v>214</v>
      </c>
      <c r="F373" t="s">
        <v>215</v>
      </c>
      <c r="G373" t="s">
        <v>1034</v>
      </c>
      <c r="H373" t="s">
        <v>15</v>
      </c>
      <c r="I373" s="1">
        <v>1</v>
      </c>
      <c r="J373" s="2">
        <v>301.72000000000003</v>
      </c>
    </row>
    <row r="374" spans="2:10" x14ac:dyDescent="0.2">
      <c r="B374" t="s">
        <v>780</v>
      </c>
      <c r="C374" t="s">
        <v>197</v>
      </c>
      <c r="D374" t="s">
        <v>781</v>
      </c>
      <c r="E374" t="s">
        <v>72</v>
      </c>
      <c r="F374" t="s">
        <v>73</v>
      </c>
      <c r="G374" t="s">
        <v>1034</v>
      </c>
      <c r="H374" t="s">
        <v>15</v>
      </c>
      <c r="I374" s="1">
        <v>1</v>
      </c>
      <c r="J374" s="2">
        <v>775.86</v>
      </c>
    </row>
    <row r="375" spans="2:10" x14ac:dyDescent="0.2">
      <c r="B375" t="s">
        <v>780</v>
      </c>
      <c r="C375" t="s">
        <v>197</v>
      </c>
      <c r="D375" t="s">
        <v>781</v>
      </c>
      <c r="E375" t="s">
        <v>61</v>
      </c>
      <c r="F375" t="s">
        <v>62</v>
      </c>
      <c r="G375" t="s">
        <v>1034</v>
      </c>
      <c r="H375" t="s">
        <v>15</v>
      </c>
      <c r="I375" s="1">
        <v>2</v>
      </c>
      <c r="J375" s="2">
        <v>344.82</v>
      </c>
    </row>
    <row r="376" spans="2:10" x14ac:dyDescent="0.2">
      <c r="B376" t="s">
        <v>780</v>
      </c>
      <c r="C376" t="s">
        <v>197</v>
      </c>
      <c r="D376" t="s">
        <v>781</v>
      </c>
      <c r="E376" t="s">
        <v>63</v>
      </c>
      <c r="F376" t="s">
        <v>64</v>
      </c>
      <c r="G376" t="s">
        <v>1034</v>
      </c>
      <c r="H376" t="s">
        <v>15</v>
      </c>
      <c r="I376" s="1">
        <v>1</v>
      </c>
      <c r="J376" s="2">
        <v>172.41</v>
      </c>
    </row>
    <row r="377" spans="2:10" x14ac:dyDescent="0.2">
      <c r="B377" t="s">
        <v>780</v>
      </c>
      <c r="C377" t="s">
        <v>197</v>
      </c>
      <c r="D377" t="s">
        <v>781</v>
      </c>
      <c r="E377" t="s">
        <v>16</v>
      </c>
      <c r="F377" t="s">
        <v>17</v>
      </c>
      <c r="G377" t="s">
        <v>1034</v>
      </c>
      <c r="H377" t="s">
        <v>15</v>
      </c>
      <c r="I377" s="1">
        <v>2</v>
      </c>
      <c r="J377" s="2">
        <v>1155.18</v>
      </c>
    </row>
    <row r="378" spans="2:10" x14ac:dyDescent="0.2">
      <c r="B378" t="s">
        <v>780</v>
      </c>
      <c r="C378" t="s">
        <v>206</v>
      </c>
      <c r="D378" t="s">
        <v>781</v>
      </c>
      <c r="E378" t="s">
        <v>350</v>
      </c>
      <c r="F378" t="s">
        <v>351</v>
      </c>
      <c r="G378" t="s">
        <v>1033</v>
      </c>
      <c r="H378" t="s">
        <v>30</v>
      </c>
      <c r="I378" s="1">
        <v>1</v>
      </c>
      <c r="J378" s="2">
        <v>818.97</v>
      </c>
    </row>
    <row r="379" spans="2:10" x14ac:dyDescent="0.2">
      <c r="B379" t="s">
        <v>780</v>
      </c>
      <c r="C379" t="s">
        <v>206</v>
      </c>
      <c r="D379" t="s">
        <v>781</v>
      </c>
      <c r="E379" t="s">
        <v>525</v>
      </c>
      <c r="F379" t="s">
        <v>526</v>
      </c>
      <c r="G379" t="s">
        <v>43</v>
      </c>
      <c r="H379" t="s">
        <v>403</v>
      </c>
      <c r="I379" s="1">
        <v>1</v>
      </c>
      <c r="J379" s="2">
        <v>159.47999999999999</v>
      </c>
    </row>
    <row r="380" spans="2:10" x14ac:dyDescent="0.2">
      <c r="B380" t="s">
        <v>780</v>
      </c>
      <c r="C380" t="s">
        <v>206</v>
      </c>
      <c r="D380" t="s">
        <v>781</v>
      </c>
      <c r="E380" t="s">
        <v>122</v>
      </c>
      <c r="F380" t="s">
        <v>123</v>
      </c>
      <c r="G380" t="s">
        <v>1034</v>
      </c>
      <c r="H380" t="s">
        <v>15</v>
      </c>
      <c r="I380" s="1">
        <v>1</v>
      </c>
      <c r="J380" s="2">
        <v>387.93</v>
      </c>
    </row>
    <row r="381" spans="2:10" x14ac:dyDescent="0.2">
      <c r="B381" t="s">
        <v>780</v>
      </c>
      <c r="C381" t="s">
        <v>206</v>
      </c>
      <c r="D381" t="s">
        <v>781</v>
      </c>
      <c r="E381" t="s">
        <v>61</v>
      </c>
      <c r="F381" t="s">
        <v>62</v>
      </c>
      <c r="G381" t="s">
        <v>1034</v>
      </c>
      <c r="H381" t="s">
        <v>15</v>
      </c>
      <c r="I381" s="1">
        <v>1</v>
      </c>
      <c r="J381" s="2">
        <v>172.41</v>
      </c>
    </row>
    <row r="382" spans="2:10" x14ac:dyDescent="0.2">
      <c r="B382" t="s">
        <v>780</v>
      </c>
      <c r="C382" t="s">
        <v>206</v>
      </c>
      <c r="D382" t="s">
        <v>781</v>
      </c>
      <c r="E382" t="s">
        <v>63</v>
      </c>
      <c r="F382" t="s">
        <v>64</v>
      </c>
      <c r="G382" t="s">
        <v>1034</v>
      </c>
      <c r="H382" t="s">
        <v>15</v>
      </c>
      <c r="I382" s="1">
        <v>1</v>
      </c>
      <c r="J382" s="2">
        <v>172.41</v>
      </c>
    </row>
    <row r="383" spans="2:10" x14ac:dyDescent="0.2">
      <c r="B383" t="s">
        <v>780</v>
      </c>
      <c r="C383" t="s">
        <v>220</v>
      </c>
      <c r="D383" t="s">
        <v>781</v>
      </c>
      <c r="E383" t="s">
        <v>44</v>
      </c>
      <c r="F383" t="s">
        <v>45</v>
      </c>
      <c r="G383" t="s">
        <v>1033</v>
      </c>
      <c r="H383" t="s">
        <v>30</v>
      </c>
      <c r="I383" s="1">
        <v>2</v>
      </c>
      <c r="J383" s="2">
        <v>163.80000000000001</v>
      </c>
    </row>
    <row r="384" spans="2:10" x14ac:dyDescent="0.2">
      <c r="B384" t="s">
        <v>780</v>
      </c>
      <c r="C384" t="s">
        <v>220</v>
      </c>
      <c r="D384" t="s">
        <v>781</v>
      </c>
      <c r="E384" t="s">
        <v>726</v>
      </c>
      <c r="F384" t="s">
        <v>727</v>
      </c>
      <c r="G384" t="s">
        <v>14</v>
      </c>
      <c r="H384" t="s">
        <v>35</v>
      </c>
      <c r="I384" s="1">
        <v>1</v>
      </c>
      <c r="J384" s="2">
        <v>77.59</v>
      </c>
    </row>
    <row r="385" spans="2:10" x14ac:dyDescent="0.2">
      <c r="B385" t="s">
        <v>780</v>
      </c>
      <c r="C385" t="s">
        <v>220</v>
      </c>
      <c r="D385" t="s">
        <v>781</v>
      </c>
      <c r="E385" t="s">
        <v>242</v>
      </c>
      <c r="F385" t="s">
        <v>243</v>
      </c>
      <c r="G385" t="s">
        <v>14</v>
      </c>
      <c r="H385" t="s">
        <v>87</v>
      </c>
      <c r="I385" s="1">
        <v>1</v>
      </c>
      <c r="J385" s="2">
        <v>120.69</v>
      </c>
    </row>
    <row r="386" spans="2:10" x14ac:dyDescent="0.2">
      <c r="B386" t="s">
        <v>780</v>
      </c>
      <c r="C386" t="s">
        <v>220</v>
      </c>
      <c r="D386" t="s">
        <v>781</v>
      </c>
      <c r="E386" t="s">
        <v>623</v>
      </c>
      <c r="F386" t="s">
        <v>624</v>
      </c>
      <c r="G386" t="s">
        <v>76</v>
      </c>
      <c r="H386" t="s">
        <v>60</v>
      </c>
      <c r="I386" s="1">
        <v>1</v>
      </c>
      <c r="J386" s="2">
        <v>344.83</v>
      </c>
    </row>
    <row r="387" spans="2:10" x14ac:dyDescent="0.2">
      <c r="B387" t="s">
        <v>780</v>
      </c>
      <c r="C387" t="s">
        <v>220</v>
      </c>
      <c r="D387" t="s">
        <v>781</v>
      </c>
      <c r="E387" t="s">
        <v>63</v>
      </c>
      <c r="F387" t="s">
        <v>64</v>
      </c>
      <c r="G387" t="s">
        <v>1034</v>
      </c>
      <c r="H387" t="s">
        <v>15</v>
      </c>
      <c r="I387" s="1">
        <v>1</v>
      </c>
      <c r="J387" s="2">
        <v>172.41</v>
      </c>
    </row>
    <row r="388" spans="2:10" x14ac:dyDescent="0.2">
      <c r="B388" t="s">
        <v>780</v>
      </c>
      <c r="C388" t="s">
        <v>220</v>
      </c>
      <c r="D388" t="s">
        <v>781</v>
      </c>
      <c r="E388" t="s">
        <v>28</v>
      </c>
      <c r="F388" t="s">
        <v>29</v>
      </c>
      <c r="G388" t="s">
        <v>1033</v>
      </c>
      <c r="H388" t="s">
        <v>30</v>
      </c>
      <c r="I388" s="1">
        <v>2</v>
      </c>
      <c r="J388" s="2">
        <v>310.33999999999997</v>
      </c>
    </row>
    <row r="389" spans="2:10" x14ac:dyDescent="0.2">
      <c r="B389" t="s">
        <v>780</v>
      </c>
      <c r="C389" t="s">
        <v>225</v>
      </c>
      <c r="D389" t="s">
        <v>781</v>
      </c>
      <c r="E389" t="s">
        <v>41</v>
      </c>
      <c r="F389" t="s">
        <v>42</v>
      </c>
      <c r="G389" t="s">
        <v>1033</v>
      </c>
      <c r="H389" t="s">
        <v>30</v>
      </c>
      <c r="I389" s="1">
        <v>1</v>
      </c>
      <c r="J389" s="2">
        <v>34.479999999999997</v>
      </c>
    </row>
    <row r="390" spans="2:10" x14ac:dyDescent="0.2">
      <c r="B390" t="s">
        <v>780</v>
      </c>
      <c r="C390" t="s">
        <v>225</v>
      </c>
      <c r="D390" t="s">
        <v>781</v>
      </c>
      <c r="E390" t="s">
        <v>814</v>
      </c>
      <c r="F390" t="s">
        <v>815</v>
      </c>
      <c r="G390" t="s">
        <v>43</v>
      </c>
      <c r="H390" t="s">
        <v>383</v>
      </c>
      <c r="I390" s="1">
        <v>1</v>
      </c>
      <c r="J390" s="2">
        <v>301.72000000000003</v>
      </c>
    </row>
    <row r="391" spans="2:10" x14ac:dyDescent="0.2">
      <c r="B391" t="s">
        <v>824</v>
      </c>
      <c r="C391" t="s">
        <v>335</v>
      </c>
      <c r="D391" t="s">
        <v>825</v>
      </c>
      <c r="E391" t="s">
        <v>44</v>
      </c>
      <c r="F391" t="s">
        <v>45</v>
      </c>
      <c r="G391" t="s">
        <v>1033</v>
      </c>
      <c r="H391" t="s">
        <v>30</v>
      </c>
      <c r="I391" s="1">
        <v>2</v>
      </c>
      <c r="J391" s="2">
        <v>163.80000000000001</v>
      </c>
    </row>
    <row r="392" spans="2:10" x14ac:dyDescent="0.2">
      <c r="B392" t="s">
        <v>824</v>
      </c>
      <c r="C392" t="s">
        <v>335</v>
      </c>
      <c r="D392" t="s">
        <v>825</v>
      </c>
      <c r="E392" t="s">
        <v>828</v>
      </c>
      <c r="F392" t="s">
        <v>829</v>
      </c>
      <c r="G392" t="s">
        <v>1033</v>
      </c>
      <c r="H392" t="s">
        <v>30</v>
      </c>
      <c r="I392" s="1">
        <v>1</v>
      </c>
      <c r="J392" s="2">
        <v>474.14</v>
      </c>
    </row>
    <row r="393" spans="2:10" x14ac:dyDescent="0.2">
      <c r="B393" t="s">
        <v>824</v>
      </c>
      <c r="C393" t="s">
        <v>335</v>
      </c>
      <c r="D393" t="s">
        <v>825</v>
      </c>
      <c r="E393" t="s">
        <v>70</v>
      </c>
      <c r="F393" t="s">
        <v>71</v>
      </c>
      <c r="G393" t="s">
        <v>1033</v>
      </c>
      <c r="H393" t="s">
        <v>30</v>
      </c>
      <c r="I393" s="1">
        <v>1</v>
      </c>
      <c r="J393" s="2">
        <v>2112.0700000000002</v>
      </c>
    </row>
    <row r="394" spans="2:10" x14ac:dyDescent="0.2">
      <c r="B394" t="s">
        <v>824</v>
      </c>
      <c r="C394" t="s">
        <v>335</v>
      </c>
      <c r="D394" t="s">
        <v>825</v>
      </c>
      <c r="E394" t="s">
        <v>242</v>
      </c>
      <c r="F394" t="s">
        <v>243</v>
      </c>
      <c r="G394" t="s">
        <v>14</v>
      </c>
      <c r="H394" t="s">
        <v>87</v>
      </c>
      <c r="I394" s="1">
        <v>1</v>
      </c>
      <c r="J394" s="2">
        <v>120.69</v>
      </c>
    </row>
    <row r="395" spans="2:10" x14ac:dyDescent="0.2">
      <c r="B395" t="s">
        <v>824</v>
      </c>
      <c r="C395" t="s">
        <v>335</v>
      </c>
      <c r="D395" t="s">
        <v>825</v>
      </c>
      <c r="E395" t="s">
        <v>139</v>
      </c>
      <c r="F395" t="s">
        <v>140</v>
      </c>
      <c r="G395" t="s">
        <v>14</v>
      </c>
      <c r="H395" t="s">
        <v>87</v>
      </c>
      <c r="I395" s="1">
        <v>1</v>
      </c>
      <c r="J395" s="2">
        <v>120.69</v>
      </c>
    </row>
    <row r="396" spans="2:10" x14ac:dyDescent="0.2">
      <c r="B396" t="s">
        <v>824</v>
      </c>
      <c r="C396" t="s">
        <v>335</v>
      </c>
      <c r="D396" t="s">
        <v>825</v>
      </c>
      <c r="E396" t="s">
        <v>36</v>
      </c>
      <c r="F396" t="s">
        <v>37</v>
      </c>
      <c r="G396" t="s">
        <v>1034</v>
      </c>
      <c r="H396" t="s">
        <v>15</v>
      </c>
      <c r="I396" s="1">
        <v>1</v>
      </c>
      <c r="J396" s="2">
        <v>301.72000000000003</v>
      </c>
    </row>
    <row r="397" spans="2:10" x14ac:dyDescent="0.2">
      <c r="B397" t="s">
        <v>824</v>
      </c>
      <c r="C397" t="s">
        <v>335</v>
      </c>
      <c r="D397" t="s">
        <v>825</v>
      </c>
      <c r="E397" t="s">
        <v>72</v>
      </c>
      <c r="F397" t="s">
        <v>73</v>
      </c>
      <c r="G397" t="s">
        <v>1034</v>
      </c>
      <c r="H397" t="s">
        <v>15</v>
      </c>
      <c r="I397" s="1">
        <v>1</v>
      </c>
      <c r="J397" s="2">
        <v>775.86</v>
      </c>
    </row>
    <row r="398" spans="2:10" x14ac:dyDescent="0.2">
      <c r="B398" t="s">
        <v>824</v>
      </c>
      <c r="C398" t="s">
        <v>335</v>
      </c>
      <c r="D398" t="s">
        <v>825</v>
      </c>
      <c r="E398" t="s">
        <v>427</v>
      </c>
      <c r="F398" t="s">
        <v>428</v>
      </c>
      <c r="G398" t="s">
        <v>14</v>
      </c>
      <c r="H398" t="s">
        <v>87</v>
      </c>
      <c r="I398" s="1">
        <v>1</v>
      </c>
      <c r="J398" s="2">
        <v>120.69</v>
      </c>
    </row>
    <row r="399" spans="2:10" x14ac:dyDescent="0.2">
      <c r="B399" t="s">
        <v>824</v>
      </c>
      <c r="C399" t="s">
        <v>335</v>
      </c>
      <c r="D399" t="s">
        <v>825</v>
      </c>
      <c r="E399" t="s">
        <v>406</v>
      </c>
      <c r="F399" t="s">
        <v>407</v>
      </c>
      <c r="G399" t="s">
        <v>14</v>
      </c>
      <c r="H399" t="s">
        <v>104</v>
      </c>
      <c r="I399" s="1">
        <v>5</v>
      </c>
      <c r="J399" s="2">
        <v>86.199999999999989</v>
      </c>
    </row>
    <row r="400" spans="2:10" x14ac:dyDescent="0.2">
      <c r="B400" t="s">
        <v>824</v>
      </c>
      <c r="C400" t="s">
        <v>335</v>
      </c>
      <c r="D400" t="s">
        <v>825</v>
      </c>
      <c r="E400" t="s">
        <v>61</v>
      </c>
      <c r="F400" t="s">
        <v>62</v>
      </c>
      <c r="G400" t="s">
        <v>1034</v>
      </c>
      <c r="H400" t="s">
        <v>15</v>
      </c>
      <c r="I400" s="1">
        <v>1</v>
      </c>
      <c r="J400" s="2">
        <v>172.41</v>
      </c>
    </row>
    <row r="401" spans="2:10" x14ac:dyDescent="0.2">
      <c r="B401" t="s">
        <v>824</v>
      </c>
      <c r="C401" t="s">
        <v>335</v>
      </c>
      <c r="D401" t="s">
        <v>825</v>
      </c>
      <c r="E401" t="s">
        <v>63</v>
      </c>
      <c r="F401" t="s">
        <v>64</v>
      </c>
      <c r="G401" t="s">
        <v>1034</v>
      </c>
      <c r="H401" t="s">
        <v>15</v>
      </c>
      <c r="I401" s="1">
        <v>2</v>
      </c>
      <c r="J401" s="2">
        <v>344.82</v>
      </c>
    </row>
    <row r="402" spans="2:10" x14ac:dyDescent="0.2">
      <c r="B402" t="s">
        <v>824</v>
      </c>
      <c r="C402" t="s">
        <v>335</v>
      </c>
      <c r="D402" t="s">
        <v>825</v>
      </c>
      <c r="E402" t="s">
        <v>16</v>
      </c>
      <c r="F402" t="s">
        <v>17</v>
      </c>
      <c r="G402" t="s">
        <v>1034</v>
      </c>
      <c r="H402" t="s">
        <v>15</v>
      </c>
      <c r="I402" s="1">
        <v>1</v>
      </c>
      <c r="J402" s="2">
        <v>577.59</v>
      </c>
    </row>
    <row r="403" spans="2:10" x14ac:dyDescent="0.2">
      <c r="B403" t="s">
        <v>824</v>
      </c>
      <c r="C403" t="s">
        <v>335</v>
      </c>
      <c r="D403" t="s">
        <v>825</v>
      </c>
      <c r="E403" t="s">
        <v>193</v>
      </c>
      <c r="F403" t="s">
        <v>194</v>
      </c>
      <c r="G403" t="s">
        <v>1034</v>
      </c>
      <c r="H403" t="s">
        <v>15</v>
      </c>
      <c r="I403" s="1">
        <v>1</v>
      </c>
      <c r="J403" s="2">
        <v>1293.0999999999999</v>
      </c>
    </row>
    <row r="404" spans="2:10" x14ac:dyDescent="0.2">
      <c r="B404" t="s">
        <v>824</v>
      </c>
      <c r="C404" t="s">
        <v>335</v>
      </c>
      <c r="D404" t="s">
        <v>825</v>
      </c>
      <c r="E404" t="s">
        <v>527</v>
      </c>
      <c r="F404" t="s">
        <v>528</v>
      </c>
      <c r="G404" t="s">
        <v>1034</v>
      </c>
      <c r="H404" t="s">
        <v>15</v>
      </c>
      <c r="I404" s="1">
        <v>1</v>
      </c>
      <c r="J404" s="2">
        <v>241.38</v>
      </c>
    </row>
    <row r="405" spans="2:10" x14ac:dyDescent="0.2">
      <c r="B405" t="s">
        <v>824</v>
      </c>
      <c r="C405" t="s">
        <v>335</v>
      </c>
      <c r="D405" t="s">
        <v>825</v>
      </c>
      <c r="E405" t="s">
        <v>28</v>
      </c>
      <c r="F405" t="s">
        <v>29</v>
      </c>
      <c r="G405" t="s">
        <v>1033</v>
      </c>
      <c r="H405" t="s">
        <v>30</v>
      </c>
      <c r="I405" s="1">
        <v>2</v>
      </c>
      <c r="J405" s="2">
        <v>310.33999999999997</v>
      </c>
    </row>
    <row r="406" spans="2:10" x14ac:dyDescent="0.2">
      <c r="B406" t="s">
        <v>824</v>
      </c>
      <c r="C406" t="s">
        <v>418</v>
      </c>
      <c r="D406" t="s">
        <v>825</v>
      </c>
      <c r="E406" t="s">
        <v>660</v>
      </c>
      <c r="F406" t="s">
        <v>661</v>
      </c>
      <c r="G406" t="s">
        <v>14</v>
      </c>
      <c r="H406" t="s">
        <v>27</v>
      </c>
      <c r="I406" s="1">
        <v>1</v>
      </c>
      <c r="J406" s="2">
        <v>448.28</v>
      </c>
    </row>
    <row r="407" spans="2:10" x14ac:dyDescent="0.2">
      <c r="B407" t="s">
        <v>824</v>
      </c>
      <c r="C407" t="s">
        <v>418</v>
      </c>
      <c r="D407" t="s">
        <v>825</v>
      </c>
      <c r="E407" t="s">
        <v>316</v>
      </c>
      <c r="F407" t="s">
        <v>317</v>
      </c>
      <c r="G407" t="s">
        <v>14</v>
      </c>
      <c r="H407" t="s">
        <v>27</v>
      </c>
      <c r="I407" s="1">
        <v>1</v>
      </c>
      <c r="J407" s="2">
        <v>413.79</v>
      </c>
    </row>
    <row r="408" spans="2:10" x14ac:dyDescent="0.2">
      <c r="B408" t="s">
        <v>824</v>
      </c>
      <c r="C408" t="s">
        <v>418</v>
      </c>
      <c r="D408" t="s">
        <v>825</v>
      </c>
      <c r="E408" t="s">
        <v>16</v>
      </c>
      <c r="F408" t="s">
        <v>17</v>
      </c>
      <c r="G408" t="s">
        <v>1034</v>
      </c>
      <c r="H408" t="s">
        <v>15</v>
      </c>
      <c r="I408" s="1">
        <v>1</v>
      </c>
      <c r="J408" s="2">
        <v>577.59</v>
      </c>
    </row>
    <row r="409" spans="2:10" x14ac:dyDescent="0.2">
      <c r="B409" t="s">
        <v>824</v>
      </c>
      <c r="C409" t="s">
        <v>186</v>
      </c>
      <c r="D409" t="s">
        <v>825</v>
      </c>
      <c r="E409" t="s">
        <v>302</v>
      </c>
      <c r="F409" t="s">
        <v>303</v>
      </c>
      <c r="G409" t="s">
        <v>1033</v>
      </c>
      <c r="H409" t="s">
        <v>30</v>
      </c>
      <c r="I409" s="1">
        <v>1</v>
      </c>
      <c r="J409" s="2">
        <v>474.14</v>
      </c>
    </row>
    <row r="410" spans="2:10" x14ac:dyDescent="0.2">
      <c r="B410" t="s">
        <v>824</v>
      </c>
      <c r="C410" t="s">
        <v>186</v>
      </c>
      <c r="D410" t="s">
        <v>825</v>
      </c>
      <c r="E410" t="s">
        <v>850</v>
      </c>
      <c r="F410" t="s">
        <v>851</v>
      </c>
      <c r="G410" t="s">
        <v>1033</v>
      </c>
      <c r="H410" t="s">
        <v>30</v>
      </c>
      <c r="I410" s="1">
        <v>1</v>
      </c>
      <c r="J410" s="2">
        <v>1189.6600000000001</v>
      </c>
    </row>
    <row r="411" spans="2:10" x14ac:dyDescent="0.2">
      <c r="B411" t="s">
        <v>824</v>
      </c>
      <c r="C411" t="s">
        <v>186</v>
      </c>
      <c r="D411" t="s">
        <v>825</v>
      </c>
      <c r="E411" t="s">
        <v>159</v>
      </c>
      <c r="F411" t="s">
        <v>160</v>
      </c>
      <c r="G411" t="s">
        <v>14</v>
      </c>
      <c r="H411" t="s">
        <v>87</v>
      </c>
      <c r="I411" s="1">
        <v>1</v>
      </c>
      <c r="J411" s="2">
        <v>284.48</v>
      </c>
    </row>
    <row r="412" spans="2:10" x14ac:dyDescent="0.2">
      <c r="B412" t="s">
        <v>824</v>
      </c>
      <c r="C412" t="s">
        <v>186</v>
      </c>
      <c r="D412" t="s">
        <v>825</v>
      </c>
      <c r="E412" t="s">
        <v>63</v>
      </c>
      <c r="F412" t="s">
        <v>64</v>
      </c>
      <c r="G412" t="s">
        <v>1034</v>
      </c>
      <c r="H412" t="s">
        <v>15</v>
      </c>
      <c r="I412" s="1">
        <v>2</v>
      </c>
      <c r="J412" s="2">
        <v>344.82</v>
      </c>
    </row>
    <row r="413" spans="2:10" x14ac:dyDescent="0.2">
      <c r="B413" t="s">
        <v>824</v>
      </c>
      <c r="C413" t="s">
        <v>197</v>
      </c>
      <c r="D413" t="s">
        <v>277</v>
      </c>
      <c r="E413" t="s">
        <v>338</v>
      </c>
      <c r="F413" t="s">
        <v>339</v>
      </c>
      <c r="G413" t="s">
        <v>1033</v>
      </c>
      <c r="H413" t="s">
        <v>30</v>
      </c>
      <c r="I413" s="1">
        <v>1</v>
      </c>
      <c r="J413" s="2">
        <v>1525.86</v>
      </c>
    </row>
    <row r="414" spans="2:10" x14ac:dyDescent="0.2">
      <c r="B414" t="s">
        <v>824</v>
      </c>
      <c r="C414" t="s">
        <v>197</v>
      </c>
      <c r="D414" t="s">
        <v>277</v>
      </c>
      <c r="E414" t="s">
        <v>70</v>
      </c>
      <c r="F414" t="s">
        <v>71</v>
      </c>
      <c r="G414" t="s">
        <v>1033</v>
      </c>
      <c r="H414" t="s">
        <v>30</v>
      </c>
      <c r="I414" s="1">
        <v>1</v>
      </c>
      <c r="J414" s="2">
        <v>2112.0700000000002</v>
      </c>
    </row>
    <row r="415" spans="2:10" x14ac:dyDescent="0.2">
      <c r="B415" t="s">
        <v>824</v>
      </c>
      <c r="C415" t="s">
        <v>197</v>
      </c>
      <c r="D415" t="s">
        <v>277</v>
      </c>
      <c r="E415" t="s">
        <v>214</v>
      </c>
      <c r="F415" t="s">
        <v>215</v>
      </c>
      <c r="G415" t="s">
        <v>1034</v>
      </c>
      <c r="H415" t="s">
        <v>15</v>
      </c>
      <c r="I415" s="1">
        <v>1</v>
      </c>
      <c r="J415" s="2">
        <v>301.72000000000003</v>
      </c>
    </row>
    <row r="416" spans="2:10" x14ac:dyDescent="0.2">
      <c r="B416" t="s">
        <v>824</v>
      </c>
      <c r="C416" t="s">
        <v>197</v>
      </c>
      <c r="D416" t="s">
        <v>277</v>
      </c>
      <c r="E416" t="s">
        <v>852</v>
      </c>
      <c r="F416" t="s">
        <v>853</v>
      </c>
      <c r="G416" t="s">
        <v>1033</v>
      </c>
      <c r="H416" t="s">
        <v>30</v>
      </c>
      <c r="I416" s="1">
        <v>1</v>
      </c>
      <c r="J416" s="2">
        <v>818.97</v>
      </c>
    </row>
    <row r="417" spans="2:10" x14ac:dyDescent="0.2">
      <c r="B417" t="s">
        <v>824</v>
      </c>
      <c r="C417" t="s">
        <v>206</v>
      </c>
      <c r="D417" t="s">
        <v>825</v>
      </c>
      <c r="E417" t="s">
        <v>854</v>
      </c>
      <c r="F417" t="s">
        <v>855</v>
      </c>
      <c r="G417" t="s">
        <v>54</v>
      </c>
      <c r="H417" t="s">
        <v>694</v>
      </c>
      <c r="I417" s="1">
        <v>1</v>
      </c>
      <c r="J417" s="2">
        <v>344.83</v>
      </c>
    </row>
    <row r="418" spans="2:10" x14ac:dyDescent="0.2">
      <c r="B418" t="s">
        <v>824</v>
      </c>
      <c r="C418" t="s">
        <v>206</v>
      </c>
      <c r="D418" t="s">
        <v>825</v>
      </c>
      <c r="E418" t="s">
        <v>726</v>
      </c>
      <c r="F418" t="s">
        <v>727</v>
      </c>
      <c r="G418" t="s">
        <v>14</v>
      </c>
      <c r="H418" t="s">
        <v>35</v>
      </c>
      <c r="I418" s="1">
        <v>1</v>
      </c>
      <c r="J418" s="2">
        <v>77.59</v>
      </c>
    </row>
    <row r="419" spans="2:10" x14ac:dyDescent="0.2">
      <c r="B419" t="s">
        <v>824</v>
      </c>
      <c r="C419" t="s">
        <v>206</v>
      </c>
      <c r="D419" t="s">
        <v>825</v>
      </c>
      <c r="E419" t="s">
        <v>173</v>
      </c>
      <c r="F419" t="s">
        <v>174</v>
      </c>
      <c r="G419" t="s">
        <v>14</v>
      </c>
      <c r="H419" t="s">
        <v>35</v>
      </c>
      <c r="I419" s="1">
        <v>1</v>
      </c>
      <c r="J419" s="2">
        <v>60.34</v>
      </c>
    </row>
    <row r="420" spans="2:10" x14ac:dyDescent="0.2">
      <c r="B420" t="s">
        <v>824</v>
      </c>
      <c r="C420" t="s">
        <v>206</v>
      </c>
      <c r="D420" t="s">
        <v>825</v>
      </c>
      <c r="E420" t="s">
        <v>856</v>
      </c>
      <c r="F420" t="s">
        <v>857</v>
      </c>
      <c r="G420" t="s">
        <v>54</v>
      </c>
      <c r="H420" t="s">
        <v>138</v>
      </c>
      <c r="I420" s="1">
        <v>1</v>
      </c>
      <c r="J420" s="2">
        <v>431.03</v>
      </c>
    </row>
    <row r="421" spans="2:10" x14ac:dyDescent="0.2">
      <c r="B421" t="s">
        <v>824</v>
      </c>
      <c r="C421" t="s">
        <v>206</v>
      </c>
      <c r="D421" t="s">
        <v>825</v>
      </c>
      <c r="E421" t="s">
        <v>83</v>
      </c>
      <c r="F421" t="s">
        <v>84</v>
      </c>
      <c r="G421" t="s">
        <v>1034</v>
      </c>
      <c r="H421" t="s">
        <v>15</v>
      </c>
      <c r="I421" s="1">
        <v>1</v>
      </c>
      <c r="J421" s="2">
        <v>387.93</v>
      </c>
    </row>
    <row r="422" spans="2:10" x14ac:dyDescent="0.2">
      <c r="B422" t="s">
        <v>824</v>
      </c>
      <c r="C422" t="s">
        <v>206</v>
      </c>
      <c r="D422" t="s">
        <v>825</v>
      </c>
      <c r="E422" t="s">
        <v>56</v>
      </c>
      <c r="F422" t="s">
        <v>57</v>
      </c>
      <c r="G422" t="s">
        <v>1034</v>
      </c>
      <c r="H422" t="s">
        <v>15</v>
      </c>
      <c r="I422" s="1">
        <v>1</v>
      </c>
      <c r="J422" s="2">
        <v>431.03</v>
      </c>
    </row>
    <row r="423" spans="2:10" x14ac:dyDescent="0.2">
      <c r="B423" t="s">
        <v>824</v>
      </c>
      <c r="C423" t="s">
        <v>206</v>
      </c>
      <c r="D423" t="s">
        <v>825</v>
      </c>
      <c r="E423" t="s">
        <v>16</v>
      </c>
      <c r="F423" t="s">
        <v>17</v>
      </c>
      <c r="G423" t="s">
        <v>1034</v>
      </c>
      <c r="H423" t="s">
        <v>15</v>
      </c>
      <c r="I423" s="1">
        <v>1</v>
      </c>
      <c r="J423" s="2">
        <v>577.59</v>
      </c>
    </row>
    <row r="424" spans="2:10" x14ac:dyDescent="0.2">
      <c r="B424" t="s">
        <v>824</v>
      </c>
      <c r="C424" t="s">
        <v>220</v>
      </c>
      <c r="D424" t="s">
        <v>825</v>
      </c>
      <c r="E424" t="s">
        <v>44</v>
      </c>
      <c r="F424" t="s">
        <v>45</v>
      </c>
      <c r="G424" t="s">
        <v>1033</v>
      </c>
      <c r="H424" t="s">
        <v>30</v>
      </c>
      <c r="I424" s="1">
        <v>1</v>
      </c>
      <c r="J424" s="2">
        <v>81.900000000000006</v>
      </c>
    </row>
    <row r="425" spans="2:10" x14ac:dyDescent="0.2">
      <c r="B425" t="s">
        <v>824</v>
      </c>
      <c r="C425" t="s">
        <v>220</v>
      </c>
      <c r="D425" t="s">
        <v>825</v>
      </c>
      <c r="E425" t="s">
        <v>553</v>
      </c>
      <c r="F425" t="s">
        <v>554</v>
      </c>
      <c r="G425" t="s">
        <v>1033</v>
      </c>
      <c r="H425" t="s">
        <v>30</v>
      </c>
      <c r="I425" s="1">
        <v>1</v>
      </c>
      <c r="J425" s="2">
        <v>1379.31</v>
      </c>
    </row>
    <row r="426" spans="2:10" x14ac:dyDescent="0.2">
      <c r="B426" t="s">
        <v>824</v>
      </c>
      <c r="C426" t="s">
        <v>220</v>
      </c>
      <c r="D426" t="s">
        <v>825</v>
      </c>
      <c r="E426" t="s">
        <v>46</v>
      </c>
      <c r="F426" t="s">
        <v>47</v>
      </c>
      <c r="G426" t="s">
        <v>1034</v>
      </c>
      <c r="H426" t="s">
        <v>15</v>
      </c>
      <c r="I426" s="1">
        <v>1</v>
      </c>
      <c r="J426" s="2">
        <v>301.72000000000003</v>
      </c>
    </row>
    <row r="427" spans="2:10" x14ac:dyDescent="0.2">
      <c r="B427" t="s">
        <v>824</v>
      </c>
      <c r="C427" t="s">
        <v>220</v>
      </c>
      <c r="D427" t="s">
        <v>825</v>
      </c>
      <c r="E427" t="s">
        <v>523</v>
      </c>
      <c r="F427" t="s">
        <v>524</v>
      </c>
      <c r="G427" t="s">
        <v>14</v>
      </c>
      <c r="H427" t="s">
        <v>35</v>
      </c>
      <c r="I427" s="1">
        <v>1</v>
      </c>
      <c r="J427" s="2">
        <v>60.34</v>
      </c>
    </row>
    <row r="428" spans="2:10" x14ac:dyDescent="0.2">
      <c r="B428" t="s">
        <v>824</v>
      </c>
      <c r="C428" t="s">
        <v>220</v>
      </c>
      <c r="D428" t="s">
        <v>825</v>
      </c>
      <c r="E428" t="s">
        <v>120</v>
      </c>
      <c r="F428" t="s">
        <v>121</v>
      </c>
      <c r="G428" t="s">
        <v>1034</v>
      </c>
      <c r="H428" t="s">
        <v>15</v>
      </c>
      <c r="I428" s="1">
        <v>1</v>
      </c>
      <c r="J428" s="2">
        <v>301.72000000000003</v>
      </c>
    </row>
    <row r="429" spans="2:10" x14ac:dyDescent="0.2">
      <c r="B429" t="s">
        <v>824</v>
      </c>
      <c r="C429" t="s">
        <v>220</v>
      </c>
      <c r="D429" t="s">
        <v>825</v>
      </c>
      <c r="E429" t="s">
        <v>36</v>
      </c>
      <c r="F429" t="s">
        <v>37</v>
      </c>
      <c r="G429" t="s">
        <v>1034</v>
      </c>
      <c r="H429" t="s">
        <v>15</v>
      </c>
      <c r="I429" s="1">
        <v>1</v>
      </c>
      <c r="J429" s="2">
        <v>301.72000000000003</v>
      </c>
    </row>
    <row r="430" spans="2:10" x14ac:dyDescent="0.2">
      <c r="B430" t="s">
        <v>824</v>
      </c>
      <c r="C430" t="s">
        <v>220</v>
      </c>
      <c r="D430" t="s">
        <v>825</v>
      </c>
      <c r="E430" t="s">
        <v>83</v>
      </c>
      <c r="F430" t="s">
        <v>84</v>
      </c>
      <c r="G430" t="s">
        <v>1034</v>
      </c>
      <c r="H430" t="s">
        <v>15</v>
      </c>
      <c r="I430" s="1">
        <v>1</v>
      </c>
      <c r="J430" s="2">
        <v>387.93</v>
      </c>
    </row>
    <row r="431" spans="2:10" x14ac:dyDescent="0.2">
      <c r="B431" t="s">
        <v>824</v>
      </c>
      <c r="C431" t="s">
        <v>220</v>
      </c>
      <c r="D431" t="s">
        <v>825</v>
      </c>
      <c r="E431" t="s">
        <v>427</v>
      </c>
      <c r="F431" t="s">
        <v>428</v>
      </c>
      <c r="G431" t="s">
        <v>14</v>
      </c>
      <c r="H431" t="s">
        <v>87</v>
      </c>
      <c r="I431" s="1">
        <v>1</v>
      </c>
      <c r="J431" s="2">
        <v>120.69</v>
      </c>
    </row>
    <row r="432" spans="2:10" x14ac:dyDescent="0.2">
      <c r="B432" t="s">
        <v>824</v>
      </c>
      <c r="C432" t="s">
        <v>220</v>
      </c>
      <c r="D432" t="s">
        <v>825</v>
      </c>
      <c r="E432" t="s">
        <v>16</v>
      </c>
      <c r="F432" t="s">
        <v>17</v>
      </c>
      <c r="G432" t="s">
        <v>1034</v>
      </c>
      <c r="H432" t="s">
        <v>15</v>
      </c>
      <c r="I432" s="1">
        <v>1</v>
      </c>
      <c r="J432" s="2">
        <v>577.59</v>
      </c>
    </row>
    <row r="433" spans="2:10" x14ac:dyDescent="0.2">
      <c r="B433" t="s">
        <v>824</v>
      </c>
      <c r="C433" t="s">
        <v>225</v>
      </c>
      <c r="D433" t="s">
        <v>825</v>
      </c>
      <c r="E433" t="s">
        <v>46</v>
      </c>
      <c r="F433" t="s">
        <v>47</v>
      </c>
      <c r="G433" t="s">
        <v>1034</v>
      </c>
      <c r="H433" t="s">
        <v>15</v>
      </c>
      <c r="I433" s="1">
        <v>1</v>
      </c>
      <c r="J433" s="2">
        <v>301.72000000000003</v>
      </c>
    </row>
    <row r="434" spans="2:10" x14ac:dyDescent="0.2">
      <c r="B434" t="s">
        <v>824</v>
      </c>
      <c r="C434" t="s">
        <v>225</v>
      </c>
      <c r="D434" t="s">
        <v>825</v>
      </c>
      <c r="E434" t="s">
        <v>221</v>
      </c>
      <c r="F434" t="s">
        <v>222</v>
      </c>
      <c r="G434" t="s">
        <v>1034</v>
      </c>
      <c r="H434" t="s">
        <v>15</v>
      </c>
      <c r="I434" s="1">
        <v>1</v>
      </c>
      <c r="J434" s="2">
        <v>431.03</v>
      </c>
    </row>
    <row r="435" spans="2:10" x14ac:dyDescent="0.2">
      <c r="B435" t="s">
        <v>824</v>
      </c>
      <c r="C435" t="s">
        <v>225</v>
      </c>
      <c r="D435" t="s">
        <v>825</v>
      </c>
      <c r="E435" t="s">
        <v>336</v>
      </c>
      <c r="F435" t="s">
        <v>337</v>
      </c>
      <c r="G435" t="s">
        <v>1034</v>
      </c>
      <c r="H435" t="s">
        <v>15</v>
      </c>
      <c r="I435" s="1">
        <v>1</v>
      </c>
      <c r="J435" s="2">
        <v>387.93</v>
      </c>
    </row>
    <row r="436" spans="2:10" x14ac:dyDescent="0.2">
      <c r="B436" t="s">
        <v>824</v>
      </c>
      <c r="C436" t="s">
        <v>225</v>
      </c>
      <c r="D436" t="s">
        <v>825</v>
      </c>
      <c r="E436" t="s">
        <v>48</v>
      </c>
      <c r="F436" t="s">
        <v>49</v>
      </c>
      <c r="G436" t="s">
        <v>43</v>
      </c>
      <c r="H436" t="s">
        <v>50</v>
      </c>
      <c r="I436" s="1">
        <v>1</v>
      </c>
      <c r="J436" s="2">
        <v>1318.97</v>
      </c>
    </row>
    <row r="437" spans="2:10" x14ac:dyDescent="0.2">
      <c r="B437" t="s">
        <v>866</v>
      </c>
      <c r="C437" t="s">
        <v>335</v>
      </c>
      <c r="D437" t="s">
        <v>277</v>
      </c>
      <c r="E437" t="s">
        <v>120</v>
      </c>
      <c r="F437" t="s">
        <v>121</v>
      </c>
      <c r="G437" t="s">
        <v>1034</v>
      </c>
      <c r="H437" t="s">
        <v>15</v>
      </c>
      <c r="I437" s="1">
        <v>1</v>
      </c>
      <c r="J437" s="2">
        <v>301.72000000000003</v>
      </c>
    </row>
    <row r="438" spans="2:10" x14ac:dyDescent="0.2">
      <c r="B438" t="s">
        <v>866</v>
      </c>
      <c r="C438" t="s">
        <v>335</v>
      </c>
      <c r="D438" t="s">
        <v>277</v>
      </c>
      <c r="E438" t="s">
        <v>267</v>
      </c>
      <c r="F438" t="s">
        <v>268</v>
      </c>
      <c r="G438" t="s">
        <v>1034</v>
      </c>
      <c r="H438" t="s">
        <v>15</v>
      </c>
      <c r="I438" s="1">
        <v>1</v>
      </c>
      <c r="J438" s="2">
        <v>258.62</v>
      </c>
    </row>
    <row r="439" spans="2:10" x14ac:dyDescent="0.2">
      <c r="B439" t="s">
        <v>866</v>
      </c>
      <c r="C439" t="s">
        <v>418</v>
      </c>
      <c r="D439" t="s">
        <v>32</v>
      </c>
      <c r="E439" t="s">
        <v>44</v>
      </c>
      <c r="F439" t="s">
        <v>45</v>
      </c>
      <c r="G439" t="s">
        <v>1033</v>
      </c>
      <c r="H439" t="s">
        <v>30</v>
      </c>
      <c r="I439" s="1">
        <v>1</v>
      </c>
      <c r="J439" s="2">
        <v>81.900000000000006</v>
      </c>
    </row>
    <row r="440" spans="2:10" x14ac:dyDescent="0.2">
      <c r="B440" t="s">
        <v>866</v>
      </c>
      <c r="C440" t="s">
        <v>418</v>
      </c>
      <c r="D440" t="s">
        <v>32</v>
      </c>
      <c r="E440" t="s">
        <v>249</v>
      </c>
      <c r="F440" t="s">
        <v>250</v>
      </c>
      <c r="G440" t="s">
        <v>1033</v>
      </c>
      <c r="H440" t="s">
        <v>30</v>
      </c>
      <c r="I440" s="1">
        <v>1</v>
      </c>
      <c r="J440" s="2">
        <v>517.24</v>
      </c>
    </row>
    <row r="441" spans="2:10" x14ac:dyDescent="0.2">
      <c r="B441" t="s">
        <v>866</v>
      </c>
      <c r="C441" t="s">
        <v>418</v>
      </c>
      <c r="D441" t="s">
        <v>32</v>
      </c>
      <c r="E441" t="s">
        <v>425</v>
      </c>
      <c r="F441" t="s">
        <v>426</v>
      </c>
      <c r="G441" t="s">
        <v>1033</v>
      </c>
      <c r="H441" t="s">
        <v>30</v>
      </c>
      <c r="I441" s="1">
        <v>1</v>
      </c>
      <c r="J441" s="2">
        <v>1137.93</v>
      </c>
    </row>
    <row r="442" spans="2:10" x14ac:dyDescent="0.2">
      <c r="B442" t="s">
        <v>866</v>
      </c>
      <c r="C442" t="s">
        <v>418</v>
      </c>
      <c r="D442" t="s">
        <v>32</v>
      </c>
      <c r="E442" t="s">
        <v>214</v>
      </c>
      <c r="F442" t="s">
        <v>215</v>
      </c>
      <c r="G442" t="s">
        <v>1034</v>
      </c>
      <c r="H442" t="s">
        <v>15</v>
      </c>
      <c r="I442" s="1">
        <v>1</v>
      </c>
      <c r="J442" s="2">
        <v>301.72000000000003</v>
      </c>
    </row>
    <row r="443" spans="2:10" x14ac:dyDescent="0.2">
      <c r="B443" t="s">
        <v>866</v>
      </c>
      <c r="C443" t="s">
        <v>418</v>
      </c>
      <c r="D443" t="s">
        <v>32</v>
      </c>
      <c r="E443" t="s">
        <v>887</v>
      </c>
      <c r="F443" t="s">
        <v>888</v>
      </c>
      <c r="G443" t="s">
        <v>14</v>
      </c>
      <c r="H443" t="s">
        <v>27</v>
      </c>
      <c r="I443" s="1">
        <v>1</v>
      </c>
      <c r="J443" s="2">
        <v>310.35000000000002</v>
      </c>
    </row>
    <row r="444" spans="2:10" x14ac:dyDescent="0.2">
      <c r="B444" t="s">
        <v>866</v>
      </c>
      <c r="C444" t="s">
        <v>186</v>
      </c>
      <c r="D444" t="s">
        <v>32</v>
      </c>
      <c r="E444" t="s">
        <v>401</v>
      </c>
      <c r="F444" t="s">
        <v>402</v>
      </c>
      <c r="G444" t="s">
        <v>43</v>
      </c>
      <c r="H444" t="s">
        <v>403</v>
      </c>
      <c r="I444" s="1">
        <v>1</v>
      </c>
      <c r="J444" s="2">
        <v>159.47999999999999</v>
      </c>
    </row>
    <row r="445" spans="2:10" x14ac:dyDescent="0.2">
      <c r="B445" t="s">
        <v>866</v>
      </c>
      <c r="C445" t="s">
        <v>197</v>
      </c>
      <c r="D445" t="s">
        <v>32</v>
      </c>
      <c r="E445" t="s">
        <v>318</v>
      </c>
      <c r="F445" t="s">
        <v>319</v>
      </c>
      <c r="G445" t="s">
        <v>1033</v>
      </c>
      <c r="H445" t="s">
        <v>30</v>
      </c>
      <c r="I445" s="1">
        <v>1</v>
      </c>
      <c r="J445" s="2">
        <v>456.9</v>
      </c>
    </row>
    <row r="446" spans="2:10" x14ac:dyDescent="0.2">
      <c r="B446" t="s">
        <v>866</v>
      </c>
      <c r="C446" t="s">
        <v>197</v>
      </c>
      <c r="D446" t="s">
        <v>32</v>
      </c>
      <c r="E446" t="s">
        <v>891</v>
      </c>
      <c r="F446" t="s">
        <v>892</v>
      </c>
      <c r="G446" t="s">
        <v>54</v>
      </c>
      <c r="H446" t="s">
        <v>138</v>
      </c>
      <c r="I446" s="1">
        <v>1</v>
      </c>
      <c r="J446" s="2">
        <v>215.52</v>
      </c>
    </row>
    <row r="447" spans="2:10" x14ac:dyDescent="0.2">
      <c r="B447" t="s">
        <v>866</v>
      </c>
      <c r="C447" t="s">
        <v>197</v>
      </c>
      <c r="D447" t="s">
        <v>32</v>
      </c>
      <c r="E447" t="s">
        <v>338</v>
      </c>
      <c r="F447" t="s">
        <v>339</v>
      </c>
      <c r="G447" t="s">
        <v>1033</v>
      </c>
      <c r="H447" t="s">
        <v>30</v>
      </c>
      <c r="I447" s="1">
        <v>1</v>
      </c>
      <c r="J447" s="2">
        <v>1525.86</v>
      </c>
    </row>
    <row r="448" spans="2:10" x14ac:dyDescent="0.2">
      <c r="B448" t="s">
        <v>866</v>
      </c>
      <c r="C448" t="s">
        <v>197</v>
      </c>
      <c r="D448" t="s">
        <v>32</v>
      </c>
      <c r="E448" t="s">
        <v>201</v>
      </c>
      <c r="F448" t="s">
        <v>202</v>
      </c>
      <c r="G448" t="s">
        <v>1033</v>
      </c>
      <c r="H448" t="s">
        <v>30</v>
      </c>
      <c r="I448" s="1">
        <v>1</v>
      </c>
      <c r="J448" s="2">
        <v>948.28</v>
      </c>
    </row>
    <row r="449" spans="2:10" x14ac:dyDescent="0.2">
      <c r="B449" t="s">
        <v>866</v>
      </c>
      <c r="C449" t="s">
        <v>197</v>
      </c>
      <c r="D449" t="s">
        <v>32</v>
      </c>
      <c r="E449" t="s">
        <v>221</v>
      </c>
      <c r="F449" t="s">
        <v>222</v>
      </c>
      <c r="G449" t="s">
        <v>1034</v>
      </c>
      <c r="H449" t="s">
        <v>15</v>
      </c>
      <c r="I449" s="1">
        <v>1</v>
      </c>
      <c r="J449" s="2">
        <v>431.03</v>
      </c>
    </row>
    <row r="450" spans="2:10" x14ac:dyDescent="0.2">
      <c r="B450" t="s">
        <v>866</v>
      </c>
      <c r="C450" t="s">
        <v>197</v>
      </c>
      <c r="D450" t="s">
        <v>32</v>
      </c>
      <c r="E450" t="s">
        <v>120</v>
      </c>
      <c r="F450" t="s">
        <v>121</v>
      </c>
      <c r="G450" t="s">
        <v>1034</v>
      </c>
      <c r="H450" t="s">
        <v>15</v>
      </c>
      <c r="I450" s="1">
        <v>2</v>
      </c>
      <c r="J450" s="2">
        <v>603.44000000000005</v>
      </c>
    </row>
    <row r="451" spans="2:10" x14ac:dyDescent="0.2">
      <c r="B451" t="s">
        <v>866</v>
      </c>
      <c r="C451" t="s">
        <v>197</v>
      </c>
      <c r="D451" t="s">
        <v>32</v>
      </c>
      <c r="E451" t="s">
        <v>38</v>
      </c>
      <c r="F451" t="s">
        <v>39</v>
      </c>
      <c r="G451" t="s">
        <v>1034</v>
      </c>
      <c r="H451" t="s">
        <v>15</v>
      </c>
      <c r="I451" s="1">
        <v>1</v>
      </c>
      <c r="J451" s="2">
        <v>431.03</v>
      </c>
    </row>
    <row r="452" spans="2:10" x14ac:dyDescent="0.2">
      <c r="B452" t="s">
        <v>866</v>
      </c>
      <c r="C452" t="s">
        <v>197</v>
      </c>
      <c r="D452" t="s">
        <v>32</v>
      </c>
      <c r="E452" t="s">
        <v>56</v>
      </c>
      <c r="F452" t="s">
        <v>57</v>
      </c>
      <c r="G452" t="s">
        <v>1034</v>
      </c>
      <c r="H452" t="s">
        <v>15</v>
      </c>
      <c r="I452" s="1">
        <v>1</v>
      </c>
      <c r="J452" s="2">
        <v>431.03</v>
      </c>
    </row>
    <row r="453" spans="2:10" x14ac:dyDescent="0.2">
      <c r="B453" t="s">
        <v>866</v>
      </c>
      <c r="C453" t="s">
        <v>197</v>
      </c>
      <c r="D453" t="s">
        <v>32</v>
      </c>
      <c r="E453" t="s">
        <v>58</v>
      </c>
      <c r="F453" t="s">
        <v>59</v>
      </c>
      <c r="G453" t="s">
        <v>14</v>
      </c>
      <c r="H453" t="s">
        <v>60</v>
      </c>
      <c r="I453" s="1">
        <v>1</v>
      </c>
      <c r="J453" s="2">
        <v>172.41</v>
      </c>
    </row>
    <row r="454" spans="2:10" x14ac:dyDescent="0.2">
      <c r="B454" t="s">
        <v>866</v>
      </c>
      <c r="C454" t="s">
        <v>206</v>
      </c>
      <c r="D454" t="s">
        <v>32</v>
      </c>
      <c r="E454" t="s">
        <v>893</v>
      </c>
      <c r="F454" t="s">
        <v>894</v>
      </c>
      <c r="G454" t="s">
        <v>54</v>
      </c>
      <c r="H454" t="s">
        <v>138</v>
      </c>
      <c r="I454" s="1">
        <v>1</v>
      </c>
      <c r="J454" s="2">
        <v>301.72000000000003</v>
      </c>
    </row>
    <row r="455" spans="2:10" x14ac:dyDescent="0.2">
      <c r="B455" t="s">
        <v>866</v>
      </c>
      <c r="C455" t="s">
        <v>206</v>
      </c>
      <c r="D455" t="s">
        <v>32</v>
      </c>
      <c r="E455" t="s">
        <v>249</v>
      </c>
      <c r="F455" t="s">
        <v>250</v>
      </c>
      <c r="G455" t="s">
        <v>1033</v>
      </c>
      <c r="H455" t="s">
        <v>30</v>
      </c>
      <c r="I455" s="1">
        <v>1</v>
      </c>
      <c r="J455" s="2">
        <v>517.24</v>
      </c>
    </row>
    <row r="456" spans="2:10" x14ac:dyDescent="0.2">
      <c r="B456" t="s">
        <v>866</v>
      </c>
      <c r="C456" t="s">
        <v>206</v>
      </c>
      <c r="D456" t="s">
        <v>32</v>
      </c>
      <c r="E456" t="s">
        <v>120</v>
      </c>
      <c r="F456" t="s">
        <v>121</v>
      </c>
      <c r="G456" t="s">
        <v>1034</v>
      </c>
      <c r="H456" t="s">
        <v>15</v>
      </c>
      <c r="I456" s="1">
        <v>2</v>
      </c>
      <c r="J456" s="2">
        <v>603.44000000000005</v>
      </c>
    </row>
    <row r="457" spans="2:10" x14ac:dyDescent="0.2">
      <c r="B457" t="s">
        <v>866</v>
      </c>
      <c r="C457" t="s">
        <v>206</v>
      </c>
      <c r="D457" t="s">
        <v>32</v>
      </c>
      <c r="E457" t="s">
        <v>214</v>
      </c>
      <c r="F457" t="s">
        <v>215</v>
      </c>
      <c r="G457" t="s">
        <v>1034</v>
      </c>
      <c r="H457" t="s">
        <v>15</v>
      </c>
      <c r="I457" s="1">
        <v>1</v>
      </c>
      <c r="J457" s="2">
        <v>301.72000000000003</v>
      </c>
    </row>
    <row r="458" spans="2:10" x14ac:dyDescent="0.2">
      <c r="B458" t="s">
        <v>866</v>
      </c>
      <c r="C458" t="s">
        <v>206</v>
      </c>
      <c r="D458" t="s">
        <v>32</v>
      </c>
      <c r="E458" t="s">
        <v>312</v>
      </c>
      <c r="F458" t="s">
        <v>313</v>
      </c>
      <c r="G458" t="s">
        <v>1033</v>
      </c>
      <c r="H458" t="s">
        <v>30</v>
      </c>
      <c r="I458" s="1">
        <v>1</v>
      </c>
      <c r="J458" s="2">
        <v>603.45000000000005</v>
      </c>
    </row>
    <row r="459" spans="2:10" x14ac:dyDescent="0.2">
      <c r="B459" t="s">
        <v>866</v>
      </c>
      <c r="C459" t="s">
        <v>206</v>
      </c>
      <c r="D459" t="s">
        <v>32</v>
      </c>
      <c r="E459" t="s">
        <v>16</v>
      </c>
      <c r="F459" t="s">
        <v>17</v>
      </c>
      <c r="G459" t="s">
        <v>1034</v>
      </c>
      <c r="H459" t="s">
        <v>15</v>
      </c>
      <c r="I459" s="1">
        <v>1</v>
      </c>
      <c r="J459" s="2">
        <v>577.59</v>
      </c>
    </row>
    <row r="460" spans="2:10" x14ac:dyDescent="0.2">
      <c r="B460" t="s">
        <v>866</v>
      </c>
      <c r="C460" t="s">
        <v>220</v>
      </c>
      <c r="D460" t="s">
        <v>32</v>
      </c>
      <c r="E460" t="s">
        <v>46</v>
      </c>
      <c r="F460" t="s">
        <v>47</v>
      </c>
      <c r="G460" t="s">
        <v>1034</v>
      </c>
      <c r="H460" t="s">
        <v>15</v>
      </c>
      <c r="I460" s="1">
        <v>1</v>
      </c>
      <c r="J460" s="2">
        <v>301.72000000000003</v>
      </c>
    </row>
    <row r="461" spans="2:10" x14ac:dyDescent="0.2">
      <c r="B461" t="s">
        <v>866</v>
      </c>
      <c r="C461" t="s">
        <v>220</v>
      </c>
      <c r="D461" t="s">
        <v>32</v>
      </c>
      <c r="E461" t="s">
        <v>120</v>
      </c>
      <c r="F461" t="s">
        <v>121</v>
      </c>
      <c r="G461" t="s">
        <v>1034</v>
      </c>
      <c r="H461" t="s">
        <v>15</v>
      </c>
      <c r="I461" s="1">
        <v>1</v>
      </c>
      <c r="J461" s="2">
        <v>301.72000000000003</v>
      </c>
    </row>
    <row r="462" spans="2:10" x14ac:dyDescent="0.2">
      <c r="B462" t="s">
        <v>866</v>
      </c>
      <c r="C462" t="s">
        <v>220</v>
      </c>
      <c r="D462" t="s">
        <v>32</v>
      </c>
      <c r="E462" t="s">
        <v>687</v>
      </c>
      <c r="F462" t="s">
        <v>688</v>
      </c>
      <c r="G462" t="s">
        <v>43</v>
      </c>
      <c r="H462" t="s">
        <v>50</v>
      </c>
      <c r="I462" s="1">
        <v>1</v>
      </c>
      <c r="J462" s="2">
        <v>181.03</v>
      </c>
    </row>
    <row r="463" spans="2:10" x14ac:dyDescent="0.2">
      <c r="B463" t="s">
        <v>866</v>
      </c>
      <c r="C463" t="s">
        <v>220</v>
      </c>
      <c r="D463" t="s">
        <v>32</v>
      </c>
      <c r="E463" t="s">
        <v>56</v>
      </c>
      <c r="F463" t="s">
        <v>57</v>
      </c>
      <c r="G463" t="s">
        <v>1034</v>
      </c>
      <c r="H463" t="s">
        <v>15</v>
      </c>
      <c r="I463" s="1">
        <v>1</v>
      </c>
      <c r="J463" s="2">
        <v>431.03</v>
      </c>
    </row>
    <row r="464" spans="2:10" x14ac:dyDescent="0.2">
      <c r="B464" t="s">
        <v>866</v>
      </c>
      <c r="C464" t="s">
        <v>220</v>
      </c>
      <c r="D464" t="s">
        <v>32</v>
      </c>
      <c r="E464" t="s">
        <v>16</v>
      </c>
      <c r="F464" t="s">
        <v>17</v>
      </c>
      <c r="G464" t="s">
        <v>1034</v>
      </c>
      <c r="H464" t="s">
        <v>15</v>
      </c>
      <c r="I464" s="1">
        <v>2</v>
      </c>
      <c r="J464" s="2">
        <v>1155.18</v>
      </c>
    </row>
    <row r="465" spans="2:10" x14ac:dyDescent="0.2">
      <c r="B465" t="s">
        <v>866</v>
      </c>
      <c r="C465" t="s">
        <v>220</v>
      </c>
      <c r="D465" t="s">
        <v>32</v>
      </c>
      <c r="E465" t="s">
        <v>333</v>
      </c>
      <c r="F465" t="s">
        <v>334</v>
      </c>
      <c r="G465" t="s">
        <v>1033</v>
      </c>
      <c r="H465" t="s">
        <v>30</v>
      </c>
      <c r="I465" s="1">
        <v>1</v>
      </c>
      <c r="J465" s="2">
        <v>2413.79</v>
      </c>
    </row>
    <row r="466" spans="2:10" x14ac:dyDescent="0.2">
      <c r="B466" t="s">
        <v>866</v>
      </c>
      <c r="C466" t="s">
        <v>225</v>
      </c>
      <c r="D466" t="s">
        <v>32</v>
      </c>
      <c r="E466" t="s">
        <v>44</v>
      </c>
      <c r="F466" t="s">
        <v>45</v>
      </c>
      <c r="G466" t="s">
        <v>1033</v>
      </c>
      <c r="H466" t="s">
        <v>30</v>
      </c>
      <c r="I466" s="1">
        <v>1</v>
      </c>
      <c r="J466" s="2">
        <v>81.900000000000006</v>
      </c>
    </row>
    <row r="467" spans="2:10" x14ac:dyDescent="0.2">
      <c r="B467" t="s">
        <v>866</v>
      </c>
      <c r="C467" t="s">
        <v>225</v>
      </c>
      <c r="D467" t="s">
        <v>32</v>
      </c>
      <c r="E467" t="s">
        <v>19</v>
      </c>
      <c r="F467" t="s">
        <v>20</v>
      </c>
      <c r="G467" t="s">
        <v>14</v>
      </c>
      <c r="H467" t="s">
        <v>21</v>
      </c>
      <c r="I467" s="1">
        <v>1</v>
      </c>
      <c r="J467" s="2">
        <v>431.04</v>
      </c>
    </row>
    <row r="468" spans="2:10" x14ac:dyDescent="0.2">
      <c r="B468" t="s">
        <v>866</v>
      </c>
      <c r="C468" t="s">
        <v>225</v>
      </c>
      <c r="D468" t="s">
        <v>32</v>
      </c>
      <c r="E468" t="s">
        <v>221</v>
      </c>
      <c r="F468" t="s">
        <v>222</v>
      </c>
      <c r="G468" t="s">
        <v>1034</v>
      </c>
      <c r="H468" t="s">
        <v>15</v>
      </c>
      <c r="I468" s="1">
        <v>1</v>
      </c>
      <c r="J468" s="2">
        <v>431.03</v>
      </c>
    </row>
    <row r="469" spans="2:10" x14ac:dyDescent="0.2">
      <c r="B469" t="s">
        <v>866</v>
      </c>
      <c r="C469" t="s">
        <v>225</v>
      </c>
      <c r="D469" t="s">
        <v>32</v>
      </c>
      <c r="E469" t="s">
        <v>120</v>
      </c>
      <c r="F469" t="s">
        <v>121</v>
      </c>
      <c r="G469" t="s">
        <v>1034</v>
      </c>
      <c r="H469" t="s">
        <v>15</v>
      </c>
      <c r="I469" s="1">
        <v>1</v>
      </c>
      <c r="J469" s="2">
        <v>301.72000000000003</v>
      </c>
    </row>
    <row r="470" spans="2:10" x14ac:dyDescent="0.2">
      <c r="B470" t="s">
        <v>866</v>
      </c>
      <c r="C470" t="s">
        <v>225</v>
      </c>
      <c r="D470" t="s">
        <v>32</v>
      </c>
      <c r="E470" t="s">
        <v>12</v>
      </c>
      <c r="F470" t="s">
        <v>13</v>
      </c>
      <c r="G470" t="s">
        <v>1034</v>
      </c>
      <c r="H470" t="s">
        <v>15</v>
      </c>
      <c r="I470" s="1">
        <v>1</v>
      </c>
      <c r="J470" s="2">
        <v>1077.5899999999999</v>
      </c>
    </row>
    <row r="471" spans="2:10" x14ac:dyDescent="0.2">
      <c r="B471" t="s">
        <v>866</v>
      </c>
      <c r="C471" t="s">
        <v>225</v>
      </c>
      <c r="D471" t="s">
        <v>32</v>
      </c>
      <c r="E471" t="s">
        <v>214</v>
      </c>
      <c r="F471" t="s">
        <v>215</v>
      </c>
      <c r="G471" t="s">
        <v>1034</v>
      </c>
      <c r="H471" t="s">
        <v>15</v>
      </c>
      <c r="I471" s="1">
        <v>1</v>
      </c>
      <c r="J471" s="2">
        <v>301.72000000000003</v>
      </c>
    </row>
    <row r="472" spans="2:10" x14ac:dyDescent="0.2">
      <c r="B472" t="s">
        <v>866</v>
      </c>
      <c r="C472" t="s">
        <v>225</v>
      </c>
      <c r="D472" t="s">
        <v>32</v>
      </c>
      <c r="E472" t="s">
        <v>836</v>
      </c>
      <c r="F472" t="s">
        <v>837</v>
      </c>
      <c r="G472" t="s">
        <v>14</v>
      </c>
      <c r="H472" t="s">
        <v>87</v>
      </c>
      <c r="I472" s="1">
        <v>1</v>
      </c>
      <c r="J472" s="2">
        <v>301.72000000000003</v>
      </c>
    </row>
    <row r="473" spans="2:10" x14ac:dyDescent="0.2">
      <c r="B473" t="s">
        <v>866</v>
      </c>
      <c r="C473" t="s">
        <v>225</v>
      </c>
      <c r="D473" t="s">
        <v>32</v>
      </c>
      <c r="E473" t="s">
        <v>38</v>
      </c>
      <c r="F473" t="s">
        <v>39</v>
      </c>
      <c r="G473" t="s">
        <v>1034</v>
      </c>
      <c r="H473" t="s">
        <v>15</v>
      </c>
      <c r="I473" s="1">
        <v>2</v>
      </c>
      <c r="J473" s="2">
        <v>862.06</v>
      </c>
    </row>
    <row r="474" spans="2:10" x14ac:dyDescent="0.2">
      <c r="B474" t="s">
        <v>866</v>
      </c>
      <c r="C474" t="s">
        <v>225</v>
      </c>
      <c r="D474" t="s">
        <v>32</v>
      </c>
      <c r="E474" t="s">
        <v>895</v>
      </c>
      <c r="F474" t="s">
        <v>896</v>
      </c>
      <c r="G474" t="s">
        <v>1033</v>
      </c>
      <c r="H474" t="s">
        <v>30</v>
      </c>
      <c r="I474" s="1">
        <v>1</v>
      </c>
      <c r="J474" s="2">
        <v>301.72000000000003</v>
      </c>
    </row>
    <row r="475" spans="2:10" x14ac:dyDescent="0.2">
      <c r="B475" t="s">
        <v>866</v>
      </c>
      <c r="C475" t="s">
        <v>225</v>
      </c>
      <c r="D475" t="s">
        <v>32</v>
      </c>
      <c r="E475" t="s">
        <v>56</v>
      </c>
      <c r="F475" t="s">
        <v>57</v>
      </c>
      <c r="G475" t="s">
        <v>1034</v>
      </c>
      <c r="H475" t="s">
        <v>15</v>
      </c>
      <c r="I475" s="1">
        <v>1</v>
      </c>
      <c r="J475" s="2">
        <v>431.03</v>
      </c>
    </row>
    <row r="476" spans="2:10" x14ac:dyDescent="0.2">
      <c r="B476" t="s">
        <v>866</v>
      </c>
      <c r="C476" t="s">
        <v>225</v>
      </c>
      <c r="D476" t="s">
        <v>32</v>
      </c>
      <c r="E476" t="s">
        <v>16</v>
      </c>
      <c r="F476" t="s">
        <v>17</v>
      </c>
      <c r="G476" t="s">
        <v>1034</v>
      </c>
      <c r="H476" t="s">
        <v>15</v>
      </c>
      <c r="I476" s="1">
        <v>1</v>
      </c>
      <c r="J476" s="2">
        <v>577.59</v>
      </c>
    </row>
    <row r="477" spans="2:10" x14ac:dyDescent="0.2">
      <c r="B477" t="s">
        <v>866</v>
      </c>
      <c r="C477" t="s">
        <v>225</v>
      </c>
      <c r="D477" t="s">
        <v>32</v>
      </c>
      <c r="E477" t="s">
        <v>762</v>
      </c>
      <c r="F477" t="s">
        <v>763</v>
      </c>
      <c r="G477" t="s">
        <v>1033</v>
      </c>
      <c r="H477" t="s">
        <v>30</v>
      </c>
      <c r="I477" s="1">
        <v>1</v>
      </c>
      <c r="J477" s="2">
        <v>2396.5500000000002</v>
      </c>
    </row>
    <row r="478" spans="2:10" x14ac:dyDescent="0.2">
      <c r="B478" t="s">
        <v>907</v>
      </c>
      <c r="C478" t="s">
        <v>335</v>
      </c>
      <c r="D478" t="s">
        <v>908</v>
      </c>
      <c r="E478" t="s">
        <v>917</v>
      </c>
      <c r="F478" t="s">
        <v>918</v>
      </c>
      <c r="G478" t="s">
        <v>1033</v>
      </c>
      <c r="H478" t="s">
        <v>30</v>
      </c>
      <c r="I478" s="1">
        <v>2</v>
      </c>
      <c r="J478" s="2">
        <v>2258.62</v>
      </c>
    </row>
    <row r="479" spans="2:10" x14ac:dyDescent="0.2">
      <c r="B479" t="s">
        <v>907</v>
      </c>
      <c r="C479" t="s">
        <v>335</v>
      </c>
      <c r="D479" t="s">
        <v>908</v>
      </c>
      <c r="E479" t="s">
        <v>214</v>
      </c>
      <c r="F479" t="s">
        <v>215</v>
      </c>
      <c r="G479" t="s">
        <v>1034</v>
      </c>
      <c r="H479" t="s">
        <v>15</v>
      </c>
      <c r="I479" s="1">
        <v>1</v>
      </c>
      <c r="J479" s="2">
        <v>301.72000000000003</v>
      </c>
    </row>
    <row r="480" spans="2:10" x14ac:dyDescent="0.2">
      <c r="B480" t="s">
        <v>907</v>
      </c>
      <c r="C480" t="s">
        <v>335</v>
      </c>
      <c r="D480" t="s">
        <v>908</v>
      </c>
      <c r="E480" t="s">
        <v>36</v>
      </c>
      <c r="F480" t="s">
        <v>37</v>
      </c>
      <c r="G480" t="s">
        <v>1034</v>
      </c>
      <c r="H480" t="s">
        <v>15</v>
      </c>
      <c r="I480" s="1">
        <v>1</v>
      </c>
      <c r="J480" s="2">
        <v>301.72000000000003</v>
      </c>
    </row>
    <row r="481" spans="2:10" x14ac:dyDescent="0.2">
      <c r="B481" t="s">
        <v>907</v>
      </c>
      <c r="C481" t="s">
        <v>335</v>
      </c>
      <c r="D481" t="s">
        <v>908</v>
      </c>
      <c r="E481" t="s">
        <v>255</v>
      </c>
      <c r="F481" t="s">
        <v>256</v>
      </c>
      <c r="G481" t="s">
        <v>1033</v>
      </c>
      <c r="H481" t="s">
        <v>30</v>
      </c>
      <c r="I481" s="1">
        <v>1</v>
      </c>
      <c r="J481" s="2">
        <v>517.24</v>
      </c>
    </row>
    <row r="482" spans="2:10" x14ac:dyDescent="0.2">
      <c r="B482" t="s">
        <v>907</v>
      </c>
      <c r="C482" t="s">
        <v>335</v>
      </c>
      <c r="D482" t="s">
        <v>908</v>
      </c>
      <c r="E482" t="s">
        <v>61</v>
      </c>
      <c r="F482" t="s">
        <v>62</v>
      </c>
      <c r="G482" t="s">
        <v>1034</v>
      </c>
      <c r="H482" t="s">
        <v>15</v>
      </c>
      <c r="I482" s="1">
        <v>1</v>
      </c>
      <c r="J482" s="2">
        <v>172.41</v>
      </c>
    </row>
    <row r="483" spans="2:10" x14ac:dyDescent="0.2">
      <c r="B483" t="s">
        <v>907</v>
      </c>
      <c r="C483" t="s">
        <v>418</v>
      </c>
      <c r="D483" t="s">
        <v>908</v>
      </c>
      <c r="E483" t="s">
        <v>590</v>
      </c>
      <c r="F483" t="s">
        <v>591</v>
      </c>
      <c r="G483" t="s">
        <v>14</v>
      </c>
      <c r="H483" t="s">
        <v>35</v>
      </c>
      <c r="I483" s="1">
        <v>1</v>
      </c>
      <c r="J483" s="2">
        <v>77.59</v>
      </c>
    </row>
    <row r="484" spans="2:10" x14ac:dyDescent="0.2">
      <c r="B484" t="s">
        <v>907</v>
      </c>
      <c r="C484" t="s">
        <v>418</v>
      </c>
      <c r="D484" t="s">
        <v>908</v>
      </c>
      <c r="E484" t="s">
        <v>214</v>
      </c>
      <c r="F484" t="s">
        <v>215</v>
      </c>
      <c r="G484" t="s">
        <v>1034</v>
      </c>
      <c r="H484" t="s">
        <v>15</v>
      </c>
      <c r="I484" s="1">
        <v>2</v>
      </c>
      <c r="J484" s="2">
        <v>603.44000000000005</v>
      </c>
    </row>
    <row r="485" spans="2:10" x14ac:dyDescent="0.2">
      <c r="B485" t="s">
        <v>907</v>
      </c>
      <c r="C485" t="s">
        <v>418</v>
      </c>
      <c r="D485" t="s">
        <v>908</v>
      </c>
      <c r="E485" t="s">
        <v>408</v>
      </c>
      <c r="F485" t="s">
        <v>409</v>
      </c>
      <c r="G485" t="s">
        <v>43</v>
      </c>
      <c r="H485" t="s">
        <v>81</v>
      </c>
      <c r="I485" s="1">
        <v>1</v>
      </c>
      <c r="J485" s="2">
        <v>1465.52</v>
      </c>
    </row>
    <row r="486" spans="2:10" x14ac:dyDescent="0.2">
      <c r="B486" t="s">
        <v>907</v>
      </c>
      <c r="C486" t="s">
        <v>186</v>
      </c>
      <c r="D486" t="s">
        <v>130</v>
      </c>
      <c r="E486" t="s">
        <v>318</v>
      </c>
      <c r="F486" t="s">
        <v>319</v>
      </c>
      <c r="G486" t="s">
        <v>1033</v>
      </c>
      <c r="H486" t="s">
        <v>30</v>
      </c>
      <c r="I486" s="1">
        <v>1</v>
      </c>
      <c r="J486" s="2">
        <v>456.9</v>
      </c>
    </row>
    <row r="487" spans="2:10" x14ac:dyDescent="0.2">
      <c r="B487" t="s">
        <v>907</v>
      </c>
      <c r="C487" t="s">
        <v>186</v>
      </c>
      <c r="D487" t="s">
        <v>130</v>
      </c>
      <c r="E487" t="s">
        <v>142</v>
      </c>
      <c r="F487" t="s">
        <v>143</v>
      </c>
      <c r="G487" t="s">
        <v>43</v>
      </c>
      <c r="H487" t="s">
        <v>50</v>
      </c>
      <c r="I487" s="1">
        <v>1</v>
      </c>
      <c r="J487" s="2">
        <v>2155.17</v>
      </c>
    </row>
    <row r="488" spans="2:10" x14ac:dyDescent="0.2">
      <c r="B488" t="s">
        <v>907</v>
      </c>
      <c r="C488" t="s">
        <v>186</v>
      </c>
      <c r="D488" t="s">
        <v>130</v>
      </c>
      <c r="E488" t="s">
        <v>46</v>
      </c>
      <c r="F488" t="s">
        <v>47</v>
      </c>
      <c r="G488" t="s">
        <v>1034</v>
      </c>
      <c r="H488" t="s">
        <v>15</v>
      </c>
      <c r="I488" s="1">
        <v>1</v>
      </c>
      <c r="J488" s="2">
        <v>301.72000000000003</v>
      </c>
    </row>
    <row r="489" spans="2:10" x14ac:dyDescent="0.2">
      <c r="B489" t="s">
        <v>907</v>
      </c>
      <c r="C489" t="s">
        <v>186</v>
      </c>
      <c r="D489" t="s">
        <v>130</v>
      </c>
      <c r="E489" t="s">
        <v>919</v>
      </c>
      <c r="F489" t="s">
        <v>920</v>
      </c>
      <c r="G489" t="s">
        <v>284</v>
      </c>
      <c r="H489" t="s">
        <v>205</v>
      </c>
      <c r="I489" s="1">
        <v>1</v>
      </c>
      <c r="J489" s="2">
        <v>1047.4100000000001</v>
      </c>
    </row>
    <row r="490" spans="2:10" x14ac:dyDescent="0.2">
      <c r="B490" t="s">
        <v>907</v>
      </c>
      <c r="C490" t="s">
        <v>186</v>
      </c>
      <c r="D490" t="s">
        <v>130</v>
      </c>
      <c r="E490" t="s">
        <v>72</v>
      </c>
      <c r="F490" t="s">
        <v>73</v>
      </c>
      <c r="G490" t="s">
        <v>1034</v>
      </c>
      <c r="H490" t="s">
        <v>15</v>
      </c>
      <c r="I490" s="1">
        <v>2</v>
      </c>
      <c r="J490" s="2">
        <v>1551.72</v>
      </c>
    </row>
    <row r="491" spans="2:10" x14ac:dyDescent="0.2">
      <c r="B491" t="s">
        <v>907</v>
      </c>
      <c r="C491" t="s">
        <v>186</v>
      </c>
      <c r="D491" t="s">
        <v>130</v>
      </c>
      <c r="E491" t="s">
        <v>153</v>
      </c>
      <c r="F491" t="s">
        <v>154</v>
      </c>
      <c r="G491" t="s">
        <v>1034</v>
      </c>
      <c r="H491" t="s">
        <v>15</v>
      </c>
      <c r="I491" s="1">
        <v>1</v>
      </c>
      <c r="J491" s="2">
        <v>387.93</v>
      </c>
    </row>
    <row r="492" spans="2:10" x14ac:dyDescent="0.2">
      <c r="B492" t="s">
        <v>907</v>
      </c>
      <c r="C492" t="s">
        <v>186</v>
      </c>
      <c r="D492" t="s">
        <v>130</v>
      </c>
      <c r="E492" t="s">
        <v>163</v>
      </c>
      <c r="F492" t="s">
        <v>164</v>
      </c>
      <c r="G492" t="s">
        <v>1034</v>
      </c>
      <c r="H492" t="s">
        <v>15</v>
      </c>
      <c r="I492" s="1">
        <v>1</v>
      </c>
      <c r="J492" s="2">
        <v>431.03</v>
      </c>
    </row>
    <row r="493" spans="2:10" x14ac:dyDescent="0.2">
      <c r="B493" t="s">
        <v>907</v>
      </c>
      <c r="C493" t="s">
        <v>186</v>
      </c>
      <c r="D493" t="s">
        <v>130</v>
      </c>
      <c r="E493" t="s">
        <v>61</v>
      </c>
      <c r="F493" t="s">
        <v>62</v>
      </c>
      <c r="G493" t="s">
        <v>1034</v>
      </c>
      <c r="H493" t="s">
        <v>15</v>
      </c>
      <c r="I493" s="1">
        <v>1</v>
      </c>
      <c r="J493" s="2">
        <v>172.41</v>
      </c>
    </row>
    <row r="494" spans="2:10" x14ac:dyDescent="0.2">
      <c r="B494" t="s">
        <v>907</v>
      </c>
      <c r="C494" t="s">
        <v>197</v>
      </c>
      <c r="D494" t="s">
        <v>908</v>
      </c>
      <c r="E494" t="s">
        <v>44</v>
      </c>
      <c r="F494" t="s">
        <v>45</v>
      </c>
      <c r="G494" t="s">
        <v>1033</v>
      </c>
      <c r="H494" t="s">
        <v>30</v>
      </c>
      <c r="I494" s="1">
        <v>1</v>
      </c>
      <c r="J494" s="2">
        <v>81.900000000000006</v>
      </c>
    </row>
    <row r="495" spans="2:10" x14ac:dyDescent="0.2">
      <c r="B495" t="s">
        <v>907</v>
      </c>
      <c r="C495" t="s">
        <v>197</v>
      </c>
      <c r="D495" t="s">
        <v>908</v>
      </c>
      <c r="E495" t="s">
        <v>36</v>
      </c>
      <c r="F495" t="s">
        <v>37</v>
      </c>
      <c r="G495" t="s">
        <v>1034</v>
      </c>
      <c r="H495" t="s">
        <v>15</v>
      </c>
      <c r="I495" s="1">
        <v>1</v>
      </c>
      <c r="J495" s="2">
        <v>301.72000000000003</v>
      </c>
    </row>
    <row r="496" spans="2:10" x14ac:dyDescent="0.2">
      <c r="B496" t="s">
        <v>907</v>
      </c>
      <c r="C496" t="s">
        <v>197</v>
      </c>
      <c r="D496" t="s">
        <v>908</v>
      </c>
      <c r="E496" t="s">
        <v>153</v>
      </c>
      <c r="F496" t="s">
        <v>154</v>
      </c>
      <c r="G496" t="s">
        <v>1034</v>
      </c>
      <c r="H496" t="s">
        <v>15</v>
      </c>
      <c r="I496" s="1">
        <v>1</v>
      </c>
      <c r="J496" s="2">
        <v>387.93</v>
      </c>
    </row>
    <row r="497" spans="2:10" x14ac:dyDescent="0.2">
      <c r="B497" t="s">
        <v>907</v>
      </c>
      <c r="C497" t="s">
        <v>197</v>
      </c>
      <c r="D497" t="s">
        <v>908</v>
      </c>
      <c r="E497" t="s">
        <v>38</v>
      </c>
      <c r="F497" t="s">
        <v>39</v>
      </c>
      <c r="G497" t="s">
        <v>1034</v>
      </c>
      <c r="H497" t="s">
        <v>15</v>
      </c>
      <c r="I497" s="1">
        <v>1</v>
      </c>
      <c r="J497" s="2">
        <v>431.03</v>
      </c>
    </row>
    <row r="498" spans="2:10" x14ac:dyDescent="0.2">
      <c r="B498" t="s">
        <v>907</v>
      </c>
      <c r="C498" t="s">
        <v>206</v>
      </c>
      <c r="D498" t="s">
        <v>130</v>
      </c>
      <c r="E498" t="s">
        <v>818</v>
      </c>
      <c r="F498" t="s">
        <v>819</v>
      </c>
      <c r="G498" t="s">
        <v>54</v>
      </c>
      <c r="H498" t="s">
        <v>138</v>
      </c>
      <c r="I498" s="1">
        <v>1</v>
      </c>
      <c r="J498" s="2">
        <v>431.03</v>
      </c>
    </row>
    <row r="499" spans="2:10" x14ac:dyDescent="0.2">
      <c r="B499" t="s">
        <v>907</v>
      </c>
      <c r="C499" t="s">
        <v>206</v>
      </c>
      <c r="D499" t="s">
        <v>130</v>
      </c>
      <c r="E499" t="s">
        <v>921</v>
      </c>
      <c r="F499" t="s">
        <v>922</v>
      </c>
      <c r="G499" t="s">
        <v>54</v>
      </c>
      <c r="H499" t="s">
        <v>138</v>
      </c>
      <c r="I499" s="1">
        <v>1</v>
      </c>
      <c r="J499" s="2">
        <v>435.34</v>
      </c>
    </row>
    <row r="500" spans="2:10" x14ac:dyDescent="0.2">
      <c r="B500" t="s">
        <v>907</v>
      </c>
      <c r="C500" t="s">
        <v>220</v>
      </c>
      <c r="D500" t="s">
        <v>908</v>
      </c>
      <c r="E500" t="s">
        <v>923</v>
      </c>
      <c r="F500" t="s">
        <v>924</v>
      </c>
      <c r="G500" t="s">
        <v>43</v>
      </c>
      <c r="H500" t="s">
        <v>452</v>
      </c>
      <c r="I500" s="1">
        <v>1</v>
      </c>
      <c r="J500" s="2">
        <v>2586.21</v>
      </c>
    </row>
    <row r="501" spans="2:10" x14ac:dyDescent="0.2">
      <c r="B501" t="s">
        <v>907</v>
      </c>
      <c r="C501" t="s">
        <v>220</v>
      </c>
      <c r="D501" t="s">
        <v>908</v>
      </c>
      <c r="E501" t="s">
        <v>328</v>
      </c>
      <c r="F501" t="s">
        <v>329</v>
      </c>
      <c r="G501" t="s">
        <v>1033</v>
      </c>
      <c r="H501" t="s">
        <v>30</v>
      </c>
      <c r="I501" s="1">
        <v>1</v>
      </c>
      <c r="J501" s="2">
        <v>172.41</v>
      </c>
    </row>
    <row r="502" spans="2:10" x14ac:dyDescent="0.2">
      <c r="B502" t="s">
        <v>907</v>
      </c>
      <c r="C502" t="s">
        <v>220</v>
      </c>
      <c r="D502" t="s">
        <v>908</v>
      </c>
      <c r="E502" t="s">
        <v>253</v>
      </c>
      <c r="F502" t="s">
        <v>254</v>
      </c>
      <c r="G502" t="s">
        <v>1034</v>
      </c>
      <c r="H502" t="s">
        <v>15</v>
      </c>
      <c r="I502" s="1">
        <v>2</v>
      </c>
      <c r="J502" s="2">
        <v>1551.72</v>
      </c>
    </row>
    <row r="503" spans="2:10" x14ac:dyDescent="0.2">
      <c r="B503" t="s">
        <v>907</v>
      </c>
      <c r="C503" t="s">
        <v>220</v>
      </c>
      <c r="D503" t="s">
        <v>908</v>
      </c>
      <c r="E503" t="s">
        <v>122</v>
      </c>
      <c r="F503" t="s">
        <v>123</v>
      </c>
      <c r="G503" t="s">
        <v>1034</v>
      </c>
      <c r="H503" t="s">
        <v>15</v>
      </c>
      <c r="I503" s="1">
        <v>1</v>
      </c>
      <c r="J503" s="2">
        <v>387.93</v>
      </c>
    </row>
    <row r="504" spans="2:10" x14ac:dyDescent="0.2">
      <c r="B504" t="s">
        <v>907</v>
      </c>
      <c r="C504" t="s">
        <v>220</v>
      </c>
      <c r="D504" t="s">
        <v>908</v>
      </c>
      <c r="E504" t="s">
        <v>61</v>
      </c>
      <c r="F504" t="s">
        <v>62</v>
      </c>
      <c r="G504" t="s">
        <v>1034</v>
      </c>
      <c r="H504" t="s">
        <v>15</v>
      </c>
      <c r="I504" s="1">
        <v>1</v>
      </c>
      <c r="J504" s="2">
        <v>172.41</v>
      </c>
    </row>
    <row r="505" spans="2:10" x14ac:dyDescent="0.2">
      <c r="B505" t="s">
        <v>907</v>
      </c>
      <c r="C505" t="s">
        <v>220</v>
      </c>
      <c r="D505" t="s">
        <v>908</v>
      </c>
      <c r="E505" t="s">
        <v>63</v>
      </c>
      <c r="F505" t="s">
        <v>64</v>
      </c>
      <c r="G505" t="s">
        <v>1034</v>
      </c>
      <c r="H505" t="s">
        <v>15</v>
      </c>
      <c r="I505" s="1">
        <v>1</v>
      </c>
      <c r="J505" s="2">
        <v>172.41</v>
      </c>
    </row>
    <row r="506" spans="2:10" x14ac:dyDescent="0.2">
      <c r="B506" t="s">
        <v>907</v>
      </c>
      <c r="C506" t="s">
        <v>220</v>
      </c>
      <c r="D506" t="s">
        <v>908</v>
      </c>
      <c r="E506" t="s">
        <v>925</v>
      </c>
      <c r="F506" t="s">
        <v>926</v>
      </c>
      <c r="G506" t="s">
        <v>43</v>
      </c>
      <c r="H506" t="s">
        <v>128</v>
      </c>
      <c r="I506" s="1">
        <v>1</v>
      </c>
      <c r="J506" s="2">
        <v>2068.9699999999998</v>
      </c>
    </row>
    <row r="507" spans="2:10" x14ac:dyDescent="0.2">
      <c r="B507" t="s">
        <v>907</v>
      </c>
      <c r="C507" t="s">
        <v>225</v>
      </c>
      <c r="D507" t="s">
        <v>908</v>
      </c>
      <c r="E507" t="s">
        <v>187</v>
      </c>
      <c r="F507" t="s">
        <v>188</v>
      </c>
      <c r="G507" t="s">
        <v>1033</v>
      </c>
      <c r="H507" t="s">
        <v>30</v>
      </c>
      <c r="I507" s="1">
        <v>1</v>
      </c>
      <c r="J507" s="2">
        <v>258.62</v>
      </c>
    </row>
    <row r="508" spans="2:10" x14ac:dyDescent="0.2">
      <c r="B508" t="s">
        <v>907</v>
      </c>
      <c r="C508" t="s">
        <v>225</v>
      </c>
      <c r="D508" t="s">
        <v>908</v>
      </c>
      <c r="E508" t="s">
        <v>927</v>
      </c>
      <c r="F508" t="s">
        <v>928</v>
      </c>
      <c r="G508" t="s">
        <v>54</v>
      </c>
      <c r="H508" t="s">
        <v>138</v>
      </c>
      <c r="I508" s="1">
        <v>1</v>
      </c>
      <c r="J508" s="2">
        <v>301.72000000000003</v>
      </c>
    </row>
    <row r="509" spans="2:10" x14ac:dyDescent="0.2">
      <c r="B509" t="s">
        <v>907</v>
      </c>
      <c r="C509" t="s">
        <v>225</v>
      </c>
      <c r="D509" t="s">
        <v>908</v>
      </c>
      <c r="E509" t="s">
        <v>324</v>
      </c>
      <c r="F509" t="s">
        <v>325</v>
      </c>
      <c r="G509" t="s">
        <v>1033</v>
      </c>
      <c r="H509" t="s">
        <v>30</v>
      </c>
      <c r="I509" s="1">
        <v>1</v>
      </c>
      <c r="J509" s="2">
        <v>2000</v>
      </c>
    </row>
    <row r="510" spans="2:10" x14ac:dyDescent="0.2">
      <c r="B510" t="s">
        <v>907</v>
      </c>
      <c r="C510" t="s">
        <v>225</v>
      </c>
      <c r="D510" t="s">
        <v>908</v>
      </c>
      <c r="E510" t="s">
        <v>70</v>
      </c>
      <c r="F510" t="s">
        <v>71</v>
      </c>
      <c r="G510" t="s">
        <v>1033</v>
      </c>
      <c r="H510" t="s">
        <v>30</v>
      </c>
      <c r="I510" s="1">
        <v>1</v>
      </c>
      <c r="J510" s="2">
        <v>2112.0700000000002</v>
      </c>
    </row>
    <row r="511" spans="2:10" x14ac:dyDescent="0.2">
      <c r="B511" t="s">
        <v>907</v>
      </c>
      <c r="C511" t="s">
        <v>225</v>
      </c>
      <c r="D511" t="s">
        <v>908</v>
      </c>
      <c r="E511" t="s">
        <v>120</v>
      </c>
      <c r="F511" t="s">
        <v>121</v>
      </c>
      <c r="G511" t="s">
        <v>1034</v>
      </c>
      <c r="H511" t="s">
        <v>15</v>
      </c>
      <c r="I511" s="1">
        <v>1</v>
      </c>
      <c r="J511" s="2">
        <v>301.72000000000003</v>
      </c>
    </row>
    <row r="512" spans="2:10" x14ac:dyDescent="0.2">
      <c r="B512" t="s">
        <v>907</v>
      </c>
      <c r="C512" t="s">
        <v>225</v>
      </c>
      <c r="D512" t="s">
        <v>908</v>
      </c>
      <c r="E512" t="s">
        <v>267</v>
      </c>
      <c r="F512" t="s">
        <v>268</v>
      </c>
      <c r="G512" t="s">
        <v>1034</v>
      </c>
      <c r="H512" t="s">
        <v>15</v>
      </c>
      <c r="I512" s="1">
        <v>1</v>
      </c>
      <c r="J512" s="2">
        <v>258.62</v>
      </c>
    </row>
    <row r="513" spans="2:10" x14ac:dyDescent="0.2">
      <c r="B513" t="s">
        <v>907</v>
      </c>
      <c r="C513" t="s">
        <v>225</v>
      </c>
      <c r="D513" t="s">
        <v>908</v>
      </c>
      <c r="E513" t="s">
        <v>36</v>
      </c>
      <c r="F513" t="s">
        <v>37</v>
      </c>
      <c r="G513" t="s">
        <v>1034</v>
      </c>
      <c r="H513" t="s">
        <v>15</v>
      </c>
      <c r="I513" s="1">
        <v>1</v>
      </c>
      <c r="J513" s="2">
        <v>301.72000000000003</v>
      </c>
    </row>
    <row r="514" spans="2:10" x14ac:dyDescent="0.2">
      <c r="B514" t="s">
        <v>907</v>
      </c>
      <c r="C514" t="s">
        <v>225</v>
      </c>
      <c r="D514" t="s">
        <v>908</v>
      </c>
      <c r="E514" t="s">
        <v>153</v>
      </c>
      <c r="F514" t="s">
        <v>154</v>
      </c>
      <c r="G514" t="s">
        <v>1034</v>
      </c>
      <c r="H514" t="s">
        <v>15</v>
      </c>
      <c r="I514" s="1">
        <v>1</v>
      </c>
      <c r="J514" s="2">
        <v>387.93</v>
      </c>
    </row>
    <row r="515" spans="2:10" x14ac:dyDescent="0.2">
      <c r="B515" t="s">
        <v>907</v>
      </c>
      <c r="C515" t="s">
        <v>225</v>
      </c>
      <c r="D515" t="s">
        <v>908</v>
      </c>
      <c r="E515" t="s">
        <v>273</v>
      </c>
      <c r="F515" t="s">
        <v>274</v>
      </c>
      <c r="G515" t="s">
        <v>1033</v>
      </c>
      <c r="H515" t="s">
        <v>30</v>
      </c>
      <c r="I515" s="1">
        <v>1</v>
      </c>
      <c r="J515" s="2">
        <v>1293.0999999999999</v>
      </c>
    </row>
    <row r="516" spans="2:10" x14ac:dyDescent="0.2">
      <c r="B516" t="s">
        <v>907</v>
      </c>
      <c r="C516" t="s">
        <v>225</v>
      </c>
      <c r="D516" t="s">
        <v>908</v>
      </c>
      <c r="E516" t="s">
        <v>28</v>
      </c>
      <c r="F516" t="s">
        <v>29</v>
      </c>
      <c r="G516" t="s">
        <v>1033</v>
      </c>
      <c r="H516" t="s">
        <v>30</v>
      </c>
      <c r="I516" s="1">
        <v>1</v>
      </c>
      <c r="J516" s="2">
        <v>155.16999999999999</v>
      </c>
    </row>
    <row r="517" spans="2:10" x14ac:dyDescent="0.2">
      <c r="B517" t="s">
        <v>933</v>
      </c>
      <c r="C517" t="s">
        <v>335</v>
      </c>
      <c r="D517" t="s">
        <v>934</v>
      </c>
      <c r="E517" t="s">
        <v>46</v>
      </c>
      <c r="F517" t="s">
        <v>47</v>
      </c>
      <c r="G517" t="s">
        <v>1034</v>
      </c>
      <c r="H517" t="s">
        <v>15</v>
      </c>
      <c r="I517" s="1">
        <v>1</v>
      </c>
      <c r="J517" s="2">
        <v>301.72000000000003</v>
      </c>
    </row>
    <row r="518" spans="2:10" x14ac:dyDescent="0.2">
      <c r="B518" t="s">
        <v>933</v>
      </c>
      <c r="C518" t="s">
        <v>335</v>
      </c>
      <c r="D518" t="s">
        <v>934</v>
      </c>
      <c r="E518" t="s">
        <v>120</v>
      </c>
      <c r="F518" t="s">
        <v>121</v>
      </c>
      <c r="G518" t="s">
        <v>1034</v>
      </c>
      <c r="H518" t="s">
        <v>15</v>
      </c>
      <c r="I518" s="1">
        <v>1</v>
      </c>
      <c r="J518" s="2">
        <v>301.72000000000003</v>
      </c>
    </row>
    <row r="519" spans="2:10" x14ac:dyDescent="0.2">
      <c r="B519" t="s">
        <v>933</v>
      </c>
      <c r="C519" t="s">
        <v>335</v>
      </c>
      <c r="D519" t="s">
        <v>934</v>
      </c>
      <c r="E519" t="s">
        <v>36</v>
      </c>
      <c r="F519" t="s">
        <v>37</v>
      </c>
      <c r="G519" t="s">
        <v>1034</v>
      </c>
      <c r="H519" t="s">
        <v>15</v>
      </c>
      <c r="I519" s="1">
        <v>1</v>
      </c>
      <c r="J519" s="2">
        <v>301.72000000000003</v>
      </c>
    </row>
    <row r="520" spans="2:10" x14ac:dyDescent="0.2">
      <c r="B520" t="s">
        <v>933</v>
      </c>
      <c r="C520" t="s">
        <v>335</v>
      </c>
      <c r="D520" t="s">
        <v>934</v>
      </c>
      <c r="E520" t="s">
        <v>623</v>
      </c>
      <c r="F520" t="s">
        <v>624</v>
      </c>
      <c r="G520" t="s">
        <v>76</v>
      </c>
      <c r="H520" t="s">
        <v>60</v>
      </c>
      <c r="I520" s="1">
        <v>1</v>
      </c>
      <c r="J520" s="2">
        <v>344.83</v>
      </c>
    </row>
    <row r="521" spans="2:10" x14ac:dyDescent="0.2">
      <c r="B521" t="s">
        <v>933</v>
      </c>
      <c r="C521" t="s">
        <v>335</v>
      </c>
      <c r="D521" t="s">
        <v>934</v>
      </c>
      <c r="E521" t="s">
        <v>216</v>
      </c>
      <c r="F521" t="s">
        <v>217</v>
      </c>
      <c r="G521" t="s">
        <v>14</v>
      </c>
      <c r="H521" t="s">
        <v>104</v>
      </c>
      <c r="I521" s="1">
        <v>2</v>
      </c>
      <c r="J521" s="2">
        <v>34.479999999999997</v>
      </c>
    </row>
    <row r="522" spans="2:10" x14ac:dyDescent="0.2">
      <c r="B522" t="s">
        <v>933</v>
      </c>
      <c r="C522" t="s">
        <v>335</v>
      </c>
      <c r="D522" t="s">
        <v>934</v>
      </c>
      <c r="E522" t="s">
        <v>223</v>
      </c>
      <c r="F522" t="s">
        <v>224</v>
      </c>
      <c r="G522" t="s">
        <v>43</v>
      </c>
      <c r="H522" t="s">
        <v>50</v>
      </c>
      <c r="I522" s="1">
        <v>1</v>
      </c>
      <c r="J522" s="2">
        <v>1637.93</v>
      </c>
    </row>
    <row r="523" spans="2:10" x14ac:dyDescent="0.2">
      <c r="B523" t="s">
        <v>933</v>
      </c>
      <c r="C523" t="s">
        <v>335</v>
      </c>
      <c r="D523" t="s">
        <v>934</v>
      </c>
      <c r="E523" t="s">
        <v>231</v>
      </c>
      <c r="F523" t="s">
        <v>232</v>
      </c>
      <c r="G523" t="s">
        <v>43</v>
      </c>
      <c r="H523" t="s">
        <v>50</v>
      </c>
      <c r="I523" s="1">
        <v>1</v>
      </c>
      <c r="J523" s="2">
        <v>3017.24</v>
      </c>
    </row>
    <row r="524" spans="2:10" x14ac:dyDescent="0.2">
      <c r="B524" t="s">
        <v>933</v>
      </c>
      <c r="C524" t="s">
        <v>335</v>
      </c>
      <c r="D524" t="s">
        <v>934</v>
      </c>
      <c r="E524" t="s">
        <v>16</v>
      </c>
      <c r="F524" t="s">
        <v>17</v>
      </c>
      <c r="G524" t="s">
        <v>1034</v>
      </c>
      <c r="H524" t="s">
        <v>15</v>
      </c>
      <c r="I524" s="1">
        <v>1</v>
      </c>
      <c r="J524" s="2">
        <v>577.59</v>
      </c>
    </row>
    <row r="525" spans="2:10" x14ac:dyDescent="0.2">
      <c r="B525" t="s">
        <v>933</v>
      </c>
      <c r="C525" t="s">
        <v>335</v>
      </c>
      <c r="D525" t="s">
        <v>934</v>
      </c>
      <c r="E525" t="s">
        <v>28</v>
      </c>
      <c r="F525" t="s">
        <v>29</v>
      </c>
      <c r="G525" t="s">
        <v>1033</v>
      </c>
      <c r="H525" t="s">
        <v>30</v>
      </c>
      <c r="I525" s="1">
        <v>1</v>
      </c>
      <c r="J525" s="2">
        <v>155.16999999999999</v>
      </c>
    </row>
    <row r="526" spans="2:10" x14ac:dyDescent="0.2">
      <c r="B526" t="s">
        <v>933</v>
      </c>
      <c r="C526" t="s">
        <v>418</v>
      </c>
      <c r="D526" t="s">
        <v>934</v>
      </c>
      <c r="E526" t="s">
        <v>731</v>
      </c>
      <c r="F526" t="s">
        <v>732</v>
      </c>
      <c r="G526" t="s">
        <v>14</v>
      </c>
      <c r="H526" t="s">
        <v>27</v>
      </c>
      <c r="I526" s="1">
        <v>1</v>
      </c>
      <c r="J526" s="2">
        <v>413.79</v>
      </c>
    </row>
    <row r="527" spans="2:10" x14ac:dyDescent="0.2">
      <c r="B527" t="s">
        <v>933</v>
      </c>
      <c r="C527" t="s">
        <v>418</v>
      </c>
      <c r="D527" t="s">
        <v>934</v>
      </c>
      <c r="E527" t="s">
        <v>203</v>
      </c>
      <c r="F527" t="s">
        <v>204</v>
      </c>
      <c r="G527" t="s">
        <v>43</v>
      </c>
      <c r="H527" t="s">
        <v>205</v>
      </c>
      <c r="I527" s="1">
        <v>2</v>
      </c>
      <c r="J527" s="2">
        <v>689.66</v>
      </c>
    </row>
    <row r="528" spans="2:10" x14ac:dyDescent="0.2">
      <c r="B528" t="s">
        <v>933</v>
      </c>
      <c r="C528" t="s">
        <v>186</v>
      </c>
      <c r="D528" t="s">
        <v>934</v>
      </c>
      <c r="E528" t="s">
        <v>46</v>
      </c>
      <c r="F528" t="s">
        <v>47</v>
      </c>
      <c r="G528" t="s">
        <v>1034</v>
      </c>
      <c r="H528" t="s">
        <v>15</v>
      </c>
      <c r="I528" s="1">
        <v>1</v>
      </c>
      <c r="J528" s="2">
        <v>301.72000000000003</v>
      </c>
    </row>
    <row r="529" spans="2:10" x14ac:dyDescent="0.2">
      <c r="B529" t="s">
        <v>933</v>
      </c>
      <c r="C529" t="s">
        <v>186</v>
      </c>
      <c r="D529" t="s">
        <v>934</v>
      </c>
      <c r="E529" t="s">
        <v>328</v>
      </c>
      <c r="F529" t="s">
        <v>329</v>
      </c>
      <c r="G529" t="s">
        <v>1033</v>
      </c>
      <c r="H529" t="s">
        <v>30</v>
      </c>
      <c r="I529" s="1">
        <v>3</v>
      </c>
      <c r="J529" s="2">
        <v>517.24</v>
      </c>
    </row>
    <row r="530" spans="2:10" x14ac:dyDescent="0.2">
      <c r="B530" t="s">
        <v>933</v>
      </c>
      <c r="C530" t="s">
        <v>186</v>
      </c>
      <c r="D530" t="s">
        <v>934</v>
      </c>
      <c r="E530" t="s">
        <v>573</v>
      </c>
      <c r="F530" t="s">
        <v>574</v>
      </c>
      <c r="G530" t="s">
        <v>1033</v>
      </c>
      <c r="H530" t="s">
        <v>30</v>
      </c>
      <c r="I530" s="1">
        <v>1</v>
      </c>
      <c r="J530" s="2">
        <v>775.86</v>
      </c>
    </row>
    <row r="531" spans="2:10" x14ac:dyDescent="0.2">
      <c r="B531" t="s">
        <v>933</v>
      </c>
      <c r="C531" t="s">
        <v>186</v>
      </c>
      <c r="D531" t="s">
        <v>934</v>
      </c>
      <c r="E531" t="s">
        <v>605</v>
      </c>
      <c r="F531" t="s">
        <v>606</v>
      </c>
      <c r="G531" t="s">
        <v>1033</v>
      </c>
      <c r="H531" t="s">
        <v>30</v>
      </c>
      <c r="I531" s="1">
        <v>1</v>
      </c>
      <c r="J531" s="2">
        <v>465.52</v>
      </c>
    </row>
    <row r="532" spans="2:10" x14ac:dyDescent="0.2">
      <c r="B532" t="s">
        <v>933</v>
      </c>
      <c r="C532" t="s">
        <v>186</v>
      </c>
      <c r="D532" t="s">
        <v>934</v>
      </c>
      <c r="E532" t="s">
        <v>120</v>
      </c>
      <c r="F532" t="s">
        <v>121</v>
      </c>
      <c r="G532" t="s">
        <v>1034</v>
      </c>
      <c r="H532" t="s">
        <v>15</v>
      </c>
      <c r="I532" s="1">
        <v>1</v>
      </c>
      <c r="J532" s="2">
        <v>301.72000000000003</v>
      </c>
    </row>
    <row r="533" spans="2:10" x14ac:dyDescent="0.2">
      <c r="B533" t="s">
        <v>933</v>
      </c>
      <c r="C533" t="s">
        <v>186</v>
      </c>
      <c r="D533" t="s">
        <v>934</v>
      </c>
      <c r="E533" t="s">
        <v>406</v>
      </c>
      <c r="F533" t="s">
        <v>407</v>
      </c>
      <c r="G533" t="s">
        <v>14</v>
      </c>
      <c r="H533" t="s">
        <v>104</v>
      </c>
      <c r="I533" s="1">
        <v>4</v>
      </c>
      <c r="J533" s="2">
        <v>68.959999999999994</v>
      </c>
    </row>
    <row r="534" spans="2:10" x14ac:dyDescent="0.2">
      <c r="B534" t="s">
        <v>933</v>
      </c>
      <c r="C534" t="s">
        <v>186</v>
      </c>
      <c r="D534" t="s">
        <v>934</v>
      </c>
      <c r="E534" t="s">
        <v>63</v>
      </c>
      <c r="F534" t="s">
        <v>64</v>
      </c>
      <c r="G534" t="s">
        <v>1034</v>
      </c>
      <c r="H534" t="s">
        <v>15</v>
      </c>
      <c r="I534" s="1">
        <v>1</v>
      </c>
      <c r="J534" s="2">
        <v>172.41</v>
      </c>
    </row>
    <row r="535" spans="2:10" x14ac:dyDescent="0.2">
      <c r="B535" t="s">
        <v>933</v>
      </c>
      <c r="C535" t="s">
        <v>186</v>
      </c>
      <c r="D535" t="s">
        <v>934</v>
      </c>
      <c r="E535" t="s">
        <v>16</v>
      </c>
      <c r="F535" t="s">
        <v>17</v>
      </c>
      <c r="G535" t="s">
        <v>1034</v>
      </c>
      <c r="H535" t="s">
        <v>15</v>
      </c>
      <c r="I535" s="1">
        <v>1</v>
      </c>
      <c r="J535" s="2">
        <v>577.59</v>
      </c>
    </row>
    <row r="536" spans="2:10" x14ac:dyDescent="0.2">
      <c r="B536" t="s">
        <v>933</v>
      </c>
      <c r="C536" t="s">
        <v>197</v>
      </c>
      <c r="D536" t="s">
        <v>934</v>
      </c>
      <c r="E536" t="s">
        <v>798</v>
      </c>
      <c r="F536" t="s">
        <v>799</v>
      </c>
      <c r="G536" t="s">
        <v>14</v>
      </c>
      <c r="H536" t="s">
        <v>60</v>
      </c>
      <c r="I536" s="1">
        <v>1</v>
      </c>
      <c r="J536" s="2">
        <v>327.58999999999997</v>
      </c>
    </row>
    <row r="537" spans="2:10" x14ac:dyDescent="0.2">
      <c r="B537" t="s">
        <v>933</v>
      </c>
      <c r="C537" t="s">
        <v>197</v>
      </c>
      <c r="D537" t="s">
        <v>934</v>
      </c>
      <c r="E537" t="s">
        <v>318</v>
      </c>
      <c r="F537" t="s">
        <v>319</v>
      </c>
      <c r="G537" t="s">
        <v>1033</v>
      </c>
      <c r="H537" t="s">
        <v>30</v>
      </c>
      <c r="I537" s="1">
        <v>1</v>
      </c>
      <c r="J537" s="2">
        <v>456.9</v>
      </c>
    </row>
    <row r="538" spans="2:10" x14ac:dyDescent="0.2">
      <c r="B538" t="s">
        <v>933</v>
      </c>
      <c r="C538" t="s">
        <v>197</v>
      </c>
      <c r="D538" t="s">
        <v>934</v>
      </c>
      <c r="E538" t="s">
        <v>46</v>
      </c>
      <c r="F538" t="s">
        <v>47</v>
      </c>
      <c r="G538" t="s">
        <v>1034</v>
      </c>
      <c r="H538" t="s">
        <v>15</v>
      </c>
      <c r="I538" s="1">
        <v>1</v>
      </c>
      <c r="J538" s="2">
        <v>301.72000000000003</v>
      </c>
    </row>
    <row r="539" spans="2:10" x14ac:dyDescent="0.2">
      <c r="B539" t="s">
        <v>933</v>
      </c>
      <c r="C539" t="s">
        <v>197</v>
      </c>
      <c r="D539" t="s">
        <v>934</v>
      </c>
      <c r="E539" t="s">
        <v>249</v>
      </c>
      <c r="F539" t="s">
        <v>250</v>
      </c>
      <c r="G539" t="s">
        <v>1033</v>
      </c>
      <c r="H539" t="s">
        <v>30</v>
      </c>
      <c r="I539" s="1">
        <v>1</v>
      </c>
      <c r="J539" s="2">
        <v>517.24</v>
      </c>
    </row>
    <row r="540" spans="2:10" x14ac:dyDescent="0.2">
      <c r="B540" t="s">
        <v>933</v>
      </c>
      <c r="C540" t="s">
        <v>197</v>
      </c>
      <c r="D540" t="s">
        <v>934</v>
      </c>
      <c r="E540" t="s">
        <v>738</v>
      </c>
      <c r="F540" t="s">
        <v>739</v>
      </c>
      <c r="G540" t="s">
        <v>1033</v>
      </c>
      <c r="H540" t="s">
        <v>30</v>
      </c>
      <c r="I540" s="1">
        <v>1</v>
      </c>
      <c r="J540" s="2">
        <v>1329.11</v>
      </c>
    </row>
    <row r="541" spans="2:10" x14ac:dyDescent="0.2">
      <c r="B541" t="s">
        <v>933</v>
      </c>
      <c r="C541" t="s">
        <v>197</v>
      </c>
      <c r="D541" t="s">
        <v>934</v>
      </c>
      <c r="E541" t="s">
        <v>573</v>
      </c>
      <c r="F541" t="s">
        <v>574</v>
      </c>
      <c r="G541" t="s">
        <v>1033</v>
      </c>
      <c r="H541" t="s">
        <v>30</v>
      </c>
      <c r="I541" s="1">
        <v>1</v>
      </c>
      <c r="J541" s="2">
        <v>775.86</v>
      </c>
    </row>
    <row r="542" spans="2:10" x14ac:dyDescent="0.2">
      <c r="B542" t="s">
        <v>933</v>
      </c>
      <c r="C542" t="s">
        <v>197</v>
      </c>
      <c r="D542" t="s">
        <v>934</v>
      </c>
      <c r="E542" t="s">
        <v>948</v>
      </c>
      <c r="F542" t="s">
        <v>949</v>
      </c>
      <c r="G542" t="s">
        <v>54</v>
      </c>
      <c r="H542" t="s">
        <v>439</v>
      </c>
      <c r="I542" s="1">
        <v>1</v>
      </c>
      <c r="J542" s="2">
        <v>198.28</v>
      </c>
    </row>
    <row r="543" spans="2:10" x14ac:dyDescent="0.2">
      <c r="B543" t="s">
        <v>933</v>
      </c>
      <c r="C543" t="s">
        <v>197</v>
      </c>
      <c r="D543" t="s">
        <v>934</v>
      </c>
      <c r="E543" t="s">
        <v>120</v>
      </c>
      <c r="F543" t="s">
        <v>121</v>
      </c>
      <c r="G543" t="s">
        <v>1034</v>
      </c>
      <c r="H543" t="s">
        <v>15</v>
      </c>
      <c r="I543" s="1">
        <v>1</v>
      </c>
      <c r="J543" s="2">
        <v>301.72000000000003</v>
      </c>
    </row>
    <row r="544" spans="2:10" x14ac:dyDescent="0.2">
      <c r="B544" t="s">
        <v>933</v>
      </c>
      <c r="C544" t="s">
        <v>197</v>
      </c>
      <c r="D544" t="s">
        <v>934</v>
      </c>
      <c r="E544" t="s">
        <v>72</v>
      </c>
      <c r="F544" t="s">
        <v>73</v>
      </c>
      <c r="G544" t="s">
        <v>1034</v>
      </c>
      <c r="H544" t="s">
        <v>15</v>
      </c>
      <c r="I544" s="1">
        <v>1</v>
      </c>
      <c r="J544" s="2">
        <v>775.86</v>
      </c>
    </row>
    <row r="545" spans="2:10" x14ac:dyDescent="0.2">
      <c r="B545" t="s">
        <v>933</v>
      </c>
      <c r="C545" t="s">
        <v>197</v>
      </c>
      <c r="D545" t="s">
        <v>934</v>
      </c>
      <c r="E545" t="s">
        <v>336</v>
      </c>
      <c r="F545" t="s">
        <v>337</v>
      </c>
      <c r="G545" t="s">
        <v>1034</v>
      </c>
      <c r="H545" t="s">
        <v>15</v>
      </c>
      <c r="I545" s="1">
        <v>1</v>
      </c>
      <c r="J545" s="2">
        <v>387.93</v>
      </c>
    </row>
    <row r="546" spans="2:10" x14ac:dyDescent="0.2">
      <c r="B546" t="s">
        <v>933</v>
      </c>
      <c r="C546" t="s">
        <v>197</v>
      </c>
      <c r="D546" t="s">
        <v>934</v>
      </c>
      <c r="E546" t="s">
        <v>950</v>
      </c>
      <c r="F546" t="s">
        <v>951</v>
      </c>
      <c r="G546" t="s">
        <v>54</v>
      </c>
      <c r="H546" t="s">
        <v>952</v>
      </c>
      <c r="I546" s="1">
        <v>1</v>
      </c>
      <c r="J546" s="2">
        <v>172.41</v>
      </c>
    </row>
    <row r="547" spans="2:10" x14ac:dyDescent="0.2">
      <c r="B547" t="s">
        <v>933</v>
      </c>
      <c r="C547" t="s">
        <v>197</v>
      </c>
      <c r="D547" t="s">
        <v>934</v>
      </c>
      <c r="E547" t="s">
        <v>38</v>
      </c>
      <c r="F547" t="s">
        <v>39</v>
      </c>
      <c r="G547" t="s">
        <v>1034</v>
      </c>
      <c r="H547" t="s">
        <v>15</v>
      </c>
      <c r="I547" s="1">
        <v>1</v>
      </c>
      <c r="J547" s="2">
        <v>431.03</v>
      </c>
    </row>
    <row r="548" spans="2:10" x14ac:dyDescent="0.2">
      <c r="B548" t="s">
        <v>933</v>
      </c>
      <c r="C548" t="s">
        <v>197</v>
      </c>
      <c r="D548" t="s">
        <v>934</v>
      </c>
      <c r="E548" t="s">
        <v>163</v>
      </c>
      <c r="F548" t="s">
        <v>164</v>
      </c>
      <c r="G548" t="s">
        <v>1034</v>
      </c>
      <c r="H548" t="s">
        <v>15</v>
      </c>
      <c r="I548" s="1">
        <v>2</v>
      </c>
      <c r="J548" s="2">
        <v>862.06</v>
      </c>
    </row>
    <row r="549" spans="2:10" x14ac:dyDescent="0.2">
      <c r="B549" t="s">
        <v>933</v>
      </c>
      <c r="C549" t="s">
        <v>197</v>
      </c>
      <c r="D549" t="s">
        <v>934</v>
      </c>
      <c r="E549" t="s">
        <v>63</v>
      </c>
      <c r="F549" t="s">
        <v>64</v>
      </c>
      <c r="G549" t="s">
        <v>1034</v>
      </c>
      <c r="H549" t="s">
        <v>15</v>
      </c>
      <c r="I549" s="1">
        <v>1</v>
      </c>
      <c r="J549" s="2">
        <v>172.41</v>
      </c>
    </row>
    <row r="550" spans="2:10" x14ac:dyDescent="0.2">
      <c r="B550" t="s">
        <v>933</v>
      </c>
      <c r="C550" t="s">
        <v>197</v>
      </c>
      <c r="D550" t="s">
        <v>934</v>
      </c>
      <c r="E550" t="s">
        <v>16</v>
      </c>
      <c r="F550" t="s">
        <v>17</v>
      </c>
      <c r="G550" t="s">
        <v>1034</v>
      </c>
      <c r="H550" t="s">
        <v>15</v>
      </c>
      <c r="I550" s="1">
        <v>2</v>
      </c>
      <c r="J550" s="2">
        <v>1155.18</v>
      </c>
    </row>
    <row r="551" spans="2:10" x14ac:dyDescent="0.2">
      <c r="B551" t="s">
        <v>933</v>
      </c>
      <c r="C551" t="s">
        <v>206</v>
      </c>
      <c r="D551" t="s">
        <v>277</v>
      </c>
      <c r="E551" t="s">
        <v>46</v>
      </c>
      <c r="F551" t="s">
        <v>47</v>
      </c>
      <c r="G551" t="s">
        <v>1034</v>
      </c>
      <c r="H551" t="s">
        <v>15</v>
      </c>
      <c r="I551" s="1">
        <v>1</v>
      </c>
      <c r="J551" s="2">
        <v>301.72000000000003</v>
      </c>
    </row>
    <row r="552" spans="2:10" x14ac:dyDescent="0.2">
      <c r="B552" t="s">
        <v>933</v>
      </c>
      <c r="C552" t="s">
        <v>206</v>
      </c>
      <c r="D552" t="s">
        <v>277</v>
      </c>
      <c r="E552" t="s">
        <v>414</v>
      </c>
      <c r="F552" t="s">
        <v>415</v>
      </c>
      <c r="G552" t="s">
        <v>1033</v>
      </c>
      <c r="H552" t="s">
        <v>30</v>
      </c>
      <c r="I552" s="1">
        <v>1</v>
      </c>
      <c r="J552" s="2">
        <v>646.54999999999995</v>
      </c>
    </row>
    <row r="553" spans="2:10" x14ac:dyDescent="0.2">
      <c r="B553" t="s">
        <v>933</v>
      </c>
      <c r="C553" t="s">
        <v>206</v>
      </c>
      <c r="D553" t="s">
        <v>277</v>
      </c>
      <c r="E553" t="s">
        <v>324</v>
      </c>
      <c r="F553" t="s">
        <v>325</v>
      </c>
      <c r="G553" t="s">
        <v>1033</v>
      </c>
      <c r="H553" t="s">
        <v>30</v>
      </c>
      <c r="I553" s="1">
        <v>1</v>
      </c>
      <c r="J553" s="2">
        <v>2000</v>
      </c>
    </row>
    <row r="554" spans="2:10" x14ac:dyDescent="0.2">
      <c r="B554" t="s">
        <v>933</v>
      </c>
      <c r="C554" t="s">
        <v>206</v>
      </c>
      <c r="D554" t="s">
        <v>277</v>
      </c>
      <c r="E554" t="s">
        <v>36</v>
      </c>
      <c r="F554" t="s">
        <v>37</v>
      </c>
      <c r="G554" t="s">
        <v>1034</v>
      </c>
      <c r="H554" t="s">
        <v>15</v>
      </c>
      <c r="I554" s="1">
        <v>1</v>
      </c>
      <c r="J554" s="2">
        <v>301.72000000000003</v>
      </c>
    </row>
    <row r="555" spans="2:10" x14ac:dyDescent="0.2">
      <c r="B555" t="s">
        <v>933</v>
      </c>
      <c r="C555" t="s">
        <v>206</v>
      </c>
      <c r="D555" t="s">
        <v>277</v>
      </c>
      <c r="E555" t="s">
        <v>72</v>
      </c>
      <c r="F555" t="s">
        <v>73</v>
      </c>
      <c r="G555" t="s">
        <v>1034</v>
      </c>
      <c r="H555" t="s">
        <v>15</v>
      </c>
      <c r="I555" s="1">
        <v>1</v>
      </c>
      <c r="J555" s="2">
        <v>775.86</v>
      </c>
    </row>
    <row r="556" spans="2:10" x14ac:dyDescent="0.2">
      <c r="B556" t="s">
        <v>933</v>
      </c>
      <c r="C556" t="s">
        <v>206</v>
      </c>
      <c r="D556" t="s">
        <v>277</v>
      </c>
      <c r="E556" t="s">
        <v>16</v>
      </c>
      <c r="F556" t="s">
        <v>17</v>
      </c>
      <c r="G556" t="s">
        <v>1034</v>
      </c>
      <c r="H556" t="s">
        <v>15</v>
      </c>
      <c r="I556" s="1">
        <v>1</v>
      </c>
      <c r="J556" s="2">
        <v>577.59</v>
      </c>
    </row>
    <row r="557" spans="2:10" x14ac:dyDescent="0.2">
      <c r="B557" t="s">
        <v>933</v>
      </c>
      <c r="C557" t="s">
        <v>220</v>
      </c>
      <c r="D557" t="s">
        <v>934</v>
      </c>
      <c r="E557" t="s">
        <v>167</v>
      </c>
      <c r="F557" t="s">
        <v>168</v>
      </c>
      <c r="G557" t="s">
        <v>1033</v>
      </c>
      <c r="H557" t="s">
        <v>30</v>
      </c>
      <c r="I557" s="1">
        <v>1</v>
      </c>
      <c r="J557" s="2">
        <v>1267.24</v>
      </c>
    </row>
    <row r="558" spans="2:10" x14ac:dyDescent="0.2">
      <c r="B558" t="s">
        <v>933</v>
      </c>
      <c r="C558" t="s">
        <v>220</v>
      </c>
      <c r="D558" t="s">
        <v>934</v>
      </c>
      <c r="E558" t="s">
        <v>44</v>
      </c>
      <c r="F558" t="s">
        <v>45</v>
      </c>
      <c r="G558" t="s">
        <v>1033</v>
      </c>
      <c r="H558" t="s">
        <v>30</v>
      </c>
      <c r="I558" s="1">
        <v>2</v>
      </c>
      <c r="J558" s="2">
        <v>163.80000000000001</v>
      </c>
    </row>
    <row r="559" spans="2:10" x14ac:dyDescent="0.2">
      <c r="B559" t="s">
        <v>933</v>
      </c>
      <c r="C559" t="s">
        <v>220</v>
      </c>
      <c r="D559" t="s">
        <v>934</v>
      </c>
      <c r="E559" t="s">
        <v>943</v>
      </c>
      <c r="F559" t="s">
        <v>944</v>
      </c>
      <c r="G559" t="s">
        <v>54</v>
      </c>
      <c r="H559" t="s">
        <v>138</v>
      </c>
      <c r="I559" s="1">
        <v>1</v>
      </c>
      <c r="J559" s="2">
        <v>517.24</v>
      </c>
    </row>
    <row r="560" spans="2:10" x14ac:dyDescent="0.2">
      <c r="B560" t="s">
        <v>933</v>
      </c>
      <c r="C560" t="s">
        <v>220</v>
      </c>
      <c r="D560" t="s">
        <v>934</v>
      </c>
      <c r="E560" t="s">
        <v>613</v>
      </c>
      <c r="F560" t="s">
        <v>614</v>
      </c>
      <c r="G560" t="s">
        <v>1034</v>
      </c>
      <c r="H560" t="s">
        <v>15</v>
      </c>
      <c r="I560" s="1">
        <v>1</v>
      </c>
      <c r="J560" s="2">
        <v>431.03</v>
      </c>
    </row>
    <row r="561" spans="2:10" x14ac:dyDescent="0.2">
      <c r="B561" t="s">
        <v>933</v>
      </c>
      <c r="C561" t="s">
        <v>220</v>
      </c>
      <c r="D561" t="s">
        <v>934</v>
      </c>
      <c r="E561" t="s">
        <v>214</v>
      </c>
      <c r="F561" t="s">
        <v>215</v>
      </c>
      <c r="G561" t="s">
        <v>1034</v>
      </c>
      <c r="H561" t="s">
        <v>15</v>
      </c>
      <c r="I561" s="1">
        <v>1</v>
      </c>
      <c r="J561" s="2">
        <v>301.72000000000003</v>
      </c>
    </row>
    <row r="562" spans="2:10" x14ac:dyDescent="0.2">
      <c r="B562" t="s">
        <v>933</v>
      </c>
      <c r="C562" t="s">
        <v>220</v>
      </c>
      <c r="D562" t="s">
        <v>934</v>
      </c>
      <c r="E562" t="s">
        <v>36</v>
      </c>
      <c r="F562" t="s">
        <v>37</v>
      </c>
      <c r="G562" t="s">
        <v>1034</v>
      </c>
      <c r="H562" t="s">
        <v>15</v>
      </c>
      <c r="I562" s="1">
        <v>1</v>
      </c>
      <c r="J562" s="2">
        <v>301.72000000000003</v>
      </c>
    </row>
    <row r="563" spans="2:10" x14ac:dyDescent="0.2">
      <c r="B563" t="s">
        <v>933</v>
      </c>
      <c r="C563" t="s">
        <v>225</v>
      </c>
      <c r="D563" t="s">
        <v>934</v>
      </c>
      <c r="E563" t="s">
        <v>214</v>
      </c>
      <c r="F563" t="s">
        <v>215</v>
      </c>
      <c r="G563" t="s">
        <v>1034</v>
      </c>
      <c r="H563" t="s">
        <v>15</v>
      </c>
      <c r="I563" s="1">
        <v>1</v>
      </c>
      <c r="J563" s="2">
        <v>301.72000000000003</v>
      </c>
    </row>
    <row r="564" spans="2:10" x14ac:dyDescent="0.2">
      <c r="B564" t="s">
        <v>933</v>
      </c>
      <c r="C564" t="s">
        <v>225</v>
      </c>
      <c r="D564" t="s">
        <v>934</v>
      </c>
      <c r="E564" t="s">
        <v>16</v>
      </c>
      <c r="F564" t="s">
        <v>17</v>
      </c>
      <c r="G564" t="s">
        <v>1034</v>
      </c>
      <c r="H564" t="s">
        <v>15</v>
      </c>
      <c r="I564" s="1">
        <v>1</v>
      </c>
      <c r="J564" s="2">
        <v>577.59</v>
      </c>
    </row>
    <row r="565" spans="2:10" x14ac:dyDescent="0.2">
      <c r="B565" t="s">
        <v>955</v>
      </c>
      <c r="C565" t="s">
        <v>335</v>
      </c>
      <c r="D565" t="s">
        <v>956</v>
      </c>
      <c r="E565" t="s">
        <v>12</v>
      </c>
      <c r="F565" t="s">
        <v>13</v>
      </c>
      <c r="G565" t="s">
        <v>1034</v>
      </c>
      <c r="H565" t="s">
        <v>15</v>
      </c>
      <c r="I565" s="1">
        <v>1</v>
      </c>
      <c r="J565" s="2">
        <v>1077.5899999999999</v>
      </c>
    </row>
    <row r="566" spans="2:10" x14ac:dyDescent="0.2">
      <c r="B566" t="s">
        <v>955</v>
      </c>
      <c r="C566" t="s">
        <v>335</v>
      </c>
      <c r="D566" t="s">
        <v>956</v>
      </c>
      <c r="E566" t="s">
        <v>72</v>
      </c>
      <c r="F566" t="s">
        <v>73</v>
      </c>
      <c r="G566" t="s">
        <v>1034</v>
      </c>
      <c r="H566" t="s">
        <v>15</v>
      </c>
      <c r="I566" s="1">
        <v>1</v>
      </c>
      <c r="J566" s="2">
        <v>775.86</v>
      </c>
    </row>
    <row r="567" spans="2:10" x14ac:dyDescent="0.2">
      <c r="B567" t="s">
        <v>955</v>
      </c>
      <c r="C567" t="s">
        <v>335</v>
      </c>
      <c r="D567" t="s">
        <v>956</v>
      </c>
      <c r="E567" t="s">
        <v>1000</v>
      </c>
      <c r="F567" t="s">
        <v>1001</v>
      </c>
      <c r="G567" t="s">
        <v>1033</v>
      </c>
      <c r="H567" t="s">
        <v>30</v>
      </c>
      <c r="I567" s="1">
        <v>1</v>
      </c>
      <c r="J567" s="2">
        <v>2672.41</v>
      </c>
    </row>
    <row r="568" spans="2:10" x14ac:dyDescent="0.2">
      <c r="B568" t="s">
        <v>955</v>
      </c>
      <c r="C568" t="s">
        <v>335</v>
      </c>
      <c r="D568" t="s">
        <v>956</v>
      </c>
      <c r="E568" t="s">
        <v>342</v>
      </c>
      <c r="F568" t="s">
        <v>343</v>
      </c>
      <c r="G568" t="s">
        <v>1033</v>
      </c>
      <c r="H568" t="s">
        <v>30</v>
      </c>
      <c r="I568" s="1">
        <v>1</v>
      </c>
      <c r="J568" s="2">
        <v>1681.03</v>
      </c>
    </row>
    <row r="569" spans="2:10" x14ac:dyDescent="0.2">
      <c r="B569" t="s">
        <v>955</v>
      </c>
      <c r="C569" t="s">
        <v>335</v>
      </c>
      <c r="D569" t="s">
        <v>956</v>
      </c>
      <c r="E569" t="s">
        <v>163</v>
      </c>
      <c r="F569" t="s">
        <v>164</v>
      </c>
      <c r="G569" t="s">
        <v>1034</v>
      </c>
      <c r="H569" t="s">
        <v>15</v>
      </c>
      <c r="I569" s="1">
        <v>1</v>
      </c>
      <c r="J569" s="2">
        <v>431.03</v>
      </c>
    </row>
    <row r="570" spans="2:10" x14ac:dyDescent="0.2">
      <c r="B570" t="s">
        <v>955</v>
      </c>
      <c r="C570" t="s">
        <v>335</v>
      </c>
      <c r="D570" t="s">
        <v>956</v>
      </c>
      <c r="E570" t="s">
        <v>193</v>
      </c>
      <c r="F570" t="s">
        <v>194</v>
      </c>
      <c r="G570" t="s">
        <v>1034</v>
      </c>
      <c r="H570" t="s">
        <v>15</v>
      </c>
      <c r="I570" s="1">
        <v>1</v>
      </c>
      <c r="J570" s="2">
        <v>1293.0999999999999</v>
      </c>
    </row>
    <row r="571" spans="2:10" x14ac:dyDescent="0.2">
      <c r="B571" t="s">
        <v>955</v>
      </c>
      <c r="C571" t="s">
        <v>335</v>
      </c>
      <c r="D571" t="s">
        <v>956</v>
      </c>
      <c r="E571" t="s">
        <v>28</v>
      </c>
      <c r="F571" t="s">
        <v>29</v>
      </c>
      <c r="G571" t="s">
        <v>1033</v>
      </c>
      <c r="H571" t="s">
        <v>30</v>
      </c>
      <c r="I571" s="1">
        <v>1</v>
      </c>
      <c r="J571" s="2">
        <v>155.16999999999999</v>
      </c>
    </row>
    <row r="572" spans="2:10" x14ac:dyDescent="0.2">
      <c r="B572" t="s">
        <v>955</v>
      </c>
      <c r="C572" t="s">
        <v>418</v>
      </c>
      <c r="D572" t="s">
        <v>130</v>
      </c>
      <c r="E572" t="s">
        <v>302</v>
      </c>
      <c r="F572" t="s">
        <v>303</v>
      </c>
      <c r="G572" t="s">
        <v>1033</v>
      </c>
      <c r="H572" t="s">
        <v>30</v>
      </c>
      <c r="I572" s="1">
        <v>1</v>
      </c>
      <c r="J572" s="2">
        <v>474.14</v>
      </c>
    </row>
    <row r="573" spans="2:10" x14ac:dyDescent="0.2">
      <c r="B573" t="s">
        <v>955</v>
      </c>
      <c r="C573" t="s">
        <v>418</v>
      </c>
      <c r="D573" t="s">
        <v>130</v>
      </c>
      <c r="E573" t="s">
        <v>189</v>
      </c>
      <c r="F573" t="s">
        <v>190</v>
      </c>
      <c r="G573" t="s">
        <v>1033</v>
      </c>
      <c r="H573" t="s">
        <v>30</v>
      </c>
      <c r="I573" s="1">
        <v>1</v>
      </c>
      <c r="J573" s="2">
        <v>818.97</v>
      </c>
    </row>
    <row r="574" spans="2:10" x14ac:dyDescent="0.2">
      <c r="B574" t="s">
        <v>955</v>
      </c>
      <c r="C574" t="s">
        <v>418</v>
      </c>
      <c r="D574" t="s">
        <v>130</v>
      </c>
      <c r="E574" t="s">
        <v>72</v>
      </c>
      <c r="F574" t="s">
        <v>73</v>
      </c>
      <c r="G574" t="s">
        <v>1034</v>
      </c>
      <c r="H574" t="s">
        <v>15</v>
      </c>
      <c r="I574" s="1">
        <v>1</v>
      </c>
      <c r="J574" s="2">
        <v>775.86</v>
      </c>
    </row>
    <row r="575" spans="2:10" x14ac:dyDescent="0.2">
      <c r="B575" t="s">
        <v>955</v>
      </c>
      <c r="C575" t="s">
        <v>418</v>
      </c>
      <c r="D575" t="s">
        <v>130</v>
      </c>
      <c r="E575" t="s">
        <v>83</v>
      </c>
      <c r="F575" t="s">
        <v>84</v>
      </c>
      <c r="G575" t="s">
        <v>1034</v>
      </c>
      <c r="H575" t="s">
        <v>15</v>
      </c>
      <c r="I575" s="1">
        <v>1</v>
      </c>
      <c r="J575" s="2">
        <v>387.93</v>
      </c>
    </row>
    <row r="576" spans="2:10" x14ac:dyDescent="0.2">
      <c r="B576" t="s">
        <v>955</v>
      </c>
      <c r="C576" t="s">
        <v>418</v>
      </c>
      <c r="D576" t="s">
        <v>956</v>
      </c>
      <c r="E576" t="s">
        <v>83</v>
      </c>
      <c r="F576" t="s">
        <v>84</v>
      </c>
      <c r="G576" t="s">
        <v>1034</v>
      </c>
      <c r="H576" t="s">
        <v>15</v>
      </c>
      <c r="I576" s="1">
        <v>1</v>
      </c>
      <c r="J576" s="2">
        <v>387.93</v>
      </c>
    </row>
    <row r="577" spans="2:10" x14ac:dyDescent="0.2">
      <c r="B577" t="s">
        <v>955</v>
      </c>
      <c r="C577" t="s">
        <v>418</v>
      </c>
      <c r="D577" t="s">
        <v>956</v>
      </c>
      <c r="E577" t="s">
        <v>16</v>
      </c>
      <c r="F577" t="s">
        <v>17</v>
      </c>
      <c r="G577" t="s">
        <v>1034</v>
      </c>
      <c r="H577" t="s">
        <v>15</v>
      </c>
      <c r="I577" s="1">
        <v>2</v>
      </c>
      <c r="J577" s="2">
        <v>1155.18</v>
      </c>
    </row>
    <row r="578" spans="2:10" x14ac:dyDescent="0.2">
      <c r="B578" t="s">
        <v>955</v>
      </c>
      <c r="C578" t="s">
        <v>186</v>
      </c>
      <c r="D578" t="s">
        <v>956</v>
      </c>
      <c r="E578" t="s">
        <v>974</v>
      </c>
      <c r="F578" t="s">
        <v>975</v>
      </c>
      <c r="G578" t="s">
        <v>1034</v>
      </c>
      <c r="H578" t="s">
        <v>15</v>
      </c>
      <c r="I578" s="1">
        <v>1</v>
      </c>
      <c r="J578" s="2">
        <v>431.03</v>
      </c>
    </row>
    <row r="579" spans="2:10" x14ac:dyDescent="0.2">
      <c r="B579" t="s">
        <v>955</v>
      </c>
      <c r="C579" t="s">
        <v>186</v>
      </c>
      <c r="D579" t="s">
        <v>956</v>
      </c>
      <c r="E579" t="s">
        <v>56</v>
      </c>
      <c r="F579" t="s">
        <v>57</v>
      </c>
      <c r="G579" t="s">
        <v>1034</v>
      </c>
      <c r="H579" t="s">
        <v>15</v>
      </c>
      <c r="I579" s="1">
        <v>1</v>
      </c>
      <c r="J579" s="2">
        <v>431.03</v>
      </c>
    </row>
    <row r="580" spans="2:10" x14ac:dyDescent="0.2">
      <c r="B580" t="s">
        <v>955</v>
      </c>
      <c r="C580" t="s">
        <v>186</v>
      </c>
      <c r="D580" t="s">
        <v>956</v>
      </c>
      <c r="E580" t="s">
        <v>16</v>
      </c>
      <c r="F580" t="s">
        <v>17</v>
      </c>
      <c r="G580" t="s">
        <v>1034</v>
      </c>
      <c r="H580" t="s">
        <v>15</v>
      </c>
      <c r="I580" s="1">
        <v>1</v>
      </c>
      <c r="J580" s="2">
        <v>577.59</v>
      </c>
    </row>
    <row r="581" spans="2:10" x14ac:dyDescent="0.2">
      <c r="B581" t="s">
        <v>955</v>
      </c>
      <c r="C581" t="s">
        <v>186</v>
      </c>
      <c r="D581" t="s">
        <v>956</v>
      </c>
      <c r="E581" t="s">
        <v>28</v>
      </c>
      <c r="F581" t="s">
        <v>29</v>
      </c>
      <c r="G581" t="s">
        <v>1033</v>
      </c>
      <c r="H581" t="s">
        <v>30</v>
      </c>
      <c r="I581" s="1">
        <v>3</v>
      </c>
      <c r="J581" s="2">
        <v>465.52</v>
      </c>
    </row>
    <row r="582" spans="2:10" x14ac:dyDescent="0.2">
      <c r="B582" t="s">
        <v>955</v>
      </c>
      <c r="C582" t="s">
        <v>197</v>
      </c>
      <c r="D582" t="s">
        <v>956</v>
      </c>
      <c r="E582" t="s">
        <v>308</v>
      </c>
      <c r="F582" t="s">
        <v>309</v>
      </c>
      <c r="G582" t="s">
        <v>1033</v>
      </c>
      <c r="H582" t="s">
        <v>30</v>
      </c>
      <c r="I582" s="1">
        <v>1</v>
      </c>
      <c r="J582" s="2">
        <v>818.97</v>
      </c>
    </row>
    <row r="583" spans="2:10" x14ac:dyDescent="0.2">
      <c r="B583" t="s">
        <v>955</v>
      </c>
      <c r="C583" t="s">
        <v>197</v>
      </c>
      <c r="D583" t="s">
        <v>956</v>
      </c>
      <c r="E583" t="s">
        <v>974</v>
      </c>
      <c r="F583" t="s">
        <v>975</v>
      </c>
      <c r="G583" t="s">
        <v>1034</v>
      </c>
      <c r="H583" t="s">
        <v>15</v>
      </c>
      <c r="I583" s="1">
        <v>1</v>
      </c>
      <c r="J583" s="2">
        <v>431.03</v>
      </c>
    </row>
    <row r="584" spans="2:10" x14ac:dyDescent="0.2">
      <c r="B584" t="s">
        <v>955</v>
      </c>
      <c r="C584" t="s">
        <v>197</v>
      </c>
      <c r="D584" t="s">
        <v>956</v>
      </c>
      <c r="E584" t="s">
        <v>16</v>
      </c>
      <c r="F584" t="s">
        <v>17</v>
      </c>
      <c r="G584" t="s">
        <v>1034</v>
      </c>
      <c r="H584" t="s">
        <v>15</v>
      </c>
      <c r="I584" s="1">
        <v>2</v>
      </c>
      <c r="J584" s="2">
        <v>1155.18</v>
      </c>
    </row>
    <row r="585" spans="2:10" x14ac:dyDescent="0.2">
      <c r="B585" t="s">
        <v>955</v>
      </c>
      <c r="C585" t="s">
        <v>206</v>
      </c>
      <c r="D585" t="s">
        <v>956</v>
      </c>
      <c r="E585" t="s">
        <v>414</v>
      </c>
      <c r="F585" t="s">
        <v>415</v>
      </c>
      <c r="G585" t="s">
        <v>1033</v>
      </c>
      <c r="H585" t="s">
        <v>30</v>
      </c>
      <c r="I585" s="1">
        <v>1</v>
      </c>
      <c r="J585" s="2">
        <v>646.54999999999995</v>
      </c>
    </row>
    <row r="586" spans="2:10" x14ac:dyDescent="0.2">
      <c r="B586" t="s">
        <v>955</v>
      </c>
      <c r="C586" t="s">
        <v>206</v>
      </c>
      <c r="D586" t="s">
        <v>956</v>
      </c>
      <c r="E586" t="s">
        <v>72</v>
      </c>
      <c r="F586" t="s">
        <v>73</v>
      </c>
      <c r="G586" t="s">
        <v>1034</v>
      </c>
      <c r="H586" t="s">
        <v>15</v>
      </c>
      <c r="I586" s="1">
        <v>3</v>
      </c>
      <c r="J586" s="2">
        <v>2327.58</v>
      </c>
    </row>
    <row r="587" spans="2:10" x14ac:dyDescent="0.2">
      <c r="B587" t="s">
        <v>955</v>
      </c>
      <c r="C587" t="s">
        <v>206</v>
      </c>
      <c r="D587" t="s">
        <v>956</v>
      </c>
      <c r="E587" t="s">
        <v>83</v>
      </c>
      <c r="F587" t="s">
        <v>84</v>
      </c>
      <c r="G587" t="s">
        <v>1034</v>
      </c>
      <c r="H587" t="s">
        <v>15</v>
      </c>
      <c r="I587" s="1">
        <v>1</v>
      </c>
      <c r="J587" s="2">
        <v>387.93</v>
      </c>
    </row>
    <row r="588" spans="2:10" x14ac:dyDescent="0.2">
      <c r="B588" t="s">
        <v>955</v>
      </c>
      <c r="C588" t="s">
        <v>206</v>
      </c>
      <c r="D588" t="s">
        <v>956</v>
      </c>
      <c r="E588" t="s">
        <v>231</v>
      </c>
      <c r="F588" t="s">
        <v>232</v>
      </c>
      <c r="G588" t="s">
        <v>43</v>
      </c>
      <c r="H588" t="s">
        <v>50</v>
      </c>
      <c r="I588" s="1">
        <v>1</v>
      </c>
      <c r="J588" s="2">
        <v>3017.24</v>
      </c>
    </row>
    <row r="589" spans="2:10" x14ac:dyDescent="0.2">
      <c r="B589" t="s">
        <v>955</v>
      </c>
      <c r="C589" t="s">
        <v>206</v>
      </c>
      <c r="D589" t="s">
        <v>956</v>
      </c>
      <c r="E589" t="s">
        <v>16</v>
      </c>
      <c r="F589" t="s">
        <v>17</v>
      </c>
      <c r="G589" t="s">
        <v>1034</v>
      </c>
      <c r="H589" t="s">
        <v>15</v>
      </c>
      <c r="I589" s="1">
        <v>1</v>
      </c>
      <c r="J589" s="2">
        <v>577.59</v>
      </c>
    </row>
    <row r="590" spans="2:10" x14ac:dyDescent="0.2">
      <c r="B590" t="s">
        <v>955</v>
      </c>
      <c r="C590" t="s">
        <v>206</v>
      </c>
      <c r="D590" t="s">
        <v>956</v>
      </c>
      <c r="E590" t="s">
        <v>193</v>
      </c>
      <c r="F590" t="s">
        <v>194</v>
      </c>
      <c r="G590" t="s">
        <v>1034</v>
      </c>
      <c r="H590" t="s">
        <v>15</v>
      </c>
      <c r="I590" s="1">
        <v>1</v>
      </c>
      <c r="J590" s="2">
        <v>1293.0999999999999</v>
      </c>
    </row>
    <row r="591" spans="2:10" x14ac:dyDescent="0.2">
      <c r="B591" t="s">
        <v>955</v>
      </c>
      <c r="C591" t="s">
        <v>206</v>
      </c>
      <c r="D591" t="s">
        <v>956</v>
      </c>
      <c r="E591" t="s">
        <v>333</v>
      </c>
      <c r="F591" t="s">
        <v>334</v>
      </c>
      <c r="G591" t="s">
        <v>1033</v>
      </c>
      <c r="H591" t="s">
        <v>30</v>
      </c>
      <c r="I591" s="1">
        <v>1</v>
      </c>
      <c r="J591" s="2">
        <v>2413.79</v>
      </c>
    </row>
    <row r="592" spans="2:10" x14ac:dyDescent="0.2">
      <c r="B592" t="s">
        <v>955</v>
      </c>
      <c r="C592" t="s">
        <v>220</v>
      </c>
      <c r="D592" t="s">
        <v>956</v>
      </c>
      <c r="E592" t="s">
        <v>167</v>
      </c>
      <c r="F592" t="s">
        <v>168</v>
      </c>
      <c r="G592" t="s">
        <v>1033</v>
      </c>
      <c r="H592" t="s">
        <v>30</v>
      </c>
      <c r="I592" s="1">
        <v>1</v>
      </c>
      <c r="J592" s="2">
        <v>1267.24</v>
      </c>
    </row>
    <row r="593" spans="2:10" x14ac:dyDescent="0.2">
      <c r="B593" t="s">
        <v>955</v>
      </c>
      <c r="C593" t="s">
        <v>220</v>
      </c>
      <c r="D593" t="s">
        <v>956</v>
      </c>
      <c r="E593" t="s">
        <v>352</v>
      </c>
      <c r="F593" t="s">
        <v>353</v>
      </c>
      <c r="G593" t="s">
        <v>1033</v>
      </c>
      <c r="H593" t="s">
        <v>30</v>
      </c>
      <c r="I593" s="1">
        <v>1</v>
      </c>
      <c r="J593" s="2">
        <v>1422.41</v>
      </c>
    </row>
    <row r="594" spans="2:10" x14ac:dyDescent="0.2">
      <c r="B594" t="s">
        <v>955</v>
      </c>
      <c r="C594" t="s">
        <v>220</v>
      </c>
      <c r="D594" t="s">
        <v>956</v>
      </c>
      <c r="E594" t="s">
        <v>1002</v>
      </c>
      <c r="F594" t="s">
        <v>1003</v>
      </c>
      <c r="G594" t="s">
        <v>699</v>
      </c>
      <c r="H594" t="s">
        <v>1004</v>
      </c>
      <c r="I594" s="1">
        <v>1</v>
      </c>
      <c r="J594" s="2">
        <v>413.79</v>
      </c>
    </row>
    <row r="595" spans="2:10" x14ac:dyDescent="0.2">
      <c r="B595" t="s">
        <v>955</v>
      </c>
      <c r="C595" t="s">
        <v>220</v>
      </c>
      <c r="D595" t="s">
        <v>956</v>
      </c>
      <c r="E595" t="s">
        <v>19</v>
      </c>
      <c r="F595" t="s">
        <v>20</v>
      </c>
      <c r="G595" t="s">
        <v>14</v>
      </c>
      <c r="H595" t="s">
        <v>21</v>
      </c>
      <c r="I595" s="1">
        <v>1</v>
      </c>
      <c r="J595" s="2">
        <v>431.04</v>
      </c>
    </row>
    <row r="596" spans="2:10" x14ac:dyDescent="0.2">
      <c r="B596" t="s">
        <v>955</v>
      </c>
      <c r="C596" t="s">
        <v>220</v>
      </c>
      <c r="D596" t="s">
        <v>956</v>
      </c>
      <c r="E596" t="s">
        <v>46</v>
      </c>
      <c r="F596" t="s">
        <v>47</v>
      </c>
      <c r="G596" t="s">
        <v>1034</v>
      </c>
      <c r="H596" t="s">
        <v>15</v>
      </c>
      <c r="I596" s="1">
        <v>1</v>
      </c>
      <c r="J596" s="2">
        <v>301.72000000000003</v>
      </c>
    </row>
    <row r="597" spans="2:10" x14ac:dyDescent="0.2">
      <c r="B597" t="s">
        <v>955</v>
      </c>
      <c r="C597" t="s">
        <v>220</v>
      </c>
      <c r="D597" t="s">
        <v>956</v>
      </c>
      <c r="E597" t="s">
        <v>139</v>
      </c>
      <c r="F597" t="s">
        <v>140</v>
      </c>
      <c r="G597" t="s">
        <v>14</v>
      </c>
      <c r="H597" t="s">
        <v>87</v>
      </c>
      <c r="I597" s="1">
        <v>1</v>
      </c>
      <c r="J597" s="2">
        <v>120.69</v>
      </c>
    </row>
    <row r="598" spans="2:10" x14ac:dyDescent="0.2">
      <c r="B598" t="s">
        <v>955</v>
      </c>
      <c r="C598" t="s">
        <v>220</v>
      </c>
      <c r="D598" t="s">
        <v>956</v>
      </c>
      <c r="E598" t="s">
        <v>203</v>
      </c>
      <c r="F598" t="s">
        <v>204</v>
      </c>
      <c r="G598" t="s">
        <v>43</v>
      </c>
      <c r="H598" t="s">
        <v>205</v>
      </c>
      <c r="I598" s="1">
        <v>2</v>
      </c>
      <c r="J598" s="2">
        <v>689.66</v>
      </c>
    </row>
    <row r="599" spans="2:10" x14ac:dyDescent="0.2">
      <c r="B599" t="s">
        <v>955</v>
      </c>
      <c r="C599" t="s">
        <v>220</v>
      </c>
      <c r="D599" t="s">
        <v>956</v>
      </c>
      <c r="E599" t="s">
        <v>12</v>
      </c>
      <c r="F599" t="s">
        <v>13</v>
      </c>
      <c r="G599" t="s">
        <v>1034</v>
      </c>
      <c r="H599" t="s">
        <v>15</v>
      </c>
      <c r="I599" s="1">
        <v>1</v>
      </c>
      <c r="J599" s="2">
        <v>1077.5899999999999</v>
      </c>
    </row>
    <row r="600" spans="2:10" x14ac:dyDescent="0.2">
      <c r="B600" t="s">
        <v>955</v>
      </c>
      <c r="C600" t="s">
        <v>220</v>
      </c>
      <c r="D600" t="s">
        <v>956</v>
      </c>
      <c r="E600" t="s">
        <v>72</v>
      </c>
      <c r="F600" t="s">
        <v>73</v>
      </c>
      <c r="G600" t="s">
        <v>1034</v>
      </c>
      <c r="H600" t="s">
        <v>15</v>
      </c>
      <c r="I600" s="1">
        <v>1</v>
      </c>
      <c r="J600" s="2">
        <v>775.86</v>
      </c>
    </row>
    <row r="601" spans="2:10" x14ac:dyDescent="0.2">
      <c r="B601" t="s">
        <v>955</v>
      </c>
      <c r="C601" t="s">
        <v>220</v>
      </c>
      <c r="D601" t="s">
        <v>956</v>
      </c>
      <c r="E601" t="s">
        <v>83</v>
      </c>
      <c r="F601" t="s">
        <v>84</v>
      </c>
      <c r="G601" t="s">
        <v>1034</v>
      </c>
      <c r="H601" t="s">
        <v>15</v>
      </c>
      <c r="I601" s="1">
        <v>2</v>
      </c>
      <c r="J601" s="2">
        <v>775.86</v>
      </c>
    </row>
    <row r="602" spans="2:10" x14ac:dyDescent="0.2">
      <c r="B602" t="s">
        <v>955</v>
      </c>
      <c r="C602" t="s">
        <v>220</v>
      </c>
      <c r="D602" t="s">
        <v>956</v>
      </c>
      <c r="E602" t="s">
        <v>61</v>
      </c>
      <c r="F602" t="s">
        <v>62</v>
      </c>
      <c r="G602" t="s">
        <v>1034</v>
      </c>
      <c r="H602" t="s">
        <v>15</v>
      </c>
      <c r="I602" s="1">
        <v>1</v>
      </c>
      <c r="J602" s="2">
        <v>172.41</v>
      </c>
    </row>
    <row r="603" spans="2:10" x14ac:dyDescent="0.2">
      <c r="B603" t="s">
        <v>955</v>
      </c>
      <c r="C603" t="s">
        <v>220</v>
      </c>
      <c r="D603" t="s">
        <v>956</v>
      </c>
      <c r="E603" t="s">
        <v>63</v>
      </c>
      <c r="F603" t="s">
        <v>64</v>
      </c>
      <c r="G603" t="s">
        <v>1034</v>
      </c>
      <c r="H603" t="s">
        <v>15</v>
      </c>
      <c r="I603" s="1">
        <v>1</v>
      </c>
      <c r="J603" s="2">
        <v>172.41</v>
      </c>
    </row>
    <row r="604" spans="2:10" x14ac:dyDescent="0.2">
      <c r="B604" t="s">
        <v>955</v>
      </c>
      <c r="C604" t="s">
        <v>220</v>
      </c>
      <c r="D604" t="s">
        <v>956</v>
      </c>
      <c r="E604" t="s">
        <v>16</v>
      </c>
      <c r="F604" t="s">
        <v>17</v>
      </c>
      <c r="G604" t="s">
        <v>1034</v>
      </c>
      <c r="H604" t="s">
        <v>15</v>
      </c>
      <c r="I604" s="1">
        <v>2</v>
      </c>
      <c r="J604" s="2">
        <v>1155.18</v>
      </c>
    </row>
    <row r="605" spans="2:10" x14ac:dyDescent="0.2">
      <c r="B605" t="s">
        <v>955</v>
      </c>
      <c r="C605" t="s">
        <v>220</v>
      </c>
      <c r="D605" t="s">
        <v>956</v>
      </c>
      <c r="E605" t="s">
        <v>472</v>
      </c>
      <c r="F605" t="s">
        <v>473</v>
      </c>
      <c r="G605" t="s">
        <v>14</v>
      </c>
      <c r="H605" t="s">
        <v>200</v>
      </c>
      <c r="I605" s="1">
        <v>2</v>
      </c>
      <c r="J605" s="2">
        <v>1034.48</v>
      </c>
    </row>
    <row r="606" spans="2:10" x14ac:dyDescent="0.2">
      <c r="B606" t="s">
        <v>955</v>
      </c>
      <c r="C606" t="s">
        <v>220</v>
      </c>
      <c r="D606" t="s">
        <v>956</v>
      </c>
      <c r="E606" t="s">
        <v>195</v>
      </c>
      <c r="F606" t="s">
        <v>196</v>
      </c>
      <c r="G606" t="s">
        <v>1033</v>
      </c>
      <c r="H606" t="s">
        <v>30</v>
      </c>
      <c r="I606" s="1">
        <v>1</v>
      </c>
      <c r="J606" s="2">
        <v>2120.69</v>
      </c>
    </row>
    <row r="607" spans="2:10" x14ac:dyDescent="0.2">
      <c r="B607" t="s">
        <v>955</v>
      </c>
      <c r="C607" t="s">
        <v>225</v>
      </c>
      <c r="D607" t="s">
        <v>277</v>
      </c>
      <c r="E607" t="s">
        <v>350</v>
      </c>
      <c r="F607" t="s">
        <v>351</v>
      </c>
      <c r="G607" t="s">
        <v>1033</v>
      </c>
      <c r="H607" t="s">
        <v>30</v>
      </c>
      <c r="I607" s="1">
        <v>1</v>
      </c>
      <c r="J607" s="2">
        <v>818.97</v>
      </c>
    </row>
    <row r="608" spans="2:10" x14ac:dyDescent="0.2">
      <c r="B608" t="s">
        <v>955</v>
      </c>
      <c r="C608" t="s">
        <v>225</v>
      </c>
      <c r="D608" t="s">
        <v>277</v>
      </c>
      <c r="E608" t="s">
        <v>1005</v>
      </c>
      <c r="F608" t="s">
        <v>1006</v>
      </c>
      <c r="G608" t="s">
        <v>43</v>
      </c>
      <c r="H608" t="s">
        <v>1007</v>
      </c>
      <c r="I608" s="1">
        <v>1</v>
      </c>
      <c r="J608" s="2">
        <v>1810.34</v>
      </c>
    </row>
    <row r="609" spans="2:10" x14ac:dyDescent="0.2">
      <c r="B609" t="s">
        <v>955</v>
      </c>
      <c r="C609" t="s">
        <v>225</v>
      </c>
      <c r="D609" t="s">
        <v>277</v>
      </c>
      <c r="E609" t="s">
        <v>249</v>
      </c>
      <c r="F609" t="s">
        <v>250</v>
      </c>
      <c r="G609" t="s">
        <v>1033</v>
      </c>
      <c r="H609" t="s">
        <v>30</v>
      </c>
      <c r="I609" s="1">
        <v>1</v>
      </c>
      <c r="J609" s="2">
        <v>517.24</v>
      </c>
    </row>
    <row r="610" spans="2:10" x14ac:dyDescent="0.2">
      <c r="B610" t="s">
        <v>955</v>
      </c>
      <c r="C610" t="s">
        <v>225</v>
      </c>
      <c r="D610" t="s">
        <v>277</v>
      </c>
      <c r="E610" t="s">
        <v>72</v>
      </c>
      <c r="F610" t="s">
        <v>73</v>
      </c>
      <c r="G610" t="s">
        <v>1034</v>
      </c>
      <c r="H610" t="s">
        <v>15</v>
      </c>
      <c r="I610" s="1">
        <v>1</v>
      </c>
      <c r="J610" s="2">
        <v>775.86</v>
      </c>
    </row>
    <row r="611" spans="2:10" x14ac:dyDescent="0.2">
      <c r="B611" t="s">
        <v>955</v>
      </c>
      <c r="C611" t="s">
        <v>225</v>
      </c>
      <c r="D611" t="s">
        <v>277</v>
      </c>
      <c r="E611" t="s">
        <v>342</v>
      </c>
      <c r="F611" t="s">
        <v>343</v>
      </c>
      <c r="G611" t="s">
        <v>1033</v>
      </c>
      <c r="H611" t="s">
        <v>30</v>
      </c>
      <c r="I611" s="1">
        <v>1</v>
      </c>
      <c r="J611" s="2">
        <v>1681.03</v>
      </c>
    </row>
    <row r="612" spans="2:10" x14ac:dyDescent="0.2">
      <c r="B612" t="s">
        <v>955</v>
      </c>
      <c r="C612" t="s">
        <v>225</v>
      </c>
      <c r="D612" t="s">
        <v>277</v>
      </c>
      <c r="E612" t="s">
        <v>257</v>
      </c>
      <c r="F612" t="s">
        <v>258</v>
      </c>
      <c r="G612" t="s">
        <v>1033</v>
      </c>
      <c r="H612" t="s">
        <v>30</v>
      </c>
      <c r="I612" s="1">
        <v>1</v>
      </c>
      <c r="J612" s="2">
        <v>1577.59</v>
      </c>
    </row>
    <row r="613" spans="2:10" x14ac:dyDescent="0.2">
      <c r="B613" t="s">
        <v>955</v>
      </c>
      <c r="C613" t="s">
        <v>225</v>
      </c>
      <c r="D613" t="s">
        <v>277</v>
      </c>
      <c r="E613" t="s">
        <v>587</v>
      </c>
      <c r="F613" t="s">
        <v>588</v>
      </c>
      <c r="G613" t="s">
        <v>43</v>
      </c>
      <c r="H613" t="s">
        <v>589</v>
      </c>
      <c r="I613" s="1">
        <v>1</v>
      </c>
      <c r="J613" s="2">
        <v>1637.93</v>
      </c>
    </row>
    <row r="614" spans="2:10" x14ac:dyDescent="0.2">
      <c r="B614" t="s">
        <v>1016</v>
      </c>
      <c r="C614" t="s">
        <v>335</v>
      </c>
      <c r="D614" t="s">
        <v>1017</v>
      </c>
      <c r="E614" t="s">
        <v>427</v>
      </c>
      <c r="F614" t="s">
        <v>428</v>
      </c>
      <c r="G614" t="s">
        <v>14</v>
      </c>
      <c r="H614" t="s">
        <v>87</v>
      </c>
      <c r="I614" s="1">
        <v>1</v>
      </c>
      <c r="J614" s="2">
        <v>120.69</v>
      </c>
    </row>
    <row r="615" spans="2:10" x14ac:dyDescent="0.2">
      <c r="B615" t="s">
        <v>1016</v>
      </c>
      <c r="C615" t="s">
        <v>335</v>
      </c>
      <c r="D615" t="s">
        <v>1017</v>
      </c>
      <c r="E615" t="s">
        <v>38</v>
      </c>
      <c r="F615" t="s">
        <v>39</v>
      </c>
      <c r="G615" t="s">
        <v>1034</v>
      </c>
      <c r="H615" t="s">
        <v>15</v>
      </c>
      <c r="I615" s="1">
        <v>1</v>
      </c>
      <c r="J615" s="2">
        <v>431.03</v>
      </c>
    </row>
    <row r="616" spans="2:10" x14ac:dyDescent="0.2">
      <c r="B616" t="s">
        <v>1016</v>
      </c>
      <c r="C616" t="s">
        <v>335</v>
      </c>
      <c r="D616" t="s">
        <v>1017</v>
      </c>
      <c r="E616" t="s">
        <v>273</v>
      </c>
      <c r="F616" t="s">
        <v>274</v>
      </c>
      <c r="G616" t="s">
        <v>1033</v>
      </c>
      <c r="H616" t="s">
        <v>30</v>
      </c>
      <c r="I616" s="1">
        <v>1</v>
      </c>
      <c r="J616" s="2">
        <v>1293.0999999999999</v>
      </c>
    </row>
    <row r="617" spans="2:10" x14ac:dyDescent="0.2">
      <c r="B617" t="s">
        <v>1016</v>
      </c>
      <c r="C617" t="s">
        <v>335</v>
      </c>
      <c r="D617" t="s">
        <v>1017</v>
      </c>
      <c r="E617" t="s">
        <v>56</v>
      </c>
      <c r="F617" t="s">
        <v>57</v>
      </c>
      <c r="G617" t="s">
        <v>1034</v>
      </c>
      <c r="H617" t="s">
        <v>15</v>
      </c>
      <c r="I617" s="1">
        <v>1</v>
      </c>
      <c r="J617" s="2">
        <v>431.03</v>
      </c>
    </row>
    <row r="618" spans="2:10" x14ac:dyDescent="0.2">
      <c r="B618" t="s">
        <v>1016</v>
      </c>
      <c r="C618" t="s">
        <v>335</v>
      </c>
      <c r="D618" t="s">
        <v>1017</v>
      </c>
      <c r="E618" t="s">
        <v>63</v>
      </c>
      <c r="F618" t="s">
        <v>64</v>
      </c>
      <c r="G618" t="s">
        <v>1034</v>
      </c>
      <c r="H618" t="s">
        <v>15</v>
      </c>
      <c r="I618" s="1">
        <v>1</v>
      </c>
      <c r="J618" s="2">
        <v>172.41</v>
      </c>
    </row>
    <row r="619" spans="2:10" x14ac:dyDescent="0.2">
      <c r="B619" t="s">
        <v>1016</v>
      </c>
      <c r="C619" t="s">
        <v>418</v>
      </c>
      <c r="D619" t="s">
        <v>1017</v>
      </c>
      <c r="E619" t="s">
        <v>41</v>
      </c>
      <c r="F619" t="s">
        <v>42</v>
      </c>
      <c r="G619" t="s">
        <v>1033</v>
      </c>
      <c r="H619" t="s">
        <v>30</v>
      </c>
      <c r="I619" s="1">
        <v>1</v>
      </c>
      <c r="J619" s="2">
        <v>34.479999999999997</v>
      </c>
    </row>
    <row r="620" spans="2:10" x14ac:dyDescent="0.2">
      <c r="B620" t="s">
        <v>1016</v>
      </c>
      <c r="C620" t="s">
        <v>418</v>
      </c>
      <c r="D620" t="s">
        <v>1017</v>
      </c>
      <c r="E620" t="s">
        <v>342</v>
      </c>
      <c r="F620" t="s">
        <v>343</v>
      </c>
      <c r="G620" t="s">
        <v>1033</v>
      </c>
      <c r="H620" t="s">
        <v>30</v>
      </c>
      <c r="I620" s="1">
        <v>1</v>
      </c>
      <c r="J620" s="2">
        <v>1681.03</v>
      </c>
    </row>
    <row r="621" spans="2:10" x14ac:dyDescent="0.2">
      <c r="B621" t="s">
        <v>1016</v>
      </c>
      <c r="C621" t="s">
        <v>418</v>
      </c>
      <c r="D621" t="s">
        <v>1017</v>
      </c>
      <c r="E621" t="s">
        <v>895</v>
      </c>
      <c r="F621" t="s">
        <v>896</v>
      </c>
      <c r="G621" t="s">
        <v>1033</v>
      </c>
      <c r="H621" t="s">
        <v>30</v>
      </c>
      <c r="I621" s="1">
        <v>1</v>
      </c>
      <c r="J621" s="2">
        <v>301.72000000000003</v>
      </c>
    </row>
    <row r="622" spans="2:10" x14ac:dyDescent="0.2">
      <c r="B622" t="s">
        <v>1016</v>
      </c>
      <c r="C622" t="s">
        <v>418</v>
      </c>
      <c r="D622" t="s">
        <v>1017</v>
      </c>
      <c r="E622" t="s">
        <v>521</v>
      </c>
      <c r="F622" t="s">
        <v>522</v>
      </c>
      <c r="G622" t="s">
        <v>14</v>
      </c>
      <c r="H622" t="s">
        <v>104</v>
      </c>
      <c r="I622" s="1">
        <v>1</v>
      </c>
      <c r="J622" s="2">
        <v>21.55</v>
      </c>
    </row>
    <row r="623" spans="2:10" x14ac:dyDescent="0.2">
      <c r="B623" t="s">
        <v>1016</v>
      </c>
      <c r="C623" t="s">
        <v>418</v>
      </c>
      <c r="D623" t="s">
        <v>1017</v>
      </c>
      <c r="E623" t="s">
        <v>61</v>
      </c>
      <c r="F623" t="s">
        <v>62</v>
      </c>
      <c r="G623" t="s">
        <v>1034</v>
      </c>
      <c r="H623" t="s">
        <v>15</v>
      </c>
      <c r="I623" s="1">
        <v>1</v>
      </c>
      <c r="J623" s="2">
        <v>172.41</v>
      </c>
    </row>
    <row r="624" spans="2:10" x14ac:dyDescent="0.2">
      <c r="B624" t="s">
        <v>1016</v>
      </c>
      <c r="C624" t="s">
        <v>186</v>
      </c>
      <c r="D624" t="s">
        <v>1017</v>
      </c>
      <c r="E624" t="s">
        <v>44</v>
      </c>
      <c r="F624" t="s">
        <v>45</v>
      </c>
      <c r="G624" t="s">
        <v>1033</v>
      </c>
      <c r="H624" t="s">
        <v>30</v>
      </c>
      <c r="I624" s="1">
        <v>1</v>
      </c>
      <c r="J624" s="2">
        <v>81.900000000000006</v>
      </c>
    </row>
    <row r="625" spans="2:10" x14ac:dyDescent="0.2">
      <c r="B625" t="s">
        <v>1016</v>
      </c>
      <c r="C625" t="s">
        <v>186</v>
      </c>
      <c r="D625" t="s">
        <v>1017</v>
      </c>
      <c r="E625" t="s">
        <v>214</v>
      </c>
      <c r="F625" t="s">
        <v>215</v>
      </c>
      <c r="G625" t="s">
        <v>1034</v>
      </c>
      <c r="H625" t="s">
        <v>15</v>
      </c>
      <c r="I625" s="1">
        <v>1</v>
      </c>
      <c r="J625" s="2">
        <v>301.72000000000003</v>
      </c>
    </row>
    <row r="626" spans="2:10" x14ac:dyDescent="0.2">
      <c r="B626" t="s">
        <v>1016</v>
      </c>
      <c r="C626" t="s">
        <v>186</v>
      </c>
      <c r="D626" t="s">
        <v>1017</v>
      </c>
      <c r="E626" t="s">
        <v>36</v>
      </c>
      <c r="F626" t="s">
        <v>37</v>
      </c>
      <c r="G626" t="s">
        <v>1034</v>
      </c>
      <c r="H626" t="s">
        <v>15</v>
      </c>
      <c r="I626" s="1">
        <v>1</v>
      </c>
      <c r="J626" s="2">
        <v>301.72000000000003</v>
      </c>
    </row>
    <row r="627" spans="2:10" x14ac:dyDescent="0.2">
      <c r="B627" t="s">
        <v>1016</v>
      </c>
      <c r="C627" t="s">
        <v>186</v>
      </c>
      <c r="D627" t="s">
        <v>1017</v>
      </c>
      <c r="E627" t="s">
        <v>56</v>
      </c>
      <c r="F627" t="s">
        <v>57</v>
      </c>
      <c r="G627" t="s">
        <v>1034</v>
      </c>
      <c r="H627" t="s">
        <v>15</v>
      </c>
      <c r="I627" s="1">
        <v>1</v>
      </c>
      <c r="J627" s="2">
        <v>431.03</v>
      </c>
    </row>
    <row r="628" spans="2:10" x14ac:dyDescent="0.2">
      <c r="B628" t="s">
        <v>1016</v>
      </c>
      <c r="C628" t="s">
        <v>186</v>
      </c>
      <c r="D628" t="s">
        <v>1017</v>
      </c>
      <c r="E628" t="s">
        <v>63</v>
      </c>
      <c r="F628" t="s">
        <v>64</v>
      </c>
      <c r="G628" t="s">
        <v>1034</v>
      </c>
      <c r="H628" t="s">
        <v>15</v>
      </c>
      <c r="I628" s="1">
        <v>1</v>
      </c>
      <c r="J628" s="2">
        <v>172.41</v>
      </c>
    </row>
    <row r="629" spans="2:10" x14ac:dyDescent="0.2">
      <c r="B629" t="s">
        <v>1016</v>
      </c>
      <c r="C629" t="s">
        <v>186</v>
      </c>
      <c r="D629" t="s">
        <v>1017</v>
      </c>
      <c r="E629" t="s">
        <v>16</v>
      </c>
      <c r="F629" t="s">
        <v>17</v>
      </c>
      <c r="G629" t="s">
        <v>1034</v>
      </c>
      <c r="H629" t="s">
        <v>15</v>
      </c>
      <c r="I629" s="1">
        <v>2</v>
      </c>
      <c r="J629" s="2">
        <v>1155.18</v>
      </c>
    </row>
    <row r="630" spans="2:10" x14ac:dyDescent="0.2">
      <c r="B630" t="s">
        <v>1016</v>
      </c>
      <c r="C630" t="s">
        <v>186</v>
      </c>
      <c r="D630" t="s">
        <v>1017</v>
      </c>
      <c r="E630" t="s">
        <v>28</v>
      </c>
      <c r="F630" t="s">
        <v>29</v>
      </c>
      <c r="G630" t="s">
        <v>1033</v>
      </c>
      <c r="H630" t="s">
        <v>30</v>
      </c>
      <c r="I630" s="1">
        <v>1</v>
      </c>
      <c r="J630" s="2">
        <v>155.16999999999999</v>
      </c>
    </row>
    <row r="631" spans="2:10" x14ac:dyDescent="0.2">
      <c r="B631" t="s">
        <v>1016</v>
      </c>
      <c r="C631" t="s">
        <v>197</v>
      </c>
      <c r="D631" t="s">
        <v>1017</v>
      </c>
      <c r="E631" t="s">
        <v>1027</v>
      </c>
      <c r="F631" t="s">
        <v>1028</v>
      </c>
      <c r="G631" t="s">
        <v>14</v>
      </c>
      <c r="H631" t="s">
        <v>209</v>
      </c>
      <c r="I631" s="1">
        <v>1</v>
      </c>
      <c r="J631" s="2">
        <v>926.72</v>
      </c>
    </row>
    <row r="632" spans="2:10" x14ac:dyDescent="0.2">
      <c r="B632" t="s">
        <v>1016</v>
      </c>
      <c r="C632" t="s">
        <v>197</v>
      </c>
      <c r="D632" t="s">
        <v>1017</v>
      </c>
      <c r="E632" t="s">
        <v>523</v>
      </c>
      <c r="F632" t="s">
        <v>524</v>
      </c>
      <c r="G632" t="s">
        <v>14</v>
      </c>
      <c r="H632" t="s">
        <v>35</v>
      </c>
      <c r="I632" s="1">
        <v>1</v>
      </c>
      <c r="J632" s="2">
        <v>60.34</v>
      </c>
    </row>
    <row r="633" spans="2:10" x14ac:dyDescent="0.2">
      <c r="B633" t="s">
        <v>1016</v>
      </c>
      <c r="C633" t="s">
        <v>197</v>
      </c>
      <c r="D633" t="s">
        <v>1017</v>
      </c>
      <c r="E633" t="s">
        <v>212</v>
      </c>
      <c r="F633" t="s">
        <v>213</v>
      </c>
      <c r="G633" t="s">
        <v>14</v>
      </c>
      <c r="H633" t="s">
        <v>35</v>
      </c>
      <c r="I633" s="1">
        <v>1</v>
      </c>
      <c r="J633" s="2">
        <v>77.59</v>
      </c>
    </row>
    <row r="634" spans="2:10" x14ac:dyDescent="0.2">
      <c r="B634" t="s">
        <v>1016</v>
      </c>
      <c r="C634" t="s">
        <v>197</v>
      </c>
      <c r="D634" t="s">
        <v>1017</v>
      </c>
      <c r="E634" t="s">
        <v>1029</v>
      </c>
      <c r="F634" t="s">
        <v>1030</v>
      </c>
      <c r="G634" t="s">
        <v>14</v>
      </c>
      <c r="H634" t="s">
        <v>27</v>
      </c>
      <c r="I634" s="1">
        <v>1</v>
      </c>
      <c r="J634" s="2">
        <v>491.38</v>
      </c>
    </row>
    <row r="635" spans="2:10" x14ac:dyDescent="0.2">
      <c r="B635" t="s">
        <v>1016</v>
      </c>
      <c r="C635" t="s">
        <v>197</v>
      </c>
      <c r="D635" t="s">
        <v>1017</v>
      </c>
      <c r="E635" t="s">
        <v>36</v>
      </c>
      <c r="F635" t="s">
        <v>37</v>
      </c>
      <c r="G635" t="s">
        <v>1034</v>
      </c>
      <c r="H635" t="s">
        <v>15</v>
      </c>
      <c r="I635" s="1">
        <v>1</v>
      </c>
      <c r="J635" s="2">
        <v>301.72000000000003</v>
      </c>
    </row>
    <row r="636" spans="2:10" x14ac:dyDescent="0.2">
      <c r="B636" t="s">
        <v>1016</v>
      </c>
      <c r="C636" t="s">
        <v>197</v>
      </c>
      <c r="D636" t="s">
        <v>1017</v>
      </c>
      <c r="E636" t="s">
        <v>38</v>
      </c>
      <c r="F636" t="s">
        <v>39</v>
      </c>
      <c r="G636" t="s">
        <v>1034</v>
      </c>
      <c r="H636" t="s">
        <v>15</v>
      </c>
      <c r="I636" s="1">
        <v>1</v>
      </c>
      <c r="J636" s="2">
        <v>431.03</v>
      </c>
    </row>
    <row r="637" spans="2:10" x14ac:dyDescent="0.2">
      <c r="B637" t="s">
        <v>1016</v>
      </c>
      <c r="C637" t="s">
        <v>197</v>
      </c>
      <c r="D637" t="s">
        <v>1017</v>
      </c>
      <c r="E637" t="s">
        <v>61</v>
      </c>
      <c r="F637" t="s">
        <v>62</v>
      </c>
      <c r="G637" t="s">
        <v>1034</v>
      </c>
      <c r="H637" t="s">
        <v>15</v>
      </c>
      <c r="I637" s="1">
        <v>3</v>
      </c>
      <c r="J637" s="2">
        <v>517.23</v>
      </c>
    </row>
    <row r="638" spans="2:10" x14ac:dyDescent="0.2">
      <c r="B638" t="s">
        <v>1016</v>
      </c>
      <c r="C638" t="s">
        <v>197</v>
      </c>
      <c r="D638" t="s">
        <v>1017</v>
      </c>
      <c r="E638" t="s">
        <v>63</v>
      </c>
      <c r="F638" t="s">
        <v>64</v>
      </c>
      <c r="G638" t="s">
        <v>1034</v>
      </c>
      <c r="H638" t="s">
        <v>15</v>
      </c>
      <c r="I638" s="1">
        <v>2</v>
      </c>
      <c r="J638" s="2">
        <v>344.82</v>
      </c>
    </row>
    <row r="639" spans="2:10" x14ac:dyDescent="0.2">
      <c r="B639" t="s">
        <v>1016</v>
      </c>
      <c r="C639" t="s">
        <v>197</v>
      </c>
      <c r="D639" t="s">
        <v>1017</v>
      </c>
      <c r="E639" t="s">
        <v>16</v>
      </c>
      <c r="F639" t="s">
        <v>17</v>
      </c>
      <c r="G639" t="s">
        <v>1034</v>
      </c>
      <c r="H639" t="s">
        <v>15</v>
      </c>
      <c r="I639" s="1">
        <v>1</v>
      </c>
      <c r="J639" s="2">
        <v>577.59</v>
      </c>
    </row>
    <row r="640" spans="2:10" x14ac:dyDescent="0.2">
      <c r="B640" t="s">
        <v>1016</v>
      </c>
      <c r="C640" t="s">
        <v>206</v>
      </c>
      <c r="D640" t="s">
        <v>1017</v>
      </c>
      <c r="E640" t="s">
        <v>61</v>
      </c>
      <c r="F640" t="s">
        <v>62</v>
      </c>
      <c r="G640" t="s">
        <v>1034</v>
      </c>
      <c r="H640" t="s">
        <v>15</v>
      </c>
      <c r="I640" s="1">
        <v>1</v>
      </c>
      <c r="J640" s="2">
        <v>172.41</v>
      </c>
    </row>
    <row r="641" spans="2:10" x14ac:dyDescent="0.2">
      <c r="B641" t="s">
        <v>1016</v>
      </c>
      <c r="C641" t="s">
        <v>206</v>
      </c>
      <c r="D641" t="s">
        <v>1017</v>
      </c>
      <c r="E641" t="s">
        <v>63</v>
      </c>
      <c r="F641" t="s">
        <v>64</v>
      </c>
      <c r="G641" t="s">
        <v>1034</v>
      </c>
      <c r="H641" t="s">
        <v>15</v>
      </c>
      <c r="I641" s="1">
        <v>1</v>
      </c>
      <c r="J641" s="2">
        <v>172.41</v>
      </c>
    </row>
    <row r="642" spans="2:10" x14ac:dyDescent="0.2">
      <c r="B642" t="s">
        <v>1016</v>
      </c>
      <c r="C642" t="s">
        <v>206</v>
      </c>
      <c r="D642" t="s">
        <v>1017</v>
      </c>
      <c r="E642" t="s">
        <v>16</v>
      </c>
      <c r="F642" t="s">
        <v>17</v>
      </c>
      <c r="G642" t="s">
        <v>1034</v>
      </c>
      <c r="H642" t="s">
        <v>15</v>
      </c>
      <c r="I642" s="1">
        <v>1</v>
      </c>
      <c r="J642" s="2">
        <v>577.59</v>
      </c>
    </row>
    <row r="643" spans="2:10" x14ac:dyDescent="0.2">
      <c r="B643" t="s">
        <v>1016</v>
      </c>
      <c r="C643" t="s">
        <v>206</v>
      </c>
      <c r="D643" t="s">
        <v>1017</v>
      </c>
      <c r="E643" t="s">
        <v>28</v>
      </c>
      <c r="F643" t="s">
        <v>29</v>
      </c>
      <c r="G643" t="s">
        <v>1033</v>
      </c>
      <c r="H643" t="s">
        <v>30</v>
      </c>
      <c r="I643" s="1">
        <v>1</v>
      </c>
      <c r="J643" s="2">
        <v>155.16999999999999</v>
      </c>
    </row>
    <row r="644" spans="2:10" x14ac:dyDescent="0.2">
      <c r="B644" t="s">
        <v>1016</v>
      </c>
      <c r="C644" t="s">
        <v>220</v>
      </c>
      <c r="D644" t="s">
        <v>277</v>
      </c>
      <c r="E644" t="s">
        <v>44</v>
      </c>
      <c r="F644" t="s">
        <v>45</v>
      </c>
      <c r="G644" t="s">
        <v>1033</v>
      </c>
      <c r="H644" t="s">
        <v>30</v>
      </c>
      <c r="I644" s="1">
        <v>1</v>
      </c>
      <c r="J644" s="2">
        <v>81.900000000000006</v>
      </c>
    </row>
    <row r="645" spans="2:10" x14ac:dyDescent="0.2">
      <c r="B645" t="s">
        <v>1016</v>
      </c>
      <c r="C645" t="s">
        <v>220</v>
      </c>
      <c r="D645" t="s">
        <v>277</v>
      </c>
      <c r="E645" t="s">
        <v>257</v>
      </c>
      <c r="F645" t="s">
        <v>258</v>
      </c>
      <c r="G645" t="s">
        <v>1033</v>
      </c>
      <c r="H645" t="s">
        <v>30</v>
      </c>
      <c r="I645" s="1">
        <v>1</v>
      </c>
      <c r="J645" s="2">
        <v>1577.59</v>
      </c>
    </row>
    <row r="646" spans="2:10" x14ac:dyDescent="0.2">
      <c r="B646" t="s">
        <v>1016</v>
      </c>
      <c r="C646" t="s">
        <v>220</v>
      </c>
      <c r="D646" t="s">
        <v>277</v>
      </c>
      <c r="E646" t="s">
        <v>61</v>
      </c>
      <c r="F646" t="s">
        <v>62</v>
      </c>
      <c r="G646" t="s">
        <v>1034</v>
      </c>
      <c r="H646" t="s">
        <v>15</v>
      </c>
      <c r="I646" s="1">
        <v>2</v>
      </c>
      <c r="J646" s="2">
        <v>344.82</v>
      </c>
    </row>
    <row r="647" spans="2:10" x14ac:dyDescent="0.2">
      <c r="B647" t="s">
        <v>1016</v>
      </c>
      <c r="C647" t="s">
        <v>220</v>
      </c>
      <c r="D647" t="s">
        <v>277</v>
      </c>
      <c r="E647" t="s">
        <v>63</v>
      </c>
      <c r="F647" t="s">
        <v>64</v>
      </c>
      <c r="G647" t="s">
        <v>1034</v>
      </c>
      <c r="H647" t="s">
        <v>15</v>
      </c>
      <c r="I647" s="1">
        <v>5</v>
      </c>
      <c r="J647" s="2">
        <v>862.05</v>
      </c>
    </row>
    <row r="648" spans="2:10" x14ac:dyDescent="0.2">
      <c r="B648" t="s">
        <v>1016</v>
      </c>
      <c r="C648" t="s">
        <v>225</v>
      </c>
      <c r="D648" t="s">
        <v>1017</v>
      </c>
      <c r="E648" t="s">
        <v>44</v>
      </c>
      <c r="F648" t="s">
        <v>45</v>
      </c>
      <c r="G648" t="s">
        <v>1033</v>
      </c>
      <c r="H648" t="s">
        <v>30</v>
      </c>
      <c r="I648" s="1">
        <v>1</v>
      </c>
      <c r="J648" s="2">
        <v>81.900000000000006</v>
      </c>
    </row>
    <row r="649" spans="2:10" x14ac:dyDescent="0.2">
      <c r="B649" t="s">
        <v>1016</v>
      </c>
      <c r="C649" t="s">
        <v>225</v>
      </c>
      <c r="D649" t="s">
        <v>1017</v>
      </c>
      <c r="E649" t="s">
        <v>36</v>
      </c>
      <c r="F649" t="s">
        <v>37</v>
      </c>
      <c r="G649" t="s">
        <v>1034</v>
      </c>
      <c r="H649" t="s">
        <v>15</v>
      </c>
      <c r="I649" s="1">
        <v>1</v>
      </c>
      <c r="J649" s="2">
        <v>301.72000000000003</v>
      </c>
    </row>
    <row r="650" spans="2:10" x14ac:dyDescent="0.2">
      <c r="B650" t="s">
        <v>1016</v>
      </c>
      <c r="C650" t="s">
        <v>225</v>
      </c>
      <c r="D650" t="s">
        <v>1017</v>
      </c>
      <c r="E650" t="s">
        <v>122</v>
      </c>
      <c r="F650" t="s">
        <v>123</v>
      </c>
      <c r="G650" t="s">
        <v>1034</v>
      </c>
      <c r="H650" t="s">
        <v>15</v>
      </c>
      <c r="I650" s="1">
        <v>1</v>
      </c>
      <c r="J650" s="2">
        <v>387.93</v>
      </c>
    </row>
    <row r="651" spans="2:10" x14ac:dyDescent="0.2">
      <c r="B651" t="s">
        <v>1016</v>
      </c>
      <c r="C651" t="s">
        <v>225</v>
      </c>
      <c r="D651" t="s">
        <v>1017</v>
      </c>
      <c r="E651" t="s">
        <v>16</v>
      </c>
      <c r="F651" t="s">
        <v>17</v>
      </c>
      <c r="G651" t="s">
        <v>1034</v>
      </c>
      <c r="H651" t="s">
        <v>15</v>
      </c>
      <c r="I651" s="1">
        <v>1</v>
      </c>
      <c r="J651" s="2">
        <v>577.59</v>
      </c>
    </row>
    <row r="652" spans="2:10" x14ac:dyDescent="0.2">
      <c r="B652" t="s">
        <v>1016</v>
      </c>
      <c r="C652" t="s">
        <v>225</v>
      </c>
      <c r="D652" t="s">
        <v>1017</v>
      </c>
      <c r="E652" t="s">
        <v>28</v>
      </c>
      <c r="F652" t="s">
        <v>29</v>
      </c>
      <c r="G652" t="s">
        <v>1033</v>
      </c>
      <c r="H652" t="s">
        <v>30</v>
      </c>
      <c r="I652" s="1">
        <v>2</v>
      </c>
      <c r="J652" s="2">
        <v>310.33999999999997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BE8E-EE7F-4CCA-A5D7-CF1A98095DA6}">
  <dimension ref="B5:P693"/>
  <sheetViews>
    <sheetView showGridLines="0" topLeftCell="E3" workbookViewId="0">
      <selection activeCell="N9" sqref="N9"/>
    </sheetView>
  </sheetViews>
  <sheetFormatPr baseColWidth="10" defaultRowHeight="12.75" x14ac:dyDescent="0.2"/>
  <cols>
    <col min="12" max="12" width="27.7109375" bestFit="1" customWidth="1"/>
    <col min="13" max="13" width="17.42578125" bestFit="1" customWidth="1"/>
    <col min="15" max="15" width="13.85546875" bestFit="1" customWidth="1"/>
    <col min="16" max="16" width="12.28515625" bestFit="1" customWidth="1"/>
  </cols>
  <sheetData>
    <row r="5" spans="2:16" x14ac:dyDescent="0.2"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</row>
    <row r="6" spans="2:16" x14ac:dyDescent="0.2">
      <c r="B6" t="s">
        <v>9</v>
      </c>
      <c r="C6" t="s">
        <v>134</v>
      </c>
      <c r="D6" t="s">
        <v>11</v>
      </c>
      <c r="E6" t="s">
        <v>48</v>
      </c>
      <c r="F6" t="s">
        <v>49</v>
      </c>
      <c r="G6" t="s">
        <v>43</v>
      </c>
      <c r="H6" t="s">
        <v>50</v>
      </c>
      <c r="I6" s="1">
        <v>1</v>
      </c>
      <c r="J6" s="2">
        <v>1318.97</v>
      </c>
    </row>
    <row r="7" spans="2:16" x14ac:dyDescent="0.2">
      <c r="B7" t="s">
        <v>9</v>
      </c>
      <c r="C7" t="s">
        <v>134</v>
      </c>
      <c r="D7" t="s">
        <v>11</v>
      </c>
      <c r="E7" t="s">
        <v>28</v>
      </c>
      <c r="F7" t="s">
        <v>29</v>
      </c>
      <c r="G7" t="s">
        <v>1033</v>
      </c>
      <c r="H7" t="s">
        <v>30</v>
      </c>
      <c r="I7" s="1">
        <v>1</v>
      </c>
      <c r="J7" s="2">
        <v>155.16999999999999</v>
      </c>
    </row>
    <row r="8" spans="2:16" x14ac:dyDescent="0.2">
      <c r="B8" t="s">
        <v>9</v>
      </c>
      <c r="C8" t="s">
        <v>135</v>
      </c>
      <c r="D8" t="s">
        <v>11</v>
      </c>
      <c r="E8" t="s">
        <v>44</v>
      </c>
      <c r="F8" t="s">
        <v>45</v>
      </c>
      <c r="G8" t="s">
        <v>1033</v>
      </c>
      <c r="H8" t="s">
        <v>30</v>
      </c>
      <c r="I8" s="1">
        <v>3</v>
      </c>
      <c r="J8" s="2">
        <v>245.70000000000002</v>
      </c>
      <c r="P8" t="s">
        <v>1099</v>
      </c>
    </row>
    <row r="9" spans="2:16" x14ac:dyDescent="0.2">
      <c r="B9" t="s">
        <v>9</v>
      </c>
      <c r="C9" t="s">
        <v>135</v>
      </c>
      <c r="D9" t="s">
        <v>11</v>
      </c>
      <c r="E9" t="s">
        <v>136</v>
      </c>
      <c r="F9" t="s">
        <v>137</v>
      </c>
      <c r="G9" t="s">
        <v>54</v>
      </c>
      <c r="H9" t="s">
        <v>138</v>
      </c>
      <c r="I9" s="1">
        <v>1</v>
      </c>
      <c r="J9" s="2">
        <v>260.33999999999997</v>
      </c>
      <c r="L9" s="139" t="s">
        <v>1094</v>
      </c>
      <c r="M9" t="s">
        <v>1096</v>
      </c>
      <c r="N9" s="143">
        <v>0.01</v>
      </c>
      <c r="O9" t="s">
        <v>1098</v>
      </c>
      <c r="P9" s="3">
        <v>7</v>
      </c>
    </row>
    <row r="10" spans="2:16" x14ac:dyDescent="0.2">
      <c r="B10" t="s">
        <v>9</v>
      </c>
      <c r="C10" t="s">
        <v>135</v>
      </c>
      <c r="D10" t="s">
        <v>11</v>
      </c>
      <c r="E10" t="s">
        <v>139</v>
      </c>
      <c r="F10" t="s">
        <v>140</v>
      </c>
      <c r="G10" t="s">
        <v>14</v>
      </c>
      <c r="H10" t="s">
        <v>87</v>
      </c>
      <c r="I10" s="1">
        <v>1</v>
      </c>
      <c r="J10" s="2">
        <v>120.69</v>
      </c>
      <c r="L10" s="140" t="s">
        <v>9</v>
      </c>
      <c r="M10" s="2">
        <v>40029.300000000003</v>
      </c>
      <c r="N10" s="152"/>
      <c r="O10" s="144">
        <v>200000</v>
      </c>
      <c r="P10" s="144">
        <f>O10/31*$P$9</f>
        <v>45161.290322580651</v>
      </c>
    </row>
    <row r="11" spans="2:16" x14ac:dyDescent="0.2">
      <c r="B11" t="s">
        <v>9</v>
      </c>
      <c r="C11" t="s">
        <v>135</v>
      </c>
      <c r="D11" t="s">
        <v>11</v>
      </c>
      <c r="E11" t="s">
        <v>72</v>
      </c>
      <c r="F11" t="s">
        <v>73</v>
      </c>
      <c r="G11" t="s">
        <v>1034</v>
      </c>
      <c r="H11" t="s">
        <v>15</v>
      </c>
      <c r="I11" s="1">
        <v>2</v>
      </c>
      <c r="J11" s="2">
        <v>1551.72</v>
      </c>
      <c r="L11" s="140" t="s">
        <v>261</v>
      </c>
      <c r="M11" s="2">
        <v>32448.23</v>
      </c>
      <c r="N11" s="152"/>
      <c r="O11" s="144">
        <v>175000</v>
      </c>
      <c r="P11" s="144">
        <f t="shared" ref="P11:P26" si="0">O11/31*$P$9</f>
        <v>39516.129032258061</v>
      </c>
    </row>
    <row r="12" spans="2:16" x14ac:dyDescent="0.2">
      <c r="B12" t="s">
        <v>9</v>
      </c>
      <c r="C12" t="s">
        <v>135</v>
      </c>
      <c r="D12" t="s">
        <v>11</v>
      </c>
      <c r="E12" t="s">
        <v>101</v>
      </c>
      <c r="F12" t="s">
        <v>102</v>
      </c>
      <c r="G12" t="s">
        <v>103</v>
      </c>
      <c r="H12" t="s">
        <v>104</v>
      </c>
      <c r="I12" s="1">
        <v>1</v>
      </c>
      <c r="J12" s="2">
        <v>0.01</v>
      </c>
      <c r="L12" s="140" t="s">
        <v>376</v>
      </c>
      <c r="M12" s="2">
        <v>38179.280000000006</v>
      </c>
      <c r="N12" s="152">
        <f>GETPIVOTDATA("SUBTOT",$L$9,"UBICACION","Circunvalación CELESTERRA")*N9</f>
        <v>381.79280000000006</v>
      </c>
      <c r="O12" s="144">
        <v>110000</v>
      </c>
      <c r="P12" s="144">
        <f t="shared" si="0"/>
        <v>24838.709677419356</v>
      </c>
    </row>
    <row r="13" spans="2:16" x14ac:dyDescent="0.2">
      <c r="B13" t="s">
        <v>9</v>
      </c>
      <c r="C13" t="s">
        <v>135</v>
      </c>
      <c r="D13" t="s">
        <v>11</v>
      </c>
      <c r="E13" t="s">
        <v>56</v>
      </c>
      <c r="F13" t="s">
        <v>57</v>
      </c>
      <c r="G13" t="s">
        <v>1034</v>
      </c>
      <c r="H13" t="s">
        <v>15</v>
      </c>
      <c r="I13" s="1">
        <v>3</v>
      </c>
      <c r="J13" s="2">
        <v>1293.0999999999999</v>
      </c>
      <c r="L13" s="140" t="s">
        <v>453</v>
      </c>
      <c r="M13" s="2">
        <v>31581.810000000005</v>
      </c>
      <c r="N13" s="152"/>
      <c r="O13" s="144">
        <v>210000</v>
      </c>
      <c r="P13" s="144">
        <f t="shared" si="0"/>
        <v>47419.354838709674</v>
      </c>
    </row>
    <row r="14" spans="2:16" x14ac:dyDescent="0.2">
      <c r="B14" t="s">
        <v>9</v>
      </c>
      <c r="C14" t="s">
        <v>135</v>
      </c>
      <c r="D14" t="s">
        <v>11</v>
      </c>
      <c r="E14" t="s">
        <v>28</v>
      </c>
      <c r="F14" t="s">
        <v>29</v>
      </c>
      <c r="G14" t="s">
        <v>1033</v>
      </c>
      <c r="H14" t="s">
        <v>30</v>
      </c>
      <c r="I14" s="1">
        <v>1</v>
      </c>
      <c r="J14" s="2">
        <v>155.16999999999999</v>
      </c>
      <c r="L14" s="140" t="s">
        <v>531</v>
      </c>
      <c r="M14" s="2">
        <v>20866.39</v>
      </c>
      <c r="N14" s="152"/>
      <c r="O14" s="144">
        <v>100000</v>
      </c>
      <c r="P14" s="144">
        <f t="shared" si="0"/>
        <v>22580.645161290326</v>
      </c>
    </row>
    <row r="15" spans="2:16" x14ac:dyDescent="0.2">
      <c r="B15" t="s">
        <v>9</v>
      </c>
      <c r="C15" t="s">
        <v>141</v>
      </c>
      <c r="D15" t="s">
        <v>11</v>
      </c>
      <c r="E15" t="s">
        <v>142</v>
      </c>
      <c r="F15" t="s">
        <v>143</v>
      </c>
      <c r="G15" t="s">
        <v>43</v>
      </c>
      <c r="H15" t="s">
        <v>50</v>
      </c>
      <c r="I15" s="1">
        <v>1</v>
      </c>
      <c r="J15" s="2">
        <v>2155.17</v>
      </c>
      <c r="L15" s="140" t="s">
        <v>583</v>
      </c>
      <c r="M15" s="2">
        <v>18706.830000000002</v>
      </c>
      <c r="N15" s="152"/>
      <c r="O15" s="144">
        <v>120000</v>
      </c>
      <c r="P15" s="144">
        <f t="shared" si="0"/>
        <v>27096.774193548386</v>
      </c>
    </row>
    <row r="16" spans="2:16" x14ac:dyDescent="0.2">
      <c r="B16" t="s">
        <v>9</v>
      </c>
      <c r="C16" t="s">
        <v>141</v>
      </c>
      <c r="D16" t="s">
        <v>11</v>
      </c>
      <c r="E16" t="s">
        <v>72</v>
      </c>
      <c r="F16" t="s">
        <v>73</v>
      </c>
      <c r="G16" t="s">
        <v>1034</v>
      </c>
      <c r="H16" t="s">
        <v>15</v>
      </c>
      <c r="I16" s="1">
        <v>1</v>
      </c>
      <c r="J16" s="2">
        <v>775.86</v>
      </c>
      <c r="L16" s="140" t="s">
        <v>615</v>
      </c>
      <c r="M16" s="2">
        <v>5543.07</v>
      </c>
      <c r="N16" s="152"/>
      <c r="O16" s="144">
        <v>100000</v>
      </c>
      <c r="P16" s="144">
        <f t="shared" si="0"/>
        <v>22580.645161290326</v>
      </c>
    </row>
    <row r="17" spans="2:16" x14ac:dyDescent="0.2">
      <c r="B17" t="s">
        <v>9</v>
      </c>
      <c r="C17" t="s">
        <v>141</v>
      </c>
      <c r="D17" t="s">
        <v>11</v>
      </c>
      <c r="E17" t="s">
        <v>56</v>
      </c>
      <c r="F17" t="s">
        <v>57</v>
      </c>
      <c r="G17" t="s">
        <v>1034</v>
      </c>
      <c r="H17" t="s">
        <v>15</v>
      </c>
      <c r="I17" s="1">
        <v>1</v>
      </c>
      <c r="J17" s="2">
        <v>431.03</v>
      </c>
      <c r="L17" s="140" t="s">
        <v>654</v>
      </c>
      <c r="M17" s="2">
        <v>23327.550000000003</v>
      </c>
      <c r="N17" s="152">
        <f>GETPIVOTDATA("SUBTOT",$L$9,"UBICACION","León 1 CEL")*N9</f>
        <v>233.27550000000002</v>
      </c>
      <c r="O17" s="144">
        <v>100000</v>
      </c>
      <c r="P17" s="144">
        <f t="shared" si="0"/>
        <v>22580.645161290326</v>
      </c>
    </row>
    <row r="18" spans="2:16" x14ac:dyDescent="0.2">
      <c r="B18" t="s">
        <v>9</v>
      </c>
      <c r="C18" t="s">
        <v>141</v>
      </c>
      <c r="D18" t="s">
        <v>11</v>
      </c>
      <c r="E18" t="s">
        <v>61</v>
      </c>
      <c r="F18" t="s">
        <v>62</v>
      </c>
      <c r="G18" t="s">
        <v>1034</v>
      </c>
      <c r="H18" t="s">
        <v>15</v>
      </c>
      <c r="I18" s="1">
        <v>3</v>
      </c>
      <c r="J18" s="2">
        <v>517.23</v>
      </c>
      <c r="L18" s="140" t="s">
        <v>690</v>
      </c>
      <c r="M18" s="2">
        <v>7655.14</v>
      </c>
      <c r="N18" s="152"/>
      <c r="O18" s="144">
        <v>100000</v>
      </c>
      <c r="P18" s="144">
        <f t="shared" si="0"/>
        <v>22580.645161290326</v>
      </c>
    </row>
    <row r="19" spans="2:16" x14ac:dyDescent="0.2">
      <c r="B19" t="s">
        <v>9</v>
      </c>
      <c r="C19" t="s">
        <v>141</v>
      </c>
      <c r="D19" t="s">
        <v>11</v>
      </c>
      <c r="E19" t="s">
        <v>63</v>
      </c>
      <c r="F19" t="s">
        <v>64</v>
      </c>
      <c r="G19" t="s">
        <v>1034</v>
      </c>
      <c r="H19" t="s">
        <v>15</v>
      </c>
      <c r="I19" s="1">
        <v>2</v>
      </c>
      <c r="J19" s="2">
        <v>344.82</v>
      </c>
      <c r="L19" s="140" t="s">
        <v>740</v>
      </c>
      <c r="M19" s="2">
        <v>39172.400000000001</v>
      </c>
      <c r="N19" s="152"/>
      <c r="O19" s="144">
        <v>185000</v>
      </c>
      <c r="P19" s="144">
        <f t="shared" si="0"/>
        <v>41774.193548387098</v>
      </c>
    </row>
    <row r="20" spans="2:16" x14ac:dyDescent="0.2">
      <c r="B20" t="s">
        <v>9</v>
      </c>
      <c r="C20" t="s">
        <v>141</v>
      </c>
      <c r="D20" t="s">
        <v>11</v>
      </c>
      <c r="E20" t="s">
        <v>28</v>
      </c>
      <c r="F20" t="s">
        <v>29</v>
      </c>
      <c r="G20" t="s">
        <v>1033</v>
      </c>
      <c r="H20" t="s">
        <v>30</v>
      </c>
      <c r="I20" s="1">
        <v>1</v>
      </c>
      <c r="J20" s="2">
        <v>155.16999999999999</v>
      </c>
      <c r="L20" s="140" t="s">
        <v>780</v>
      </c>
      <c r="M20" s="2">
        <v>32689.589999999997</v>
      </c>
      <c r="N20" s="152">
        <f>GETPIVOTDATA("SUBTOT",$L$9,"UBICACION","Plaza Alamo CELESTERRA")*N9</f>
        <v>326.89589999999998</v>
      </c>
      <c r="O20" s="144">
        <v>100000</v>
      </c>
      <c r="P20" s="144">
        <f t="shared" si="0"/>
        <v>22580.645161290326</v>
      </c>
    </row>
    <row r="21" spans="2:16" x14ac:dyDescent="0.2">
      <c r="B21" t="s">
        <v>9</v>
      </c>
      <c r="C21" t="s">
        <v>144</v>
      </c>
      <c r="D21" t="s">
        <v>11</v>
      </c>
      <c r="E21" t="s">
        <v>44</v>
      </c>
      <c r="F21" t="s">
        <v>45</v>
      </c>
      <c r="G21" t="s">
        <v>1033</v>
      </c>
      <c r="H21" t="s">
        <v>30</v>
      </c>
      <c r="I21" s="1">
        <v>2</v>
      </c>
      <c r="J21" s="2">
        <v>163.80000000000001</v>
      </c>
      <c r="L21" s="140" t="s">
        <v>824</v>
      </c>
      <c r="M21" s="2">
        <v>23262.870000000003</v>
      </c>
      <c r="N21" s="152"/>
      <c r="O21" s="144">
        <v>150000</v>
      </c>
      <c r="P21" s="144">
        <f t="shared" si="0"/>
        <v>33870.967741935485</v>
      </c>
    </row>
    <row r="22" spans="2:16" x14ac:dyDescent="0.2">
      <c r="B22" t="s">
        <v>9</v>
      </c>
      <c r="C22" t="s">
        <v>144</v>
      </c>
      <c r="D22" t="s">
        <v>11</v>
      </c>
      <c r="E22" t="s">
        <v>46</v>
      </c>
      <c r="F22" t="s">
        <v>47</v>
      </c>
      <c r="G22" t="s">
        <v>1034</v>
      </c>
      <c r="H22" t="s">
        <v>15</v>
      </c>
      <c r="I22" s="1">
        <v>2</v>
      </c>
      <c r="J22" s="2">
        <v>603.44000000000005</v>
      </c>
      <c r="L22" s="140" t="s">
        <v>866</v>
      </c>
      <c r="M22" s="2">
        <v>23271.45</v>
      </c>
      <c r="N22" s="152"/>
      <c r="O22" s="144">
        <v>180000</v>
      </c>
      <c r="P22" s="144">
        <f t="shared" si="0"/>
        <v>40645.161290322576</v>
      </c>
    </row>
    <row r="23" spans="2:16" x14ac:dyDescent="0.2">
      <c r="B23" t="s">
        <v>9</v>
      </c>
      <c r="C23" t="s">
        <v>144</v>
      </c>
      <c r="D23" t="s">
        <v>11</v>
      </c>
      <c r="E23" t="s">
        <v>145</v>
      </c>
      <c r="F23" t="s">
        <v>146</v>
      </c>
      <c r="G23" t="s">
        <v>54</v>
      </c>
      <c r="H23" t="s">
        <v>138</v>
      </c>
      <c r="I23" s="1">
        <v>1</v>
      </c>
      <c r="J23" s="2">
        <v>312.07</v>
      </c>
      <c r="L23" s="140" t="s">
        <v>907</v>
      </c>
      <c r="M23" s="2">
        <v>35254.260000000017</v>
      </c>
      <c r="N23" s="152">
        <f>GETPIVOTDATA("SUBTOT",$L$9,"UBICACION","Plaza Madison -CEL")*N9</f>
        <v>352.54260000000016</v>
      </c>
      <c r="O23" s="144">
        <v>115000</v>
      </c>
      <c r="P23" s="144">
        <f t="shared" si="0"/>
        <v>25967.741935483871</v>
      </c>
    </row>
    <row r="24" spans="2:16" x14ac:dyDescent="0.2">
      <c r="B24" t="s">
        <v>9</v>
      </c>
      <c r="C24" t="s">
        <v>144</v>
      </c>
      <c r="D24" t="s">
        <v>11</v>
      </c>
      <c r="E24" t="s">
        <v>147</v>
      </c>
      <c r="F24" t="s">
        <v>148</v>
      </c>
      <c r="G24" t="s">
        <v>54</v>
      </c>
      <c r="H24" t="s">
        <v>138</v>
      </c>
      <c r="I24" s="1">
        <v>1</v>
      </c>
      <c r="J24" s="2">
        <v>646.54999999999995</v>
      </c>
      <c r="L24" s="140" t="s">
        <v>933</v>
      </c>
      <c r="M24" s="2">
        <v>21668.100000000009</v>
      </c>
      <c r="N24" s="152"/>
      <c r="O24" s="144">
        <v>155000</v>
      </c>
      <c r="P24" s="144">
        <f t="shared" si="0"/>
        <v>35000</v>
      </c>
    </row>
    <row r="25" spans="2:16" x14ac:dyDescent="0.2">
      <c r="B25" t="s">
        <v>9</v>
      </c>
      <c r="C25" t="s">
        <v>144</v>
      </c>
      <c r="D25" t="s">
        <v>11</v>
      </c>
      <c r="E25" t="s">
        <v>149</v>
      </c>
      <c r="F25" t="s">
        <v>150</v>
      </c>
      <c r="G25" t="s">
        <v>43</v>
      </c>
      <c r="H25" t="s">
        <v>50</v>
      </c>
      <c r="I25" s="1">
        <v>1</v>
      </c>
      <c r="J25" s="2">
        <v>3017.24</v>
      </c>
      <c r="L25" s="140" t="s">
        <v>955</v>
      </c>
      <c r="M25" s="2">
        <v>68534.419999999984</v>
      </c>
      <c r="N25" s="152"/>
      <c r="O25" s="144">
        <v>435000</v>
      </c>
      <c r="P25" s="144">
        <f t="shared" si="0"/>
        <v>98225.806451612909</v>
      </c>
    </row>
    <row r="26" spans="2:16" x14ac:dyDescent="0.2">
      <c r="B26" t="s">
        <v>9</v>
      </c>
      <c r="C26" t="s">
        <v>144</v>
      </c>
      <c r="D26" t="s">
        <v>11</v>
      </c>
      <c r="E26" t="s">
        <v>151</v>
      </c>
      <c r="F26" t="s">
        <v>152</v>
      </c>
      <c r="G26" t="s">
        <v>14</v>
      </c>
      <c r="H26" t="s">
        <v>27</v>
      </c>
      <c r="I26" s="1">
        <v>1</v>
      </c>
      <c r="J26" s="2">
        <v>379.31</v>
      </c>
      <c r="L26" s="140" t="s">
        <v>1016</v>
      </c>
      <c r="M26" s="2">
        <v>29810.319999999996</v>
      </c>
      <c r="N26" s="152"/>
      <c r="O26" s="144">
        <v>145000</v>
      </c>
      <c r="P26" s="144">
        <f t="shared" si="0"/>
        <v>32741.935483870966</v>
      </c>
    </row>
    <row r="27" spans="2:16" x14ac:dyDescent="0.2">
      <c r="B27" t="s">
        <v>9</v>
      </c>
      <c r="C27" t="s">
        <v>144</v>
      </c>
      <c r="D27" t="s">
        <v>11</v>
      </c>
      <c r="E27" t="s">
        <v>101</v>
      </c>
      <c r="F27" t="s">
        <v>102</v>
      </c>
      <c r="G27" t="s">
        <v>103</v>
      </c>
      <c r="H27" t="s">
        <v>104</v>
      </c>
      <c r="I27" s="1">
        <v>1</v>
      </c>
      <c r="J27" s="2">
        <v>0.01</v>
      </c>
      <c r="L27" s="140" t="s">
        <v>1095</v>
      </c>
      <c r="M27" s="2">
        <v>492001.01000000007</v>
      </c>
      <c r="N27" s="144">
        <f>SUM(N10:N25)</f>
        <v>1294.5068000000003</v>
      </c>
      <c r="O27" s="144">
        <f>SUM(O10:O26)</f>
        <v>2680000</v>
      </c>
      <c r="P27" s="156">
        <f>SUM(P10:P26)</f>
        <v>605161.29032258049</v>
      </c>
    </row>
    <row r="28" spans="2:16" x14ac:dyDescent="0.2">
      <c r="B28" t="s">
        <v>9</v>
      </c>
      <c r="C28" t="s">
        <v>144</v>
      </c>
      <c r="D28" t="s">
        <v>11</v>
      </c>
      <c r="E28" t="s">
        <v>153</v>
      </c>
      <c r="F28" t="s">
        <v>154</v>
      </c>
      <c r="G28" t="s">
        <v>1034</v>
      </c>
      <c r="H28" t="s">
        <v>15</v>
      </c>
      <c r="I28" s="1">
        <v>1</v>
      </c>
      <c r="J28" s="2">
        <v>387.93</v>
      </c>
    </row>
    <row r="29" spans="2:16" x14ac:dyDescent="0.2">
      <c r="B29" t="s">
        <v>9</v>
      </c>
      <c r="C29" t="s">
        <v>144</v>
      </c>
      <c r="D29" t="s">
        <v>11</v>
      </c>
      <c r="E29" t="s">
        <v>155</v>
      </c>
      <c r="F29" t="s">
        <v>156</v>
      </c>
      <c r="G29" t="s">
        <v>76</v>
      </c>
      <c r="H29" t="s">
        <v>60</v>
      </c>
      <c r="I29" s="1">
        <v>1</v>
      </c>
      <c r="J29" s="2">
        <v>344.83</v>
      </c>
    </row>
    <row r="30" spans="2:16" x14ac:dyDescent="0.2">
      <c r="B30" t="s">
        <v>9</v>
      </c>
      <c r="C30" t="s">
        <v>144</v>
      </c>
      <c r="D30" t="s">
        <v>11</v>
      </c>
      <c r="E30" t="s">
        <v>105</v>
      </c>
      <c r="F30" t="s">
        <v>106</v>
      </c>
      <c r="G30" t="s">
        <v>107</v>
      </c>
      <c r="H30" t="s">
        <v>50</v>
      </c>
      <c r="I30" s="1">
        <v>1</v>
      </c>
      <c r="J30" s="2">
        <v>2586.21</v>
      </c>
    </row>
    <row r="31" spans="2:16" x14ac:dyDescent="0.2">
      <c r="B31" t="s">
        <v>9</v>
      </c>
      <c r="C31" t="s">
        <v>144</v>
      </c>
      <c r="D31" t="s">
        <v>11</v>
      </c>
      <c r="E31" t="s">
        <v>157</v>
      </c>
      <c r="F31" t="s">
        <v>158</v>
      </c>
      <c r="G31" t="s">
        <v>14</v>
      </c>
      <c r="H31" t="s">
        <v>87</v>
      </c>
      <c r="I31" s="1">
        <v>1</v>
      </c>
      <c r="J31" s="2">
        <v>284.48</v>
      </c>
    </row>
    <row r="32" spans="2:16" x14ac:dyDescent="0.2">
      <c r="B32" t="s">
        <v>9</v>
      </c>
      <c r="C32" t="s">
        <v>144</v>
      </c>
      <c r="D32" t="s">
        <v>11</v>
      </c>
      <c r="E32" t="s">
        <v>159</v>
      </c>
      <c r="F32" t="s">
        <v>160</v>
      </c>
      <c r="G32" t="s">
        <v>14</v>
      </c>
      <c r="H32" t="s">
        <v>87</v>
      </c>
      <c r="I32" s="1">
        <v>2</v>
      </c>
      <c r="J32" s="2">
        <v>568.97</v>
      </c>
    </row>
    <row r="33" spans="2:10" x14ac:dyDescent="0.2">
      <c r="B33" t="s">
        <v>9</v>
      </c>
      <c r="C33" t="s">
        <v>144</v>
      </c>
      <c r="D33" t="s">
        <v>11</v>
      </c>
      <c r="E33" t="s">
        <v>161</v>
      </c>
      <c r="F33" t="s">
        <v>162</v>
      </c>
      <c r="G33" t="s">
        <v>1033</v>
      </c>
      <c r="H33" t="s">
        <v>30</v>
      </c>
      <c r="I33" s="1">
        <v>1</v>
      </c>
      <c r="J33" s="2">
        <v>2474.14</v>
      </c>
    </row>
    <row r="34" spans="2:10" x14ac:dyDescent="0.2">
      <c r="B34" t="s">
        <v>9</v>
      </c>
      <c r="C34" t="s">
        <v>144</v>
      </c>
      <c r="D34" t="s">
        <v>11</v>
      </c>
      <c r="E34" t="s">
        <v>38</v>
      </c>
      <c r="F34" t="s">
        <v>39</v>
      </c>
      <c r="G34" t="s">
        <v>1034</v>
      </c>
      <c r="H34" t="s">
        <v>15</v>
      </c>
      <c r="I34" s="1">
        <v>3</v>
      </c>
      <c r="J34" s="2">
        <v>1293.0899999999999</v>
      </c>
    </row>
    <row r="35" spans="2:10" x14ac:dyDescent="0.2">
      <c r="B35" t="s">
        <v>9</v>
      </c>
      <c r="C35" t="s">
        <v>144</v>
      </c>
      <c r="D35" t="s">
        <v>11</v>
      </c>
      <c r="E35" t="s">
        <v>56</v>
      </c>
      <c r="F35" t="s">
        <v>57</v>
      </c>
      <c r="G35" t="s">
        <v>1034</v>
      </c>
      <c r="H35" t="s">
        <v>15</v>
      </c>
      <c r="I35" s="1">
        <v>1</v>
      </c>
      <c r="J35" s="2">
        <v>431.03</v>
      </c>
    </row>
    <row r="36" spans="2:10" x14ac:dyDescent="0.2">
      <c r="B36" t="s">
        <v>9</v>
      </c>
      <c r="C36" t="s">
        <v>144</v>
      </c>
      <c r="D36" t="s">
        <v>11</v>
      </c>
      <c r="E36" t="s">
        <v>48</v>
      </c>
      <c r="F36" t="s">
        <v>49</v>
      </c>
      <c r="G36" t="s">
        <v>43</v>
      </c>
      <c r="H36" t="s">
        <v>50</v>
      </c>
      <c r="I36" s="1">
        <v>1</v>
      </c>
      <c r="J36" s="2">
        <v>1318.97</v>
      </c>
    </row>
    <row r="37" spans="2:10" x14ac:dyDescent="0.2">
      <c r="B37" t="s">
        <v>9</v>
      </c>
      <c r="C37" t="s">
        <v>144</v>
      </c>
      <c r="D37" t="s">
        <v>11</v>
      </c>
      <c r="E37" t="s">
        <v>124</v>
      </c>
      <c r="F37" t="s">
        <v>125</v>
      </c>
      <c r="G37" t="s">
        <v>1034</v>
      </c>
      <c r="H37" t="s">
        <v>15</v>
      </c>
      <c r="I37" s="1">
        <v>1</v>
      </c>
      <c r="J37" s="2">
        <v>431.03</v>
      </c>
    </row>
    <row r="38" spans="2:10" x14ac:dyDescent="0.2">
      <c r="B38" t="s">
        <v>9</v>
      </c>
      <c r="C38" t="s">
        <v>144</v>
      </c>
      <c r="D38" t="s">
        <v>11</v>
      </c>
      <c r="E38" t="s">
        <v>163</v>
      </c>
      <c r="F38" t="s">
        <v>164</v>
      </c>
      <c r="G38" t="s">
        <v>1034</v>
      </c>
      <c r="H38" t="s">
        <v>15</v>
      </c>
      <c r="I38" s="1">
        <v>2</v>
      </c>
      <c r="J38" s="2">
        <v>862.07</v>
      </c>
    </row>
    <row r="39" spans="2:10" x14ac:dyDescent="0.2">
      <c r="B39" t="s">
        <v>9</v>
      </c>
      <c r="C39" t="s">
        <v>144</v>
      </c>
      <c r="D39" t="s">
        <v>11</v>
      </c>
      <c r="E39" t="s">
        <v>28</v>
      </c>
      <c r="F39" t="s">
        <v>29</v>
      </c>
      <c r="G39" t="s">
        <v>1033</v>
      </c>
      <c r="H39" t="s">
        <v>30</v>
      </c>
      <c r="I39" s="1">
        <v>1</v>
      </c>
      <c r="J39" s="2">
        <v>155.16999999999999</v>
      </c>
    </row>
    <row r="40" spans="2:10" x14ac:dyDescent="0.2">
      <c r="B40" t="s">
        <v>9</v>
      </c>
      <c r="C40" t="s">
        <v>165</v>
      </c>
      <c r="D40" t="s">
        <v>11</v>
      </c>
      <c r="E40" t="s">
        <v>16</v>
      </c>
      <c r="F40" t="s">
        <v>17</v>
      </c>
      <c r="G40" t="s">
        <v>1034</v>
      </c>
      <c r="H40" t="s">
        <v>15</v>
      </c>
      <c r="I40" s="1">
        <v>1</v>
      </c>
      <c r="J40" s="2">
        <v>577.59</v>
      </c>
    </row>
    <row r="41" spans="2:10" x14ac:dyDescent="0.2">
      <c r="B41" t="s">
        <v>9</v>
      </c>
      <c r="C41" t="s">
        <v>166</v>
      </c>
      <c r="D41" t="s">
        <v>11</v>
      </c>
      <c r="E41" t="s">
        <v>41</v>
      </c>
      <c r="F41" t="s">
        <v>42</v>
      </c>
      <c r="G41" t="s">
        <v>1033</v>
      </c>
      <c r="H41" t="s">
        <v>30</v>
      </c>
      <c r="I41" s="1">
        <v>1</v>
      </c>
      <c r="J41" s="2">
        <v>34.479999999999997</v>
      </c>
    </row>
    <row r="42" spans="2:10" x14ac:dyDescent="0.2">
      <c r="B42" t="s">
        <v>9</v>
      </c>
      <c r="C42" t="s">
        <v>166</v>
      </c>
      <c r="D42" t="s">
        <v>11</v>
      </c>
      <c r="E42" t="s">
        <v>167</v>
      </c>
      <c r="F42" t="s">
        <v>168</v>
      </c>
      <c r="G42" t="s">
        <v>1033</v>
      </c>
      <c r="H42" t="s">
        <v>30</v>
      </c>
      <c r="I42" s="1">
        <v>1</v>
      </c>
      <c r="J42" s="2">
        <v>1267.24</v>
      </c>
    </row>
    <row r="43" spans="2:10" x14ac:dyDescent="0.2">
      <c r="B43" t="s">
        <v>9</v>
      </c>
      <c r="C43" t="s">
        <v>166</v>
      </c>
      <c r="D43" t="s">
        <v>11</v>
      </c>
      <c r="E43" t="s">
        <v>44</v>
      </c>
      <c r="F43" t="s">
        <v>45</v>
      </c>
      <c r="G43" t="s">
        <v>1033</v>
      </c>
      <c r="H43" t="s">
        <v>30</v>
      </c>
      <c r="I43" s="1">
        <v>3</v>
      </c>
      <c r="J43" s="2">
        <v>245.70000000000002</v>
      </c>
    </row>
    <row r="44" spans="2:10" x14ac:dyDescent="0.2">
      <c r="B44" t="s">
        <v>9</v>
      </c>
      <c r="C44" t="s">
        <v>166</v>
      </c>
      <c r="D44" t="s">
        <v>11</v>
      </c>
      <c r="E44" t="s">
        <v>19</v>
      </c>
      <c r="F44" t="s">
        <v>20</v>
      </c>
      <c r="G44" t="s">
        <v>14</v>
      </c>
      <c r="H44" t="s">
        <v>21</v>
      </c>
      <c r="I44" s="1">
        <v>1</v>
      </c>
      <c r="J44" s="2">
        <v>431.04</v>
      </c>
    </row>
    <row r="45" spans="2:10" x14ac:dyDescent="0.2">
      <c r="B45" t="s">
        <v>9</v>
      </c>
      <c r="C45" t="s">
        <v>166</v>
      </c>
      <c r="D45" t="s">
        <v>11</v>
      </c>
      <c r="E45" t="s">
        <v>169</v>
      </c>
      <c r="F45" t="s">
        <v>170</v>
      </c>
      <c r="G45" t="s">
        <v>1033</v>
      </c>
      <c r="H45" t="s">
        <v>30</v>
      </c>
      <c r="I45" s="1">
        <v>1</v>
      </c>
      <c r="J45" s="2">
        <v>258.62</v>
      </c>
    </row>
    <row r="46" spans="2:10" x14ac:dyDescent="0.2">
      <c r="B46" t="s">
        <v>9</v>
      </c>
      <c r="C46" t="s">
        <v>166</v>
      </c>
      <c r="D46" t="s">
        <v>11</v>
      </c>
      <c r="E46" t="s">
        <v>171</v>
      </c>
      <c r="F46" t="s">
        <v>172</v>
      </c>
      <c r="G46" t="s">
        <v>14</v>
      </c>
      <c r="H46" t="s">
        <v>35</v>
      </c>
      <c r="I46" s="1">
        <v>1</v>
      </c>
      <c r="J46" s="2">
        <v>77.59</v>
      </c>
    </row>
    <row r="47" spans="2:10" x14ac:dyDescent="0.2">
      <c r="B47" t="s">
        <v>9</v>
      </c>
      <c r="C47" t="s">
        <v>166</v>
      </c>
      <c r="D47" t="s">
        <v>11</v>
      </c>
      <c r="E47" t="s">
        <v>173</v>
      </c>
      <c r="F47" t="s">
        <v>174</v>
      </c>
      <c r="G47" t="s">
        <v>14</v>
      </c>
      <c r="H47" t="s">
        <v>35</v>
      </c>
      <c r="I47" s="1">
        <v>1</v>
      </c>
      <c r="J47" s="2">
        <v>60.34</v>
      </c>
    </row>
    <row r="48" spans="2:10" x14ac:dyDescent="0.2">
      <c r="B48" t="s">
        <v>9</v>
      </c>
      <c r="C48" t="s">
        <v>166</v>
      </c>
      <c r="D48" t="s">
        <v>11</v>
      </c>
      <c r="E48" t="s">
        <v>175</v>
      </c>
      <c r="F48" t="s">
        <v>176</v>
      </c>
      <c r="G48" t="s">
        <v>54</v>
      </c>
      <c r="H48" t="s">
        <v>138</v>
      </c>
      <c r="I48" s="1">
        <v>1</v>
      </c>
      <c r="J48" s="2">
        <v>344.83</v>
      </c>
    </row>
    <row r="49" spans="2:10" x14ac:dyDescent="0.2">
      <c r="B49" t="s">
        <v>9</v>
      </c>
      <c r="C49" t="s">
        <v>166</v>
      </c>
      <c r="D49" t="s">
        <v>11</v>
      </c>
      <c r="E49" t="s">
        <v>177</v>
      </c>
      <c r="F49" t="s">
        <v>178</v>
      </c>
      <c r="G49" t="s">
        <v>1033</v>
      </c>
      <c r="H49" t="s">
        <v>30</v>
      </c>
      <c r="I49" s="1">
        <v>1</v>
      </c>
      <c r="J49" s="2">
        <v>637.92999999999995</v>
      </c>
    </row>
    <row r="50" spans="2:10" x14ac:dyDescent="0.2">
      <c r="B50" t="s">
        <v>9</v>
      </c>
      <c r="C50" t="s">
        <v>166</v>
      </c>
      <c r="D50" t="s">
        <v>11</v>
      </c>
      <c r="E50" t="s">
        <v>72</v>
      </c>
      <c r="F50" t="s">
        <v>73</v>
      </c>
      <c r="G50" t="s">
        <v>1034</v>
      </c>
      <c r="H50" t="s">
        <v>15</v>
      </c>
      <c r="I50" s="1">
        <v>1</v>
      </c>
      <c r="J50" s="2">
        <v>775.86</v>
      </c>
    </row>
    <row r="51" spans="2:10" x14ac:dyDescent="0.2">
      <c r="B51" t="s">
        <v>9</v>
      </c>
      <c r="C51" t="s">
        <v>166</v>
      </c>
      <c r="D51" t="s">
        <v>11</v>
      </c>
      <c r="E51" t="s">
        <v>101</v>
      </c>
      <c r="F51" t="s">
        <v>102</v>
      </c>
      <c r="G51" t="s">
        <v>103</v>
      </c>
      <c r="H51" t="s">
        <v>104</v>
      </c>
      <c r="I51" s="1">
        <v>1</v>
      </c>
      <c r="J51" s="2">
        <v>0.01</v>
      </c>
    </row>
    <row r="52" spans="2:10" x14ac:dyDescent="0.2">
      <c r="B52" t="s">
        <v>9</v>
      </c>
      <c r="C52" t="s">
        <v>166</v>
      </c>
      <c r="D52" t="s">
        <v>11</v>
      </c>
      <c r="E52" t="s">
        <v>179</v>
      </c>
      <c r="F52" t="s">
        <v>180</v>
      </c>
      <c r="G52" t="s">
        <v>76</v>
      </c>
      <c r="H52" t="s">
        <v>60</v>
      </c>
      <c r="I52" s="1">
        <v>1</v>
      </c>
      <c r="J52" s="2">
        <v>344.83</v>
      </c>
    </row>
    <row r="53" spans="2:10" x14ac:dyDescent="0.2">
      <c r="B53" t="s">
        <v>9</v>
      </c>
      <c r="C53" t="s">
        <v>166</v>
      </c>
      <c r="D53" t="s">
        <v>11</v>
      </c>
      <c r="E53" t="s">
        <v>16</v>
      </c>
      <c r="F53" t="s">
        <v>17</v>
      </c>
      <c r="G53" t="s">
        <v>1034</v>
      </c>
      <c r="H53" t="s">
        <v>15</v>
      </c>
      <c r="I53" s="1">
        <v>3</v>
      </c>
      <c r="J53" s="2">
        <v>1732.77</v>
      </c>
    </row>
    <row r="54" spans="2:10" x14ac:dyDescent="0.2">
      <c r="B54" t="s">
        <v>9</v>
      </c>
      <c r="C54" t="s">
        <v>166</v>
      </c>
      <c r="D54" t="s">
        <v>11</v>
      </c>
      <c r="E54" t="s">
        <v>181</v>
      </c>
      <c r="F54" t="s">
        <v>182</v>
      </c>
      <c r="G54" t="s">
        <v>43</v>
      </c>
      <c r="H54" t="s">
        <v>81</v>
      </c>
      <c r="I54" s="1">
        <v>1</v>
      </c>
      <c r="J54" s="2">
        <v>1379.31</v>
      </c>
    </row>
    <row r="55" spans="2:10" x14ac:dyDescent="0.2">
      <c r="B55" t="s">
        <v>9</v>
      </c>
      <c r="C55" t="s">
        <v>166</v>
      </c>
      <c r="D55" t="s">
        <v>11</v>
      </c>
      <c r="E55" t="s">
        <v>183</v>
      </c>
      <c r="F55" t="s">
        <v>184</v>
      </c>
      <c r="G55" t="s">
        <v>14</v>
      </c>
      <c r="H55" t="s">
        <v>94</v>
      </c>
      <c r="I55" s="1">
        <v>1</v>
      </c>
      <c r="J55" s="2">
        <v>1034.48</v>
      </c>
    </row>
    <row r="56" spans="2:10" x14ac:dyDescent="0.2">
      <c r="B56" t="s">
        <v>9</v>
      </c>
      <c r="C56" t="s">
        <v>166</v>
      </c>
      <c r="D56" t="s">
        <v>11</v>
      </c>
      <c r="E56" t="s">
        <v>28</v>
      </c>
      <c r="F56" t="s">
        <v>29</v>
      </c>
      <c r="G56" t="s">
        <v>1033</v>
      </c>
      <c r="H56" t="s">
        <v>30</v>
      </c>
      <c r="I56" s="1">
        <v>3</v>
      </c>
      <c r="J56" s="2">
        <v>465.51</v>
      </c>
    </row>
    <row r="57" spans="2:10" x14ac:dyDescent="0.2">
      <c r="B57" t="s">
        <v>9</v>
      </c>
      <c r="C57" t="s">
        <v>185</v>
      </c>
      <c r="D57" t="s">
        <v>130</v>
      </c>
      <c r="E57" t="s">
        <v>46</v>
      </c>
      <c r="F57" t="s">
        <v>47</v>
      </c>
      <c r="G57" t="s">
        <v>1034</v>
      </c>
      <c r="H57" t="s">
        <v>15</v>
      </c>
      <c r="I57" s="1">
        <v>1</v>
      </c>
      <c r="J57" s="2">
        <v>301.72000000000003</v>
      </c>
    </row>
    <row r="58" spans="2:10" x14ac:dyDescent="0.2">
      <c r="B58" t="s">
        <v>9</v>
      </c>
      <c r="C58" t="s">
        <v>185</v>
      </c>
      <c r="D58" t="s">
        <v>130</v>
      </c>
      <c r="E58" t="s">
        <v>99</v>
      </c>
      <c r="F58" t="s">
        <v>100</v>
      </c>
      <c r="G58" t="s">
        <v>43</v>
      </c>
      <c r="H58" t="s">
        <v>50</v>
      </c>
      <c r="I58" s="1">
        <v>1</v>
      </c>
      <c r="J58" s="2">
        <v>3275.86</v>
      </c>
    </row>
    <row r="59" spans="2:10" x14ac:dyDescent="0.2">
      <c r="B59" t="s">
        <v>9</v>
      </c>
      <c r="C59" t="s">
        <v>185</v>
      </c>
      <c r="D59" t="s">
        <v>130</v>
      </c>
      <c r="E59" t="s">
        <v>72</v>
      </c>
      <c r="F59" t="s">
        <v>73</v>
      </c>
      <c r="G59" t="s">
        <v>1034</v>
      </c>
      <c r="H59" t="s">
        <v>15</v>
      </c>
      <c r="I59" s="1">
        <v>1</v>
      </c>
      <c r="J59" s="2">
        <v>775.86</v>
      </c>
    </row>
    <row r="60" spans="2:10" x14ac:dyDescent="0.2">
      <c r="B60" t="s">
        <v>9</v>
      </c>
      <c r="C60" t="s">
        <v>185</v>
      </c>
      <c r="D60" t="s">
        <v>130</v>
      </c>
      <c r="E60" t="s">
        <v>22</v>
      </c>
      <c r="F60" t="s">
        <v>23</v>
      </c>
      <c r="G60" t="s">
        <v>14</v>
      </c>
      <c r="H60" t="s">
        <v>24</v>
      </c>
      <c r="I60" s="1">
        <v>1</v>
      </c>
      <c r="J60" s="2">
        <v>215.52</v>
      </c>
    </row>
    <row r="61" spans="2:10" x14ac:dyDescent="0.2">
      <c r="B61" t="s">
        <v>9</v>
      </c>
      <c r="C61" t="s">
        <v>185</v>
      </c>
      <c r="D61" t="s">
        <v>130</v>
      </c>
      <c r="E61" t="s">
        <v>77</v>
      </c>
      <c r="F61" t="s">
        <v>78</v>
      </c>
      <c r="G61" t="s">
        <v>14</v>
      </c>
      <c r="H61" t="s">
        <v>27</v>
      </c>
      <c r="I61" s="1">
        <v>1</v>
      </c>
      <c r="J61" s="2">
        <v>51.72</v>
      </c>
    </row>
    <row r="62" spans="2:10" x14ac:dyDescent="0.2">
      <c r="B62" t="s">
        <v>261</v>
      </c>
      <c r="C62" t="s">
        <v>134</v>
      </c>
      <c r="D62" t="s">
        <v>277</v>
      </c>
      <c r="E62" t="s">
        <v>304</v>
      </c>
      <c r="F62" t="s">
        <v>305</v>
      </c>
      <c r="G62" t="s">
        <v>76</v>
      </c>
      <c r="H62" t="s">
        <v>60</v>
      </c>
      <c r="I62" s="1">
        <v>1</v>
      </c>
      <c r="J62" s="2">
        <v>344.83</v>
      </c>
    </row>
    <row r="63" spans="2:10" x14ac:dyDescent="0.2">
      <c r="B63" t="s">
        <v>261</v>
      </c>
      <c r="C63" t="s">
        <v>134</v>
      </c>
      <c r="D63" t="s">
        <v>262</v>
      </c>
      <c r="E63" t="s">
        <v>306</v>
      </c>
      <c r="F63" t="s">
        <v>307</v>
      </c>
      <c r="G63" t="s">
        <v>1033</v>
      </c>
      <c r="H63" t="s">
        <v>30</v>
      </c>
      <c r="I63" s="1">
        <v>1</v>
      </c>
      <c r="J63" s="2">
        <v>258.62</v>
      </c>
    </row>
    <row r="64" spans="2:10" x14ac:dyDescent="0.2">
      <c r="B64" t="s">
        <v>261</v>
      </c>
      <c r="C64" t="s">
        <v>134</v>
      </c>
      <c r="D64" t="s">
        <v>262</v>
      </c>
      <c r="E64" t="s">
        <v>308</v>
      </c>
      <c r="F64" t="s">
        <v>309</v>
      </c>
      <c r="G64" t="s">
        <v>1033</v>
      </c>
      <c r="H64" t="s">
        <v>30</v>
      </c>
      <c r="I64" s="1">
        <v>1</v>
      </c>
      <c r="J64" s="2">
        <v>818.97</v>
      </c>
    </row>
    <row r="65" spans="2:10" x14ac:dyDescent="0.2">
      <c r="B65" t="s">
        <v>261</v>
      </c>
      <c r="C65" t="s">
        <v>134</v>
      </c>
      <c r="D65" t="s">
        <v>262</v>
      </c>
      <c r="E65" t="s">
        <v>251</v>
      </c>
      <c r="F65" t="s">
        <v>252</v>
      </c>
      <c r="G65" t="s">
        <v>1033</v>
      </c>
      <c r="H65" t="s">
        <v>30</v>
      </c>
      <c r="I65" s="1">
        <v>1</v>
      </c>
      <c r="J65" s="2">
        <v>1500</v>
      </c>
    </row>
    <row r="66" spans="2:10" x14ac:dyDescent="0.2">
      <c r="B66" t="s">
        <v>261</v>
      </c>
      <c r="C66" t="s">
        <v>134</v>
      </c>
      <c r="D66" t="s">
        <v>262</v>
      </c>
      <c r="E66" t="s">
        <v>310</v>
      </c>
      <c r="F66" t="s">
        <v>311</v>
      </c>
      <c r="G66" t="s">
        <v>1033</v>
      </c>
      <c r="H66" t="s">
        <v>30</v>
      </c>
      <c r="I66" s="1">
        <v>1</v>
      </c>
      <c r="J66" s="2">
        <v>474.14</v>
      </c>
    </row>
    <row r="67" spans="2:10" x14ac:dyDescent="0.2">
      <c r="B67" t="s">
        <v>261</v>
      </c>
      <c r="C67" t="s">
        <v>134</v>
      </c>
      <c r="D67" t="s">
        <v>262</v>
      </c>
      <c r="E67" t="s">
        <v>312</v>
      </c>
      <c r="F67" t="s">
        <v>313</v>
      </c>
      <c r="G67" t="s">
        <v>1033</v>
      </c>
      <c r="H67" t="s">
        <v>30</v>
      </c>
      <c r="I67" s="1">
        <v>1</v>
      </c>
      <c r="J67" s="2">
        <v>603.45000000000005</v>
      </c>
    </row>
    <row r="68" spans="2:10" x14ac:dyDescent="0.2">
      <c r="B68" t="s">
        <v>261</v>
      </c>
      <c r="C68" t="s">
        <v>134</v>
      </c>
      <c r="D68" t="s">
        <v>262</v>
      </c>
      <c r="E68" t="s">
        <v>38</v>
      </c>
      <c r="F68" t="s">
        <v>39</v>
      </c>
      <c r="G68" t="s">
        <v>1034</v>
      </c>
      <c r="H68" t="s">
        <v>15</v>
      </c>
      <c r="I68" s="1">
        <v>1</v>
      </c>
      <c r="J68" s="2">
        <v>431.03</v>
      </c>
    </row>
    <row r="69" spans="2:10" x14ac:dyDescent="0.2">
      <c r="B69" t="s">
        <v>261</v>
      </c>
      <c r="C69" t="s">
        <v>134</v>
      </c>
      <c r="D69" t="s">
        <v>262</v>
      </c>
      <c r="E69" t="s">
        <v>61</v>
      </c>
      <c r="F69" t="s">
        <v>62</v>
      </c>
      <c r="G69" t="s">
        <v>1034</v>
      </c>
      <c r="H69" t="s">
        <v>15</v>
      </c>
      <c r="I69" s="1">
        <v>1</v>
      </c>
      <c r="J69" s="2">
        <v>172.41</v>
      </c>
    </row>
    <row r="70" spans="2:10" x14ac:dyDescent="0.2">
      <c r="B70" t="s">
        <v>261</v>
      </c>
      <c r="C70" t="s">
        <v>134</v>
      </c>
      <c r="D70" t="s">
        <v>262</v>
      </c>
      <c r="E70" t="s">
        <v>63</v>
      </c>
      <c r="F70" t="s">
        <v>64</v>
      </c>
      <c r="G70" t="s">
        <v>1034</v>
      </c>
      <c r="H70" t="s">
        <v>15</v>
      </c>
      <c r="I70" s="1">
        <v>1</v>
      </c>
      <c r="J70" s="2">
        <v>172.41</v>
      </c>
    </row>
    <row r="71" spans="2:10" x14ac:dyDescent="0.2">
      <c r="B71" t="s">
        <v>261</v>
      </c>
      <c r="C71" t="s">
        <v>135</v>
      </c>
      <c r="D71" t="s">
        <v>262</v>
      </c>
      <c r="E71" t="s">
        <v>314</v>
      </c>
      <c r="F71" t="s">
        <v>315</v>
      </c>
      <c r="G71" t="s">
        <v>54</v>
      </c>
      <c r="H71" t="s">
        <v>138</v>
      </c>
      <c r="I71" s="1">
        <v>1</v>
      </c>
      <c r="J71" s="2">
        <v>775.86</v>
      </c>
    </row>
    <row r="72" spans="2:10" x14ac:dyDescent="0.2">
      <c r="B72" t="s">
        <v>261</v>
      </c>
      <c r="C72" t="s">
        <v>135</v>
      </c>
      <c r="D72" t="s">
        <v>262</v>
      </c>
      <c r="E72" t="s">
        <v>316</v>
      </c>
      <c r="F72" t="s">
        <v>317</v>
      </c>
      <c r="G72" t="s">
        <v>14</v>
      </c>
      <c r="H72" t="s">
        <v>27</v>
      </c>
      <c r="I72" s="1">
        <v>1</v>
      </c>
      <c r="J72" s="2">
        <v>413.79</v>
      </c>
    </row>
    <row r="73" spans="2:10" x14ac:dyDescent="0.2">
      <c r="B73" t="s">
        <v>261</v>
      </c>
      <c r="C73" t="s">
        <v>135</v>
      </c>
      <c r="D73" t="s">
        <v>262</v>
      </c>
      <c r="E73" t="s">
        <v>36</v>
      </c>
      <c r="F73" t="s">
        <v>37</v>
      </c>
      <c r="G73" t="s">
        <v>1034</v>
      </c>
      <c r="H73" t="s">
        <v>15</v>
      </c>
      <c r="I73" s="1">
        <v>1</v>
      </c>
      <c r="J73" s="2">
        <v>301.72000000000003</v>
      </c>
    </row>
    <row r="74" spans="2:10" x14ac:dyDescent="0.2">
      <c r="B74" t="s">
        <v>261</v>
      </c>
      <c r="C74" t="s">
        <v>135</v>
      </c>
      <c r="D74" t="s">
        <v>262</v>
      </c>
      <c r="E74" t="s">
        <v>72</v>
      </c>
      <c r="F74" t="s">
        <v>73</v>
      </c>
      <c r="G74" t="s">
        <v>1034</v>
      </c>
      <c r="H74" t="s">
        <v>15</v>
      </c>
      <c r="I74" s="1">
        <v>1</v>
      </c>
      <c r="J74" s="2">
        <v>775.86</v>
      </c>
    </row>
    <row r="75" spans="2:10" x14ac:dyDescent="0.2">
      <c r="B75" t="s">
        <v>261</v>
      </c>
      <c r="C75" t="s">
        <v>135</v>
      </c>
      <c r="D75" t="s">
        <v>262</v>
      </c>
      <c r="E75" t="s">
        <v>273</v>
      </c>
      <c r="F75" t="s">
        <v>274</v>
      </c>
      <c r="G75" t="s">
        <v>1033</v>
      </c>
      <c r="H75" t="s">
        <v>30</v>
      </c>
      <c r="I75" s="1">
        <v>1</v>
      </c>
      <c r="J75" s="2">
        <v>1293.0999999999999</v>
      </c>
    </row>
    <row r="76" spans="2:10" x14ac:dyDescent="0.2">
      <c r="B76" t="s">
        <v>261</v>
      </c>
      <c r="C76" t="s">
        <v>135</v>
      </c>
      <c r="D76" t="s">
        <v>262</v>
      </c>
      <c r="E76" t="s">
        <v>56</v>
      </c>
      <c r="F76" t="s">
        <v>57</v>
      </c>
      <c r="G76" t="s">
        <v>1034</v>
      </c>
      <c r="H76" t="s">
        <v>15</v>
      </c>
      <c r="I76" s="1">
        <v>1</v>
      </c>
      <c r="J76" s="2">
        <v>431.03</v>
      </c>
    </row>
    <row r="77" spans="2:10" x14ac:dyDescent="0.2">
      <c r="B77" t="s">
        <v>261</v>
      </c>
      <c r="C77" t="s">
        <v>141</v>
      </c>
      <c r="D77" t="s">
        <v>262</v>
      </c>
      <c r="E77" t="s">
        <v>318</v>
      </c>
      <c r="F77" t="s">
        <v>319</v>
      </c>
      <c r="G77" t="s">
        <v>1033</v>
      </c>
      <c r="H77" t="s">
        <v>30</v>
      </c>
      <c r="I77" s="1">
        <v>1</v>
      </c>
      <c r="J77" s="2">
        <v>456.9</v>
      </c>
    </row>
    <row r="78" spans="2:10" x14ac:dyDescent="0.2">
      <c r="B78" t="s">
        <v>261</v>
      </c>
      <c r="C78" t="s">
        <v>141</v>
      </c>
      <c r="D78" t="s">
        <v>262</v>
      </c>
      <c r="E78" t="s">
        <v>44</v>
      </c>
      <c r="F78" t="s">
        <v>45</v>
      </c>
      <c r="G78" t="s">
        <v>1033</v>
      </c>
      <c r="H78" t="s">
        <v>30</v>
      </c>
      <c r="I78" s="1">
        <v>1</v>
      </c>
      <c r="J78" s="2">
        <v>81.900000000000006</v>
      </c>
    </row>
    <row r="79" spans="2:10" x14ac:dyDescent="0.2">
      <c r="B79" t="s">
        <v>261</v>
      </c>
      <c r="C79" t="s">
        <v>141</v>
      </c>
      <c r="D79" t="s">
        <v>262</v>
      </c>
      <c r="E79" t="s">
        <v>36</v>
      </c>
      <c r="F79" t="s">
        <v>37</v>
      </c>
      <c r="G79" t="s">
        <v>1034</v>
      </c>
      <c r="H79" t="s">
        <v>15</v>
      </c>
      <c r="I79" s="1">
        <v>1</v>
      </c>
      <c r="J79" s="2">
        <v>301.72000000000003</v>
      </c>
    </row>
    <row r="80" spans="2:10" x14ac:dyDescent="0.2">
      <c r="B80" t="s">
        <v>261</v>
      </c>
      <c r="C80" t="s">
        <v>141</v>
      </c>
      <c r="D80" t="s">
        <v>262</v>
      </c>
      <c r="E80" t="s">
        <v>83</v>
      </c>
      <c r="F80" t="s">
        <v>84</v>
      </c>
      <c r="G80" t="s">
        <v>1034</v>
      </c>
      <c r="H80" t="s">
        <v>15</v>
      </c>
      <c r="I80" s="1">
        <v>1</v>
      </c>
      <c r="J80" s="2">
        <v>387.93</v>
      </c>
    </row>
    <row r="81" spans="2:10" x14ac:dyDescent="0.2">
      <c r="B81" t="s">
        <v>261</v>
      </c>
      <c r="C81" t="s">
        <v>141</v>
      </c>
      <c r="D81" t="s">
        <v>262</v>
      </c>
      <c r="E81" t="s">
        <v>223</v>
      </c>
      <c r="F81" t="s">
        <v>224</v>
      </c>
      <c r="G81" t="s">
        <v>43</v>
      </c>
      <c r="H81" t="s">
        <v>50</v>
      </c>
      <c r="I81" s="1">
        <v>1</v>
      </c>
      <c r="J81" s="2">
        <v>1637.93</v>
      </c>
    </row>
    <row r="82" spans="2:10" x14ac:dyDescent="0.2">
      <c r="B82" t="s">
        <v>261</v>
      </c>
      <c r="C82" t="s">
        <v>141</v>
      </c>
      <c r="D82" t="s">
        <v>262</v>
      </c>
      <c r="E82" t="s">
        <v>320</v>
      </c>
      <c r="F82" t="s">
        <v>321</v>
      </c>
      <c r="G82" t="s">
        <v>1033</v>
      </c>
      <c r="H82" t="s">
        <v>30</v>
      </c>
      <c r="I82" s="1">
        <v>1</v>
      </c>
      <c r="J82" s="2">
        <v>603.45000000000005</v>
      </c>
    </row>
    <row r="83" spans="2:10" x14ac:dyDescent="0.2">
      <c r="B83" t="s">
        <v>261</v>
      </c>
      <c r="C83" t="s">
        <v>141</v>
      </c>
      <c r="D83" t="s">
        <v>262</v>
      </c>
      <c r="E83" t="s">
        <v>28</v>
      </c>
      <c r="F83" t="s">
        <v>29</v>
      </c>
      <c r="G83" t="s">
        <v>1033</v>
      </c>
      <c r="H83" t="s">
        <v>30</v>
      </c>
      <c r="I83" s="1">
        <v>1</v>
      </c>
      <c r="J83" s="2">
        <v>155.16999999999999</v>
      </c>
    </row>
    <row r="84" spans="2:10" x14ac:dyDescent="0.2">
      <c r="B84" t="s">
        <v>261</v>
      </c>
      <c r="C84" t="s">
        <v>144</v>
      </c>
      <c r="D84" t="s">
        <v>262</v>
      </c>
      <c r="E84" t="s">
        <v>221</v>
      </c>
      <c r="F84" t="s">
        <v>222</v>
      </c>
      <c r="G84" t="s">
        <v>1034</v>
      </c>
      <c r="H84" t="s">
        <v>15</v>
      </c>
      <c r="I84" s="1">
        <v>1</v>
      </c>
      <c r="J84" s="2">
        <v>431.03</v>
      </c>
    </row>
    <row r="85" spans="2:10" x14ac:dyDescent="0.2">
      <c r="B85" t="s">
        <v>261</v>
      </c>
      <c r="C85" t="s">
        <v>144</v>
      </c>
      <c r="D85" t="s">
        <v>262</v>
      </c>
      <c r="E85" t="s">
        <v>28</v>
      </c>
      <c r="F85" t="s">
        <v>29</v>
      </c>
      <c r="G85" t="s">
        <v>1033</v>
      </c>
      <c r="H85" t="s">
        <v>30</v>
      </c>
      <c r="I85" s="1">
        <v>1</v>
      </c>
      <c r="J85" s="2">
        <v>155.16999999999999</v>
      </c>
    </row>
    <row r="86" spans="2:10" x14ac:dyDescent="0.2">
      <c r="B86" t="s">
        <v>261</v>
      </c>
      <c r="C86" t="s">
        <v>165</v>
      </c>
      <c r="D86" t="s">
        <v>262</v>
      </c>
      <c r="E86" t="s">
        <v>46</v>
      </c>
      <c r="F86" t="s">
        <v>47</v>
      </c>
      <c r="G86" t="s">
        <v>1034</v>
      </c>
      <c r="H86" t="s">
        <v>15</v>
      </c>
      <c r="I86" s="1">
        <v>1</v>
      </c>
      <c r="J86" s="2">
        <v>301.72000000000003</v>
      </c>
    </row>
    <row r="87" spans="2:10" x14ac:dyDescent="0.2">
      <c r="B87" t="s">
        <v>261</v>
      </c>
      <c r="C87" t="s">
        <v>165</v>
      </c>
      <c r="D87" t="s">
        <v>262</v>
      </c>
      <c r="E87" t="s">
        <v>322</v>
      </c>
      <c r="F87" t="s">
        <v>323</v>
      </c>
      <c r="G87" t="s">
        <v>43</v>
      </c>
      <c r="H87" t="s">
        <v>205</v>
      </c>
      <c r="I87" s="1">
        <v>1</v>
      </c>
      <c r="J87" s="2">
        <v>2081.9</v>
      </c>
    </row>
    <row r="88" spans="2:10" x14ac:dyDescent="0.2">
      <c r="B88" t="s">
        <v>261</v>
      </c>
      <c r="C88" t="s">
        <v>165</v>
      </c>
      <c r="D88" t="s">
        <v>262</v>
      </c>
      <c r="E88" t="s">
        <v>28</v>
      </c>
      <c r="F88" t="s">
        <v>29</v>
      </c>
      <c r="G88" t="s">
        <v>1033</v>
      </c>
      <c r="H88" t="s">
        <v>30</v>
      </c>
      <c r="I88" s="1">
        <v>1</v>
      </c>
      <c r="J88" s="2">
        <v>155.16999999999999</v>
      </c>
    </row>
    <row r="89" spans="2:10" x14ac:dyDescent="0.2">
      <c r="B89" t="s">
        <v>261</v>
      </c>
      <c r="C89" t="s">
        <v>166</v>
      </c>
      <c r="D89" t="s">
        <v>262</v>
      </c>
      <c r="E89" t="s">
        <v>318</v>
      </c>
      <c r="F89" t="s">
        <v>319</v>
      </c>
      <c r="G89" t="s">
        <v>1033</v>
      </c>
      <c r="H89" t="s">
        <v>30</v>
      </c>
      <c r="I89" s="1">
        <v>1</v>
      </c>
      <c r="J89" s="2">
        <v>456.9</v>
      </c>
    </row>
    <row r="90" spans="2:10" x14ac:dyDescent="0.2">
      <c r="B90" t="s">
        <v>261</v>
      </c>
      <c r="C90" t="s">
        <v>166</v>
      </c>
      <c r="D90" t="s">
        <v>262</v>
      </c>
      <c r="E90" t="s">
        <v>167</v>
      </c>
      <c r="F90" t="s">
        <v>168</v>
      </c>
      <c r="G90" t="s">
        <v>1033</v>
      </c>
      <c r="H90" t="s">
        <v>30</v>
      </c>
      <c r="I90" s="1">
        <v>1</v>
      </c>
      <c r="J90" s="2">
        <v>1267.24</v>
      </c>
    </row>
    <row r="91" spans="2:10" x14ac:dyDescent="0.2">
      <c r="B91" t="s">
        <v>261</v>
      </c>
      <c r="C91" t="s">
        <v>166</v>
      </c>
      <c r="D91" t="s">
        <v>262</v>
      </c>
      <c r="E91" t="s">
        <v>19</v>
      </c>
      <c r="F91" t="s">
        <v>20</v>
      </c>
      <c r="G91" t="s">
        <v>14</v>
      </c>
      <c r="H91" t="s">
        <v>21</v>
      </c>
      <c r="I91" s="1">
        <v>1</v>
      </c>
      <c r="J91" s="2">
        <v>431.04</v>
      </c>
    </row>
    <row r="92" spans="2:10" x14ac:dyDescent="0.2">
      <c r="B92" t="s">
        <v>261</v>
      </c>
      <c r="C92" t="s">
        <v>166</v>
      </c>
      <c r="D92" t="s">
        <v>262</v>
      </c>
      <c r="E92" t="s">
        <v>324</v>
      </c>
      <c r="F92" t="s">
        <v>325</v>
      </c>
      <c r="G92" t="s">
        <v>1033</v>
      </c>
      <c r="H92" t="s">
        <v>30</v>
      </c>
      <c r="I92" s="1">
        <v>1</v>
      </c>
      <c r="J92" s="2">
        <v>2000</v>
      </c>
    </row>
    <row r="93" spans="2:10" x14ac:dyDescent="0.2">
      <c r="B93" t="s">
        <v>261</v>
      </c>
      <c r="C93" t="s">
        <v>166</v>
      </c>
      <c r="D93" t="s">
        <v>262</v>
      </c>
      <c r="E93" t="s">
        <v>326</v>
      </c>
      <c r="F93" t="s">
        <v>327</v>
      </c>
      <c r="G93" t="s">
        <v>1033</v>
      </c>
      <c r="H93" t="s">
        <v>30</v>
      </c>
      <c r="I93" s="1">
        <v>1</v>
      </c>
      <c r="J93" s="2">
        <v>1862.07</v>
      </c>
    </row>
    <row r="94" spans="2:10" x14ac:dyDescent="0.2">
      <c r="B94" t="s">
        <v>261</v>
      </c>
      <c r="C94" t="s">
        <v>166</v>
      </c>
      <c r="D94" t="s">
        <v>262</v>
      </c>
      <c r="E94" t="s">
        <v>120</v>
      </c>
      <c r="F94" t="s">
        <v>121</v>
      </c>
      <c r="G94" t="s">
        <v>1034</v>
      </c>
      <c r="H94" t="s">
        <v>15</v>
      </c>
      <c r="I94" s="1">
        <v>1</v>
      </c>
      <c r="J94" s="2">
        <v>301.72000000000003</v>
      </c>
    </row>
    <row r="95" spans="2:10" x14ac:dyDescent="0.2">
      <c r="B95" t="s">
        <v>261</v>
      </c>
      <c r="C95" t="s">
        <v>166</v>
      </c>
      <c r="D95" t="s">
        <v>262</v>
      </c>
      <c r="E95" t="s">
        <v>36</v>
      </c>
      <c r="F95" t="s">
        <v>37</v>
      </c>
      <c r="G95" t="s">
        <v>1034</v>
      </c>
      <c r="H95" t="s">
        <v>15</v>
      </c>
      <c r="I95" s="1">
        <v>2</v>
      </c>
      <c r="J95" s="2">
        <v>603.44000000000005</v>
      </c>
    </row>
    <row r="96" spans="2:10" x14ac:dyDescent="0.2">
      <c r="B96" t="s">
        <v>261</v>
      </c>
      <c r="C96" t="s">
        <v>166</v>
      </c>
      <c r="D96" t="s">
        <v>262</v>
      </c>
      <c r="E96" t="s">
        <v>72</v>
      </c>
      <c r="F96" t="s">
        <v>73</v>
      </c>
      <c r="G96" t="s">
        <v>1034</v>
      </c>
      <c r="H96" t="s">
        <v>15</v>
      </c>
      <c r="I96" s="1">
        <v>3</v>
      </c>
      <c r="J96" s="2">
        <v>2327.58</v>
      </c>
    </row>
    <row r="97" spans="2:10" x14ac:dyDescent="0.2">
      <c r="B97" t="s">
        <v>261</v>
      </c>
      <c r="C97" t="s">
        <v>166</v>
      </c>
      <c r="D97" t="s">
        <v>262</v>
      </c>
      <c r="E97" t="s">
        <v>61</v>
      </c>
      <c r="F97" t="s">
        <v>62</v>
      </c>
      <c r="G97" t="s">
        <v>1034</v>
      </c>
      <c r="H97" t="s">
        <v>15</v>
      </c>
      <c r="I97" s="1">
        <v>1</v>
      </c>
      <c r="J97" s="2">
        <v>172.41</v>
      </c>
    </row>
    <row r="98" spans="2:10" x14ac:dyDescent="0.2">
      <c r="B98" t="s">
        <v>261</v>
      </c>
      <c r="C98" t="s">
        <v>166</v>
      </c>
      <c r="D98" t="s">
        <v>262</v>
      </c>
      <c r="E98" t="s">
        <v>16</v>
      </c>
      <c r="F98" t="s">
        <v>17</v>
      </c>
      <c r="G98" t="s">
        <v>1034</v>
      </c>
      <c r="H98" t="s">
        <v>15</v>
      </c>
      <c r="I98" s="1">
        <v>5</v>
      </c>
      <c r="J98" s="2">
        <v>2887.95</v>
      </c>
    </row>
    <row r="99" spans="2:10" x14ac:dyDescent="0.2">
      <c r="B99" t="s">
        <v>261</v>
      </c>
      <c r="C99" t="s">
        <v>166</v>
      </c>
      <c r="D99" t="s">
        <v>262</v>
      </c>
      <c r="E99" t="s">
        <v>28</v>
      </c>
      <c r="F99" t="s">
        <v>29</v>
      </c>
      <c r="G99" t="s">
        <v>1033</v>
      </c>
      <c r="H99" t="s">
        <v>30</v>
      </c>
      <c r="I99" s="1">
        <v>2</v>
      </c>
      <c r="J99" s="2">
        <v>310.33999999999997</v>
      </c>
    </row>
    <row r="100" spans="2:10" x14ac:dyDescent="0.2">
      <c r="B100" t="s">
        <v>261</v>
      </c>
      <c r="C100" t="s">
        <v>185</v>
      </c>
      <c r="D100" t="s">
        <v>262</v>
      </c>
      <c r="E100" t="s">
        <v>328</v>
      </c>
      <c r="F100" t="s">
        <v>329</v>
      </c>
      <c r="G100" t="s">
        <v>1033</v>
      </c>
      <c r="H100" t="s">
        <v>30</v>
      </c>
      <c r="I100" s="1">
        <v>1</v>
      </c>
      <c r="J100" s="2">
        <v>172.41</v>
      </c>
    </row>
    <row r="101" spans="2:10" x14ac:dyDescent="0.2">
      <c r="B101" t="s">
        <v>261</v>
      </c>
      <c r="C101" t="s">
        <v>185</v>
      </c>
      <c r="D101" t="s">
        <v>262</v>
      </c>
      <c r="E101" t="s">
        <v>120</v>
      </c>
      <c r="F101" t="s">
        <v>121</v>
      </c>
      <c r="G101" t="s">
        <v>1034</v>
      </c>
      <c r="H101" t="s">
        <v>15</v>
      </c>
      <c r="I101" s="1">
        <v>1</v>
      </c>
      <c r="J101" s="2">
        <v>301.72000000000003</v>
      </c>
    </row>
    <row r="102" spans="2:10" x14ac:dyDescent="0.2">
      <c r="B102" t="s">
        <v>261</v>
      </c>
      <c r="C102" t="s">
        <v>185</v>
      </c>
      <c r="D102" t="s">
        <v>262</v>
      </c>
      <c r="E102" t="s">
        <v>72</v>
      </c>
      <c r="F102" t="s">
        <v>73</v>
      </c>
      <c r="G102" t="s">
        <v>1034</v>
      </c>
      <c r="H102" t="s">
        <v>15</v>
      </c>
      <c r="I102" s="1">
        <v>1</v>
      </c>
      <c r="J102" s="2">
        <v>775.86</v>
      </c>
    </row>
    <row r="103" spans="2:10" x14ac:dyDescent="0.2">
      <c r="B103" t="s">
        <v>261</v>
      </c>
      <c r="C103" t="s">
        <v>185</v>
      </c>
      <c r="D103" t="s">
        <v>262</v>
      </c>
      <c r="E103" t="s">
        <v>330</v>
      </c>
      <c r="F103" t="s">
        <v>331</v>
      </c>
      <c r="G103" t="s">
        <v>43</v>
      </c>
      <c r="H103" t="s">
        <v>332</v>
      </c>
      <c r="I103" s="1">
        <v>1</v>
      </c>
      <c r="J103" s="2">
        <v>146.55000000000001</v>
      </c>
    </row>
    <row r="104" spans="2:10" x14ac:dyDescent="0.2">
      <c r="B104" t="s">
        <v>261</v>
      </c>
      <c r="C104" t="s">
        <v>185</v>
      </c>
      <c r="D104" t="s">
        <v>262</v>
      </c>
      <c r="E104" t="s">
        <v>304</v>
      </c>
      <c r="F104" t="s">
        <v>305</v>
      </c>
      <c r="G104" t="s">
        <v>76</v>
      </c>
      <c r="H104" t="s">
        <v>60</v>
      </c>
      <c r="I104" s="1">
        <v>1</v>
      </c>
      <c r="J104" s="2">
        <v>344.83</v>
      </c>
    </row>
    <row r="105" spans="2:10" x14ac:dyDescent="0.2">
      <c r="B105" t="s">
        <v>261</v>
      </c>
      <c r="C105" t="s">
        <v>185</v>
      </c>
      <c r="D105" t="s">
        <v>262</v>
      </c>
      <c r="E105" t="s">
        <v>333</v>
      </c>
      <c r="F105" t="s">
        <v>334</v>
      </c>
      <c r="G105" t="s">
        <v>1033</v>
      </c>
      <c r="H105" t="s">
        <v>30</v>
      </c>
      <c r="I105" s="1">
        <v>1</v>
      </c>
      <c r="J105" s="2">
        <v>2413.79</v>
      </c>
    </row>
    <row r="106" spans="2:10" x14ac:dyDescent="0.2">
      <c r="B106" t="s">
        <v>261</v>
      </c>
      <c r="C106" t="s">
        <v>185</v>
      </c>
      <c r="D106" t="s">
        <v>262</v>
      </c>
      <c r="E106" t="s">
        <v>28</v>
      </c>
      <c r="F106" t="s">
        <v>29</v>
      </c>
      <c r="G106" t="s">
        <v>1033</v>
      </c>
      <c r="H106" t="s">
        <v>30</v>
      </c>
      <c r="I106" s="1">
        <v>1</v>
      </c>
      <c r="J106" s="2">
        <v>155.16999999999999</v>
      </c>
    </row>
    <row r="107" spans="2:10" x14ac:dyDescent="0.2">
      <c r="B107" t="s">
        <v>376</v>
      </c>
      <c r="C107" t="s">
        <v>134</v>
      </c>
      <c r="D107" t="s">
        <v>32</v>
      </c>
      <c r="E107" t="s">
        <v>393</v>
      </c>
      <c r="F107" t="s">
        <v>394</v>
      </c>
      <c r="G107" t="s">
        <v>1033</v>
      </c>
      <c r="H107" t="s">
        <v>30</v>
      </c>
      <c r="I107" s="1">
        <v>1</v>
      </c>
      <c r="J107" s="2">
        <v>568.97</v>
      </c>
    </row>
    <row r="108" spans="2:10" x14ac:dyDescent="0.2">
      <c r="B108" t="s">
        <v>376</v>
      </c>
      <c r="C108" t="s">
        <v>134</v>
      </c>
      <c r="D108" t="s">
        <v>32</v>
      </c>
      <c r="E108" t="s">
        <v>368</v>
      </c>
      <c r="F108" t="s">
        <v>369</v>
      </c>
      <c r="G108" t="s">
        <v>1033</v>
      </c>
      <c r="H108" t="s">
        <v>30</v>
      </c>
      <c r="I108" s="1">
        <v>1</v>
      </c>
      <c r="J108" s="2">
        <v>612.07000000000005</v>
      </c>
    </row>
    <row r="109" spans="2:10" x14ac:dyDescent="0.2">
      <c r="B109" t="s">
        <v>376</v>
      </c>
      <c r="C109" t="s">
        <v>134</v>
      </c>
      <c r="D109" t="s">
        <v>32</v>
      </c>
      <c r="E109" t="s">
        <v>36</v>
      </c>
      <c r="F109" t="s">
        <v>37</v>
      </c>
      <c r="G109" t="s">
        <v>1034</v>
      </c>
      <c r="H109" t="s">
        <v>15</v>
      </c>
      <c r="I109" s="1">
        <v>1</v>
      </c>
      <c r="J109" s="2">
        <v>301.72000000000003</v>
      </c>
    </row>
    <row r="110" spans="2:10" x14ac:dyDescent="0.2">
      <c r="B110" t="s">
        <v>376</v>
      </c>
      <c r="C110" t="s">
        <v>134</v>
      </c>
      <c r="D110" t="s">
        <v>32</v>
      </c>
      <c r="E110" t="s">
        <v>56</v>
      </c>
      <c r="F110" t="s">
        <v>57</v>
      </c>
      <c r="G110" t="s">
        <v>1034</v>
      </c>
      <c r="H110" t="s">
        <v>15</v>
      </c>
      <c r="I110" s="1">
        <v>1</v>
      </c>
      <c r="J110" s="2">
        <v>431.03</v>
      </c>
    </row>
    <row r="111" spans="2:10" x14ac:dyDescent="0.2">
      <c r="B111" t="s">
        <v>376</v>
      </c>
      <c r="C111" t="s">
        <v>135</v>
      </c>
      <c r="D111" t="s">
        <v>386</v>
      </c>
      <c r="E111" t="s">
        <v>19</v>
      </c>
      <c r="F111" t="s">
        <v>20</v>
      </c>
      <c r="G111" t="s">
        <v>14</v>
      </c>
      <c r="H111" t="s">
        <v>21</v>
      </c>
      <c r="I111" s="1">
        <v>1</v>
      </c>
      <c r="J111" s="2">
        <v>431.04</v>
      </c>
    </row>
    <row r="112" spans="2:10" x14ac:dyDescent="0.2">
      <c r="B112" t="s">
        <v>376</v>
      </c>
      <c r="C112" t="s">
        <v>135</v>
      </c>
      <c r="D112" t="s">
        <v>386</v>
      </c>
      <c r="E112" t="s">
        <v>395</v>
      </c>
      <c r="F112" t="s">
        <v>396</v>
      </c>
      <c r="G112" t="s">
        <v>14</v>
      </c>
      <c r="H112" t="s">
        <v>35</v>
      </c>
      <c r="I112" s="1">
        <v>1</v>
      </c>
      <c r="J112" s="2">
        <v>60.34</v>
      </c>
    </row>
    <row r="113" spans="2:10" x14ac:dyDescent="0.2">
      <c r="B113" t="s">
        <v>376</v>
      </c>
      <c r="C113" t="s">
        <v>135</v>
      </c>
      <c r="D113" t="s">
        <v>386</v>
      </c>
      <c r="E113" t="s">
        <v>397</v>
      </c>
      <c r="F113" t="s">
        <v>398</v>
      </c>
      <c r="G113" t="s">
        <v>14</v>
      </c>
      <c r="H113" t="s">
        <v>35</v>
      </c>
      <c r="I113" s="1">
        <v>1</v>
      </c>
      <c r="J113" s="2">
        <v>77.59</v>
      </c>
    </row>
    <row r="114" spans="2:10" x14ac:dyDescent="0.2">
      <c r="B114" t="s">
        <v>376</v>
      </c>
      <c r="C114" t="s">
        <v>135</v>
      </c>
      <c r="D114" t="s">
        <v>386</v>
      </c>
      <c r="E114" t="s">
        <v>399</v>
      </c>
      <c r="F114" t="s">
        <v>400</v>
      </c>
      <c r="G114" t="s">
        <v>1033</v>
      </c>
      <c r="H114" t="s">
        <v>30</v>
      </c>
      <c r="I114" s="1">
        <v>1</v>
      </c>
      <c r="J114" s="2">
        <v>818.97</v>
      </c>
    </row>
    <row r="115" spans="2:10" x14ac:dyDescent="0.2">
      <c r="B115" t="s">
        <v>376</v>
      </c>
      <c r="C115" t="s">
        <v>135</v>
      </c>
      <c r="D115" t="s">
        <v>386</v>
      </c>
      <c r="E115" t="s">
        <v>401</v>
      </c>
      <c r="F115" t="s">
        <v>402</v>
      </c>
      <c r="G115" t="s">
        <v>43</v>
      </c>
      <c r="H115" t="s">
        <v>403</v>
      </c>
      <c r="I115" s="1">
        <v>1</v>
      </c>
      <c r="J115" s="2">
        <v>159.47999999999999</v>
      </c>
    </row>
    <row r="116" spans="2:10" x14ac:dyDescent="0.2">
      <c r="B116" t="s">
        <v>376</v>
      </c>
      <c r="C116" t="s">
        <v>135</v>
      </c>
      <c r="D116" t="s">
        <v>386</v>
      </c>
      <c r="E116" t="s">
        <v>404</v>
      </c>
      <c r="F116" t="s">
        <v>405</v>
      </c>
      <c r="G116" t="s">
        <v>1033</v>
      </c>
      <c r="H116" t="s">
        <v>30</v>
      </c>
      <c r="I116" s="1">
        <v>1</v>
      </c>
      <c r="J116" s="2">
        <v>1025.8599999999999</v>
      </c>
    </row>
    <row r="117" spans="2:10" x14ac:dyDescent="0.2">
      <c r="B117" t="s">
        <v>376</v>
      </c>
      <c r="C117" t="s">
        <v>135</v>
      </c>
      <c r="D117" t="s">
        <v>386</v>
      </c>
      <c r="E117" t="s">
        <v>12</v>
      </c>
      <c r="F117" t="s">
        <v>13</v>
      </c>
      <c r="G117" t="s">
        <v>1034</v>
      </c>
      <c r="H117" t="s">
        <v>15</v>
      </c>
      <c r="I117" s="1">
        <v>1</v>
      </c>
      <c r="J117" s="2">
        <v>1077.5899999999999</v>
      </c>
    </row>
    <row r="118" spans="2:10" x14ac:dyDescent="0.2">
      <c r="B118" t="s">
        <v>376</v>
      </c>
      <c r="C118" t="s">
        <v>135</v>
      </c>
      <c r="D118" t="s">
        <v>386</v>
      </c>
      <c r="E118" t="s">
        <v>214</v>
      </c>
      <c r="F118" t="s">
        <v>215</v>
      </c>
      <c r="G118" t="s">
        <v>1034</v>
      </c>
      <c r="H118" t="s">
        <v>15</v>
      </c>
      <c r="I118" s="1">
        <v>1</v>
      </c>
      <c r="J118" s="2">
        <v>301.72000000000003</v>
      </c>
    </row>
    <row r="119" spans="2:10" x14ac:dyDescent="0.2">
      <c r="B119" t="s">
        <v>376</v>
      </c>
      <c r="C119" t="s">
        <v>135</v>
      </c>
      <c r="D119" t="s">
        <v>386</v>
      </c>
      <c r="E119" t="s">
        <v>36</v>
      </c>
      <c r="F119" t="s">
        <v>37</v>
      </c>
      <c r="G119" t="s">
        <v>1034</v>
      </c>
      <c r="H119" t="s">
        <v>15</v>
      </c>
      <c r="I119" s="1">
        <v>1</v>
      </c>
      <c r="J119" s="2">
        <v>301.72000000000003</v>
      </c>
    </row>
    <row r="120" spans="2:10" x14ac:dyDescent="0.2">
      <c r="B120" t="s">
        <v>376</v>
      </c>
      <c r="C120" t="s">
        <v>135</v>
      </c>
      <c r="D120" t="s">
        <v>386</v>
      </c>
      <c r="E120" t="s">
        <v>101</v>
      </c>
      <c r="F120" t="s">
        <v>102</v>
      </c>
      <c r="G120" t="s">
        <v>103</v>
      </c>
      <c r="H120" t="s">
        <v>104</v>
      </c>
      <c r="I120" s="1">
        <v>1</v>
      </c>
      <c r="J120" s="2">
        <v>0.01</v>
      </c>
    </row>
    <row r="121" spans="2:10" x14ac:dyDescent="0.2">
      <c r="B121" t="s">
        <v>376</v>
      </c>
      <c r="C121" t="s">
        <v>135</v>
      </c>
      <c r="D121" t="s">
        <v>386</v>
      </c>
      <c r="E121" t="s">
        <v>122</v>
      </c>
      <c r="F121" t="s">
        <v>123</v>
      </c>
      <c r="G121" t="s">
        <v>1034</v>
      </c>
      <c r="H121" t="s">
        <v>15</v>
      </c>
      <c r="I121" s="1">
        <v>1</v>
      </c>
      <c r="J121" s="2">
        <v>387.93</v>
      </c>
    </row>
    <row r="122" spans="2:10" x14ac:dyDescent="0.2">
      <c r="B122" t="s">
        <v>376</v>
      </c>
      <c r="C122" t="s">
        <v>135</v>
      </c>
      <c r="D122" t="s">
        <v>386</v>
      </c>
      <c r="E122" t="s">
        <v>83</v>
      </c>
      <c r="F122" t="s">
        <v>84</v>
      </c>
      <c r="G122" t="s">
        <v>1034</v>
      </c>
      <c r="H122" t="s">
        <v>15</v>
      </c>
      <c r="I122" s="1">
        <v>1</v>
      </c>
      <c r="J122" s="2">
        <v>387.93</v>
      </c>
    </row>
    <row r="123" spans="2:10" x14ac:dyDescent="0.2">
      <c r="B123" t="s">
        <v>376</v>
      </c>
      <c r="C123" t="s">
        <v>135</v>
      </c>
      <c r="D123" t="s">
        <v>386</v>
      </c>
      <c r="E123" t="s">
        <v>223</v>
      </c>
      <c r="F123" t="s">
        <v>224</v>
      </c>
      <c r="G123" t="s">
        <v>43</v>
      </c>
      <c r="H123" t="s">
        <v>50</v>
      </c>
      <c r="I123" s="1">
        <v>1</v>
      </c>
      <c r="J123" s="2">
        <v>1637.93</v>
      </c>
    </row>
    <row r="124" spans="2:10" x14ac:dyDescent="0.2">
      <c r="B124" t="s">
        <v>376</v>
      </c>
      <c r="C124" t="s">
        <v>135</v>
      </c>
      <c r="D124" t="s">
        <v>386</v>
      </c>
      <c r="E124" t="s">
        <v>191</v>
      </c>
      <c r="F124" t="s">
        <v>192</v>
      </c>
      <c r="G124" t="s">
        <v>43</v>
      </c>
      <c r="H124" t="s">
        <v>50</v>
      </c>
      <c r="I124" s="1">
        <v>1</v>
      </c>
      <c r="J124" s="2">
        <v>3534.48</v>
      </c>
    </row>
    <row r="125" spans="2:10" x14ac:dyDescent="0.2">
      <c r="B125" t="s">
        <v>376</v>
      </c>
      <c r="C125" t="s">
        <v>135</v>
      </c>
      <c r="D125" t="s">
        <v>386</v>
      </c>
      <c r="E125" t="s">
        <v>273</v>
      </c>
      <c r="F125" t="s">
        <v>274</v>
      </c>
      <c r="G125" t="s">
        <v>1033</v>
      </c>
      <c r="H125" t="s">
        <v>30</v>
      </c>
      <c r="I125" s="1">
        <v>1</v>
      </c>
      <c r="J125" s="2">
        <v>1293.0999999999999</v>
      </c>
    </row>
    <row r="126" spans="2:10" x14ac:dyDescent="0.2">
      <c r="B126" t="s">
        <v>376</v>
      </c>
      <c r="C126" t="s">
        <v>135</v>
      </c>
      <c r="D126" t="s">
        <v>386</v>
      </c>
      <c r="E126" t="s">
        <v>56</v>
      </c>
      <c r="F126" t="s">
        <v>57</v>
      </c>
      <c r="G126" t="s">
        <v>1034</v>
      </c>
      <c r="H126" t="s">
        <v>15</v>
      </c>
      <c r="I126" s="1">
        <v>1</v>
      </c>
      <c r="J126" s="2">
        <v>431.03</v>
      </c>
    </row>
    <row r="127" spans="2:10" x14ac:dyDescent="0.2">
      <c r="B127" t="s">
        <v>376</v>
      </c>
      <c r="C127" t="s">
        <v>141</v>
      </c>
      <c r="D127" t="s">
        <v>386</v>
      </c>
      <c r="E127" t="s">
        <v>358</v>
      </c>
      <c r="F127" t="s">
        <v>359</v>
      </c>
      <c r="G127" t="s">
        <v>1033</v>
      </c>
      <c r="H127" t="s">
        <v>30</v>
      </c>
      <c r="I127" s="1">
        <v>1</v>
      </c>
      <c r="J127" s="2">
        <v>1500</v>
      </c>
    </row>
    <row r="128" spans="2:10" x14ac:dyDescent="0.2">
      <c r="B128" t="s">
        <v>376</v>
      </c>
      <c r="C128" t="s">
        <v>141</v>
      </c>
      <c r="D128" t="s">
        <v>386</v>
      </c>
      <c r="E128" t="s">
        <v>12</v>
      </c>
      <c r="F128" t="s">
        <v>13</v>
      </c>
      <c r="G128" t="s">
        <v>1034</v>
      </c>
      <c r="H128" t="s">
        <v>15</v>
      </c>
      <c r="I128" s="1">
        <v>1</v>
      </c>
      <c r="J128" s="2">
        <v>1077.5899999999999</v>
      </c>
    </row>
    <row r="129" spans="2:10" x14ac:dyDescent="0.2">
      <c r="B129" t="s">
        <v>376</v>
      </c>
      <c r="C129" t="s">
        <v>141</v>
      </c>
      <c r="D129" t="s">
        <v>386</v>
      </c>
      <c r="E129" t="s">
        <v>83</v>
      </c>
      <c r="F129" t="s">
        <v>84</v>
      </c>
      <c r="G129" t="s">
        <v>1034</v>
      </c>
      <c r="H129" t="s">
        <v>15</v>
      </c>
      <c r="I129" s="1">
        <v>1</v>
      </c>
      <c r="J129" s="2">
        <v>387.93</v>
      </c>
    </row>
    <row r="130" spans="2:10" x14ac:dyDescent="0.2">
      <c r="B130" t="s">
        <v>376</v>
      </c>
      <c r="C130" t="s">
        <v>141</v>
      </c>
      <c r="D130" t="s">
        <v>386</v>
      </c>
      <c r="E130" t="s">
        <v>56</v>
      </c>
      <c r="F130" t="s">
        <v>57</v>
      </c>
      <c r="G130" t="s">
        <v>1034</v>
      </c>
      <c r="H130" t="s">
        <v>15</v>
      </c>
      <c r="I130" s="1">
        <v>1</v>
      </c>
      <c r="J130" s="2">
        <v>431.03</v>
      </c>
    </row>
    <row r="131" spans="2:10" x14ac:dyDescent="0.2">
      <c r="B131" t="s">
        <v>376</v>
      </c>
      <c r="C131" t="s">
        <v>141</v>
      </c>
      <c r="D131" t="s">
        <v>386</v>
      </c>
      <c r="E131" t="s">
        <v>79</v>
      </c>
      <c r="F131" t="s">
        <v>80</v>
      </c>
      <c r="G131" t="s">
        <v>43</v>
      </c>
      <c r="H131" t="s">
        <v>81</v>
      </c>
      <c r="I131" s="1">
        <v>1</v>
      </c>
      <c r="J131" s="2">
        <v>1810.34</v>
      </c>
    </row>
    <row r="132" spans="2:10" x14ac:dyDescent="0.2">
      <c r="B132" t="s">
        <v>376</v>
      </c>
      <c r="C132" t="s">
        <v>165</v>
      </c>
      <c r="D132" t="s">
        <v>386</v>
      </c>
      <c r="E132" t="s">
        <v>46</v>
      </c>
      <c r="F132" t="s">
        <v>47</v>
      </c>
      <c r="G132" t="s">
        <v>1034</v>
      </c>
      <c r="H132" t="s">
        <v>15</v>
      </c>
      <c r="I132" s="1">
        <v>2</v>
      </c>
      <c r="J132" s="2">
        <v>603.44000000000005</v>
      </c>
    </row>
    <row r="133" spans="2:10" x14ac:dyDescent="0.2">
      <c r="B133" t="s">
        <v>376</v>
      </c>
      <c r="C133" t="s">
        <v>165</v>
      </c>
      <c r="D133" t="s">
        <v>386</v>
      </c>
      <c r="E133" t="s">
        <v>189</v>
      </c>
      <c r="F133" t="s">
        <v>190</v>
      </c>
      <c r="G133" t="s">
        <v>1033</v>
      </c>
      <c r="H133" t="s">
        <v>30</v>
      </c>
      <c r="I133" s="1">
        <v>1</v>
      </c>
      <c r="J133" s="2">
        <v>818.97</v>
      </c>
    </row>
    <row r="134" spans="2:10" x14ac:dyDescent="0.2">
      <c r="B134" t="s">
        <v>376</v>
      </c>
      <c r="C134" t="s">
        <v>165</v>
      </c>
      <c r="D134" t="s">
        <v>386</v>
      </c>
      <c r="E134" t="s">
        <v>253</v>
      </c>
      <c r="F134" t="s">
        <v>254</v>
      </c>
      <c r="G134" t="s">
        <v>1034</v>
      </c>
      <c r="H134" t="s">
        <v>15</v>
      </c>
      <c r="I134" s="1">
        <v>1</v>
      </c>
      <c r="J134" s="2">
        <v>775.86</v>
      </c>
    </row>
    <row r="135" spans="2:10" x14ac:dyDescent="0.2">
      <c r="B135" t="s">
        <v>376</v>
      </c>
      <c r="C135" t="s">
        <v>165</v>
      </c>
      <c r="D135" t="s">
        <v>386</v>
      </c>
      <c r="E135" t="s">
        <v>72</v>
      </c>
      <c r="F135" t="s">
        <v>73</v>
      </c>
      <c r="G135" t="s">
        <v>1034</v>
      </c>
      <c r="H135" t="s">
        <v>15</v>
      </c>
      <c r="I135" s="1">
        <v>1</v>
      </c>
      <c r="J135" s="2">
        <v>775.86</v>
      </c>
    </row>
    <row r="136" spans="2:10" x14ac:dyDescent="0.2">
      <c r="B136" t="s">
        <v>376</v>
      </c>
      <c r="C136" t="s">
        <v>165</v>
      </c>
      <c r="D136" t="s">
        <v>386</v>
      </c>
      <c r="E136" t="s">
        <v>83</v>
      </c>
      <c r="F136" t="s">
        <v>84</v>
      </c>
      <c r="G136" t="s">
        <v>1034</v>
      </c>
      <c r="H136" t="s">
        <v>15</v>
      </c>
      <c r="I136" s="1">
        <v>1</v>
      </c>
      <c r="J136" s="2">
        <v>387.93</v>
      </c>
    </row>
    <row r="137" spans="2:10" x14ac:dyDescent="0.2">
      <c r="B137" t="s">
        <v>376</v>
      </c>
      <c r="C137" t="s">
        <v>165</v>
      </c>
      <c r="D137" t="s">
        <v>386</v>
      </c>
      <c r="E137" t="s">
        <v>406</v>
      </c>
      <c r="F137" t="s">
        <v>407</v>
      </c>
      <c r="G137" t="s">
        <v>14</v>
      </c>
      <c r="H137" t="s">
        <v>104</v>
      </c>
      <c r="I137" s="1">
        <v>4</v>
      </c>
      <c r="J137" s="2">
        <v>68.959999999999994</v>
      </c>
    </row>
    <row r="138" spans="2:10" x14ac:dyDescent="0.2">
      <c r="B138" t="s">
        <v>376</v>
      </c>
      <c r="C138" t="s">
        <v>165</v>
      </c>
      <c r="D138" t="s">
        <v>386</v>
      </c>
      <c r="E138" t="s">
        <v>408</v>
      </c>
      <c r="F138" t="s">
        <v>409</v>
      </c>
      <c r="G138" t="s">
        <v>43</v>
      </c>
      <c r="H138" t="s">
        <v>81</v>
      </c>
      <c r="I138" s="1">
        <v>2</v>
      </c>
      <c r="J138" s="2">
        <v>2931.04</v>
      </c>
    </row>
    <row r="139" spans="2:10" x14ac:dyDescent="0.2">
      <c r="B139" t="s">
        <v>376</v>
      </c>
      <c r="C139" t="s">
        <v>166</v>
      </c>
      <c r="D139" t="s">
        <v>386</v>
      </c>
      <c r="E139" t="s">
        <v>46</v>
      </c>
      <c r="F139" t="s">
        <v>47</v>
      </c>
      <c r="G139" t="s">
        <v>1034</v>
      </c>
      <c r="H139" t="s">
        <v>15</v>
      </c>
      <c r="I139" s="1">
        <v>1</v>
      </c>
      <c r="J139" s="2">
        <v>301.72000000000003</v>
      </c>
    </row>
    <row r="140" spans="2:10" x14ac:dyDescent="0.2">
      <c r="B140" t="s">
        <v>376</v>
      </c>
      <c r="C140" t="s">
        <v>166</v>
      </c>
      <c r="D140" t="s">
        <v>386</v>
      </c>
      <c r="E140" t="s">
        <v>410</v>
      </c>
      <c r="F140" t="s">
        <v>411</v>
      </c>
      <c r="G140" t="s">
        <v>54</v>
      </c>
      <c r="H140" t="s">
        <v>138</v>
      </c>
      <c r="I140" s="1">
        <v>1</v>
      </c>
      <c r="J140" s="2">
        <v>468.1</v>
      </c>
    </row>
    <row r="141" spans="2:10" x14ac:dyDescent="0.2">
      <c r="B141" t="s">
        <v>376</v>
      </c>
      <c r="C141" t="s">
        <v>166</v>
      </c>
      <c r="D141" t="s">
        <v>386</v>
      </c>
      <c r="E141" t="s">
        <v>412</v>
      </c>
      <c r="F141" t="s">
        <v>413</v>
      </c>
      <c r="G141" t="s">
        <v>54</v>
      </c>
      <c r="H141" t="s">
        <v>138</v>
      </c>
      <c r="I141" s="1">
        <v>1</v>
      </c>
      <c r="J141" s="2">
        <v>517.24</v>
      </c>
    </row>
    <row r="142" spans="2:10" x14ac:dyDescent="0.2">
      <c r="B142" t="s">
        <v>376</v>
      </c>
      <c r="C142" t="s">
        <v>166</v>
      </c>
      <c r="D142" t="s">
        <v>386</v>
      </c>
      <c r="E142" t="s">
        <v>414</v>
      </c>
      <c r="F142" t="s">
        <v>415</v>
      </c>
      <c r="G142" t="s">
        <v>1033</v>
      </c>
      <c r="H142" t="s">
        <v>30</v>
      </c>
      <c r="I142" s="1">
        <v>1</v>
      </c>
      <c r="J142" s="2">
        <v>646.54999999999995</v>
      </c>
    </row>
    <row r="143" spans="2:10" x14ac:dyDescent="0.2">
      <c r="B143" t="s">
        <v>376</v>
      </c>
      <c r="C143" t="s">
        <v>166</v>
      </c>
      <c r="D143" t="s">
        <v>386</v>
      </c>
      <c r="E143" t="s">
        <v>267</v>
      </c>
      <c r="F143" t="s">
        <v>268</v>
      </c>
      <c r="G143" t="s">
        <v>1034</v>
      </c>
      <c r="H143" t="s">
        <v>15</v>
      </c>
      <c r="I143" s="1">
        <v>1</v>
      </c>
      <c r="J143" s="2">
        <v>258.62</v>
      </c>
    </row>
    <row r="144" spans="2:10" x14ac:dyDescent="0.2">
      <c r="B144" t="s">
        <v>376</v>
      </c>
      <c r="C144" t="s">
        <v>166</v>
      </c>
      <c r="D144" t="s">
        <v>386</v>
      </c>
      <c r="E144" t="s">
        <v>72</v>
      </c>
      <c r="F144" t="s">
        <v>73</v>
      </c>
      <c r="G144" t="s">
        <v>1034</v>
      </c>
      <c r="H144" t="s">
        <v>15</v>
      </c>
      <c r="I144" s="1">
        <v>1</v>
      </c>
      <c r="J144" s="2">
        <v>775.86</v>
      </c>
    </row>
    <row r="145" spans="2:10" x14ac:dyDescent="0.2">
      <c r="B145" t="s">
        <v>376</v>
      </c>
      <c r="C145" t="s">
        <v>166</v>
      </c>
      <c r="D145" t="s">
        <v>386</v>
      </c>
      <c r="E145" t="s">
        <v>101</v>
      </c>
      <c r="F145" t="s">
        <v>102</v>
      </c>
      <c r="G145" t="s">
        <v>103</v>
      </c>
      <c r="H145" t="s">
        <v>104</v>
      </c>
      <c r="I145" s="1">
        <v>1</v>
      </c>
      <c r="J145" s="2">
        <v>0.01</v>
      </c>
    </row>
    <row r="146" spans="2:10" x14ac:dyDescent="0.2">
      <c r="B146" t="s">
        <v>376</v>
      </c>
      <c r="C146" t="s">
        <v>166</v>
      </c>
      <c r="D146" t="s">
        <v>386</v>
      </c>
      <c r="E146" t="s">
        <v>153</v>
      </c>
      <c r="F146" t="s">
        <v>154</v>
      </c>
      <c r="G146" t="s">
        <v>1034</v>
      </c>
      <c r="H146" t="s">
        <v>15</v>
      </c>
      <c r="I146" s="1">
        <v>1</v>
      </c>
      <c r="J146" s="2">
        <v>387.93</v>
      </c>
    </row>
    <row r="147" spans="2:10" x14ac:dyDescent="0.2">
      <c r="B147" t="s">
        <v>376</v>
      </c>
      <c r="C147" t="s">
        <v>166</v>
      </c>
      <c r="D147" t="s">
        <v>386</v>
      </c>
      <c r="E147" t="s">
        <v>74</v>
      </c>
      <c r="F147" t="s">
        <v>75</v>
      </c>
      <c r="G147" t="s">
        <v>76</v>
      </c>
      <c r="H147" t="s">
        <v>60</v>
      </c>
      <c r="I147" s="1">
        <v>1</v>
      </c>
      <c r="J147" s="2">
        <v>344.83</v>
      </c>
    </row>
    <row r="148" spans="2:10" x14ac:dyDescent="0.2">
      <c r="B148" t="s">
        <v>376</v>
      </c>
      <c r="C148" t="s">
        <v>166</v>
      </c>
      <c r="D148" t="s">
        <v>386</v>
      </c>
      <c r="E148" t="s">
        <v>304</v>
      </c>
      <c r="F148" t="s">
        <v>305</v>
      </c>
      <c r="G148" t="s">
        <v>76</v>
      </c>
      <c r="H148" t="s">
        <v>60</v>
      </c>
      <c r="I148" s="1">
        <v>1</v>
      </c>
      <c r="J148" s="2">
        <v>344.83</v>
      </c>
    </row>
    <row r="149" spans="2:10" x14ac:dyDescent="0.2">
      <c r="B149" t="s">
        <v>376</v>
      </c>
      <c r="C149" t="s">
        <v>166</v>
      </c>
      <c r="D149" t="s">
        <v>386</v>
      </c>
      <c r="E149" t="s">
        <v>269</v>
      </c>
      <c r="F149" t="s">
        <v>270</v>
      </c>
      <c r="G149" t="s">
        <v>1033</v>
      </c>
      <c r="H149" t="s">
        <v>30</v>
      </c>
      <c r="I149" s="1">
        <v>1</v>
      </c>
      <c r="J149" s="2">
        <v>948.28</v>
      </c>
    </row>
    <row r="150" spans="2:10" x14ac:dyDescent="0.2">
      <c r="B150" t="s">
        <v>376</v>
      </c>
      <c r="C150" t="s">
        <v>166</v>
      </c>
      <c r="D150" t="s">
        <v>386</v>
      </c>
      <c r="E150" t="s">
        <v>333</v>
      </c>
      <c r="F150" t="s">
        <v>334</v>
      </c>
      <c r="G150" t="s">
        <v>1033</v>
      </c>
      <c r="H150" t="s">
        <v>30</v>
      </c>
      <c r="I150" s="1">
        <v>1</v>
      </c>
      <c r="J150" s="2">
        <v>2413.79</v>
      </c>
    </row>
    <row r="151" spans="2:10" x14ac:dyDescent="0.2">
      <c r="B151" t="s">
        <v>376</v>
      </c>
      <c r="C151" t="s">
        <v>166</v>
      </c>
      <c r="D151" t="s">
        <v>386</v>
      </c>
      <c r="E151" t="s">
        <v>416</v>
      </c>
      <c r="F151" t="s">
        <v>417</v>
      </c>
      <c r="G151" t="s">
        <v>1033</v>
      </c>
      <c r="H151" t="s">
        <v>30</v>
      </c>
      <c r="I151" s="1">
        <v>1</v>
      </c>
      <c r="J151" s="2">
        <v>2258.62</v>
      </c>
    </row>
    <row r="152" spans="2:10" x14ac:dyDescent="0.2">
      <c r="B152" t="s">
        <v>376</v>
      </c>
      <c r="C152" t="s">
        <v>185</v>
      </c>
      <c r="D152" t="s">
        <v>386</v>
      </c>
      <c r="E152" t="s">
        <v>214</v>
      </c>
      <c r="F152" t="s">
        <v>215</v>
      </c>
      <c r="G152" t="s">
        <v>1034</v>
      </c>
      <c r="H152" t="s">
        <v>15</v>
      </c>
      <c r="I152" s="1">
        <v>1</v>
      </c>
      <c r="J152" s="2">
        <v>301.72000000000003</v>
      </c>
    </row>
    <row r="153" spans="2:10" x14ac:dyDescent="0.2">
      <c r="B153" t="s">
        <v>376</v>
      </c>
      <c r="C153" t="s">
        <v>185</v>
      </c>
      <c r="D153" t="s">
        <v>386</v>
      </c>
      <c r="E153" t="s">
        <v>72</v>
      </c>
      <c r="F153" t="s">
        <v>73</v>
      </c>
      <c r="G153" t="s">
        <v>1034</v>
      </c>
      <c r="H153" t="s">
        <v>15</v>
      </c>
      <c r="I153" s="1">
        <v>2</v>
      </c>
      <c r="J153" s="2">
        <v>1551.72</v>
      </c>
    </row>
    <row r="154" spans="2:10" x14ac:dyDescent="0.2">
      <c r="B154" t="s">
        <v>376</v>
      </c>
      <c r="C154" t="s">
        <v>185</v>
      </c>
      <c r="D154" t="s">
        <v>386</v>
      </c>
      <c r="E154" t="s">
        <v>304</v>
      </c>
      <c r="F154" t="s">
        <v>305</v>
      </c>
      <c r="G154" t="s">
        <v>76</v>
      </c>
      <c r="H154" t="s">
        <v>60</v>
      </c>
      <c r="I154" s="1">
        <v>1</v>
      </c>
      <c r="J154" s="2">
        <v>344.83</v>
      </c>
    </row>
    <row r="155" spans="2:10" x14ac:dyDescent="0.2">
      <c r="B155" t="s">
        <v>376</v>
      </c>
      <c r="C155" t="s">
        <v>185</v>
      </c>
      <c r="D155" t="s">
        <v>386</v>
      </c>
      <c r="E155" t="s">
        <v>381</v>
      </c>
      <c r="F155" t="s">
        <v>382</v>
      </c>
      <c r="G155" t="s">
        <v>43</v>
      </c>
      <c r="H155" t="s">
        <v>383</v>
      </c>
      <c r="I155" s="1">
        <v>1</v>
      </c>
      <c r="J155" s="2">
        <v>301.72000000000003</v>
      </c>
    </row>
    <row r="156" spans="2:10" x14ac:dyDescent="0.2">
      <c r="B156" t="s">
        <v>376</v>
      </c>
      <c r="C156" t="s">
        <v>185</v>
      </c>
      <c r="D156" t="s">
        <v>386</v>
      </c>
      <c r="E156" t="s">
        <v>312</v>
      </c>
      <c r="F156" t="s">
        <v>313</v>
      </c>
      <c r="G156" t="s">
        <v>1033</v>
      </c>
      <c r="H156" t="s">
        <v>30</v>
      </c>
      <c r="I156" s="1">
        <v>1</v>
      </c>
      <c r="J156" s="2">
        <v>603.45000000000005</v>
      </c>
    </row>
    <row r="157" spans="2:10" x14ac:dyDescent="0.2">
      <c r="B157" t="s">
        <v>453</v>
      </c>
      <c r="C157" t="s">
        <v>134</v>
      </c>
      <c r="D157" t="s">
        <v>456</v>
      </c>
      <c r="E157" t="s">
        <v>41</v>
      </c>
      <c r="F157" t="s">
        <v>42</v>
      </c>
      <c r="G157" t="s">
        <v>1033</v>
      </c>
      <c r="H157" t="s">
        <v>30</v>
      </c>
      <c r="I157" s="1">
        <v>2</v>
      </c>
      <c r="J157" s="2">
        <v>68.97</v>
      </c>
    </row>
    <row r="158" spans="2:10" x14ac:dyDescent="0.2">
      <c r="B158" t="s">
        <v>453</v>
      </c>
      <c r="C158" t="s">
        <v>134</v>
      </c>
      <c r="D158" t="s">
        <v>456</v>
      </c>
      <c r="E158" t="s">
        <v>120</v>
      </c>
      <c r="F158" t="s">
        <v>121</v>
      </c>
      <c r="G158" t="s">
        <v>1034</v>
      </c>
      <c r="H158" t="s">
        <v>15</v>
      </c>
      <c r="I158" s="1">
        <v>1</v>
      </c>
      <c r="J158" s="2">
        <v>301.72000000000003</v>
      </c>
    </row>
    <row r="159" spans="2:10" x14ac:dyDescent="0.2">
      <c r="B159" t="s">
        <v>453</v>
      </c>
      <c r="C159" t="s">
        <v>134</v>
      </c>
      <c r="D159" t="s">
        <v>456</v>
      </c>
      <c r="E159" t="s">
        <v>12</v>
      </c>
      <c r="F159" t="s">
        <v>13</v>
      </c>
      <c r="G159" t="s">
        <v>1034</v>
      </c>
      <c r="H159" t="s">
        <v>15</v>
      </c>
      <c r="I159" s="1">
        <v>1</v>
      </c>
      <c r="J159" s="2">
        <v>1077.5899999999999</v>
      </c>
    </row>
    <row r="160" spans="2:10" x14ac:dyDescent="0.2">
      <c r="B160" t="s">
        <v>453</v>
      </c>
      <c r="C160" t="s">
        <v>134</v>
      </c>
      <c r="D160" t="s">
        <v>456</v>
      </c>
      <c r="E160" t="s">
        <v>214</v>
      </c>
      <c r="F160" t="s">
        <v>215</v>
      </c>
      <c r="G160" t="s">
        <v>1034</v>
      </c>
      <c r="H160" t="s">
        <v>15</v>
      </c>
      <c r="I160" s="1">
        <v>1</v>
      </c>
      <c r="J160" s="2">
        <v>301.72000000000003</v>
      </c>
    </row>
    <row r="161" spans="2:10" x14ac:dyDescent="0.2">
      <c r="B161" t="s">
        <v>453</v>
      </c>
      <c r="C161" t="s">
        <v>134</v>
      </c>
      <c r="D161" t="s">
        <v>456</v>
      </c>
      <c r="E161" t="s">
        <v>72</v>
      </c>
      <c r="F161" t="s">
        <v>73</v>
      </c>
      <c r="G161" t="s">
        <v>1034</v>
      </c>
      <c r="H161" t="s">
        <v>15</v>
      </c>
      <c r="I161" s="1">
        <v>1</v>
      </c>
      <c r="J161" s="2">
        <v>775.86</v>
      </c>
    </row>
    <row r="162" spans="2:10" x14ac:dyDescent="0.2">
      <c r="B162" t="s">
        <v>453</v>
      </c>
      <c r="C162" t="s">
        <v>134</v>
      </c>
      <c r="D162" t="s">
        <v>456</v>
      </c>
      <c r="E162" t="s">
        <v>255</v>
      </c>
      <c r="F162" t="s">
        <v>256</v>
      </c>
      <c r="G162" t="s">
        <v>1033</v>
      </c>
      <c r="H162" t="s">
        <v>30</v>
      </c>
      <c r="I162" s="1">
        <v>1</v>
      </c>
      <c r="J162" s="2">
        <v>517.24</v>
      </c>
    </row>
    <row r="163" spans="2:10" x14ac:dyDescent="0.2">
      <c r="B163" t="s">
        <v>453</v>
      </c>
      <c r="C163" t="s">
        <v>134</v>
      </c>
      <c r="D163" t="s">
        <v>456</v>
      </c>
      <c r="E163" t="s">
        <v>273</v>
      </c>
      <c r="F163" t="s">
        <v>274</v>
      </c>
      <c r="G163" t="s">
        <v>1033</v>
      </c>
      <c r="H163" t="s">
        <v>30</v>
      </c>
      <c r="I163" s="1">
        <v>1</v>
      </c>
      <c r="J163" s="2">
        <v>1293.0999999999999</v>
      </c>
    </row>
    <row r="164" spans="2:10" x14ac:dyDescent="0.2">
      <c r="B164" t="s">
        <v>453</v>
      </c>
      <c r="C164" t="s">
        <v>134</v>
      </c>
      <c r="D164" t="s">
        <v>456</v>
      </c>
      <c r="E164" t="s">
        <v>56</v>
      </c>
      <c r="F164" t="s">
        <v>57</v>
      </c>
      <c r="G164" t="s">
        <v>1034</v>
      </c>
      <c r="H164" t="s">
        <v>15</v>
      </c>
      <c r="I164" s="1">
        <v>1</v>
      </c>
      <c r="J164" s="2">
        <v>431.03</v>
      </c>
    </row>
    <row r="165" spans="2:10" x14ac:dyDescent="0.2">
      <c r="B165" t="s">
        <v>453</v>
      </c>
      <c r="C165" t="s">
        <v>135</v>
      </c>
      <c r="D165" t="s">
        <v>277</v>
      </c>
      <c r="E165" t="s">
        <v>280</v>
      </c>
      <c r="F165" t="s">
        <v>281</v>
      </c>
      <c r="G165" t="s">
        <v>1033</v>
      </c>
      <c r="H165" t="s">
        <v>30</v>
      </c>
      <c r="I165" s="1">
        <v>1</v>
      </c>
      <c r="J165" s="2">
        <v>474.14</v>
      </c>
    </row>
    <row r="166" spans="2:10" x14ac:dyDescent="0.2">
      <c r="B166" t="s">
        <v>453</v>
      </c>
      <c r="C166" t="s">
        <v>135</v>
      </c>
      <c r="D166" t="s">
        <v>277</v>
      </c>
      <c r="E166" t="s">
        <v>308</v>
      </c>
      <c r="F166" t="s">
        <v>309</v>
      </c>
      <c r="G166" t="s">
        <v>1033</v>
      </c>
      <c r="H166" t="s">
        <v>30</v>
      </c>
      <c r="I166" s="1">
        <v>1</v>
      </c>
      <c r="J166" s="2">
        <v>818.97</v>
      </c>
    </row>
    <row r="167" spans="2:10" x14ac:dyDescent="0.2">
      <c r="B167" t="s">
        <v>453</v>
      </c>
      <c r="C167" t="s">
        <v>135</v>
      </c>
      <c r="D167" t="s">
        <v>277</v>
      </c>
      <c r="E167" t="s">
        <v>122</v>
      </c>
      <c r="F167" t="s">
        <v>123</v>
      </c>
      <c r="G167" t="s">
        <v>1034</v>
      </c>
      <c r="H167" t="s">
        <v>15</v>
      </c>
      <c r="I167" s="1">
        <v>1</v>
      </c>
      <c r="J167" s="2">
        <v>387.93</v>
      </c>
    </row>
    <row r="168" spans="2:10" x14ac:dyDescent="0.2">
      <c r="B168" t="s">
        <v>453</v>
      </c>
      <c r="C168" t="s">
        <v>141</v>
      </c>
      <c r="D168" t="s">
        <v>456</v>
      </c>
      <c r="E168" t="s">
        <v>169</v>
      </c>
      <c r="F168" t="s">
        <v>170</v>
      </c>
      <c r="G168" t="s">
        <v>1033</v>
      </c>
      <c r="H168" t="s">
        <v>30</v>
      </c>
      <c r="I168" s="1">
        <v>1</v>
      </c>
      <c r="J168" s="2">
        <v>258.62</v>
      </c>
    </row>
    <row r="169" spans="2:10" x14ac:dyDescent="0.2">
      <c r="B169" t="s">
        <v>453</v>
      </c>
      <c r="C169" t="s">
        <v>141</v>
      </c>
      <c r="D169" t="s">
        <v>456</v>
      </c>
      <c r="E169" t="s">
        <v>214</v>
      </c>
      <c r="F169" t="s">
        <v>215</v>
      </c>
      <c r="G169" t="s">
        <v>1034</v>
      </c>
      <c r="H169" t="s">
        <v>15</v>
      </c>
      <c r="I169" s="1">
        <v>1</v>
      </c>
      <c r="J169" s="2">
        <v>301.72000000000003</v>
      </c>
    </row>
    <row r="170" spans="2:10" x14ac:dyDescent="0.2">
      <c r="B170" t="s">
        <v>453</v>
      </c>
      <c r="C170" t="s">
        <v>141</v>
      </c>
      <c r="D170" t="s">
        <v>456</v>
      </c>
      <c r="E170" t="s">
        <v>285</v>
      </c>
      <c r="F170" t="s">
        <v>286</v>
      </c>
      <c r="G170" t="s">
        <v>1033</v>
      </c>
      <c r="H170" t="s">
        <v>30</v>
      </c>
      <c r="I170" s="1">
        <v>1</v>
      </c>
      <c r="J170" s="2">
        <v>1034.48</v>
      </c>
    </row>
    <row r="171" spans="2:10" x14ac:dyDescent="0.2">
      <c r="B171" t="s">
        <v>453</v>
      </c>
      <c r="C171" t="s">
        <v>141</v>
      </c>
      <c r="D171" t="s">
        <v>456</v>
      </c>
      <c r="E171" t="s">
        <v>490</v>
      </c>
      <c r="F171" t="s">
        <v>491</v>
      </c>
      <c r="G171" t="s">
        <v>1033</v>
      </c>
      <c r="H171" t="s">
        <v>30</v>
      </c>
      <c r="I171" s="1">
        <v>1</v>
      </c>
      <c r="J171" s="2">
        <v>1982.76</v>
      </c>
    </row>
    <row r="172" spans="2:10" x14ac:dyDescent="0.2">
      <c r="B172" t="s">
        <v>453</v>
      </c>
      <c r="C172" t="s">
        <v>141</v>
      </c>
      <c r="D172" t="s">
        <v>456</v>
      </c>
      <c r="E172" t="s">
        <v>310</v>
      </c>
      <c r="F172" t="s">
        <v>311</v>
      </c>
      <c r="G172" t="s">
        <v>1033</v>
      </c>
      <c r="H172" t="s">
        <v>30</v>
      </c>
      <c r="I172" s="1">
        <v>1</v>
      </c>
      <c r="J172" s="2">
        <v>474.14</v>
      </c>
    </row>
    <row r="173" spans="2:10" x14ac:dyDescent="0.2">
      <c r="B173" t="s">
        <v>453</v>
      </c>
      <c r="C173" t="s">
        <v>141</v>
      </c>
      <c r="D173" t="s">
        <v>456</v>
      </c>
      <c r="E173" t="s">
        <v>61</v>
      </c>
      <c r="F173" t="s">
        <v>62</v>
      </c>
      <c r="G173" t="s">
        <v>1034</v>
      </c>
      <c r="H173" t="s">
        <v>15</v>
      </c>
      <c r="I173" s="1">
        <v>1</v>
      </c>
      <c r="J173" s="2">
        <v>172.41</v>
      </c>
    </row>
    <row r="174" spans="2:10" x14ac:dyDescent="0.2">
      <c r="B174" t="s">
        <v>453</v>
      </c>
      <c r="C174" t="s">
        <v>141</v>
      </c>
      <c r="D174" t="s">
        <v>456</v>
      </c>
      <c r="E174" t="s">
        <v>63</v>
      </c>
      <c r="F174" t="s">
        <v>64</v>
      </c>
      <c r="G174" t="s">
        <v>1034</v>
      </c>
      <c r="H174" t="s">
        <v>15</v>
      </c>
      <c r="I174" s="1">
        <v>1</v>
      </c>
      <c r="J174" s="2">
        <v>172.41</v>
      </c>
    </row>
    <row r="175" spans="2:10" x14ac:dyDescent="0.2">
      <c r="B175" t="s">
        <v>453</v>
      </c>
      <c r="C175" t="s">
        <v>144</v>
      </c>
      <c r="D175" t="s">
        <v>456</v>
      </c>
      <c r="E175" t="s">
        <v>72</v>
      </c>
      <c r="F175" t="s">
        <v>73</v>
      </c>
      <c r="G175" t="s">
        <v>1034</v>
      </c>
      <c r="H175" t="s">
        <v>15</v>
      </c>
      <c r="I175" s="1">
        <v>1</v>
      </c>
      <c r="J175" s="2">
        <v>775.86</v>
      </c>
    </row>
    <row r="176" spans="2:10" x14ac:dyDescent="0.2">
      <c r="B176" t="s">
        <v>453</v>
      </c>
      <c r="C176" t="s">
        <v>165</v>
      </c>
      <c r="D176" t="s">
        <v>456</v>
      </c>
      <c r="E176" t="s">
        <v>486</v>
      </c>
      <c r="F176" t="s">
        <v>487</v>
      </c>
      <c r="G176" t="s">
        <v>1033</v>
      </c>
      <c r="H176" t="s">
        <v>30</v>
      </c>
      <c r="I176" s="1">
        <v>1</v>
      </c>
      <c r="J176" s="2">
        <v>258.62</v>
      </c>
    </row>
    <row r="177" spans="2:10" x14ac:dyDescent="0.2">
      <c r="B177" t="s">
        <v>453</v>
      </c>
      <c r="C177" t="s">
        <v>165</v>
      </c>
      <c r="D177" t="s">
        <v>456</v>
      </c>
      <c r="E177" t="s">
        <v>306</v>
      </c>
      <c r="F177" t="s">
        <v>307</v>
      </c>
      <c r="G177" t="s">
        <v>1033</v>
      </c>
      <c r="H177" t="s">
        <v>30</v>
      </c>
      <c r="I177" s="1">
        <v>1</v>
      </c>
      <c r="J177" s="2">
        <v>258.62</v>
      </c>
    </row>
    <row r="178" spans="2:10" x14ac:dyDescent="0.2">
      <c r="B178" t="s">
        <v>453</v>
      </c>
      <c r="C178" t="s">
        <v>165</v>
      </c>
      <c r="D178" t="s">
        <v>456</v>
      </c>
      <c r="E178" t="s">
        <v>356</v>
      </c>
      <c r="F178" t="s">
        <v>357</v>
      </c>
      <c r="G178" t="s">
        <v>1033</v>
      </c>
      <c r="H178" t="s">
        <v>30</v>
      </c>
      <c r="I178" s="1">
        <v>1</v>
      </c>
      <c r="J178" s="2">
        <v>2198.2800000000002</v>
      </c>
    </row>
    <row r="179" spans="2:10" x14ac:dyDescent="0.2">
      <c r="B179" t="s">
        <v>453</v>
      </c>
      <c r="C179" t="s">
        <v>165</v>
      </c>
      <c r="D179" t="s">
        <v>456</v>
      </c>
      <c r="E179" t="s">
        <v>120</v>
      </c>
      <c r="F179" t="s">
        <v>121</v>
      </c>
      <c r="G179" t="s">
        <v>1034</v>
      </c>
      <c r="H179" t="s">
        <v>15</v>
      </c>
      <c r="I179" s="1">
        <v>1</v>
      </c>
      <c r="J179" s="2">
        <v>301.72000000000003</v>
      </c>
    </row>
    <row r="180" spans="2:10" x14ac:dyDescent="0.2">
      <c r="B180" t="s">
        <v>453</v>
      </c>
      <c r="C180" t="s">
        <v>165</v>
      </c>
      <c r="D180" t="s">
        <v>456</v>
      </c>
      <c r="E180" t="s">
        <v>36</v>
      </c>
      <c r="F180" t="s">
        <v>37</v>
      </c>
      <c r="G180" t="s">
        <v>1034</v>
      </c>
      <c r="H180" t="s">
        <v>15</v>
      </c>
      <c r="I180" s="1">
        <v>1</v>
      </c>
      <c r="J180" s="2">
        <v>301.72000000000003</v>
      </c>
    </row>
    <row r="181" spans="2:10" x14ac:dyDescent="0.2">
      <c r="B181" t="s">
        <v>453</v>
      </c>
      <c r="C181" t="s">
        <v>165</v>
      </c>
      <c r="D181" t="s">
        <v>456</v>
      </c>
      <c r="E181" t="s">
        <v>72</v>
      </c>
      <c r="F181" t="s">
        <v>73</v>
      </c>
      <c r="G181" t="s">
        <v>1034</v>
      </c>
      <c r="H181" t="s">
        <v>15</v>
      </c>
      <c r="I181" s="1">
        <v>2</v>
      </c>
      <c r="J181" s="2">
        <v>1551.72</v>
      </c>
    </row>
    <row r="182" spans="2:10" x14ac:dyDescent="0.2">
      <c r="B182" t="s">
        <v>453</v>
      </c>
      <c r="C182" t="s">
        <v>165</v>
      </c>
      <c r="D182" t="s">
        <v>456</v>
      </c>
      <c r="E182" t="s">
        <v>122</v>
      </c>
      <c r="F182" t="s">
        <v>123</v>
      </c>
      <c r="G182" t="s">
        <v>1034</v>
      </c>
      <c r="H182" t="s">
        <v>15</v>
      </c>
      <c r="I182" s="1">
        <v>1</v>
      </c>
      <c r="J182" s="2">
        <v>387.93</v>
      </c>
    </row>
    <row r="183" spans="2:10" x14ac:dyDescent="0.2">
      <c r="B183" t="s">
        <v>453</v>
      </c>
      <c r="C183" t="s">
        <v>165</v>
      </c>
      <c r="D183" t="s">
        <v>456</v>
      </c>
      <c r="E183" t="s">
        <v>153</v>
      </c>
      <c r="F183" t="s">
        <v>154</v>
      </c>
      <c r="G183" t="s">
        <v>1034</v>
      </c>
      <c r="H183" t="s">
        <v>15</v>
      </c>
      <c r="I183" s="1">
        <v>1</v>
      </c>
      <c r="J183" s="2">
        <v>387.93</v>
      </c>
    </row>
    <row r="184" spans="2:10" x14ac:dyDescent="0.2">
      <c r="B184" t="s">
        <v>453</v>
      </c>
      <c r="C184" t="s">
        <v>165</v>
      </c>
      <c r="D184" t="s">
        <v>456</v>
      </c>
      <c r="E184" t="s">
        <v>427</v>
      </c>
      <c r="F184" t="s">
        <v>428</v>
      </c>
      <c r="G184" t="s">
        <v>14</v>
      </c>
      <c r="H184" t="s">
        <v>87</v>
      </c>
      <c r="I184" s="1">
        <v>1</v>
      </c>
      <c r="J184" s="2">
        <v>120.69</v>
      </c>
    </row>
    <row r="185" spans="2:10" x14ac:dyDescent="0.2">
      <c r="B185" t="s">
        <v>453</v>
      </c>
      <c r="C185" t="s">
        <v>165</v>
      </c>
      <c r="D185" t="s">
        <v>456</v>
      </c>
      <c r="E185" t="s">
        <v>406</v>
      </c>
      <c r="F185" t="s">
        <v>407</v>
      </c>
      <c r="G185" t="s">
        <v>14</v>
      </c>
      <c r="H185" t="s">
        <v>104</v>
      </c>
      <c r="I185" s="1">
        <v>10</v>
      </c>
      <c r="J185" s="2">
        <v>172.4</v>
      </c>
    </row>
    <row r="186" spans="2:10" x14ac:dyDescent="0.2">
      <c r="B186" t="s">
        <v>453</v>
      </c>
      <c r="C186" t="s">
        <v>165</v>
      </c>
      <c r="D186" t="s">
        <v>456</v>
      </c>
      <c r="E186" t="s">
        <v>61</v>
      </c>
      <c r="F186" t="s">
        <v>62</v>
      </c>
      <c r="G186" t="s">
        <v>1034</v>
      </c>
      <c r="H186" t="s">
        <v>15</v>
      </c>
      <c r="I186" s="1">
        <v>2</v>
      </c>
      <c r="J186" s="2">
        <v>344.82</v>
      </c>
    </row>
    <row r="187" spans="2:10" x14ac:dyDescent="0.2">
      <c r="B187" t="s">
        <v>453</v>
      </c>
      <c r="C187" t="s">
        <v>165</v>
      </c>
      <c r="D187" t="s">
        <v>456</v>
      </c>
      <c r="E187" t="s">
        <v>63</v>
      </c>
      <c r="F187" t="s">
        <v>64</v>
      </c>
      <c r="G187" t="s">
        <v>1034</v>
      </c>
      <c r="H187" t="s">
        <v>15</v>
      </c>
      <c r="I187" s="1">
        <v>2</v>
      </c>
      <c r="J187" s="2">
        <v>344.82</v>
      </c>
    </row>
    <row r="188" spans="2:10" x14ac:dyDescent="0.2">
      <c r="B188" t="s">
        <v>453</v>
      </c>
      <c r="C188" t="s">
        <v>165</v>
      </c>
      <c r="D188" t="s">
        <v>456</v>
      </c>
      <c r="E188" t="s">
        <v>16</v>
      </c>
      <c r="F188" t="s">
        <v>17</v>
      </c>
      <c r="G188" t="s">
        <v>1034</v>
      </c>
      <c r="H188" t="s">
        <v>15</v>
      </c>
      <c r="I188" s="1">
        <v>3</v>
      </c>
      <c r="J188" s="2">
        <v>1732.77</v>
      </c>
    </row>
    <row r="189" spans="2:10" x14ac:dyDescent="0.2">
      <c r="B189" t="s">
        <v>453</v>
      </c>
      <c r="C189" t="s">
        <v>165</v>
      </c>
      <c r="D189" t="s">
        <v>456</v>
      </c>
      <c r="E189" t="s">
        <v>423</v>
      </c>
      <c r="F189" t="s">
        <v>424</v>
      </c>
      <c r="G189" t="s">
        <v>43</v>
      </c>
      <c r="H189" t="s">
        <v>81</v>
      </c>
      <c r="I189" s="1">
        <v>1</v>
      </c>
      <c r="J189" s="2">
        <v>1896.55</v>
      </c>
    </row>
    <row r="190" spans="2:10" x14ac:dyDescent="0.2">
      <c r="B190" t="s">
        <v>453</v>
      </c>
      <c r="C190" t="s">
        <v>165</v>
      </c>
      <c r="D190" t="s">
        <v>456</v>
      </c>
      <c r="E190" t="s">
        <v>492</v>
      </c>
      <c r="F190" t="s">
        <v>493</v>
      </c>
      <c r="G190" t="s">
        <v>43</v>
      </c>
      <c r="H190" t="s">
        <v>94</v>
      </c>
      <c r="I190" s="1">
        <v>1</v>
      </c>
      <c r="J190" s="2">
        <v>2758.62</v>
      </c>
    </row>
    <row r="191" spans="2:10" x14ac:dyDescent="0.2">
      <c r="B191" t="s">
        <v>453</v>
      </c>
      <c r="C191" t="s">
        <v>166</v>
      </c>
      <c r="D191" t="s">
        <v>456</v>
      </c>
      <c r="E191" t="s">
        <v>167</v>
      </c>
      <c r="F191" t="s">
        <v>168</v>
      </c>
      <c r="G191" t="s">
        <v>1033</v>
      </c>
      <c r="H191" t="s">
        <v>30</v>
      </c>
      <c r="I191" s="1">
        <v>1</v>
      </c>
      <c r="J191" s="2">
        <v>1267.24</v>
      </c>
    </row>
    <row r="192" spans="2:10" x14ac:dyDescent="0.2">
      <c r="B192" t="s">
        <v>453</v>
      </c>
      <c r="C192" t="s">
        <v>166</v>
      </c>
      <c r="D192" t="s">
        <v>456</v>
      </c>
      <c r="E192" t="s">
        <v>44</v>
      </c>
      <c r="F192" t="s">
        <v>45</v>
      </c>
      <c r="G192" t="s">
        <v>1033</v>
      </c>
      <c r="H192" t="s">
        <v>30</v>
      </c>
      <c r="I192" s="1">
        <v>1</v>
      </c>
      <c r="J192" s="2">
        <v>81.900000000000006</v>
      </c>
    </row>
    <row r="193" spans="2:10" x14ac:dyDescent="0.2">
      <c r="B193" t="s">
        <v>453</v>
      </c>
      <c r="C193" t="s">
        <v>166</v>
      </c>
      <c r="D193" t="s">
        <v>456</v>
      </c>
      <c r="E193" t="s">
        <v>494</v>
      </c>
      <c r="F193" t="s">
        <v>495</v>
      </c>
      <c r="G193" t="s">
        <v>1033</v>
      </c>
      <c r="H193" t="s">
        <v>30</v>
      </c>
      <c r="I193" s="1">
        <v>1</v>
      </c>
      <c r="J193" s="2">
        <v>301.72000000000003</v>
      </c>
    </row>
    <row r="194" spans="2:10" x14ac:dyDescent="0.2">
      <c r="B194" t="s">
        <v>453</v>
      </c>
      <c r="C194" t="s">
        <v>166</v>
      </c>
      <c r="D194" t="s">
        <v>456</v>
      </c>
      <c r="E194" t="s">
        <v>139</v>
      </c>
      <c r="F194" t="s">
        <v>140</v>
      </c>
      <c r="G194" t="s">
        <v>14</v>
      </c>
      <c r="H194" t="s">
        <v>87</v>
      </c>
      <c r="I194" s="1">
        <v>1</v>
      </c>
      <c r="J194" s="2">
        <v>120.69</v>
      </c>
    </row>
    <row r="195" spans="2:10" x14ac:dyDescent="0.2">
      <c r="B195" t="s">
        <v>453</v>
      </c>
      <c r="C195" t="s">
        <v>166</v>
      </c>
      <c r="D195" t="s">
        <v>456</v>
      </c>
      <c r="E195" t="s">
        <v>72</v>
      </c>
      <c r="F195" t="s">
        <v>73</v>
      </c>
      <c r="G195" t="s">
        <v>1034</v>
      </c>
      <c r="H195" t="s">
        <v>15</v>
      </c>
      <c r="I195" s="1">
        <v>1</v>
      </c>
      <c r="J195" s="2">
        <v>775.86</v>
      </c>
    </row>
    <row r="196" spans="2:10" x14ac:dyDescent="0.2">
      <c r="B196" t="s">
        <v>453</v>
      </c>
      <c r="C196" t="s">
        <v>166</v>
      </c>
      <c r="D196" t="s">
        <v>456</v>
      </c>
      <c r="E196" t="s">
        <v>304</v>
      </c>
      <c r="F196" t="s">
        <v>305</v>
      </c>
      <c r="G196" t="s">
        <v>76</v>
      </c>
      <c r="H196" t="s">
        <v>60</v>
      </c>
      <c r="I196" s="1">
        <v>1</v>
      </c>
      <c r="J196" s="2">
        <v>344.83</v>
      </c>
    </row>
    <row r="197" spans="2:10" x14ac:dyDescent="0.2">
      <c r="B197" t="s">
        <v>453</v>
      </c>
      <c r="C197" t="s">
        <v>166</v>
      </c>
      <c r="D197" t="s">
        <v>456</v>
      </c>
      <c r="E197" t="s">
        <v>406</v>
      </c>
      <c r="F197" t="s">
        <v>407</v>
      </c>
      <c r="G197" t="s">
        <v>14</v>
      </c>
      <c r="H197" t="s">
        <v>104</v>
      </c>
      <c r="I197" s="1">
        <v>10</v>
      </c>
      <c r="J197" s="2">
        <v>172.4</v>
      </c>
    </row>
    <row r="198" spans="2:10" x14ac:dyDescent="0.2">
      <c r="B198" t="s">
        <v>453</v>
      </c>
      <c r="C198" t="s">
        <v>166</v>
      </c>
      <c r="D198" t="s">
        <v>456</v>
      </c>
      <c r="E198" t="s">
        <v>61</v>
      </c>
      <c r="F198" t="s">
        <v>62</v>
      </c>
      <c r="G198" t="s">
        <v>1034</v>
      </c>
      <c r="H198" t="s">
        <v>15</v>
      </c>
      <c r="I198" s="1">
        <v>2</v>
      </c>
      <c r="J198" s="2">
        <v>344.82</v>
      </c>
    </row>
    <row r="199" spans="2:10" x14ac:dyDescent="0.2">
      <c r="B199" t="s">
        <v>453</v>
      </c>
      <c r="C199" t="s">
        <v>166</v>
      </c>
      <c r="D199" t="s">
        <v>456</v>
      </c>
      <c r="E199" t="s">
        <v>63</v>
      </c>
      <c r="F199" t="s">
        <v>64</v>
      </c>
      <c r="G199" t="s">
        <v>1034</v>
      </c>
      <c r="H199" t="s">
        <v>15</v>
      </c>
      <c r="I199" s="1">
        <v>1</v>
      </c>
      <c r="J199" s="2">
        <v>172.41</v>
      </c>
    </row>
    <row r="200" spans="2:10" x14ac:dyDescent="0.2">
      <c r="B200" t="s">
        <v>453</v>
      </c>
      <c r="C200" t="s">
        <v>166</v>
      </c>
      <c r="D200" t="s">
        <v>456</v>
      </c>
      <c r="E200" t="s">
        <v>16</v>
      </c>
      <c r="F200" t="s">
        <v>17</v>
      </c>
      <c r="G200" t="s">
        <v>1034</v>
      </c>
      <c r="H200" t="s">
        <v>15</v>
      </c>
      <c r="I200" s="1">
        <v>1</v>
      </c>
      <c r="J200" s="2">
        <v>577.59</v>
      </c>
    </row>
    <row r="201" spans="2:10" x14ac:dyDescent="0.2">
      <c r="B201" t="s">
        <v>453</v>
      </c>
      <c r="C201" t="s">
        <v>166</v>
      </c>
      <c r="D201" t="s">
        <v>456</v>
      </c>
      <c r="E201" t="s">
        <v>79</v>
      </c>
      <c r="F201" t="s">
        <v>80</v>
      </c>
      <c r="G201" t="s">
        <v>43</v>
      </c>
      <c r="H201" t="s">
        <v>81</v>
      </c>
      <c r="I201" s="1">
        <v>1</v>
      </c>
      <c r="J201" s="2">
        <v>1810.34</v>
      </c>
    </row>
    <row r="202" spans="2:10" x14ac:dyDescent="0.2">
      <c r="B202" t="s">
        <v>453</v>
      </c>
      <c r="C202" t="s">
        <v>166</v>
      </c>
      <c r="D202" t="s">
        <v>456</v>
      </c>
      <c r="E202" t="s">
        <v>28</v>
      </c>
      <c r="F202" t="s">
        <v>29</v>
      </c>
      <c r="G202" t="s">
        <v>1033</v>
      </c>
      <c r="H202" t="s">
        <v>30</v>
      </c>
      <c r="I202" s="1">
        <v>1</v>
      </c>
      <c r="J202" s="2">
        <v>155.16999999999999</v>
      </c>
    </row>
    <row r="203" spans="2:10" x14ac:dyDescent="0.2">
      <c r="B203" t="s">
        <v>453</v>
      </c>
      <c r="C203" t="s">
        <v>185</v>
      </c>
      <c r="D203" t="s">
        <v>456</v>
      </c>
      <c r="E203" t="s">
        <v>122</v>
      </c>
      <c r="F203" t="s">
        <v>123</v>
      </c>
      <c r="G203" t="s">
        <v>1034</v>
      </c>
      <c r="H203" t="s">
        <v>15</v>
      </c>
      <c r="I203" s="1">
        <v>1</v>
      </c>
      <c r="J203" s="2">
        <v>387.93</v>
      </c>
    </row>
    <row r="204" spans="2:10" x14ac:dyDescent="0.2">
      <c r="B204" t="s">
        <v>453</v>
      </c>
      <c r="C204" t="s">
        <v>185</v>
      </c>
      <c r="D204" t="s">
        <v>456</v>
      </c>
      <c r="E204" t="s">
        <v>56</v>
      </c>
      <c r="F204" t="s">
        <v>57</v>
      </c>
      <c r="G204" t="s">
        <v>1034</v>
      </c>
      <c r="H204" t="s">
        <v>15</v>
      </c>
      <c r="I204" s="1">
        <v>1</v>
      </c>
      <c r="J204" s="2">
        <v>431.03</v>
      </c>
    </row>
    <row r="205" spans="2:10" x14ac:dyDescent="0.2">
      <c r="B205" t="s">
        <v>531</v>
      </c>
      <c r="C205" t="s">
        <v>134</v>
      </c>
      <c r="D205" t="s">
        <v>532</v>
      </c>
      <c r="E205" t="s">
        <v>46</v>
      </c>
      <c r="F205" t="s">
        <v>47</v>
      </c>
      <c r="G205" t="s">
        <v>1034</v>
      </c>
      <c r="H205" t="s">
        <v>15</v>
      </c>
      <c r="I205" s="1">
        <v>1</v>
      </c>
      <c r="J205" s="2">
        <v>301.72000000000003</v>
      </c>
    </row>
    <row r="206" spans="2:10" x14ac:dyDescent="0.2">
      <c r="B206" t="s">
        <v>531</v>
      </c>
      <c r="C206" t="s">
        <v>134</v>
      </c>
      <c r="D206" t="s">
        <v>532</v>
      </c>
      <c r="E206" t="s">
        <v>573</v>
      </c>
      <c r="F206" t="s">
        <v>574</v>
      </c>
      <c r="G206" t="s">
        <v>1033</v>
      </c>
      <c r="H206" t="s">
        <v>30</v>
      </c>
      <c r="I206" s="1">
        <v>1</v>
      </c>
      <c r="J206" s="2">
        <v>775.86</v>
      </c>
    </row>
    <row r="207" spans="2:10" x14ac:dyDescent="0.2">
      <c r="B207" t="s">
        <v>531</v>
      </c>
      <c r="C207" t="s">
        <v>134</v>
      </c>
      <c r="D207" t="s">
        <v>532</v>
      </c>
      <c r="E207" t="s">
        <v>521</v>
      </c>
      <c r="F207" t="s">
        <v>522</v>
      </c>
      <c r="G207" t="s">
        <v>14</v>
      </c>
      <c r="H207" t="s">
        <v>104</v>
      </c>
      <c r="I207" s="1">
        <v>4</v>
      </c>
      <c r="J207" s="2">
        <v>86.2</v>
      </c>
    </row>
    <row r="208" spans="2:10" x14ac:dyDescent="0.2">
      <c r="B208" t="s">
        <v>531</v>
      </c>
      <c r="C208" t="s">
        <v>134</v>
      </c>
      <c r="D208" t="s">
        <v>532</v>
      </c>
      <c r="E208" t="s">
        <v>16</v>
      </c>
      <c r="F208" t="s">
        <v>17</v>
      </c>
      <c r="G208" t="s">
        <v>1034</v>
      </c>
      <c r="H208" t="s">
        <v>15</v>
      </c>
      <c r="I208" s="1">
        <v>1</v>
      </c>
      <c r="J208" s="2">
        <v>577.59</v>
      </c>
    </row>
    <row r="209" spans="2:10" x14ac:dyDescent="0.2">
      <c r="B209" t="s">
        <v>531</v>
      </c>
      <c r="C209" t="s">
        <v>135</v>
      </c>
      <c r="D209" t="s">
        <v>532</v>
      </c>
      <c r="E209" t="s">
        <v>44</v>
      </c>
      <c r="F209" t="s">
        <v>45</v>
      </c>
      <c r="G209" t="s">
        <v>1033</v>
      </c>
      <c r="H209" t="s">
        <v>30</v>
      </c>
      <c r="I209" s="1">
        <v>1</v>
      </c>
      <c r="J209" s="2">
        <v>81.900000000000006</v>
      </c>
    </row>
    <row r="210" spans="2:10" x14ac:dyDescent="0.2">
      <c r="B210" t="s">
        <v>531</v>
      </c>
      <c r="C210" t="s">
        <v>135</v>
      </c>
      <c r="D210" t="s">
        <v>532</v>
      </c>
      <c r="E210" t="s">
        <v>214</v>
      </c>
      <c r="F210" t="s">
        <v>215</v>
      </c>
      <c r="G210" t="s">
        <v>1034</v>
      </c>
      <c r="H210" t="s">
        <v>15</v>
      </c>
      <c r="I210" s="1">
        <v>1</v>
      </c>
      <c r="J210" s="2">
        <v>301.72000000000003</v>
      </c>
    </row>
    <row r="211" spans="2:10" x14ac:dyDescent="0.2">
      <c r="B211" t="s">
        <v>531</v>
      </c>
      <c r="C211" t="s">
        <v>135</v>
      </c>
      <c r="D211" t="s">
        <v>532</v>
      </c>
      <c r="E211" t="s">
        <v>269</v>
      </c>
      <c r="F211" t="s">
        <v>270</v>
      </c>
      <c r="G211" t="s">
        <v>1033</v>
      </c>
      <c r="H211" t="s">
        <v>30</v>
      </c>
      <c r="I211" s="1">
        <v>1</v>
      </c>
      <c r="J211" s="2">
        <v>948.28</v>
      </c>
    </row>
    <row r="212" spans="2:10" x14ac:dyDescent="0.2">
      <c r="B212" t="s">
        <v>531</v>
      </c>
      <c r="C212" t="s">
        <v>135</v>
      </c>
      <c r="D212" t="s">
        <v>532</v>
      </c>
      <c r="E212" t="s">
        <v>16</v>
      </c>
      <c r="F212" t="s">
        <v>17</v>
      </c>
      <c r="G212" t="s">
        <v>1034</v>
      </c>
      <c r="H212" t="s">
        <v>15</v>
      </c>
      <c r="I212" s="1">
        <v>1</v>
      </c>
      <c r="J212" s="2">
        <v>577.59</v>
      </c>
    </row>
    <row r="213" spans="2:10" x14ac:dyDescent="0.2">
      <c r="B213" t="s">
        <v>531</v>
      </c>
      <c r="C213" t="s">
        <v>141</v>
      </c>
      <c r="D213" t="s">
        <v>532</v>
      </c>
      <c r="E213" t="s">
        <v>36</v>
      </c>
      <c r="F213" t="s">
        <v>37</v>
      </c>
      <c r="G213" t="s">
        <v>1034</v>
      </c>
      <c r="H213" t="s">
        <v>15</v>
      </c>
      <c r="I213" s="1">
        <v>1</v>
      </c>
      <c r="J213" s="2">
        <v>301.72000000000003</v>
      </c>
    </row>
    <row r="214" spans="2:10" x14ac:dyDescent="0.2">
      <c r="B214" t="s">
        <v>531</v>
      </c>
      <c r="C214" t="s">
        <v>144</v>
      </c>
      <c r="D214" t="s">
        <v>532</v>
      </c>
      <c r="E214" t="s">
        <v>167</v>
      </c>
      <c r="F214" t="s">
        <v>168</v>
      </c>
      <c r="G214" t="s">
        <v>1033</v>
      </c>
      <c r="H214" t="s">
        <v>30</v>
      </c>
      <c r="I214" s="1">
        <v>1</v>
      </c>
      <c r="J214" s="2">
        <v>1267.24</v>
      </c>
    </row>
    <row r="215" spans="2:10" x14ac:dyDescent="0.2">
      <c r="B215" t="s">
        <v>531</v>
      </c>
      <c r="C215" t="s">
        <v>144</v>
      </c>
      <c r="D215" t="s">
        <v>532</v>
      </c>
      <c r="E215" t="s">
        <v>316</v>
      </c>
      <c r="F215" t="s">
        <v>317</v>
      </c>
      <c r="G215" t="s">
        <v>14</v>
      </c>
      <c r="H215" t="s">
        <v>27</v>
      </c>
      <c r="I215" s="1">
        <v>3</v>
      </c>
      <c r="J215" s="2">
        <v>1241.3800000000001</v>
      </c>
    </row>
    <row r="216" spans="2:10" x14ac:dyDescent="0.2">
      <c r="B216" t="s">
        <v>531</v>
      </c>
      <c r="C216" t="s">
        <v>144</v>
      </c>
      <c r="D216" t="s">
        <v>532</v>
      </c>
      <c r="E216" t="s">
        <v>118</v>
      </c>
      <c r="F216" t="s">
        <v>119</v>
      </c>
      <c r="G216" t="s">
        <v>14</v>
      </c>
      <c r="H216" t="s">
        <v>27</v>
      </c>
      <c r="I216" s="1">
        <v>1</v>
      </c>
      <c r="J216" s="2">
        <v>379.31</v>
      </c>
    </row>
    <row r="217" spans="2:10" x14ac:dyDescent="0.2">
      <c r="B217" t="s">
        <v>531</v>
      </c>
      <c r="C217" t="s">
        <v>144</v>
      </c>
      <c r="D217" t="s">
        <v>532</v>
      </c>
      <c r="E217" t="s">
        <v>151</v>
      </c>
      <c r="F217" t="s">
        <v>152</v>
      </c>
      <c r="G217" t="s">
        <v>14</v>
      </c>
      <c r="H217" t="s">
        <v>27</v>
      </c>
      <c r="I217" s="1">
        <v>1</v>
      </c>
      <c r="J217" s="2">
        <v>379.31</v>
      </c>
    </row>
    <row r="218" spans="2:10" x14ac:dyDescent="0.2">
      <c r="B218" t="s">
        <v>531</v>
      </c>
      <c r="C218" t="s">
        <v>144</v>
      </c>
      <c r="D218" t="s">
        <v>532</v>
      </c>
      <c r="E218" t="s">
        <v>157</v>
      </c>
      <c r="F218" t="s">
        <v>158</v>
      </c>
      <c r="G218" t="s">
        <v>14</v>
      </c>
      <c r="H218" t="s">
        <v>87</v>
      </c>
      <c r="I218" s="1">
        <v>4</v>
      </c>
      <c r="J218" s="2">
        <v>1137.93</v>
      </c>
    </row>
    <row r="219" spans="2:10" x14ac:dyDescent="0.2">
      <c r="B219" t="s">
        <v>531</v>
      </c>
      <c r="C219" t="s">
        <v>144</v>
      </c>
      <c r="D219" t="s">
        <v>532</v>
      </c>
      <c r="E219" t="s">
        <v>16</v>
      </c>
      <c r="F219" t="s">
        <v>17</v>
      </c>
      <c r="G219" t="s">
        <v>1034</v>
      </c>
      <c r="H219" t="s">
        <v>15</v>
      </c>
      <c r="I219" s="1">
        <v>5</v>
      </c>
      <c r="J219" s="2">
        <v>2887.9500000000003</v>
      </c>
    </row>
    <row r="220" spans="2:10" x14ac:dyDescent="0.2">
      <c r="B220" t="s">
        <v>531</v>
      </c>
      <c r="C220" t="s">
        <v>144</v>
      </c>
      <c r="D220" t="s">
        <v>532</v>
      </c>
      <c r="E220" t="s">
        <v>461</v>
      </c>
      <c r="F220" t="s">
        <v>462</v>
      </c>
      <c r="G220" t="s">
        <v>43</v>
      </c>
      <c r="H220" t="s">
        <v>50</v>
      </c>
      <c r="I220" s="1">
        <v>1</v>
      </c>
      <c r="J220" s="2">
        <v>3879.31</v>
      </c>
    </row>
    <row r="221" spans="2:10" x14ac:dyDescent="0.2">
      <c r="B221" t="s">
        <v>531</v>
      </c>
      <c r="C221" t="s">
        <v>165</v>
      </c>
      <c r="D221" t="s">
        <v>532</v>
      </c>
      <c r="E221" t="s">
        <v>120</v>
      </c>
      <c r="F221" t="s">
        <v>121</v>
      </c>
      <c r="G221" t="s">
        <v>1034</v>
      </c>
      <c r="H221" t="s">
        <v>15</v>
      </c>
      <c r="I221" s="1">
        <v>1</v>
      </c>
      <c r="J221" s="2">
        <v>301.72000000000003</v>
      </c>
    </row>
    <row r="222" spans="2:10" x14ac:dyDescent="0.2">
      <c r="B222" t="s">
        <v>531</v>
      </c>
      <c r="C222" t="s">
        <v>165</v>
      </c>
      <c r="D222" t="s">
        <v>532</v>
      </c>
      <c r="E222" t="s">
        <v>77</v>
      </c>
      <c r="F222" t="s">
        <v>78</v>
      </c>
      <c r="G222" t="s">
        <v>14</v>
      </c>
      <c r="H222" t="s">
        <v>27</v>
      </c>
      <c r="I222" s="1">
        <v>1</v>
      </c>
      <c r="J222" s="2">
        <v>51.72</v>
      </c>
    </row>
    <row r="223" spans="2:10" x14ac:dyDescent="0.2">
      <c r="B223" t="s">
        <v>531</v>
      </c>
      <c r="C223" t="s">
        <v>166</v>
      </c>
      <c r="D223" t="s">
        <v>532</v>
      </c>
      <c r="E223" t="s">
        <v>201</v>
      </c>
      <c r="F223" t="s">
        <v>202</v>
      </c>
      <c r="G223" t="s">
        <v>1033</v>
      </c>
      <c r="H223" t="s">
        <v>30</v>
      </c>
      <c r="I223" s="1">
        <v>1</v>
      </c>
      <c r="J223" s="2">
        <v>948.28</v>
      </c>
    </row>
    <row r="224" spans="2:10" x14ac:dyDescent="0.2">
      <c r="B224" t="s">
        <v>531</v>
      </c>
      <c r="C224" t="s">
        <v>166</v>
      </c>
      <c r="D224" t="s">
        <v>532</v>
      </c>
      <c r="E224" t="s">
        <v>56</v>
      </c>
      <c r="F224" t="s">
        <v>57</v>
      </c>
      <c r="G224" t="s">
        <v>1034</v>
      </c>
      <c r="H224" t="s">
        <v>15</v>
      </c>
      <c r="I224" s="1">
        <v>4</v>
      </c>
      <c r="J224" s="2">
        <v>1724.14</v>
      </c>
    </row>
    <row r="225" spans="2:10" x14ac:dyDescent="0.2">
      <c r="B225" t="s">
        <v>531</v>
      </c>
      <c r="C225" t="s">
        <v>166</v>
      </c>
      <c r="D225" t="s">
        <v>532</v>
      </c>
      <c r="E225" t="s">
        <v>48</v>
      </c>
      <c r="F225" t="s">
        <v>49</v>
      </c>
      <c r="G225" t="s">
        <v>43</v>
      </c>
      <c r="H225" t="s">
        <v>50</v>
      </c>
      <c r="I225" s="1">
        <v>1</v>
      </c>
      <c r="J225" s="2">
        <v>1318.97</v>
      </c>
    </row>
    <row r="226" spans="2:10" x14ac:dyDescent="0.2">
      <c r="B226" t="s">
        <v>531</v>
      </c>
      <c r="C226" t="s">
        <v>185</v>
      </c>
      <c r="D226" t="s">
        <v>532</v>
      </c>
      <c r="E226" t="s">
        <v>414</v>
      </c>
      <c r="F226" t="s">
        <v>415</v>
      </c>
      <c r="G226" t="s">
        <v>1033</v>
      </c>
      <c r="H226" t="s">
        <v>30</v>
      </c>
      <c r="I226" s="1">
        <v>1</v>
      </c>
      <c r="J226" s="2">
        <v>646.54999999999995</v>
      </c>
    </row>
    <row r="227" spans="2:10" x14ac:dyDescent="0.2">
      <c r="B227" t="s">
        <v>531</v>
      </c>
      <c r="C227" t="s">
        <v>185</v>
      </c>
      <c r="D227" t="s">
        <v>532</v>
      </c>
      <c r="E227" t="s">
        <v>61</v>
      </c>
      <c r="F227" t="s">
        <v>62</v>
      </c>
      <c r="G227" t="s">
        <v>1034</v>
      </c>
      <c r="H227" t="s">
        <v>15</v>
      </c>
      <c r="I227" s="1">
        <v>1</v>
      </c>
      <c r="J227" s="2">
        <v>172.41</v>
      </c>
    </row>
    <row r="228" spans="2:10" x14ac:dyDescent="0.2">
      <c r="B228" t="s">
        <v>531</v>
      </c>
      <c r="C228" t="s">
        <v>185</v>
      </c>
      <c r="D228" t="s">
        <v>532</v>
      </c>
      <c r="E228" t="s">
        <v>16</v>
      </c>
      <c r="F228" t="s">
        <v>17</v>
      </c>
      <c r="G228" t="s">
        <v>1034</v>
      </c>
      <c r="H228" t="s">
        <v>15</v>
      </c>
      <c r="I228" s="1">
        <v>1</v>
      </c>
      <c r="J228" s="2">
        <v>577.59</v>
      </c>
    </row>
    <row r="229" spans="2:10" x14ac:dyDescent="0.2">
      <c r="B229" t="s">
        <v>583</v>
      </c>
      <c r="C229" t="s">
        <v>134</v>
      </c>
      <c r="D229" t="s">
        <v>584</v>
      </c>
      <c r="E229" t="s">
        <v>598</v>
      </c>
      <c r="F229" t="s">
        <v>599</v>
      </c>
      <c r="G229" t="s">
        <v>43</v>
      </c>
      <c r="H229" t="s">
        <v>205</v>
      </c>
      <c r="I229" s="1">
        <v>1</v>
      </c>
      <c r="J229" s="2">
        <v>1517.24</v>
      </c>
    </row>
    <row r="230" spans="2:10" x14ac:dyDescent="0.2">
      <c r="B230" t="s">
        <v>583</v>
      </c>
      <c r="C230" t="s">
        <v>134</v>
      </c>
      <c r="D230" t="s">
        <v>584</v>
      </c>
      <c r="E230" t="s">
        <v>46</v>
      </c>
      <c r="F230" t="s">
        <v>47</v>
      </c>
      <c r="G230" t="s">
        <v>1034</v>
      </c>
      <c r="H230" t="s">
        <v>15</v>
      </c>
      <c r="I230" s="1">
        <v>1</v>
      </c>
      <c r="J230" s="2">
        <v>301.72000000000003</v>
      </c>
    </row>
    <row r="231" spans="2:10" x14ac:dyDescent="0.2">
      <c r="B231" t="s">
        <v>583</v>
      </c>
      <c r="C231" t="s">
        <v>134</v>
      </c>
      <c r="D231" t="s">
        <v>584</v>
      </c>
      <c r="E231" t="s">
        <v>328</v>
      </c>
      <c r="F231" t="s">
        <v>329</v>
      </c>
      <c r="G231" t="s">
        <v>1033</v>
      </c>
      <c r="H231" t="s">
        <v>30</v>
      </c>
      <c r="I231" s="1">
        <v>1</v>
      </c>
      <c r="J231" s="2">
        <v>172.41</v>
      </c>
    </row>
    <row r="232" spans="2:10" x14ac:dyDescent="0.2">
      <c r="B232" t="s">
        <v>583</v>
      </c>
      <c r="C232" t="s">
        <v>134</v>
      </c>
      <c r="D232" t="s">
        <v>584</v>
      </c>
      <c r="E232" t="s">
        <v>83</v>
      </c>
      <c r="F232" t="s">
        <v>84</v>
      </c>
      <c r="G232" t="s">
        <v>1034</v>
      </c>
      <c r="H232" t="s">
        <v>15</v>
      </c>
      <c r="I232" s="1">
        <v>2</v>
      </c>
      <c r="J232" s="2">
        <v>775.86</v>
      </c>
    </row>
    <row r="233" spans="2:10" x14ac:dyDescent="0.2">
      <c r="B233" t="s">
        <v>583</v>
      </c>
      <c r="C233" t="s">
        <v>134</v>
      </c>
      <c r="D233" t="s">
        <v>584</v>
      </c>
      <c r="E233" t="s">
        <v>22</v>
      </c>
      <c r="F233" t="s">
        <v>23</v>
      </c>
      <c r="G233" t="s">
        <v>14</v>
      </c>
      <c r="H233" t="s">
        <v>24</v>
      </c>
      <c r="I233" s="1">
        <v>1</v>
      </c>
      <c r="J233" s="2">
        <v>215.52</v>
      </c>
    </row>
    <row r="234" spans="2:10" x14ac:dyDescent="0.2">
      <c r="B234" t="s">
        <v>583</v>
      </c>
      <c r="C234" t="s">
        <v>134</v>
      </c>
      <c r="D234" t="s">
        <v>584</v>
      </c>
      <c r="E234" t="s">
        <v>77</v>
      </c>
      <c r="F234" t="s">
        <v>78</v>
      </c>
      <c r="G234" t="s">
        <v>14</v>
      </c>
      <c r="H234" t="s">
        <v>27</v>
      </c>
      <c r="I234" s="1">
        <v>1</v>
      </c>
      <c r="J234" s="2">
        <v>51.72</v>
      </c>
    </row>
    <row r="235" spans="2:10" x14ac:dyDescent="0.2">
      <c r="B235" t="s">
        <v>583</v>
      </c>
      <c r="C235" t="s">
        <v>134</v>
      </c>
      <c r="D235" t="s">
        <v>584</v>
      </c>
      <c r="E235" t="s">
        <v>406</v>
      </c>
      <c r="F235" t="s">
        <v>407</v>
      </c>
      <c r="G235" t="s">
        <v>14</v>
      </c>
      <c r="H235" t="s">
        <v>104</v>
      </c>
      <c r="I235" s="1">
        <v>5</v>
      </c>
      <c r="J235" s="2">
        <v>86.2</v>
      </c>
    </row>
    <row r="236" spans="2:10" x14ac:dyDescent="0.2">
      <c r="B236" t="s">
        <v>583</v>
      </c>
      <c r="C236" t="s">
        <v>134</v>
      </c>
      <c r="D236" t="s">
        <v>584</v>
      </c>
      <c r="E236" t="s">
        <v>193</v>
      </c>
      <c r="F236" t="s">
        <v>194</v>
      </c>
      <c r="G236" t="s">
        <v>1034</v>
      </c>
      <c r="H236" t="s">
        <v>15</v>
      </c>
      <c r="I236" s="1">
        <v>1</v>
      </c>
      <c r="J236" s="2">
        <v>1293.0999999999999</v>
      </c>
    </row>
    <row r="237" spans="2:10" x14ac:dyDescent="0.2">
      <c r="B237" t="s">
        <v>583</v>
      </c>
      <c r="C237" t="s">
        <v>135</v>
      </c>
      <c r="D237" t="s">
        <v>584</v>
      </c>
      <c r="E237" t="s">
        <v>579</v>
      </c>
      <c r="F237" t="s">
        <v>580</v>
      </c>
      <c r="G237" t="s">
        <v>1033</v>
      </c>
      <c r="H237" t="s">
        <v>30</v>
      </c>
      <c r="I237" s="1">
        <v>1</v>
      </c>
      <c r="J237" s="2">
        <v>77.59</v>
      </c>
    </row>
    <row r="238" spans="2:10" x14ac:dyDescent="0.2">
      <c r="B238" t="s">
        <v>583</v>
      </c>
      <c r="C238" t="s">
        <v>135</v>
      </c>
      <c r="D238" t="s">
        <v>584</v>
      </c>
      <c r="E238" t="s">
        <v>36</v>
      </c>
      <c r="F238" t="s">
        <v>37</v>
      </c>
      <c r="G238" t="s">
        <v>1034</v>
      </c>
      <c r="H238" t="s">
        <v>15</v>
      </c>
      <c r="I238" s="1">
        <v>1</v>
      </c>
      <c r="J238" s="2">
        <v>301.72000000000003</v>
      </c>
    </row>
    <row r="239" spans="2:10" x14ac:dyDescent="0.2">
      <c r="B239" t="s">
        <v>583</v>
      </c>
      <c r="C239" t="s">
        <v>135</v>
      </c>
      <c r="D239" t="s">
        <v>584</v>
      </c>
      <c r="E239" t="s">
        <v>77</v>
      </c>
      <c r="F239" t="s">
        <v>78</v>
      </c>
      <c r="G239" t="s">
        <v>14</v>
      </c>
      <c r="H239" t="s">
        <v>27</v>
      </c>
      <c r="I239" s="1">
        <v>2</v>
      </c>
      <c r="J239" s="2">
        <v>103.45</v>
      </c>
    </row>
    <row r="240" spans="2:10" x14ac:dyDescent="0.2">
      <c r="B240" t="s">
        <v>583</v>
      </c>
      <c r="C240" t="s">
        <v>135</v>
      </c>
      <c r="D240" t="s">
        <v>584</v>
      </c>
      <c r="E240" t="s">
        <v>56</v>
      </c>
      <c r="F240" t="s">
        <v>57</v>
      </c>
      <c r="G240" t="s">
        <v>1034</v>
      </c>
      <c r="H240" t="s">
        <v>15</v>
      </c>
      <c r="I240" s="1">
        <v>1</v>
      </c>
      <c r="J240" s="2">
        <v>431.03</v>
      </c>
    </row>
    <row r="241" spans="2:10" x14ac:dyDescent="0.2">
      <c r="B241" t="s">
        <v>583</v>
      </c>
      <c r="C241" t="s">
        <v>141</v>
      </c>
      <c r="D241" t="s">
        <v>130</v>
      </c>
      <c r="E241" t="s">
        <v>214</v>
      </c>
      <c r="F241" t="s">
        <v>215</v>
      </c>
      <c r="G241" t="s">
        <v>1034</v>
      </c>
      <c r="H241" t="s">
        <v>15</v>
      </c>
      <c r="I241" s="1">
        <v>1</v>
      </c>
      <c r="J241" s="2">
        <v>301.72000000000003</v>
      </c>
    </row>
    <row r="242" spans="2:10" x14ac:dyDescent="0.2">
      <c r="B242" t="s">
        <v>583</v>
      </c>
      <c r="C242" t="s">
        <v>141</v>
      </c>
      <c r="D242" t="s">
        <v>130</v>
      </c>
      <c r="E242" t="s">
        <v>587</v>
      </c>
      <c r="F242" t="s">
        <v>588</v>
      </c>
      <c r="G242" t="s">
        <v>43</v>
      </c>
      <c r="H242" t="s">
        <v>589</v>
      </c>
      <c r="I242" s="1">
        <v>1</v>
      </c>
      <c r="J242" s="2">
        <v>1637.93</v>
      </c>
    </row>
    <row r="243" spans="2:10" x14ac:dyDescent="0.2">
      <c r="B243" t="s">
        <v>583</v>
      </c>
      <c r="C243" t="s">
        <v>141</v>
      </c>
      <c r="D243" t="s">
        <v>130</v>
      </c>
      <c r="E243" t="s">
        <v>28</v>
      </c>
      <c r="F243" t="s">
        <v>29</v>
      </c>
      <c r="G243" t="s">
        <v>1033</v>
      </c>
      <c r="H243" t="s">
        <v>30</v>
      </c>
      <c r="I243" s="1">
        <v>2</v>
      </c>
      <c r="J243" s="2">
        <v>310.33999999999997</v>
      </c>
    </row>
    <row r="244" spans="2:10" x14ac:dyDescent="0.2">
      <c r="B244" t="s">
        <v>583</v>
      </c>
      <c r="C244" t="s">
        <v>144</v>
      </c>
      <c r="D244" t="s">
        <v>584</v>
      </c>
      <c r="E244" t="s">
        <v>600</v>
      </c>
      <c r="F244" t="s">
        <v>601</v>
      </c>
      <c r="G244" t="s">
        <v>1033</v>
      </c>
      <c r="H244" t="s">
        <v>30</v>
      </c>
      <c r="I244" s="1">
        <v>1</v>
      </c>
      <c r="J244" s="2">
        <v>301.72000000000003</v>
      </c>
    </row>
    <row r="245" spans="2:10" x14ac:dyDescent="0.2">
      <c r="B245" t="s">
        <v>583</v>
      </c>
      <c r="C245" t="s">
        <v>144</v>
      </c>
      <c r="D245" t="s">
        <v>584</v>
      </c>
      <c r="E245" t="s">
        <v>602</v>
      </c>
      <c r="F245" t="s">
        <v>603</v>
      </c>
      <c r="G245" t="s">
        <v>14</v>
      </c>
      <c r="H245" t="s">
        <v>604</v>
      </c>
      <c r="I245" s="1">
        <v>1</v>
      </c>
      <c r="J245" s="2">
        <v>362.07</v>
      </c>
    </row>
    <row r="246" spans="2:10" x14ac:dyDescent="0.2">
      <c r="B246" t="s">
        <v>583</v>
      </c>
      <c r="C246" t="s">
        <v>144</v>
      </c>
      <c r="D246" t="s">
        <v>584</v>
      </c>
      <c r="E246" t="s">
        <v>120</v>
      </c>
      <c r="F246" t="s">
        <v>121</v>
      </c>
      <c r="G246" t="s">
        <v>1034</v>
      </c>
      <c r="H246" t="s">
        <v>15</v>
      </c>
      <c r="I246" s="1">
        <v>1</v>
      </c>
      <c r="J246" s="2">
        <v>301.72000000000003</v>
      </c>
    </row>
    <row r="247" spans="2:10" x14ac:dyDescent="0.2">
      <c r="B247" t="s">
        <v>583</v>
      </c>
      <c r="C247" t="s">
        <v>144</v>
      </c>
      <c r="D247" t="s">
        <v>584</v>
      </c>
      <c r="E247" t="s">
        <v>214</v>
      </c>
      <c r="F247" t="s">
        <v>215</v>
      </c>
      <c r="G247" t="s">
        <v>1034</v>
      </c>
      <c r="H247" t="s">
        <v>15</v>
      </c>
      <c r="I247" s="1">
        <v>1</v>
      </c>
      <c r="J247" s="2">
        <v>301.72000000000003</v>
      </c>
    </row>
    <row r="248" spans="2:10" x14ac:dyDescent="0.2">
      <c r="B248" t="s">
        <v>583</v>
      </c>
      <c r="C248" t="s">
        <v>144</v>
      </c>
      <c r="D248" t="s">
        <v>584</v>
      </c>
      <c r="E248" t="s">
        <v>72</v>
      </c>
      <c r="F248" t="s">
        <v>73</v>
      </c>
      <c r="G248" t="s">
        <v>1034</v>
      </c>
      <c r="H248" t="s">
        <v>15</v>
      </c>
      <c r="I248" s="1">
        <v>1</v>
      </c>
      <c r="J248" s="2">
        <v>775.86</v>
      </c>
    </row>
    <row r="249" spans="2:10" x14ac:dyDescent="0.2">
      <c r="B249" t="s">
        <v>583</v>
      </c>
      <c r="C249" t="s">
        <v>144</v>
      </c>
      <c r="D249" t="s">
        <v>584</v>
      </c>
      <c r="E249" t="s">
        <v>159</v>
      </c>
      <c r="F249" t="s">
        <v>160</v>
      </c>
      <c r="G249" t="s">
        <v>14</v>
      </c>
      <c r="H249" t="s">
        <v>87</v>
      </c>
      <c r="I249" s="1">
        <v>1</v>
      </c>
      <c r="J249" s="2">
        <v>284.48</v>
      </c>
    </row>
    <row r="250" spans="2:10" x14ac:dyDescent="0.2">
      <c r="B250" t="s">
        <v>583</v>
      </c>
      <c r="C250" t="s">
        <v>165</v>
      </c>
      <c r="D250" t="s">
        <v>584</v>
      </c>
      <c r="E250" t="s">
        <v>318</v>
      </c>
      <c r="F250" t="s">
        <v>319</v>
      </c>
      <c r="G250" t="s">
        <v>1033</v>
      </c>
      <c r="H250" t="s">
        <v>30</v>
      </c>
      <c r="I250" s="1">
        <v>1</v>
      </c>
      <c r="J250" s="2">
        <v>456.9</v>
      </c>
    </row>
    <row r="251" spans="2:10" x14ac:dyDescent="0.2">
      <c r="B251" t="s">
        <v>583</v>
      </c>
      <c r="C251" t="s">
        <v>165</v>
      </c>
      <c r="D251" t="s">
        <v>584</v>
      </c>
      <c r="E251" t="s">
        <v>66</v>
      </c>
      <c r="F251" t="s">
        <v>67</v>
      </c>
      <c r="G251" t="s">
        <v>1033</v>
      </c>
      <c r="H251" t="s">
        <v>30</v>
      </c>
      <c r="I251" s="1">
        <v>1</v>
      </c>
      <c r="J251" s="2">
        <v>1681.03</v>
      </c>
    </row>
    <row r="252" spans="2:10" x14ac:dyDescent="0.2">
      <c r="B252" t="s">
        <v>583</v>
      </c>
      <c r="C252" t="s">
        <v>165</v>
      </c>
      <c r="D252" t="s">
        <v>584</v>
      </c>
      <c r="E252" t="s">
        <v>605</v>
      </c>
      <c r="F252" t="s">
        <v>606</v>
      </c>
      <c r="G252" t="s">
        <v>1033</v>
      </c>
      <c r="H252" t="s">
        <v>30</v>
      </c>
      <c r="I252" s="1">
        <v>1</v>
      </c>
      <c r="J252" s="2">
        <v>465.52</v>
      </c>
    </row>
    <row r="253" spans="2:10" x14ac:dyDescent="0.2">
      <c r="B253" t="s">
        <v>583</v>
      </c>
      <c r="C253" t="s">
        <v>165</v>
      </c>
      <c r="D253" t="s">
        <v>584</v>
      </c>
      <c r="E253" t="s">
        <v>56</v>
      </c>
      <c r="F253" t="s">
        <v>57</v>
      </c>
      <c r="G253" t="s">
        <v>1034</v>
      </c>
      <c r="H253" t="s">
        <v>15</v>
      </c>
      <c r="I253" s="1">
        <v>1</v>
      </c>
      <c r="J253" s="2">
        <v>431.03</v>
      </c>
    </row>
    <row r="254" spans="2:10" x14ac:dyDescent="0.2">
      <c r="B254" t="s">
        <v>583</v>
      </c>
      <c r="C254" t="s">
        <v>165</v>
      </c>
      <c r="D254" t="s">
        <v>584</v>
      </c>
      <c r="E254" t="s">
        <v>63</v>
      </c>
      <c r="F254" t="s">
        <v>64</v>
      </c>
      <c r="G254" t="s">
        <v>1034</v>
      </c>
      <c r="H254" t="s">
        <v>15</v>
      </c>
      <c r="I254" s="1">
        <v>3</v>
      </c>
      <c r="J254" s="2">
        <v>517.23</v>
      </c>
    </row>
    <row r="255" spans="2:10" x14ac:dyDescent="0.2">
      <c r="B255" t="s">
        <v>583</v>
      </c>
      <c r="C255" t="s">
        <v>165</v>
      </c>
      <c r="D255" t="s">
        <v>584</v>
      </c>
      <c r="E255" t="s">
        <v>16</v>
      </c>
      <c r="F255" t="s">
        <v>17</v>
      </c>
      <c r="G255" t="s">
        <v>1034</v>
      </c>
      <c r="H255" t="s">
        <v>15</v>
      </c>
      <c r="I255" s="1">
        <v>2</v>
      </c>
      <c r="J255" s="2">
        <v>1155.18</v>
      </c>
    </row>
    <row r="256" spans="2:10" x14ac:dyDescent="0.2">
      <c r="B256" t="s">
        <v>583</v>
      </c>
      <c r="C256" t="s">
        <v>165</v>
      </c>
      <c r="D256" t="s">
        <v>584</v>
      </c>
      <c r="E256" t="s">
        <v>28</v>
      </c>
      <c r="F256" t="s">
        <v>29</v>
      </c>
      <c r="G256" t="s">
        <v>1033</v>
      </c>
      <c r="H256" t="s">
        <v>30</v>
      </c>
      <c r="I256" s="1">
        <v>1</v>
      </c>
      <c r="J256" s="2">
        <v>155.16999999999999</v>
      </c>
    </row>
    <row r="257" spans="2:10" x14ac:dyDescent="0.2">
      <c r="B257" t="s">
        <v>583</v>
      </c>
      <c r="C257" t="s">
        <v>166</v>
      </c>
      <c r="D257" t="s">
        <v>584</v>
      </c>
      <c r="E257" t="s">
        <v>324</v>
      </c>
      <c r="F257" t="s">
        <v>325</v>
      </c>
      <c r="G257" t="s">
        <v>1033</v>
      </c>
      <c r="H257" t="s">
        <v>30</v>
      </c>
      <c r="I257" s="1">
        <v>1</v>
      </c>
      <c r="J257" s="2">
        <v>2000</v>
      </c>
    </row>
    <row r="258" spans="2:10" x14ac:dyDescent="0.2">
      <c r="B258" t="s">
        <v>583</v>
      </c>
      <c r="C258" t="s">
        <v>166</v>
      </c>
      <c r="D258" t="s">
        <v>584</v>
      </c>
      <c r="E258" t="s">
        <v>120</v>
      </c>
      <c r="F258" t="s">
        <v>121</v>
      </c>
      <c r="G258" t="s">
        <v>1034</v>
      </c>
      <c r="H258" t="s">
        <v>15</v>
      </c>
      <c r="I258" s="1">
        <v>1</v>
      </c>
      <c r="J258" s="2">
        <v>301.72000000000003</v>
      </c>
    </row>
    <row r="259" spans="2:10" x14ac:dyDescent="0.2">
      <c r="B259" t="s">
        <v>583</v>
      </c>
      <c r="C259" t="s">
        <v>166</v>
      </c>
      <c r="D259" t="s">
        <v>584</v>
      </c>
      <c r="E259" t="s">
        <v>253</v>
      </c>
      <c r="F259" t="s">
        <v>254</v>
      </c>
      <c r="G259" t="s">
        <v>1034</v>
      </c>
      <c r="H259" t="s">
        <v>15</v>
      </c>
      <c r="I259" s="1">
        <v>1</v>
      </c>
      <c r="J259" s="2">
        <v>775.86</v>
      </c>
    </row>
    <row r="260" spans="2:10" x14ac:dyDescent="0.2">
      <c r="B260" t="s">
        <v>583</v>
      </c>
      <c r="C260" t="s">
        <v>166</v>
      </c>
      <c r="D260" t="s">
        <v>584</v>
      </c>
      <c r="E260" t="s">
        <v>16</v>
      </c>
      <c r="F260" t="s">
        <v>17</v>
      </c>
      <c r="G260" t="s">
        <v>1034</v>
      </c>
      <c r="H260" t="s">
        <v>15</v>
      </c>
      <c r="I260" s="1">
        <v>1</v>
      </c>
      <c r="J260" s="2">
        <v>577.59</v>
      </c>
    </row>
    <row r="261" spans="2:10" x14ac:dyDescent="0.2">
      <c r="B261" t="s">
        <v>583</v>
      </c>
      <c r="C261" t="s">
        <v>185</v>
      </c>
      <c r="D261" t="s">
        <v>584</v>
      </c>
      <c r="E261" t="s">
        <v>278</v>
      </c>
      <c r="F261" t="s">
        <v>279</v>
      </c>
      <c r="G261" t="s">
        <v>1033</v>
      </c>
      <c r="H261" t="s">
        <v>30</v>
      </c>
      <c r="I261" s="1">
        <v>1</v>
      </c>
      <c r="J261" s="2">
        <v>112.07</v>
      </c>
    </row>
    <row r="262" spans="2:10" x14ac:dyDescent="0.2">
      <c r="B262" t="s">
        <v>583</v>
      </c>
      <c r="C262" t="s">
        <v>185</v>
      </c>
      <c r="D262" t="s">
        <v>584</v>
      </c>
      <c r="E262" t="s">
        <v>61</v>
      </c>
      <c r="F262" t="s">
        <v>62</v>
      </c>
      <c r="G262" t="s">
        <v>1034</v>
      </c>
      <c r="H262" t="s">
        <v>15</v>
      </c>
      <c r="I262" s="1">
        <v>1</v>
      </c>
      <c r="J262" s="2">
        <v>172.41</v>
      </c>
    </row>
    <row r="263" spans="2:10" x14ac:dyDescent="0.2">
      <c r="B263" t="s">
        <v>615</v>
      </c>
      <c r="C263" t="s">
        <v>134</v>
      </c>
      <c r="D263" t="s">
        <v>277</v>
      </c>
      <c r="E263" t="s">
        <v>214</v>
      </c>
      <c r="F263" t="s">
        <v>215</v>
      </c>
      <c r="G263" t="s">
        <v>1034</v>
      </c>
      <c r="H263" t="s">
        <v>15</v>
      </c>
      <c r="I263" s="1">
        <v>1</v>
      </c>
      <c r="J263" s="2">
        <v>301.72000000000003</v>
      </c>
    </row>
    <row r="264" spans="2:10" x14ac:dyDescent="0.2">
      <c r="B264" t="s">
        <v>615</v>
      </c>
      <c r="C264" t="s">
        <v>135</v>
      </c>
      <c r="D264" t="s">
        <v>130</v>
      </c>
      <c r="E264" t="s">
        <v>16</v>
      </c>
      <c r="F264" t="s">
        <v>17</v>
      </c>
      <c r="G264" t="s">
        <v>1034</v>
      </c>
      <c r="H264" t="s">
        <v>15</v>
      </c>
      <c r="I264" s="1">
        <v>1</v>
      </c>
      <c r="J264" s="2">
        <v>577.59</v>
      </c>
    </row>
    <row r="265" spans="2:10" x14ac:dyDescent="0.2">
      <c r="B265" t="s">
        <v>615</v>
      </c>
      <c r="C265" t="s">
        <v>144</v>
      </c>
      <c r="D265" t="s">
        <v>130</v>
      </c>
      <c r="E265" t="s">
        <v>406</v>
      </c>
      <c r="F265" t="s">
        <v>407</v>
      </c>
      <c r="G265" t="s">
        <v>14</v>
      </c>
      <c r="H265" t="s">
        <v>104</v>
      </c>
      <c r="I265" s="1">
        <v>5</v>
      </c>
      <c r="J265" s="2">
        <v>86.2</v>
      </c>
    </row>
    <row r="266" spans="2:10" x14ac:dyDescent="0.2">
      <c r="B266" t="s">
        <v>615</v>
      </c>
      <c r="C266" t="s">
        <v>144</v>
      </c>
      <c r="D266" t="s">
        <v>130</v>
      </c>
      <c r="E266" t="s">
        <v>16</v>
      </c>
      <c r="F266" t="s">
        <v>17</v>
      </c>
      <c r="G266" t="s">
        <v>1034</v>
      </c>
      <c r="H266" t="s">
        <v>15</v>
      </c>
      <c r="I266" s="1">
        <v>1</v>
      </c>
      <c r="J266" s="2">
        <v>577.59</v>
      </c>
    </row>
    <row r="267" spans="2:10" x14ac:dyDescent="0.2">
      <c r="B267" t="s">
        <v>615</v>
      </c>
      <c r="C267" t="s">
        <v>166</v>
      </c>
      <c r="D267" t="s">
        <v>616</v>
      </c>
      <c r="E267" t="s">
        <v>66</v>
      </c>
      <c r="F267" t="s">
        <v>67</v>
      </c>
      <c r="G267" t="s">
        <v>1033</v>
      </c>
      <c r="H267" t="s">
        <v>30</v>
      </c>
      <c r="I267" s="1">
        <v>1</v>
      </c>
      <c r="J267" s="2">
        <v>1681.03</v>
      </c>
    </row>
    <row r="268" spans="2:10" x14ac:dyDescent="0.2">
      <c r="B268" t="s">
        <v>615</v>
      </c>
      <c r="C268" t="s">
        <v>166</v>
      </c>
      <c r="D268" t="s">
        <v>616</v>
      </c>
      <c r="E268" t="s">
        <v>463</v>
      </c>
      <c r="F268" t="s">
        <v>464</v>
      </c>
      <c r="G268" t="s">
        <v>14</v>
      </c>
      <c r="H268" t="s">
        <v>35</v>
      </c>
      <c r="I268" s="1">
        <v>1</v>
      </c>
      <c r="J268" s="2">
        <v>77.59</v>
      </c>
    </row>
    <row r="269" spans="2:10" x14ac:dyDescent="0.2">
      <c r="B269" t="s">
        <v>615</v>
      </c>
      <c r="C269" t="s">
        <v>166</v>
      </c>
      <c r="D269" t="s">
        <v>616</v>
      </c>
      <c r="E269" t="s">
        <v>120</v>
      </c>
      <c r="F269" t="s">
        <v>121</v>
      </c>
      <c r="G269" t="s">
        <v>1034</v>
      </c>
      <c r="H269" t="s">
        <v>15</v>
      </c>
      <c r="I269" s="1">
        <v>2</v>
      </c>
      <c r="J269" s="2">
        <v>603.44000000000005</v>
      </c>
    </row>
    <row r="270" spans="2:10" x14ac:dyDescent="0.2">
      <c r="B270" t="s">
        <v>615</v>
      </c>
      <c r="C270" t="s">
        <v>166</v>
      </c>
      <c r="D270" t="s">
        <v>616</v>
      </c>
      <c r="E270" t="s">
        <v>122</v>
      </c>
      <c r="F270" t="s">
        <v>123</v>
      </c>
      <c r="G270" t="s">
        <v>1034</v>
      </c>
      <c r="H270" t="s">
        <v>15</v>
      </c>
      <c r="I270" s="1">
        <v>1</v>
      </c>
      <c r="J270" s="2">
        <v>387.93</v>
      </c>
    </row>
    <row r="271" spans="2:10" x14ac:dyDescent="0.2">
      <c r="B271" t="s">
        <v>615</v>
      </c>
      <c r="C271" t="s">
        <v>166</v>
      </c>
      <c r="D271" t="s">
        <v>616</v>
      </c>
      <c r="E271" t="s">
        <v>83</v>
      </c>
      <c r="F271" t="s">
        <v>84</v>
      </c>
      <c r="G271" t="s">
        <v>1034</v>
      </c>
      <c r="H271" t="s">
        <v>15</v>
      </c>
      <c r="I271" s="1">
        <v>1</v>
      </c>
      <c r="J271" s="2">
        <v>387.93</v>
      </c>
    </row>
    <row r="272" spans="2:10" x14ac:dyDescent="0.2">
      <c r="B272" t="s">
        <v>615</v>
      </c>
      <c r="C272" t="s">
        <v>166</v>
      </c>
      <c r="D272" t="s">
        <v>616</v>
      </c>
      <c r="E272" t="s">
        <v>61</v>
      </c>
      <c r="F272" t="s">
        <v>62</v>
      </c>
      <c r="G272" t="s">
        <v>1034</v>
      </c>
      <c r="H272" t="s">
        <v>15</v>
      </c>
      <c r="I272" s="1">
        <v>3</v>
      </c>
      <c r="J272" s="2">
        <v>517.23</v>
      </c>
    </row>
    <row r="273" spans="2:10" x14ac:dyDescent="0.2">
      <c r="B273" t="s">
        <v>615</v>
      </c>
      <c r="C273" t="s">
        <v>166</v>
      </c>
      <c r="D273" t="s">
        <v>616</v>
      </c>
      <c r="E273" t="s">
        <v>63</v>
      </c>
      <c r="F273" t="s">
        <v>64</v>
      </c>
      <c r="G273" t="s">
        <v>1034</v>
      </c>
      <c r="H273" t="s">
        <v>15</v>
      </c>
      <c r="I273" s="1">
        <v>2</v>
      </c>
      <c r="J273" s="2">
        <v>344.82</v>
      </c>
    </row>
    <row r="274" spans="2:10" x14ac:dyDescent="0.2">
      <c r="B274" t="s">
        <v>654</v>
      </c>
      <c r="C274" t="s">
        <v>134</v>
      </c>
      <c r="D274" t="s">
        <v>655</v>
      </c>
      <c r="E274" t="s">
        <v>573</v>
      </c>
      <c r="F274" t="s">
        <v>574</v>
      </c>
      <c r="G274" t="s">
        <v>1033</v>
      </c>
      <c r="H274" t="s">
        <v>30</v>
      </c>
      <c r="I274" s="1">
        <v>1</v>
      </c>
      <c r="J274" s="2">
        <v>775.86</v>
      </c>
    </row>
    <row r="275" spans="2:10" x14ac:dyDescent="0.2">
      <c r="B275" t="s">
        <v>654</v>
      </c>
      <c r="C275" t="s">
        <v>134</v>
      </c>
      <c r="D275" t="s">
        <v>655</v>
      </c>
      <c r="E275" t="s">
        <v>12</v>
      </c>
      <c r="F275" t="s">
        <v>13</v>
      </c>
      <c r="G275" t="s">
        <v>1034</v>
      </c>
      <c r="H275" t="s">
        <v>15</v>
      </c>
      <c r="I275" s="1">
        <v>1</v>
      </c>
      <c r="J275" s="2">
        <v>1077.5899999999999</v>
      </c>
    </row>
    <row r="276" spans="2:10" x14ac:dyDescent="0.2">
      <c r="B276" t="s">
        <v>654</v>
      </c>
      <c r="C276" t="s">
        <v>135</v>
      </c>
      <c r="D276" t="s">
        <v>655</v>
      </c>
      <c r="E276" t="s">
        <v>669</v>
      </c>
      <c r="F276" t="s">
        <v>670</v>
      </c>
      <c r="G276" t="s">
        <v>14</v>
      </c>
      <c r="H276" t="s">
        <v>27</v>
      </c>
      <c r="I276" s="1">
        <v>1</v>
      </c>
      <c r="J276" s="2">
        <v>448.28</v>
      </c>
    </row>
    <row r="277" spans="2:10" x14ac:dyDescent="0.2">
      <c r="B277" t="s">
        <v>654</v>
      </c>
      <c r="C277" t="s">
        <v>135</v>
      </c>
      <c r="D277" t="s">
        <v>655</v>
      </c>
      <c r="E277" t="s">
        <v>637</v>
      </c>
      <c r="F277" t="s">
        <v>638</v>
      </c>
      <c r="G277" t="s">
        <v>1033</v>
      </c>
      <c r="H277" t="s">
        <v>30</v>
      </c>
      <c r="I277" s="1">
        <v>1</v>
      </c>
      <c r="J277" s="2">
        <v>689.66</v>
      </c>
    </row>
    <row r="278" spans="2:10" x14ac:dyDescent="0.2">
      <c r="B278" t="s">
        <v>654</v>
      </c>
      <c r="C278" t="s">
        <v>135</v>
      </c>
      <c r="D278" t="s">
        <v>655</v>
      </c>
      <c r="E278" t="s">
        <v>41</v>
      </c>
      <c r="F278" t="s">
        <v>42</v>
      </c>
      <c r="G278" t="s">
        <v>1033</v>
      </c>
      <c r="H278" t="s">
        <v>30</v>
      </c>
      <c r="I278" s="1">
        <v>1</v>
      </c>
      <c r="J278" s="2">
        <v>34.479999999999997</v>
      </c>
    </row>
    <row r="279" spans="2:10" x14ac:dyDescent="0.2">
      <c r="B279" t="s">
        <v>654</v>
      </c>
      <c r="C279" t="s">
        <v>135</v>
      </c>
      <c r="D279" t="s">
        <v>655</v>
      </c>
      <c r="E279" t="s">
        <v>44</v>
      </c>
      <c r="F279" t="s">
        <v>45</v>
      </c>
      <c r="G279" t="s">
        <v>1033</v>
      </c>
      <c r="H279" t="s">
        <v>30</v>
      </c>
      <c r="I279" s="1">
        <v>1</v>
      </c>
      <c r="J279" s="2">
        <v>81.900000000000006</v>
      </c>
    </row>
    <row r="280" spans="2:10" x14ac:dyDescent="0.2">
      <c r="B280" t="s">
        <v>654</v>
      </c>
      <c r="C280" t="s">
        <v>135</v>
      </c>
      <c r="D280" t="s">
        <v>655</v>
      </c>
      <c r="E280" t="s">
        <v>463</v>
      </c>
      <c r="F280" t="s">
        <v>464</v>
      </c>
      <c r="G280" t="s">
        <v>14</v>
      </c>
      <c r="H280" t="s">
        <v>35</v>
      </c>
      <c r="I280" s="1">
        <v>1</v>
      </c>
      <c r="J280" s="2">
        <v>77.59</v>
      </c>
    </row>
    <row r="281" spans="2:10" x14ac:dyDescent="0.2">
      <c r="B281" t="s">
        <v>654</v>
      </c>
      <c r="C281" t="s">
        <v>135</v>
      </c>
      <c r="D281" t="s">
        <v>655</v>
      </c>
      <c r="E281" t="s">
        <v>671</v>
      </c>
      <c r="F281" t="s">
        <v>672</v>
      </c>
      <c r="G281" t="s">
        <v>14</v>
      </c>
      <c r="H281" t="s">
        <v>35</v>
      </c>
      <c r="I281" s="1">
        <v>1</v>
      </c>
      <c r="J281" s="2">
        <v>77.59</v>
      </c>
    </row>
    <row r="282" spans="2:10" x14ac:dyDescent="0.2">
      <c r="B282" t="s">
        <v>654</v>
      </c>
      <c r="C282" t="s">
        <v>135</v>
      </c>
      <c r="D282" t="s">
        <v>655</v>
      </c>
      <c r="E282" t="s">
        <v>83</v>
      </c>
      <c r="F282" t="s">
        <v>84</v>
      </c>
      <c r="G282" t="s">
        <v>1034</v>
      </c>
      <c r="H282" t="s">
        <v>15</v>
      </c>
      <c r="I282" s="1">
        <v>1</v>
      </c>
      <c r="J282" s="2">
        <v>387.93</v>
      </c>
    </row>
    <row r="283" spans="2:10" x14ac:dyDescent="0.2">
      <c r="B283" t="s">
        <v>654</v>
      </c>
      <c r="C283" t="s">
        <v>135</v>
      </c>
      <c r="D283" t="s">
        <v>655</v>
      </c>
      <c r="E283" t="s">
        <v>269</v>
      </c>
      <c r="F283" t="s">
        <v>270</v>
      </c>
      <c r="G283" t="s">
        <v>1033</v>
      </c>
      <c r="H283" t="s">
        <v>30</v>
      </c>
      <c r="I283" s="1">
        <v>1</v>
      </c>
      <c r="J283" s="2">
        <v>948.28</v>
      </c>
    </row>
    <row r="284" spans="2:10" x14ac:dyDescent="0.2">
      <c r="B284" t="s">
        <v>654</v>
      </c>
      <c r="C284" t="s">
        <v>135</v>
      </c>
      <c r="D284" t="s">
        <v>655</v>
      </c>
      <c r="E284" t="s">
        <v>16</v>
      </c>
      <c r="F284" t="s">
        <v>17</v>
      </c>
      <c r="G284" t="s">
        <v>1034</v>
      </c>
      <c r="H284" t="s">
        <v>15</v>
      </c>
      <c r="I284" s="1">
        <v>2</v>
      </c>
      <c r="J284" s="2">
        <v>1155.18</v>
      </c>
    </row>
    <row r="285" spans="2:10" x14ac:dyDescent="0.2">
      <c r="B285" t="s">
        <v>654</v>
      </c>
      <c r="C285" t="s">
        <v>141</v>
      </c>
      <c r="D285" t="s">
        <v>655</v>
      </c>
      <c r="E285" t="s">
        <v>44</v>
      </c>
      <c r="F285" t="s">
        <v>45</v>
      </c>
      <c r="G285" t="s">
        <v>1033</v>
      </c>
      <c r="H285" t="s">
        <v>30</v>
      </c>
      <c r="I285" s="1">
        <v>1</v>
      </c>
      <c r="J285" s="2">
        <v>81.900000000000006</v>
      </c>
    </row>
    <row r="286" spans="2:10" x14ac:dyDescent="0.2">
      <c r="B286" t="s">
        <v>654</v>
      </c>
      <c r="C286" t="s">
        <v>141</v>
      </c>
      <c r="D286" t="s">
        <v>655</v>
      </c>
      <c r="E286" t="s">
        <v>221</v>
      </c>
      <c r="F286" t="s">
        <v>222</v>
      </c>
      <c r="G286" t="s">
        <v>1034</v>
      </c>
      <c r="H286" t="s">
        <v>15</v>
      </c>
      <c r="I286" s="1">
        <v>1</v>
      </c>
      <c r="J286" s="2">
        <v>431.03</v>
      </c>
    </row>
    <row r="287" spans="2:10" x14ac:dyDescent="0.2">
      <c r="B287" t="s">
        <v>654</v>
      </c>
      <c r="C287" t="s">
        <v>141</v>
      </c>
      <c r="D287" t="s">
        <v>655</v>
      </c>
      <c r="E287" t="s">
        <v>83</v>
      </c>
      <c r="F287" t="s">
        <v>84</v>
      </c>
      <c r="G287" t="s">
        <v>1034</v>
      </c>
      <c r="H287" t="s">
        <v>15</v>
      </c>
      <c r="I287" s="1">
        <v>1</v>
      </c>
      <c r="J287" s="2">
        <v>387.93</v>
      </c>
    </row>
    <row r="288" spans="2:10" x14ac:dyDescent="0.2">
      <c r="B288" t="s">
        <v>654</v>
      </c>
      <c r="C288" t="s">
        <v>141</v>
      </c>
      <c r="D288" t="s">
        <v>655</v>
      </c>
      <c r="E288" t="s">
        <v>667</v>
      </c>
      <c r="F288" t="s">
        <v>668</v>
      </c>
      <c r="G288" t="s">
        <v>1033</v>
      </c>
      <c r="H288" t="s">
        <v>30</v>
      </c>
      <c r="I288" s="1">
        <v>1</v>
      </c>
      <c r="J288" s="2">
        <v>310.33999999999997</v>
      </c>
    </row>
    <row r="289" spans="2:10" x14ac:dyDescent="0.2">
      <c r="B289" t="s">
        <v>654</v>
      </c>
      <c r="C289" t="s">
        <v>141</v>
      </c>
      <c r="D289" t="s">
        <v>655</v>
      </c>
      <c r="E289" t="s">
        <v>28</v>
      </c>
      <c r="F289" t="s">
        <v>29</v>
      </c>
      <c r="G289" t="s">
        <v>1033</v>
      </c>
      <c r="H289" t="s">
        <v>30</v>
      </c>
      <c r="I289" s="1">
        <v>2</v>
      </c>
      <c r="J289" s="2">
        <v>310.33999999999997</v>
      </c>
    </row>
    <row r="290" spans="2:10" x14ac:dyDescent="0.2">
      <c r="B290" t="s">
        <v>654</v>
      </c>
      <c r="C290" t="s">
        <v>144</v>
      </c>
      <c r="D290" t="s">
        <v>655</v>
      </c>
      <c r="E290" t="s">
        <v>41</v>
      </c>
      <c r="F290" t="s">
        <v>42</v>
      </c>
      <c r="G290" t="s">
        <v>1033</v>
      </c>
      <c r="H290" t="s">
        <v>30</v>
      </c>
      <c r="I290" s="1">
        <v>2</v>
      </c>
      <c r="J290" s="2">
        <v>68.959999999999994</v>
      </c>
    </row>
    <row r="291" spans="2:10" x14ac:dyDescent="0.2">
      <c r="B291" t="s">
        <v>654</v>
      </c>
      <c r="C291" t="s">
        <v>144</v>
      </c>
      <c r="D291" t="s">
        <v>655</v>
      </c>
      <c r="E291" t="s">
        <v>611</v>
      </c>
      <c r="F291" t="s">
        <v>612</v>
      </c>
      <c r="G291" t="s">
        <v>1033</v>
      </c>
      <c r="H291" t="s">
        <v>30</v>
      </c>
      <c r="I291" s="1">
        <v>2</v>
      </c>
      <c r="J291" s="2">
        <v>1586.2</v>
      </c>
    </row>
    <row r="292" spans="2:10" x14ac:dyDescent="0.2">
      <c r="B292" t="s">
        <v>654</v>
      </c>
      <c r="C292" t="s">
        <v>144</v>
      </c>
      <c r="D292" t="s">
        <v>655</v>
      </c>
      <c r="E292" t="s">
        <v>44</v>
      </c>
      <c r="F292" t="s">
        <v>45</v>
      </c>
      <c r="G292" t="s">
        <v>1033</v>
      </c>
      <c r="H292" t="s">
        <v>30</v>
      </c>
      <c r="I292" s="1">
        <v>1</v>
      </c>
      <c r="J292" s="2">
        <v>81.900000000000006</v>
      </c>
    </row>
    <row r="293" spans="2:10" x14ac:dyDescent="0.2">
      <c r="B293" t="s">
        <v>654</v>
      </c>
      <c r="C293" t="s">
        <v>144</v>
      </c>
      <c r="D293" t="s">
        <v>655</v>
      </c>
      <c r="E293" t="s">
        <v>395</v>
      </c>
      <c r="F293" t="s">
        <v>396</v>
      </c>
      <c r="G293" t="s">
        <v>14</v>
      </c>
      <c r="H293" t="s">
        <v>35</v>
      </c>
      <c r="I293" s="1">
        <v>1</v>
      </c>
      <c r="J293" s="2">
        <v>60.34</v>
      </c>
    </row>
    <row r="294" spans="2:10" x14ac:dyDescent="0.2">
      <c r="B294" t="s">
        <v>654</v>
      </c>
      <c r="C294" t="s">
        <v>144</v>
      </c>
      <c r="D294" t="s">
        <v>655</v>
      </c>
      <c r="E294" t="s">
        <v>328</v>
      </c>
      <c r="F294" t="s">
        <v>329</v>
      </c>
      <c r="G294" t="s">
        <v>1033</v>
      </c>
      <c r="H294" t="s">
        <v>30</v>
      </c>
      <c r="I294" s="1">
        <v>1</v>
      </c>
      <c r="J294" s="2">
        <v>172.41</v>
      </c>
    </row>
    <row r="295" spans="2:10" x14ac:dyDescent="0.2">
      <c r="B295" t="s">
        <v>654</v>
      </c>
      <c r="C295" t="s">
        <v>144</v>
      </c>
      <c r="D295" t="s">
        <v>655</v>
      </c>
      <c r="E295" t="s">
        <v>122</v>
      </c>
      <c r="F295" t="s">
        <v>123</v>
      </c>
      <c r="G295" t="s">
        <v>1034</v>
      </c>
      <c r="H295" t="s">
        <v>15</v>
      </c>
      <c r="I295" s="1">
        <v>1</v>
      </c>
      <c r="J295" s="2">
        <v>387.93</v>
      </c>
    </row>
    <row r="296" spans="2:10" x14ac:dyDescent="0.2">
      <c r="B296" t="s">
        <v>654</v>
      </c>
      <c r="C296" t="s">
        <v>144</v>
      </c>
      <c r="D296" t="s">
        <v>655</v>
      </c>
      <c r="E296" t="s">
        <v>83</v>
      </c>
      <c r="F296" t="s">
        <v>84</v>
      </c>
      <c r="G296" t="s">
        <v>1034</v>
      </c>
      <c r="H296" t="s">
        <v>15</v>
      </c>
      <c r="I296" s="1">
        <v>1</v>
      </c>
      <c r="J296" s="2">
        <v>387.93</v>
      </c>
    </row>
    <row r="297" spans="2:10" x14ac:dyDescent="0.2">
      <c r="B297" t="s">
        <v>654</v>
      </c>
      <c r="C297" t="s">
        <v>144</v>
      </c>
      <c r="D297" t="s">
        <v>655</v>
      </c>
      <c r="E297" t="s">
        <v>427</v>
      </c>
      <c r="F297" t="s">
        <v>428</v>
      </c>
      <c r="G297" t="s">
        <v>14</v>
      </c>
      <c r="H297" t="s">
        <v>87</v>
      </c>
      <c r="I297" s="1">
        <v>1</v>
      </c>
      <c r="J297" s="2">
        <v>120.69</v>
      </c>
    </row>
    <row r="298" spans="2:10" x14ac:dyDescent="0.2">
      <c r="B298" t="s">
        <v>654</v>
      </c>
      <c r="C298" t="s">
        <v>144</v>
      </c>
      <c r="D298" t="s">
        <v>655</v>
      </c>
      <c r="E298" t="s">
        <v>370</v>
      </c>
      <c r="F298" t="s">
        <v>371</v>
      </c>
      <c r="G298" t="s">
        <v>1033</v>
      </c>
      <c r="H298" t="s">
        <v>30</v>
      </c>
      <c r="I298" s="1">
        <v>1</v>
      </c>
      <c r="J298" s="2">
        <v>1034.48</v>
      </c>
    </row>
    <row r="299" spans="2:10" x14ac:dyDescent="0.2">
      <c r="B299" t="s">
        <v>654</v>
      </c>
      <c r="C299" t="s">
        <v>144</v>
      </c>
      <c r="D299" t="s">
        <v>655</v>
      </c>
      <c r="E299" t="s">
        <v>521</v>
      </c>
      <c r="F299" t="s">
        <v>522</v>
      </c>
      <c r="G299" t="s">
        <v>14</v>
      </c>
      <c r="H299" t="s">
        <v>104</v>
      </c>
      <c r="I299" s="1">
        <v>5</v>
      </c>
      <c r="J299" s="2">
        <v>107.75</v>
      </c>
    </row>
    <row r="300" spans="2:10" x14ac:dyDescent="0.2">
      <c r="B300" t="s">
        <v>654</v>
      </c>
      <c r="C300" t="s">
        <v>144</v>
      </c>
      <c r="D300" t="s">
        <v>655</v>
      </c>
      <c r="E300" t="s">
        <v>406</v>
      </c>
      <c r="F300" t="s">
        <v>407</v>
      </c>
      <c r="G300" t="s">
        <v>14</v>
      </c>
      <c r="H300" t="s">
        <v>104</v>
      </c>
      <c r="I300" s="1">
        <v>6</v>
      </c>
      <c r="J300" s="2">
        <v>103.44</v>
      </c>
    </row>
    <row r="301" spans="2:10" x14ac:dyDescent="0.2">
      <c r="B301" t="s">
        <v>654</v>
      </c>
      <c r="C301" t="s">
        <v>144</v>
      </c>
      <c r="D301" t="s">
        <v>655</v>
      </c>
      <c r="E301" t="s">
        <v>63</v>
      </c>
      <c r="F301" t="s">
        <v>64</v>
      </c>
      <c r="G301" t="s">
        <v>1034</v>
      </c>
      <c r="H301" t="s">
        <v>15</v>
      </c>
      <c r="I301" s="1">
        <v>1</v>
      </c>
      <c r="J301" s="2">
        <v>172.41</v>
      </c>
    </row>
    <row r="302" spans="2:10" x14ac:dyDescent="0.2">
      <c r="B302" t="s">
        <v>654</v>
      </c>
      <c r="C302" t="s">
        <v>165</v>
      </c>
      <c r="D302" t="s">
        <v>655</v>
      </c>
      <c r="E302" t="s">
        <v>671</v>
      </c>
      <c r="F302" t="s">
        <v>672</v>
      </c>
      <c r="G302" t="s">
        <v>14</v>
      </c>
      <c r="H302" t="s">
        <v>35</v>
      </c>
      <c r="I302" s="1">
        <v>1</v>
      </c>
      <c r="J302" s="2">
        <v>77.59</v>
      </c>
    </row>
    <row r="303" spans="2:10" x14ac:dyDescent="0.2">
      <c r="B303" t="s">
        <v>654</v>
      </c>
      <c r="C303" t="s">
        <v>165</v>
      </c>
      <c r="D303" t="s">
        <v>655</v>
      </c>
      <c r="E303" t="s">
        <v>97</v>
      </c>
      <c r="F303" t="s">
        <v>98</v>
      </c>
      <c r="G303" t="s">
        <v>1033</v>
      </c>
      <c r="H303" t="s">
        <v>30</v>
      </c>
      <c r="I303" s="1">
        <v>1</v>
      </c>
      <c r="J303" s="2">
        <v>2500</v>
      </c>
    </row>
    <row r="304" spans="2:10" x14ac:dyDescent="0.2">
      <c r="B304" t="s">
        <v>654</v>
      </c>
      <c r="C304" t="s">
        <v>165</v>
      </c>
      <c r="D304" t="s">
        <v>655</v>
      </c>
      <c r="E304" t="s">
        <v>251</v>
      </c>
      <c r="F304" t="s">
        <v>252</v>
      </c>
      <c r="G304" t="s">
        <v>1033</v>
      </c>
      <c r="H304" t="s">
        <v>30</v>
      </c>
      <c r="I304" s="1">
        <v>1</v>
      </c>
      <c r="J304" s="2">
        <v>1500</v>
      </c>
    </row>
    <row r="305" spans="2:10" x14ac:dyDescent="0.2">
      <c r="B305" t="s">
        <v>654</v>
      </c>
      <c r="C305" t="s">
        <v>165</v>
      </c>
      <c r="D305" t="s">
        <v>655</v>
      </c>
      <c r="E305" t="s">
        <v>36</v>
      </c>
      <c r="F305" t="s">
        <v>37</v>
      </c>
      <c r="G305" t="s">
        <v>1034</v>
      </c>
      <c r="H305" t="s">
        <v>15</v>
      </c>
      <c r="I305" s="1">
        <v>1</v>
      </c>
      <c r="J305" s="2">
        <v>301.72000000000003</v>
      </c>
    </row>
    <row r="306" spans="2:10" x14ac:dyDescent="0.2">
      <c r="B306" t="s">
        <v>654</v>
      </c>
      <c r="C306" t="s">
        <v>165</v>
      </c>
      <c r="D306" t="s">
        <v>655</v>
      </c>
      <c r="E306" t="s">
        <v>500</v>
      </c>
      <c r="F306" t="s">
        <v>501</v>
      </c>
      <c r="G306" t="s">
        <v>1033</v>
      </c>
      <c r="H306" t="s">
        <v>30</v>
      </c>
      <c r="I306" s="1">
        <v>1</v>
      </c>
      <c r="J306" s="2">
        <v>3017.24</v>
      </c>
    </row>
    <row r="307" spans="2:10" x14ac:dyDescent="0.2">
      <c r="B307" t="s">
        <v>654</v>
      </c>
      <c r="C307" t="s">
        <v>165</v>
      </c>
      <c r="D307" t="s">
        <v>655</v>
      </c>
      <c r="E307" t="s">
        <v>61</v>
      </c>
      <c r="F307" t="s">
        <v>62</v>
      </c>
      <c r="G307" t="s">
        <v>1034</v>
      </c>
      <c r="H307" t="s">
        <v>15</v>
      </c>
      <c r="I307" s="1">
        <v>1</v>
      </c>
      <c r="J307" s="2">
        <v>172.41</v>
      </c>
    </row>
    <row r="308" spans="2:10" x14ac:dyDescent="0.2">
      <c r="B308" t="s">
        <v>654</v>
      </c>
      <c r="C308" t="s">
        <v>165</v>
      </c>
      <c r="D308" t="s">
        <v>655</v>
      </c>
      <c r="E308" t="s">
        <v>16</v>
      </c>
      <c r="F308" t="s">
        <v>17</v>
      </c>
      <c r="G308" t="s">
        <v>1034</v>
      </c>
      <c r="H308" t="s">
        <v>15</v>
      </c>
      <c r="I308" s="1">
        <v>1</v>
      </c>
      <c r="J308" s="2">
        <v>577.59</v>
      </c>
    </row>
    <row r="309" spans="2:10" x14ac:dyDescent="0.2">
      <c r="B309" t="s">
        <v>654</v>
      </c>
      <c r="C309" t="s">
        <v>166</v>
      </c>
      <c r="D309" t="s">
        <v>655</v>
      </c>
      <c r="E309" t="s">
        <v>221</v>
      </c>
      <c r="F309" t="s">
        <v>222</v>
      </c>
      <c r="G309" t="s">
        <v>1034</v>
      </c>
      <c r="H309" t="s">
        <v>15</v>
      </c>
      <c r="I309" s="1">
        <v>1</v>
      </c>
      <c r="J309" s="2">
        <v>431.03</v>
      </c>
    </row>
    <row r="310" spans="2:10" x14ac:dyDescent="0.2">
      <c r="B310" t="s">
        <v>654</v>
      </c>
      <c r="C310" t="s">
        <v>166</v>
      </c>
      <c r="D310" t="s">
        <v>655</v>
      </c>
      <c r="E310" t="s">
        <v>216</v>
      </c>
      <c r="F310" t="s">
        <v>217</v>
      </c>
      <c r="G310" t="s">
        <v>14</v>
      </c>
      <c r="H310" t="s">
        <v>104</v>
      </c>
      <c r="I310" s="1">
        <v>1</v>
      </c>
      <c r="J310" s="2">
        <v>17.239999999999998</v>
      </c>
    </row>
    <row r="311" spans="2:10" x14ac:dyDescent="0.2">
      <c r="B311" t="s">
        <v>654</v>
      </c>
      <c r="C311" t="s">
        <v>166</v>
      </c>
      <c r="D311" t="s">
        <v>655</v>
      </c>
      <c r="E311" t="s">
        <v>223</v>
      </c>
      <c r="F311" t="s">
        <v>224</v>
      </c>
      <c r="G311" t="s">
        <v>43</v>
      </c>
      <c r="H311" t="s">
        <v>50</v>
      </c>
      <c r="I311" s="1">
        <v>1</v>
      </c>
      <c r="J311" s="2">
        <v>1637.93</v>
      </c>
    </row>
    <row r="312" spans="2:10" x14ac:dyDescent="0.2">
      <c r="B312" t="s">
        <v>654</v>
      </c>
      <c r="C312" t="s">
        <v>166</v>
      </c>
      <c r="D312" t="s">
        <v>655</v>
      </c>
      <c r="E312" t="s">
        <v>181</v>
      </c>
      <c r="F312" t="s">
        <v>182</v>
      </c>
      <c r="G312" t="s">
        <v>43</v>
      </c>
      <c r="H312" t="s">
        <v>81</v>
      </c>
      <c r="I312" s="1">
        <v>1</v>
      </c>
      <c r="J312" s="2">
        <v>1379.31</v>
      </c>
    </row>
    <row r="313" spans="2:10" x14ac:dyDescent="0.2">
      <c r="B313" t="s">
        <v>654</v>
      </c>
      <c r="C313" t="s">
        <v>166</v>
      </c>
      <c r="D313" t="s">
        <v>655</v>
      </c>
      <c r="E313" t="s">
        <v>28</v>
      </c>
      <c r="F313" t="s">
        <v>29</v>
      </c>
      <c r="G313" t="s">
        <v>1033</v>
      </c>
      <c r="H313" t="s">
        <v>30</v>
      </c>
      <c r="I313" s="1">
        <v>1</v>
      </c>
      <c r="J313" s="2">
        <v>155.16999999999999</v>
      </c>
    </row>
    <row r="314" spans="2:10" x14ac:dyDescent="0.2">
      <c r="B314" t="s">
        <v>690</v>
      </c>
      <c r="C314" t="s">
        <v>141</v>
      </c>
      <c r="D314" t="s">
        <v>691</v>
      </c>
      <c r="E314" t="s">
        <v>122</v>
      </c>
      <c r="F314" t="s">
        <v>123</v>
      </c>
      <c r="G314" t="s">
        <v>1034</v>
      </c>
      <c r="H314" t="s">
        <v>15</v>
      </c>
      <c r="I314" s="1">
        <v>1</v>
      </c>
      <c r="J314" s="2">
        <v>387.93</v>
      </c>
    </row>
    <row r="315" spans="2:10" x14ac:dyDescent="0.2">
      <c r="B315" t="s">
        <v>690</v>
      </c>
      <c r="C315" t="s">
        <v>141</v>
      </c>
      <c r="D315" t="s">
        <v>691</v>
      </c>
      <c r="E315" t="s">
        <v>63</v>
      </c>
      <c r="F315" t="s">
        <v>64</v>
      </c>
      <c r="G315" t="s">
        <v>1034</v>
      </c>
      <c r="H315" t="s">
        <v>15</v>
      </c>
      <c r="I315" s="1">
        <v>1</v>
      </c>
      <c r="J315" s="2">
        <v>172.41</v>
      </c>
    </row>
    <row r="316" spans="2:10" x14ac:dyDescent="0.2">
      <c r="B316" t="s">
        <v>690</v>
      </c>
      <c r="C316" t="s">
        <v>141</v>
      </c>
      <c r="D316" t="s">
        <v>691</v>
      </c>
      <c r="E316" t="s">
        <v>28</v>
      </c>
      <c r="F316" t="s">
        <v>29</v>
      </c>
      <c r="G316" t="s">
        <v>1033</v>
      </c>
      <c r="H316" t="s">
        <v>30</v>
      </c>
      <c r="I316" s="1">
        <v>1</v>
      </c>
      <c r="J316" s="2">
        <v>155.16999999999999</v>
      </c>
    </row>
    <row r="317" spans="2:10" x14ac:dyDescent="0.2">
      <c r="B317" t="s">
        <v>690</v>
      </c>
      <c r="C317" t="s">
        <v>144</v>
      </c>
      <c r="D317" t="s">
        <v>691</v>
      </c>
      <c r="E317" t="s">
        <v>85</v>
      </c>
      <c r="F317" t="s">
        <v>86</v>
      </c>
      <c r="G317" t="s">
        <v>14</v>
      </c>
      <c r="H317" t="s">
        <v>87</v>
      </c>
      <c r="I317" s="1">
        <v>2</v>
      </c>
      <c r="J317" s="2">
        <v>603.45000000000005</v>
      </c>
    </row>
    <row r="318" spans="2:10" x14ac:dyDescent="0.2">
      <c r="B318" t="s">
        <v>690</v>
      </c>
      <c r="C318" t="s">
        <v>144</v>
      </c>
      <c r="D318" t="s">
        <v>691</v>
      </c>
      <c r="E318" t="s">
        <v>56</v>
      </c>
      <c r="F318" t="s">
        <v>57</v>
      </c>
      <c r="G318" t="s">
        <v>1034</v>
      </c>
      <c r="H318" t="s">
        <v>15</v>
      </c>
      <c r="I318" s="1">
        <v>1</v>
      </c>
      <c r="J318" s="2">
        <v>431.03</v>
      </c>
    </row>
    <row r="319" spans="2:10" x14ac:dyDescent="0.2">
      <c r="B319" t="s">
        <v>690</v>
      </c>
      <c r="C319" t="s">
        <v>144</v>
      </c>
      <c r="D319" t="s">
        <v>691</v>
      </c>
      <c r="E319" t="s">
        <v>63</v>
      </c>
      <c r="F319" t="s">
        <v>64</v>
      </c>
      <c r="G319" t="s">
        <v>1034</v>
      </c>
      <c r="H319" t="s">
        <v>15</v>
      </c>
      <c r="I319" s="1">
        <v>2</v>
      </c>
      <c r="J319" s="2">
        <v>344.82</v>
      </c>
    </row>
    <row r="320" spans="2:10" x14ac:dyDescent="0.2">
      <c r="B320" t="s">
        <v>690</v>
      </c>
      <c r="C320" t="s">
        <v>166</v>
      </c>
      <c r="D320" t="s">
        <v>691</v>
      </c>
      <c r="E320" t="s">
        <v>724</v>
      </c>
      <c r="F320" t="s">
        <v>725</v>
      </c>
      <c r="G320" t="s">
        <v>43</v>
      </c>
      <c r="H320" t="s">
        <v>50</v>
      </c>
      <c r="I320" s="1">
        <v>1</v>
      </c>
      <c r="J320" s="2">
        <v>1810.34</v>
      </c>
    </row>
    <row r="321" spans="2:10" x14ac:dyDescent="0.2">
      <c r="B321" t="s">
        <v>690</v>
      </c>
      <c r="C321" t="s">
        <v>166</v>
      </c>
      <c r="D321" t="s">
        <v>691</v>
      </c>
      <c r="E321" t="s">
        <v>486</v>
      </c>
      <c r="F321" t="s">
        <v>487</v>
      </c>
      <c r="G321" t="s">
        <v>1033</v>
      </c>
      <c r="H321" t="s">
        <v>30</v>
      </c>
      <c r="I321" s="1">
        <v>1</v>
      </c>
      <c r="J321" s="2">
        <v>258.62</v>
      </c>
    </row>
    <row r="322" spans="2:10" x14ac:dyDescent="0.2">
      <c r="B322" t="s">
        <v>690</v>
      </c>
      <c r="C322" t="s">
        <v>166</v>
      </c>
      <c r="D322" t="s">
        <v>691</v>
      </c>
      <c r="E322" t="s">
        <v>726</v>
      </c>
      <c r="F322" t="s">
        <v>727</v>
      </c>
      <c r="G322" t="s">
        <v>14</v>
      </c>
      <c r="H322" t="s">
        <v>35</v>
      </c>
      <c r="I322" s="1">
        <v>1</v>
      </c>
      <c r="J322" s="2">
        <v>77.59</v>
      </c>
    </row>
    <row r="323" spans="2:10" x14ac:dyDescent="0.2">
      <c r="B323" t="s">
        <v>690</v>
      </c>
      <c r="C323" t="s">
        <v>166</v>
      </c>
      <c r="D323" t="s">
        <v>691</v>
      </c>
      <c r="E323" t="s">
        <v>566</v>
      </c>
      <c r="F323" t="s">
        <v>567</v>
      </c>
      <c r="G323" t="s">
        <v>14</v>
      </c>
      <c r="H323" t="s">
        <v>35</v>
      </c>
      <c r="I323" s="1">
        <v>1</v>
      </c>
      <c r="J323" s="2">
        <v>77.59</v>
      </c>
    </row>
    <row r="324" spans="2:10" x14ac:dyDescent="0.2">
      <c r="B324" t="s">
        <v>690</v>
      </c>
      <c r="C324" t="s">
        <v>166</v>
      </c>
      <c r="D324" t="s">
        <v>691</v>
      </c>
      <c r="E324" t="s">
        <v>463</v>
      </c>
      <c r="F324" t="s">
        <v>464</v>
      </c>
      <c r="G324" t="s">
        <v>14</v>
      </c>
      <c r="H324" t="s">
        <v>35</v>
      </c>
      <c r="I324" s="1">
        <v>1</v>
      </c>
      <c r="J324" s="2">
        <v>77.59</v>
      </c>
    </row>
    <row r="325" spans="2:10" x14ac:dyDescent="0.2">
      <c r="B325" t="s">
        <v>690</v>
      </c>
      <c r="C325" t="s">
        <v>166</v>
      </c>
      <c r="D325" t="s">
        <v>691</v>
      </c>
      <c r="E325" t="s">
        <v>221</v>
      </c>
      <c r="F325" t="s">
        <v>222</v>
      </c>
      <c r="G325" t="s">
        <v>1034</v>
      </c>
      <c r="H325" t="s">
        <v>15</v>
      </c>
      <c r="I325" s="1">
        <v>1</v>
      </c>
      <c r="J325" s="2">
        <v>431.03</v>
      </c>
    </row>
    <row r="326" spans="2:10" x14ac:dyDescent="0.2">
      <c r="B326" t="s">
        <v>690</v>
      </c>
      <c r="C326" t="s">
        <v>166</v>
      </c>
      <c r="D326" t="s">
        <v>691</v>
      </c>
      <c r="E326" t="s">
        <v>36</v>
      </c>
      <c r="F326" t="s">
        <v>37</v>
      </c>
      <c r="G326" t="s">
        <v>1034</v>
      </c>
      <c r="H326" t="s">
        <v>15</v>
      </c>
      <c r="I326" s="1">
        <v>1</v>
      </c>
      <c r="J326" s="2">
        <v>301.72000000000003</v>
      </c>
    </row>
    <row r="327" spans="2:10" x14ac:dyDescent="0.2">
      <c r="B327" t="s">
        <v>690</v>
      </c>
      <c r="C327" t="s">
        <v>166</v>
      </c>
      <c r="D327" t="s">
        <v>691</v>
      </c>
      <c r="E327" t="s">
        <v>122</v>
      </c>
      <c r="F327" t="s">
        <v>123</v>
      </c>
      <c r="G327" t="s">
        <v>1034</v>
      </c>
      <c r="H327" t="s">
        <v>15</v>
      </c>
      <c r="I327" s="1">
        <v>1</v>
      </c>
      <c r="J327" s="2">
        <v>387.93</v>
      </c>
    </row>
    <row r="328" spans="2:10" x14ac:dyDescent="0.2">
      <c r="B328" t="s">
        <v>690</v>
      </c>
      <c r="C328" t="s">
        <v>166</v>
      </c>
      <c r="D328" t="s">
        <v>691</v>
      </c>
      <c r="E328" t="s">
        <v>153</v>
      </c>
      <c r="F328" t="s">
        <v>154</v>
      </c>
      <c r="G328" t="s">
        <v>1034</v>
      </c>
      <c r="H328" t="s">
        <v>15</v>
      </c>
      <c r="I328" s="1">
        <v>1</v>
      </c>
      <c r="J328" s="2">
        <v>387.93</v>
      </c>
    </row>
    <row r="329" spans="2:10" x14ac:dyDescent="0.2">
      <c r="B329" t="s">
        <v>690</v>
      </c>
      <c r="C329" t="s">
        <v>166</v>
      </c>
      <c r="D329" t="s">
        <v>691</v>
      </c>
      <c r="E329" t="s">
        <v>656</v>
      </c>
      <c r="F329" t="s">
        <v>657</v>
      </c>
      <c r="G329" t="s">
        <v>43</v>
      </c>
      <c r="H329" t="s">
        <v>50</v>
      </c>
      <c r="I329" s="1">
        <v>1</v>
      </c>
      <c r="J329" s="2">
        <v>181.03</v>
      </c>
    </row>
    <row r="330" spans="2:10" x14ac:dyDescent="0.2">
      <c r="B330" t="s">
        <v>690</v>
      </c>
      <c r="C330" t="s">
        <v>166</v>
      </c>
      <c r="D330" t="s">
        <v>691</v>
      </c>
      <c r="E330" t="s">
        <v>273</v>
      </c>
      <c r="F330" t="s">
        <v>274</v>
      </c>
      <c r="G330" t="s">
        <v>1033</v>
      </c>
      <c r="H330" t="s">
        <v>30</v>
      </c>
      <c r="I330" s="1">
        <v>1</v>
      </c>
      <c r="J330" s="2">
        <v>1293.0999999999999</v>
      </c>
    </row>
    <row r="331" spans="2:10" x14ac:dyDescent="0.2">
      <c r="B331" t="s">
        <v>690</v>
      </c>
      <c r="C331" t="s">
        <v>166</v>
      </c>
      <c r="D331" t="s">
        <v>691</v>
      </c>
      <c r="E331" t="s">
        <v>244</v>
      </c>
      <c r="F331" t="s">
        <v>245</v>
      </c>
      <c r="G331" t="s">
        <v>14</v>
      </c>
      <c r="H331" t="s">
        <v>94</v>
      </c>
      <c r="I331" s="1">
        <v>1</v>
      </c>
      <c r="J331" s="2">
        <v>68.97</v>
      </c>
    </row>
    <row r="332" spans="2:10" x14ac:dyDescent="0.2">
      <c r="B332" t="s">
        <v>690</v>
      </c>
      <c r="C332" t="s">
        <v>166</v>
      </c>
      <c r="D332" t="s">
        <v>691</v>
      </c>
      <c r="E332" t="s">
        <v>406</v>
      </c>
      <c r="F332" t="s">
        <v>407</v>
      </c>
      <c r="G332" t="s">
        <v>14</v>
      </c>
      <c r="H332" t="s">
        <v>104</v>
      </c>
      <c r="I332" s="1">
        <v>2</v>
      </c>
      <c r="J332" s="2">
        <v>34.479999999999997</v>
      </c>
    </row>
    <row r="333" spans="2:10" x14ac:dyDescent="0.2">
      <c r="B333" t="s">
        <v>690</v>
      </c>
      <c r="C333" t="s">
        <v>166</v>
      </c>
      <c r="D333" t="s">
        <v>691</v>
      </c>
      <c r="E333" t="s">
        <v>63</v>
      </c>
      <c r="F333" t="s">
        <v>64</v>
      </c>
      <c r="G333" t="s">
        <v>1034</v>
      </c>
      <c r="H333" t="s">
        <v>15</v>
      </c>
      <c r="I333" s="1">
        <v>1</v>
      </c>
      <c r="J333" s="2">
        <v>172.41</v>
      </c>
    </row>
    <row r="334" spans="2:10" x14ac:dyDescent="0.2">
      <c r="B334" t="s">
        <v>740</v>
      </c>
      <c r="C334" t="s">
        <v>134</v>
      </c>
      <c r="D334" t="s">
        <v>741</v>
      </c>
      <c r="E334" t="s">
        <v>391</v>
      </c>
      <c r="F334" t="s">
        <v>392</v>
      </c>
      <c r="G334" t="s">
        <v>14</v>
      </c>
      <c r="H334" t="s">
        <v>87</v>
      </c>
      <c r="I334" s="1">
        <v>1</v>
      </c>
      <c r="J334" s="2">
        <v>482.76</v>
      </c>
    </row>
    <row r="335" spans="2:10" x14ac:dyDescent="0.2">
      <c r="B335" t="s">
        <v>740</v>
      </c>
      <c r="C335" t="s">
        <v>134</v>
      </c>
      <c r="D335" t="s">
        <v>741</v>
      </c>
      <c r="E335" t="s">
        <v>46</v>
      </c>
      <c r="F335" t="s">
        <v>47</v>
      </c>
      <c r="G335" t="s">
        <v>1034</v>
      </c>
      <c r="H335" t="s">
        <v>15</v>
      </c>
      <c r="I335" s="1">
        <v>2</v>
      </c>
      <c r="J335" s="2">
        <v>603.44000000000005</v>
      </c>
    </row>
    <row r="336" spans="2:10" x14ac:dyDescent="0.2">
      <c r="B336" t="s">
        <v>740</v>
      </c>
      <c r="C336" t="s">
        <v>134</v>
      </c>
      <c r="D336" t="s">
        <v>741</v>
      </c>
      <c r="E336" t="s">
        <v>97</v>
      </c>
      <c r="F336" t="s">
        <v>98</v>
      </c>
      <c r="G336" t="s">
        <v>1033</v>
      </c>
      <c r="H336" t="s">
        <v>30</v>
      </c>
      <c r="I336" s="1">
        <v>2</v>
      </c>
      <c r="J336" s="2">
        <v>5000</v>
      </c>
    </row>
    <row r="337" spans="2:10" x14ac:dyDescent="0.2">
      <c r="B337" t="s">
        <v>740</v>
      </c>
      <c r="C337" t="s">
        <v>134</v>
      </c>
      <c r="D337" t="s">
        <v>741</v>
      </c>
      <c r="E337" t="s">
        <v>559</v>
      </c>
      <c r="F337" t="s">
        <v>560</v>
      </c>
      <c r="G337" t="s">
        <v>1033</v>
      </c>
      <c r="H337" t="s">
        <v>30</v>
      </c>
      <c r="I337" s="1">
        <v>1</v>
      </c>
      <c r="J337" s="2">
        <v>1706.9</v>
      </c>
    </row>
    <row r="338" spans="2:10" x14ac:dyDescent="0.2">
      <c r="B338" t="s">
        <v>740</v>
      </c>
      <c r="C338" t="s">
        <v>134</v>
      </c>
      <c r="D338" t="s">
        <v>741</v>
      </c>
      <c r="E338" t="s">
        <v>36</v>
      </c>
      <c r="F338" t="s">
        <v>37</v>
      </c>
      <c r="G338" t="s">
        <v>1034</v>
      </c>
      <c r="H338" t="s">
        <v>15</v>
      </c>
      <c r="I338" s="1">
        <v>1</v>
      </c>
      <c r="J338" s="2">
        <v>301.72000000000003</v>
      </c>
    </row>
    <row r="339" spans="2:10" x14ac:dyDescent="0.2">
      <c r="B339" t="s">
        <v>740</v>
      </c>
      <c r="C339" t="s">
        <v>134</v>
      </c>
      <c r="D339" t="s">
        <v>741</v>
      </c>
      <c r="E339" t="s">
        <v>72</v>
      </c>
      <c r="F339" t="s">
        <v>73</v>
      </c>
      <c r="G339" t="s">
        <v>1034</v>
      </c>
      <c r="H339" t="s">
        <v>15</v>
      </c>
      <c r="I339" s="1">
        <v>1</v>
      </c>
      <c r="J339" s="2">
        <v>775.86</v>
      </c>
    </row>
    <row r="340" spans="2:10" x14ac:dyDescent="0.2">
      <c r="B340" t="s">
        <v>740</v>
      </c>
      <c r="C340" t="s">
        <v>135</v>
      </c>
      <c r="D340" t="s">
        <v>741</v>
      </c>
      <c r="E340" t="s">
        <v>44</v>
      </c>
      <c r="F340" t="s">
        <v>45</v>
      </c>
      <c r="G340" t="s">
        <v>1033</v>
      </c>
      <c r="H340" t="s">
        <v>30</v>
      </c>
      <c r="I340" s="1">
        <v>2</v>
      </c>
      <c r="J340" s="2">
        <v>163.80000000000001</v>
      </c>
    </row>
    <row r="341" spans="2:10" x14ac:dyDescent="0.2">
      <c r="B341" t="s">
        <v>740</v>
      </c>
      <c r="C341" t="s">
        <v>135</v>
      </c>
      <c r="D341" t="s">
        <v>741</v>
      </c>
      <c r="E341" t="s">
        <v>149</v>
      </c>
      <c r="F341" t="s">
        <v>150</v>
      </c>
      <c r="G341" t="s">
        <v>43</v>
      </c>
      <c r="H341" t="s">
        <v>50</v>
      </c>
      <c r="I341" s="1">
        <v>1</v>
      </c>
      <c r="J341" s="2">
        <v>3017.24</v>
      </c>
    </row>
    <row r="342" spans="2:10" x14ac:dyDescent="0.2">
      <c r="B342" t="s">
        <v>740</v>
      </c>
      <c r="C342" t="s">
        <v>135</v>
      </c>
      <c r="D342" t="s">
        <v>741</v>
      </c>
      <c r="E342" t="s">
        <v>746</v>
      </c>
      <c r="F342" t="s">
        <v>747</v>
      </c>
      <c r="G342" t="s">
        <v>1033</v>
      </c>
      <c r="H342" t="s">
        <v>30</v>
      </c>
      <c r="I342" s="1">
        <v>1</v>
      </c>
      <c r="J342" s="2">
        <v>474.14</v>
      </c>
    </row>
    <row r="343" spans="2:10" x14ac:dyDescent="0.2">
      <c r="B343" t="s">
        <v>740</v>
      </c>
      <c r="C343" t="s">
        <v>135</v>
      </c>
      <c r="D343" t="s">
        <v>741</v>
      </c>
      <c r="E343" t="s">
        <v>36</v>
      </c>
      <c r="F343" t="s">
        <v>37</v>
      </c>
      <c r="G343" t="s">
        <v>1034</v>
      </c>
      <c r="H343" t="s">
        <v>15</v>
      </c>
      <c r="I343" s="1">
        <v>2</v>
      </c>
      <c r="J343" s="2">
        <v>603.44000000000005</v>
      </c>
    </row>
    <row r="344" spans="2:10" x14ac:dyDescent="0.2">
      <c r="B344" t="s">
        <v>740</v>
      </c>
      <c r="C344" t="s">
        <v>135</v>
      </c>
      <c r="D344" t="s">
        <v>741</v>
      </c>
      <c r="E344" t="s">
        <v>656</v>
      </c>
      <c r="F344" t="s">
        <v>657</v>
      </c>
      <c r="G344" t="s">
        <v>43</v>
      </c>
      <c r="H344" t="s">
        <v>50</v>
      </c>
      <c r="I344" s="1">
        <v>1</v>
      </c>
      <c r="J344" s="2">
        <v>181.03</v>
      </c>
    </row>
    <row r="345" spans="2:10" x14ac:dyDescent="0.2">
      <c r="B345" t="s">
        <v>740</v>
      </c>
      <c r="C345" t="s">
        <v>141</v>
      </c>
      <c r="D345" t="s">
        <v>741</v>
      </c>
      <c r="E345" t="s">
        <v>748</v>
      </c>
      <c r="F345" t="s">
        <v>749</v>
      </c>
      <c r="G345" t="s">
        <v>699</v>
      </c>
      <c r="H345" t="s">
        <v>750</v>
      </c>
      <c r="I345" s="1">
        <v>1</v>
      </c>
      <c r="J345" s="2">
        <v>60.34</v>
      </c>
    </row>
    <row r="346" spans="2:10" x14ac:dyDescent="0.2">
      <c r="B346" t="s">
        <v>740</v>
      </c>
      <c r="C346" t="s">
        <v>141</v>
      </c>
      <c r="D346" t="s">
        <v>741</v>
      </c>
      <c r="E346" t="s">
        <v>751</v>
      </c>
      <c r="F346" t="s">
        <v>752</v>
      </c>
      <c r="G346" t="s">
        <v>699</v>
      </c>
      <c r="H346" t="s">
        <v>750</v>
      </c>
      <c r="I346" s="1">
        <v>1</v>
      </c>
      <c r="J346" s="2">
        <v>68.97</v>
      </c>
    </row>
    <row r="347" spans="2:10" x14ac:dyDescent="0.2">
      <c r="B347" t="s">
        <v>740</v>
      </c>
      <c r="C347" t="s">
        <v>141</v>
      </c>
      <c r="D347" t="s">
        <v>741</v>
      </c>
      <c r="E347" t="s">
        <v>559</v>
      </c>
      <c r="F347" t="s">
        <v>560</v>
      </c>
      <c r="G347" t="s">
        <v>1033</v>
      </c>
      <c r="H347" t="s">
        <v>30</v>
      </c>
      <c r="I347" s="1">
        <v>1</v>
      </c>
      <c r="J347" s="2">
        <v>1706.9</v>
      </c>
    </row>
    <row r="348" spans="2:10" x14ac:dyDescent="0.2">
      <c r="B348" t="s">
        <v>740</v>
      </c>
      <c r="C348" t="s">
        <v>141</v>
      </c>
      <c r="D348" t="s">
        <v>741</v>
      </c>
      <c r="E348" t="s">
        <v>22</v>
      </c>
      <c r="F348" t="s">
        <v>23</v>
      </c>
      <c r="G348" t="s">
        <v>14</v>
      </c>
      <c r="H348" t="s">
        <v>24</v>
      </c>
      <c r="I348" s="1">
        <v>1</v>
      </c>
      <c r="J348" s="2">
        <v>215.52</v>
      </c>
    </row>
    <row r="349" spans="2:10" x14ac:dyDescent="0.2">
      <c r="B349" t="s">
        <v>740</v>
      </c>
      <c r="C349" t="s">
        <v>141</v>
      </c>
      <c r="D349" t="s">
        <v>741</v>
      </c>
      <c r="E349" t="s">
        <v>56</v>
      </c>
      <c r="F349" t="s">
        <v>57</v>
      </c>
      <c r="G349" t="s">
        <v>1034</v>
      </c>
      <c r="H349" t="s">
        <v>15</v>
      </c>
      <c r="I349" s="1">
        <v>1</v>
      </c>
      <c r="J349" s="2">
        <v>431.03</v>
      </c>
    </row>
    <row r="350" spans="2:10" x14ac:dyDescent="0.2">
      <c r="B350" t="s">
        <v>740</v>
      </c>
      <c r="C350" t="s">
        <v>144</v>
      </c>
      <c r="D350" t="s">
        <v>741</v>
      </c>
      <c r="E350" t="s">
        <v>19</v>
      </c>
      <c r="F350" t="s">
        <v>20</v>
      </c>
      <c r="G350" t="s">
        <v>14</v>
      </c>
      <c r="H350" t="s">
        <v>21</v>
      </c>
      <c r="I350" s="1">
        <v>1</v>
      </c>
      <c r="J350" s="2">
        <v>431.04</v>
      </c>
    </row>
    <row r="351" spans="2:10" x14ac:dyDescent="0.2">
      <c r="B351" t="s">
        <v>740</v>
      </c>
      <c r="C351" t="s">
        <v>144</v>
      </c>
      <c r="D351" t="s">
        <v>741</v>
      </c>
      <c r="E351" t="s">
        <v>56</v>
      </c>
      <c r="F351" t="s">
        <v>57</v>
      </c>
      <c r="G351" t="s">
        <v>1034</v>
      </c>
      <c r="H351" t="s">
        <v>15</v>
      </c>
      <c r="I351" s="1">
        <v>1</v>
      </c>
      <c r="J351" s="2">
        <v>431.03</v>
      </c>
    </row>
    <row r="352" spans="2:10" x14ac:dyDescent="0.2">
      <c r="B352" t="s">
        <v>740</v>
      </c>
      <c r="C352" t="s">
        <v>144</v>
      </c>
      <c r="D352" t="s">
        <v>741</v>
      </c>
      <c r="E352" t="s">
        <v>16</v>
      </c>
      <c r="F352" t="s">
        <v>17</v>
      </c>
      <c r="G352" t="s">
        <v>1034</v>
      </c>
      <c r="H352" t="s">
        <v>15</v>
      </c>
      <c r="I352" s="1">
        <v>7</v>
      </c>
      <c r="J352" s="2">
        <v>4043.13</v>
      </c>
    </row>
    <row r="353" spans="2:10" x14ac:dyDescent="0.2">
      <c r="B353" t="s">
        <v>740</v>
      </c>
      <c r="C353" t="s">
        <v>165</v>
      </c>
      <c r="D353" t="s">
        <v>741</v>
      </c>
      <c r="E353" t="s">
        <v>167</v>
      </c>
      <c r="F353" t="s">
        <v>168</v>
      </c>
      <c r="G353" t="s">
        <v>1033</v>
      </c>
      <c r="H353" t="s">
        <v>30</v>
      </c>
      <c r="I353" s="1">
        <v>1</v>
      </c>
      <c r="J353" s="2">
        <v>1267.24</v>
      </c>
    </row>
    <row r="354" spans="2:10" x14ac:dyDescent="0.2">
      <c r="B354" t="s">
        <v>740</v>
      </c>
      <c r="C354" t="s">
        <v>165</v>
      </c>
      <c r="D354" t="s">
        <v>741</v>
      </c>
      <c r="E354" t="s">
        <v>19</v>
      </c>
      <c r="F354" t="s">
        <v>20</v>
      </c>
      <c r="G354" t="s">
        <v>14</v>
      </c>
      <c r="H354" t="s">
        <v>21</v>
      </c>
      <c r="I354" s="1">
        <v>2</v>
      </c>
      <c r="J354" s="2">
        <v>862.08</v>
      </c>
    </row>
    <row r="355" spans="2:10" x14ac:dyDescent="0.2">
      <c r="B355" t="s">
        <v>740</v>
      </c>
      <c r="C355" t="s">
        <v>165</v>
      </c>
      <c r="D355" t="s">
        <v>741</v>
      </c>
      <c r="E355" t="s">
        <v>267</v>
      </c>
      <c r="F355" t="s">
        <v>268</v>
      </c>
      <c r="G355" t="s">
        <v>1034</v>
      </c>
      <c r="H355" t="s">
        <v>15</v>
      </c>
      <c r="I355" s="1">
        <v>1</v>
      </c>
      <c r="J355" s="2">
        <v>258.62</v>
      </c>
    </row>
    <row r="356" spans="2:10" x14ac:dyDescent="0.2">
      <c r="B356" t="s">
        <v>740</v>
      </c>
      <c r="C356" t="s">
        <v>165</v>
      </c>
      <c r="D356" t="s">
        <v>741</v>
      </c>
      <c r="E356" t="s">
        <v>36</v>
      </c>
      <c r="F356" t="s">
        <v>37</v>
      </c>
      <c r="G356" t="s">
        <v>1034</v>
      </c>
      <c r="H356" t="s">
        <v>15</v>
      </c>
      <c r="I356" s="1">
        <v>3</v>
      </c>
      <c r="J356" s="2">
        <v>905.16000000000008</v>
      </c>
    </row>
    <row r="357" spans="2:10" x14ac:dyDescent="0.2">
      <c r="B357" t="s">
        <v>740</v>
      </c>
      <c r="C357" t="s">
        <v>165</v>
      </c>
      <c r="D357" t="s">
        <v>741</v>
      </c>
      <c r="E357" t="s">
        <v>72</v>
      </c>
      <c r="F357" t="s">
        <v>73</v>
      </c>
      <c r="G357" t="s">
        <v>1034</v>
      </c>
      <c r="H357" t="s">
        <v>15</v>
      </c>
      <c r="I357" s="1">
        <v>1</v>
      </c>
      <c r="J357" s="2">
        <v>775.86</v>
      </c>
    </row>
    <row r="358" spans="2:10" x14ac:dyDescent="0.2">
      <c r="B358" t="s">
        <v>740</v>
      </c>
      <c r="C358" t="s">
        <v>165</v>
      </c>
      <c r="D358" t="s">
        <v>741</v>
      </c>
      <c r="E358" t="s">
        <v>22</v>
      </c>
      <c r="F358" t="s">
        <v>23</v>
      </c>
      <c r="G358" t="s">
        <v>14</v>
      </c>
      <c r="H358" t="s">
        <v>24</v>
      </c>
      <c r="I358" s="1">
        <v>2</v>
      </c>
      <c r="J358" s="2">
        <v>431.03</v>
      </c>
    </row>
    <row r="359" spans="2:10" x14ac:dyDescent="0.2">
      <c r="B359" t="s">
        <v>740</v>
      </c>
      <c r="C359" t="s">
        <v>165</v>
      </c>
      <c r="D359" t="s">
        <v>741</v>
      </c>
      <c r="E359" t="s">
        <v>255</v>
      </c>
      <c r="F359" t="s">
        <v>256</v>
      </c>
      <c r="G359" t="s">
        <v>1033</v>
      </c>
      <c r="H359" t="s">
        <v>30</v>
      </c>
      <c r="I359" s="1">
        <v>1</v>
      </c>
      <c r="J359" s="2">
        <v>517.24</v>
      </c>
    </row>
    <row r="360" spans="2:10" x14ac:dyDescent="0.2">
      <c r="B360" t="s">
        <v>740</v>
      </c>
      <c r="C360" t="s">
        <v>165</v>
      </c>
      <c r="D360" t="s">
        <v>741</v>
      </c>
      <c r="E360" t="s">
        <v>61</v>
      </c>
      <c r="F360" t="s">
        <v>62</v>
      </c>
      <c r="G360" t="s">
        <v>1034</v>
      </c>
      <c r="H360" t="s">
        <v>15</v>
      </c>
      <c r="I360" s="1">
        <v>2</v>
      </c>
      <c r="J360" s="2">
        <v>344.82</v>
      </c>
    </row>
    <row r="361" spans="2:10" x14ac:dyDescent="0.2">
      <c r="B361" t="s">
        <v>740</v>
      </c>
      <c r="C361" t="s">
        <v>165</v>
      </c>
      <c r="D361" t="s">
        <v>741</v>
      </c>
      <c r="E361" t="s">
        <v>63</v>
      </c>
      <c r="F361" t="s">
        <v>64</v>
      </c>
      <c r="G361" t="s">
        <v>1034</v>
      </c>
      <c r="H361" t="s">
        <v>15</v>
      </c>
      <c r="I361" s="1">
        <v>1</v>
      </c>
      <c r="J361" s="2">
        <v>172.41</v>
      </c>
    </row>
    <row r="362" spans="2:10" x14ac:dyDescent="0.2">
      <c r="B362" t="s">
        <v>740</v>
      </c>
      <c r="C362" t="s">
        <v>165</v>
      </c>
      <c r="D362" t="s">
        <v>741</v>
      </c>
      <c r="E362" t="s">
        <v>16</v>
      </c>
      <c r="F362" t="s">
        <v>17</v>
      </c>
      <c r="G362" t="s">
        <v>1034</v>
      </c>
      <c r="H362" t="s">
        <v>15</v>
      </c>
      <c r="I362" s="1">
        <v>2</v>
      </c>
      <c r="J362" s="2">
        <v>1155.18</v>
      </c>
    </row>
    <row r="363" spans="2:10" x14ac:dyDescent="0.2">
      <c r="B363" t="s">
        <v>740</v>
      </c>
      <c r="C363" t="s">
        <v>165</v>
      </c>
      <c r="D363" t="s">
        <v>741</v>
      </c>
      <c r="E363" t="s">
        <v>753</v>
      </c>
      <c r="F363" t="s">
        <v>754</v>
      </c>
      <c r="G363" t="s">
        <v>43</v>
      </c>
      <c r="H363" t="s">
        <v>755</v>
      </c>
      <c r="I363" s="1">
        <v>1</v>
      </c>
      <c r="J363" s="2">
        <v>3879.31</v>
      </c>
    </row>
    <row r="364" spans="2:10" x14ac:dyDescent="0.2">
      <c r="B364" t="s">
        <v>740</v>
      </c>
      <c r="C364" t="s">
        <v>166</v>
      </c>
      <c r="D364" t="s">
        <v>741</v>
      </c>
      <c r="E364" t="s">
        <v>66</v>
      </c>
      <c r="F364" t="s">
        <v>67</v>
      </c>
      <c r="G364" t="s">
        <v>1033</v>
      </c>
      <c r="H364" t="s">
        <v>30</v>
      </c>
      <c r="I364" s="1">
        <v>1</v>
      </c>
      <c r="J364" s="2">
        <v>1681.03</v>
      </c>
    </row>
    <row r="365" spans="2:10" x14ac:dyDescent="0.2">
      <c r="B365" t="s">
        <v>740</v>
      </c>
      <c r="C365" t="s">
        <v>166</v>
      </c>
      <c r="D365" t="s">
        <v>741</v>
      </c>
      <c r="E365" t="s">
        <v>19</v>
      </c>
      <c r="F365" t="s">
        <v>20</v>
      </c>
      <c r="G365" t="s">
        <v>14</v>
      </c>
      <c r="H365" t="s">
        <v>21</v>
      </c>
      <c r="I365" s="1">
        <v>1</v>
      </c>
      <c r="J365" s="2">
        <v>431.04</v>
      </c>
    </row>
    <row r="366" spans="2:10" x14ac:dyDescent="0.2">
      <c r="B366" t="s">
        <v>740</v>
      </c>
      <c r="C366" t="s">
        <v>166</v>
      </c>
      <c r="D366" t="s">
        <v>741</v>
      </c>
      <c r="E366" t="s">
        <v>36</v>
      </c>
      <c r="F366" t="s">
        <v>37</v>
      </c>
      <c r="G366" t="s">
        <v>1034</v>
      </c>
      <c r="H366" t="s">
        <v>15</v>
      </c>
      <c r="I366" s="1">
        <v>1</v>
      </c>
      <c r="J366" s="2">
        <v>301.72000000000003</v>
      </c>
    </row>
    <row r="367" spans="2:10" x14ac:dyDescent="0.2">
      <c r="B367" t="s">
        <v>740</v>
      </c>
      <c r="C367" t="s">
        <v>166</v>
      </c>
      <c r="D367" t="s">
        <v>741</v>
      </c>
      <c r="E367" t="s">
        <v>72</v>
      </c>
      <c r="F367" t="s">
        <v>73</v>
      </c>
      <c r="G367" t="s">
        <v>1034</v>
      </c>
      <c r="H367" t="s">
        <v>15</v>
      </c>
      <c r="I367" s="1">
        <v>1</v>
      </c>
      <c r="J367" s="2">
        <v>775.86</v>
      </c>
    </row>
    <row r="368" spans="2:10" x14ac:dyDescent="0.2">
      <c r="B368" t="s">
        <v>740</v>
      </c>
      <c r="C368" t="s">
        <v>166</v>
      </c>
      <c r="D368" t="s">
        <v>741</v>
      </c>
      <c r="E368" t="s">
        <v>304</v>
      </c>
      <c r="F368" t="s">
        <v>305</v>
      </c>
      <c r="G368" t="s">
        <v>76</v>
      </c>
      <c r="H368" t="s">
        <v>60</v>
      </c>
      <c r="I368" s="1">
        <v>1</v>
      </c>
      <c r="J368" s="2">
        <v>344.83</v>
      </c>
    </row>
    <row r="369" spans="2:10" x14ac:dyDescent="0.2">
      <c r="B369" t="s">
        <v>740</v>
      </c>
      <c r="C369" t="s">
        <v>166</v>
      </c>
      <c r="D369" t="s">
        <v>741</v>
      </c>
      <c r="E369" t="s">
        <v>22</v>
      </c>
      <c r="F369" t="s">
        <v>23</v>
      </c>
      <c r="G369" t="s">
        <v>14</v>
      </c>
      <c r="H369" t="s">
        <v>24</v>
      </c>
      <c r="I369" s="1">
        <v>2</v>
      </c>
      <c r="J369" s="2">
        <v>431.03</v>
      </c>
    </row>
    <row r="370" spans="2:10" x14ac:dyDescent="0.2">
      <c r="B370" t="s">
        <v>740</v>
      </c>
      <c r="C370" t="s">
        <v>166</v>
      </c>
      <c r="D370" t="s">
        <v>741</v>
      </c>
      <c r="E370" t="s">
        <v>273</v>
      </c>
      <c r="F370" t="s">
        <v>274</v>
      </c>
      <c r="G370" t="s">
        <v>1033</v>
      </c>
      <c r="H370" t="s">
        <v>30</v>
      </c>
      <c r="I370" s="1">
        <v>1</v>
      </c>
      <c r="J370" s="2">
        <v>1293.0999999999999</v>
      </c>
    </row>
    <row r="371" spans="2:10" x14ac:dyDescent="0.2">
      <c r="B371" t="s">
        <v>740</v>
      </c>
      <c r="C371" t="s">
        <v>166</v>
      </c>
      <c r="D371" t="s">
        <v>741</v>
      </c>
      <c r="E371" t="s">
        <v>16</v>
      </c>
      <c r="F371" t="s">
        <v>17</v>
      </c>
      <c r="G371" t="s">
        <v>1034</v>
      </c>
      <c r="H371" t="s">
        <v>15</v>
      </c>
      <c r="I371" s="1">
        <v>1</v>
      </c>
      <c r="J371" s="2">
        <v>577.59</v>
      </c>
    </row>
    <row r="372" spans="2:10" x14ac:dyDescent="0.2">
      <c r="B372" t="s">
        <v>740</v>
      </c>
      <c r="C372" t="s">
        <v>166</v>
      </c>
      <c r="D372" t="s">
        <v>741</v>
      </c>
      <c r="E372" t="s">
        <v>585</v>
      </c>
      <c r="F372" t="s">
        <v>586</v>
      </c>
      <c r="G372" t="s">
        <v>1034</v>
      </c>
      <c r="H372" t="s">
        <v>15</v>
      </c>
      <c r="I372" s="1">
        <v>1</v>
      </c>
      <c r="J372" s="2">
        <v>310.33999999999997</v>
      </c>
    </row>
    <row r="373" spans="2:10" x14ac:dyDescent="0.2">
      <c r="B373" t="s">
        <v>740</v>
      </c>
      <c r="C373" t="s">
        <v>185</v>
      </c>
      <c r="D373" t="s">
        <v>32</v>
      </c>
      <c r="E373" t="s">
        <v>214</v>
      </c>
      <c r="F373" t="s">
        <v>215</v>
      </c>
      <c r="G373" t="s">
        <v>1034</v>
      </c>
      <c r="H373" t="s">
        <v>15</v>
      </c>
      <c r="I373" s="1">
        <v>2</v>
      </c>
      <c r="J373" s="2">
        <v>603.44000000000005</v>
      </c>
    </row>
    <row r="374" spans="2:10" x14ac:dyDescent="0.2">
      <c r="B374" t="s">
        <v>740</v>
      </c>
      <c r="C374" t="s">
        <v>185</v>
      </c>
      <c r="D374" t="s">
        <v>32</v>
      </c>
      <c r="E374" t="s">
        <v>16</v>
      </c>
      <c r="F374" t="s">
        <v>17</v>
      </c>
      <c r="G374" t="s">
        <v>1034</v>
      </c>
      <c r="H374" t="s">
        <v>15</v>
      </c>
      <c r="I374" s="1">
        <v>2</v>
      </c>
      <c r="J374" s="2">
        <v>1155.18</v>
      </c>
    </row>
    <row r="375" spans="2:10" x14ac:dyDescent="0.2">
      <c r="B375" t="s">
        <v>780</v>
      </c>
      <c r="C375" t="s">
        <v>134</v>
      </c>
      <c r="D375" t="s">
        <v>781</v>
      </c>
      <c r="E375" t="s">
        <v>302</v>
      </c>
      <c r="F375" t="s">
        <v>303</v>
      </c>
      <c r="G375" t="s">
        <v>1033</v>
      </c>
      <c r="H375" t="s">
        <v>30</v>
      </c>
      <c r="I375" s="1">
        <v>1</v>
      </c>
      <c r="J375" s="2">
        <v>474.14</v>
      </c>
    </row>
    <row r="376" spans="2:10" x14ac:dyDescent="0.2">
      <c r="B376" t="s">
        <v>780</v>
      </c>
      <c r="C376" t="s">
        <v>134</v>
      </c>
      <c r="D376" t="s">
        <v>781</v>
      </c>
      <c r="E376" t="s">
        <v>523</v>
      </c>
      <c r="F376" t="s">
        <v>524</v>
      </c>
      <c r="G376" t="s">
        <v>14</v>
      </c>
      <c r="H376" t="s">
        <v>35</v>
      </c>
      <c r="I376" s="1">
        <v>1</v>
      </c>
      <c r="J376" s="2">
        <v>60.34</v>
      </c>
    </row>
    <row r="377" spans="2:10" x14ac:dyDescent="0.2">
      <c r="B377" t="s">
        <v>780</v>
      </c>
      <c r="C377" t="s">
        <v>134</v>
      </c>
      <c r="D377" t="s">
        <v>781</v>
      </c>
      <c r="E377" t="s">
        <v>214</v>
      </c>
      <c r="F377" t="s">
        <v>215</v>
      </c>
      <c r="G377" t="s">
        <v>1034</v>
      </c>
      <c r="H377" t="s">
        <v>15</v>
      </c>
      <c r="I377" s="1">
        <v>1</v>
      </c>
      <c r="J377" s="2">
        <v>301.72000000000003</v>
      </c>
    </row>
    <row r="378" spans="2:10" x14ac:dyDescent="0.2">
      <c r="B378" t="s">
        <v>780</v>
      </c>
      <c r="C378" t="s">
        <v>134</v>
      </c>
      <c r="D378" t="s">
        <v>781</v>
      </c>
      <c r="E378" t="s">
        <v>36</v>
      </c>
      <c r="F378" t="s">
        <v>37</v>
      </c>
      <c r="G378" t="s">
        <v>1034</v>
      </c>
      <c r="H378" t="s">
        <v>15</v>
      </c>
      <c r="I378" s="1">
        <v>1</v>
      </c>
      <c r="J378" s="2">
        <v>301.72000000000003</v>
      </c>
    </row>
    <row r="379" spans="2:10" x14ac:dyDescent="0.2">
      <c r="B379" t="s">
        <v>780</v>
      </c>
      <c r="C379" t="s">
        <v>134</v>
      </c>
      <c r="D379" t="s">
        <v>781</v>
      </c>
      <c r="E379" t="s">
        <v>74</v>
      </c>
      <c r="F379" t="s">
        <v>75</v>
      </c>
      <c r="G379" t="s">
        <v>76</v>
      </c>
      <c r="H379" t="s">
        <v>60</v>
      </c>
      <c r="I379" s="1">
        <v>1</v>
      </c>
      <c r="J379" s="2">
        <v>344.83</v>
      </c>
    </row>
    <row r="380" spans="2:10" x14ac:dyDescent="0.2">
      <c r="B380" t="s">
        <v>780</v>
      </c>
      <c r="C380" t="s">
        <v>134</v>
      </c>
      <c r="D380" t="s">
        <v>781</v>
      </c>
      <c r="E380" t="s">
        <v>77</v>
      </c>
      <c r="F380" t="s">
        <v>78</v>
      </c>
      <c r="G380" t="s">
        <v>14</v>
      </c>
      <c r="H380" t="s">
        <v>27</v>
      </c>
      <c r="I380" s="1">
        <v>1</v>
      </c>
      <c r="J380" s="2">
        <v>51.72</v>
      </c>
    </row>
    <row r="381" spans="2:10" x14ac:dyDescent="0.2">
      <c r="B381" t="s">
        <v>780</v>
      </c>
      <c r="C381" t="s">
        <v>134</v>
      </c>
      <c r="D381" t="s">
        <v>781</v>
      </c>
      <c r="E381" t="s">
        <v>79</v>
      </c>
      <c r="F381" t="s">
        <v>80</v>
      </c>
      <c r="G381" t="s">
        <v>43</v>
      </c>
      <c r="H381" t="s">
        <v>81</v>
      </c>
      <c r="I381" s="1">
        <v>1</v>
      </c>
      <c r="J381" s="2">
        <v>1810.34</v>
      </c>
    </row>
    <row r="382" spans="2:10" x14ac:dyDescent="0.2">
      <c r="B382" t="s">
        <v>780</v>
      </c>
      <c r="C382" t="s">
        <v>135</v>
      </c>
      <c r="D382" t="s">
        <v>781</v>
      </c>
      <c r="E382" t="s">
        <v>798</v>
      </c>
      <c r="F382" t="s">
        <v>799</v>
      </c>
      <c r="G382" t="s">
        <v>14</v>
      </c>
      <c r="H382" t="s">
        <v>60</v>
      </c>
      <c r="I382" s="1">
        <v>1</v>
      </c>
      <c r="J382" s="2">
        <v>327.58999999999997</v>
      </c>
    </row>
    <row r="383" spans="2:10" x14ac:dyDescent="0.2">
      <c r="B383" t="s">
        <v>780</v>
      </c>
      <c r="C383" t="s">
        <v>135</v>
      </c>
      <c r="D383" t="s">
        <v>781</v>
      </c>
      <c r="E383" t="s">
        <v>44</v>
      </c>
      <c r="F383" t="s">
        <v>45</v>
      </c>
      <c r="G383" t="s">
        <v>1033</v>
      </c>
      <c r="H383" t="s">
        <v>30</v>
      </c>
      <c r="I383" s="1">
        <v>1</v>
      </c>
      <c r="J383" s="2">
        <v>81.900000000000006</v>
      </c>
    </row>
    <row r="384" spans="2:10" x14ac:dyDescent="0.2">
      <c r="B384" t="s">
        <v>780</v>
      </c>
      <c r="C384" t="s">
        <v>135</v>
      </c>
      <c r="D384" t="s">
        <v>781</v>
      </c>
      <c r="E384" t="s">
        <v>310</v>
      </c>
      <c r="F384" t="s">
        <v>311</v>
      </c>
      <c r="G384" t="s">
        <v>1033</v>
      </c>
      <c r="H384" t="s">
        <v>30</v>
      </c>
      <c r="I384" s="1">
        <v>1</v>
      </c>
      <c r="J384" s="2">
        <v>474.14</v>
      </c>
    </row>
    <row r="385" spans="2:10" x14ac:dyDescent="0.2">
      <c r="B385" t="s">
        <v>780</v>
      </c>
      <c r="C385" t="s">
        <v>135</v>
      </c>
      <c r="D385" t="s">
        <v>781</v>
      </c>
      <c r="E385" t="s">
        <v>16</v>
      </c>
      <c r="F385" t="s">
        <v>17</v>
      </c>
      <c r="G385" t="s">
        <v>1034</v>
      </c>
      <c r="H385" t="s">
        <v>15</v>
      </c>
      <c r="I385" s="1">
        <v>1</v>
      </c>
      <c r="J385" s="2">
        <v>577.59</v>
      </c>
    </row>
    <row r="386" spans="2:10" x14ac:dyDescent="0.2">
      <c r="B386" t="s">
        <v>780</v>
      </c>
      <c r="C386" t="s">
        <v>135</v>
      </c>
      <c r="D386" t="s">
        <v>781</v>
      </c>
      <c r="E386" t="s">
        <v>800</v>
      </c>
      <c r="F386" t="s">
        <v>801</v>
      </c>
      <c r="G386" t="s">
        <v>1033</v>
      </c>
      <c r="H386" t="s">
        <v>30</v>
      </c>
      <c r="I386" s="1">
        <v>1</v>
      </c>
      <c r="J386" s="2">
        <v>1715.52</v>
      </c>
    </row>
    <row r="387" spans="2:10" x14ac:dyDescent="0.2">
      <c r="B387" t="s">
        <v>780</v>
      </c>
      <c r="C387" t="s">
        <v>141</v>
      </c>
      <c r="D387" t="s">
        <v>32</v>
      </c>
      <c r="E387" t="s">
        <v>79</v>
      </c>
      <c r="F387" t="s">
        <v>80</v>
      </c>
      <c r="G387" t="s">
        <v>43</v>
      </c>
      <c r="H387" t="s">
        <v>81</v>
      </c>
      <c r="I387" s="1">
        <v>1</v>
      </c>
      <c r="J387" s="2">
        <v>1810.34</v>
      </c>
    </row>
    <row r="388" spans="2:10" x14ac:dyDescent="0.2">
      <c r="B388" t="s">
        <v>780</v>
      </c>
      <c r="C388" t="s">
        <v>144</v>
      </c>
      <c r="D388" t="s">
        <v>781</v>
      </c>
      <c r="E388" t="s">
        <v>312</v>
      </c>
      <c r="F388" t="s">
        <v>313</v>
      </c>
      <c r="G388" t="s">
        <v>1033</v>
      </c>
      <c r="H388" t="s">
        <v>30</v>
      </c>
      <c r="I388" s="1">
        <v>1</v>
      </c>
      <c r="J388" s="2">
        <v>603.45000000000005</v>
      </c>
    </row>
    <row r="389" spans="2:10" x14ac:dyDescent="0.2">
      <c r="B389" t="s">
        <v>780</v>
      </c>
      <c r="C389" t="s">
        <v>144</v>
      </c>
      <c r="D389" t="s">
        <v>781</v>
      </c>
      <c r="E389" t="s">
        <v>61</v>
      </c>
      <c r="F389" t="s">
        <v>62</v>
      </c>
      <c r="G389" t="s">
        <v>1034</v>
      </c>
      <c r="H389" t="s">
        <v>15</v>
      </c>
      <c r="I389" s="1">
        <v>1</v>
      </c>
      <c r="J389" s="2">
        <v>172.41</v>
      </c>
    </row>
    <row r="390" spans="2:10" x14ac:dyDescent="0.2">
      <c r="B390" t="s">
        <v>780</v>
      </c>
      <c r="C390" t="s">
        <v>165</v>
      </c>
      <c r="D390" t="s">
        <v>781</v>
      </c>
      <c r="E390" t="s">
        <v>802</v>
      </c>
      <c r="F390" t="s">
        <v>803</v>
      </c>
      <c r="G390" t="s">
        <v>1033</v>
      </c>
      <c r="H390" t="s">
        <v>30</v>
      </c>
      <c r="I390" s="1">
        <v>1</v>
      </c>
      <c r="J390" s="2">
        <v>366.38</v>
      </c>
    </row>
    <row r="391" spans="2:10" x14ac:dyDescent="0.2">
      <c r="B391" t="s">
        <v>780</v>
      </c>
      <c r="C391" t="s">
        <v>165</v>
      </c>
      <c r="D391" t="s">
        <v>781</v>
      </c>
      <c r="E391" t="s">
        <v>804</v>
      </c>
      <c r="F391" t="s">
        <v>805</v>
      </c>
      <c r="G391" t="s">
        <v>1033</v>
      </c>
      <c r="H391" t="s">
        <v>30</v>
      </c>
      <c r="I391" s="1">
        <v>1</v>
      </c>
      <c r="J391" s="2">
        <v>137.93</v>
      </c>
    </row>
    <row r="392" spans="2:10" x14ac:dyDescent="0.2">
      <c r="B392" t="s">
        <v>780</v>
      </c>
      <c r="C392" t="s">
        <v>165</v>
      </c>
      <c r="D392" t="s">
        <v>781</v>
      </c>
      <c r="E392" t="s">
        <v>44</v>
      </c>
      <c r="F392" t="s">
        <v>45</v>
      </c>
      <c r="G392" t="s">
        <v>1033</v>
      </c>
      <c r="H392" t="s">
        <v>30</v>
      </c>
      <c r="I392" s="1">
        <v>2</v>
      </c>
      <c r="J392" s="2">
        <v>163.80000000000001</v>
      </c>
    </row>
    <row r="393" spans="2:10" x14ac:dyDescent="0.2">
      <c r="B393" t="s">
        <v>780</v>
      </c>
      <c r="C393" t="s">
        <v>165</v>
      </c>
      <c r="D393" t="s">
        <v>781</v>
      </c>
      <c r="E393" t="s">
        <v>19</v>
      </c>
      <c r="F393" t="s">
        <v>20</v>
      </c>
      <c r="G393" t="s">
        <v>14</v>
      </c>
      <c r="H393" t="s">
        <v>21</v>
      </c>
      <c r="I393" s="1">
        <v>1</v>
      </c>
      <c r="J393" s="2">
        <v>431.04</v>
      </c>
    </row>
    <row r="394" spans="2:10" x14ac:dyDescent="0.2">
      <c r="B394" t="s">
        <v>780</v>
      </c>
      <c r="C394" t="s">
        <v>165</v>
      </c>
      <c r="D394" t="s">
        <v>781</v>
      </c>
      <c r="E394" t="s">
        <v>46</v>
      </c>
      <c r="F394" t="s">
        <v>47</v>
      </c>
      <c r="G394" t="s">
        <v>1034</v>
      </c>
      <c r="H394" t="s">
        <v>15</v>
      </c>
      <c r="I394" s="1">
        <v>1</v>
      </c>
      <c r="J394" s="2">
        <v>301.72000000000003</v>
      </c>
    </row>
    <row r="395" spans="2:10" x14ac:dyDescent="0.2">
      <c r="B395" t="s">
        <v>780</v>
      </c>
      <c r="C395" t="s">
        <v>165</v>
      </c>
      <c r="D395" t="s">
        <v>781</v>
      </c>
      <c r="E395" t="s">
        <v>221</v>
      </c>
      <c r="F395" t="s">
        <v>222</v>
      </c>
      <c r="G395" t="s">
        <v>1034</v>
      </c>
      <c r="H395" t="s">
        <v>15</v>
      </c>
      <c r="I395" s="1">
        <v>2</v>
      </c>
      <c r="J395" s="2">
        <v>862.06</v>
      </c>
    </row>
    <row r="396" spans="2:10" x14ac:dyDescent="0.2">
      <c r="B396" t="s">
        <v>780</v>
      </c>
      <c r="C396" t="s">
        <v>165</v>
      </c>
      <c r="D396" t="s">
        <v>781</v>
      </c>
      <c r="E396" t="s">
        <v>120</v>
      </c>
      <c r="F396" t="s">
        <v>121</v>
      </c>
      <c r="G396" t="s">
        <v>1034</v>
      </c>
      <c r="H396" t="s">
        <v>15</v>
      </c>
      <c r="I396" s="1">
        <v>1</v>
      </c>
      <c r="J396" s="2">
        <v>301.72000000000003</v>
      </c>
    </row>
    <row r="397" spans="2:10" x14ac:dyDescent="0.2">
      <c r="B397" t="s">
        <v>780</v>
      </c>
      <c r="C397" t="s">
        <v>165</v>
      </c>
      <c r="D397" t="s">
        <v>781</v>
      </c>
      <c r="E397" t="s">
        <v>223</v>
      </c>
      <c r="F397" t="s">
        <v>224</v>
      </c>
      <c r="G397" t="s">
        <v>43</v>
      </c>
      <c r="H397" t="s">
        <v>50</v>
      </c>
      <c r="I397" s="1">
        <v>1</v>
      </c>
      <c r="J397" s="2">
        <v>1637.93</v>
      </c>
    </row>
    <row r="398" spans="2:10" x14ac:dyDescent="0.2">
      <c r="B398" t="s">
        <v>780</v>
      </c>
      <c r="C398" t="s">
        <v>165</v>
      </c>
      <c r="D398" t="s">
        <v>781</v>
      </c>
      <c r="E398" t="s">
        <v>490</v>
      </c>
      <c r="F398" t="s">
        <v>491</v>
      </c>
      <c r="G398" t="s">
        <v>1033</v>
      </c>
      <c r="H398" t="s">
        <v>30</v>
      </c>
      <c r="I398" s="1">
        <v>1</v>
      </c>
      <c r="J398" s="2">
        <v>1982.76</v>
      </c>
    </row>
    <row r="399" spans="2:10" x14ac:dyDescent="0.2">
      <c r="B399" t="s">
        <v>780</v>
      </c>
      <c r="C399" t="s">
        <v>165</v>
      </c>
      <c r="D399" t="s">
        <v>781</v>
      </c>
      <c r="E399" t="s">
        <v>38</v>
      </c>
      <c r="F399" t="s">
        <v>39</v>
      </c>
      <c r="G399" t="s">
        <v>1034</v>
      </c>
      <c r="H399" t="s">
        <v>15</v>
      </c>
      <c r="I399" s="1">
        <v>1</v>
      </c>
      <c r="J399" s="2">
        <v>431.03</v>
      </c>
    </row>
    <row r="400" spans="2:10" x14ac:dyDescent="0.2">
      <c r="B400" t="s">
        <v>780</v>
      </c>
      <c r="C400" t="s">
        <v>165</v>
      </c>
      <c r="D400" t="s">
        <v>781</v>
      </c>
      <c r="E400" t="s">
        <v>273</v>
      </c>
      <c r="F400" t="s">
        <v>274</v>
      </c>
      <c r="G400" t="s">
        <v>1033</v>
      </c>
      <c r="H400" t="s">
        <v>30</v>
      </c>
      <c r="I400" s="1">
        <v>1</v>
      </c>
      <c r="J400" s="2">
        <v>1293.0999999999999</v>
      </c>
    </row>
    <row r="401" spans="2:10" x14ac:dyDescent="0.2">
      <c r="B401" t="s">
        <v>780</v>
      </c>
      <c r="C401" t="s">
        <v>165</v>
      </c>
      <c r="D401" t="s">
        <v>781</v>
      </c>
      <c r="E401" t="s">
        <v>56</v>
      </c>
      <c r="F401" t="s">
        <v>57</v>
      </c>
      <c r="G401" t="s">
        <v>1034</v>
      </c>
      <c r="H401" t="s">
        <v>15</v>
      </c>
      <c r="I401" s="1">
        <v>1</v>
      </c>
      <c r="J401" s="2">
        <v>431.03</v>
      </c>
    </row>
    <row r="402" spans="2:10" x14ac:dyDescent="0.2">
      <c r="B402" t="s">
        <v>780</v>
      </c>
      <c r="C402" t="s">
        <v>165</v>
      </c>
      <c r="D402" t="s">
        <v>781</v>
      </c>
      <c r="E402" t="s">
        <v>406</v>
      </c>
      <c r="F402" t="s">
        <v>407</v>
      </c>
      <c r="G402" t="s">
        <v>14</v>
      </c>
      <c r="H402" t="s">
        <v>104</v>
      </c>
      <c r="I402" s="1">
        <v>15</v>
      </c>
      <c r="J402" s="2">
        <v>258.60000000000002</v>
      </c>
    </row>
    <row r="403" spans="2:10" x14ac:dyDescent="0.2">
      <c r="B403" t="s">
        <v>780</v>
      </c>
      <c r="C403" t="s">
        <v>165</v>
      </c>
      <c r="D403" t="s">
        <v>781</v>
      </c>
      <c r="E403" t="s">
        <v>16</v>
      </c>
      <c r="F403" t="s">
        <v>17</v>
      </c>
      <c r="G403" t="s">
        <v>1034</v>
      </c>
      <c r="H403" t="s">
        <v>15</v>
      </c>
      <c r="I403" s="1">
        <v>1</v>
      </c>
      <c r="J403" s="2">
        <v>577.59</v>
      </c>
    </row>
    <row r="404" spans="2:10" x14ac:dyDescent="0.2">
      <c r="B404" t="s">
        <v>780</v>
      </c>
      <c r="C404" t="s">
        <v>165</v>
      </c>
      <c r="D404" t="s">
        <v>781</v>
      </c>
      <c r="E404" t="s">
        <v>806</v>
      </c>
      <c r="F404" t="s">
        <v>807</v>
      </c>
      <c r="G404" t="s">
        <v>1033</v>
      </c>
      <c r="H404" t="s">
        <v>30</v>
      </c>
      <c r="I404" s="1">
        <v>1</v>
      </c>
      <c r="J404" s="2">
        <v>2232.7600000000002</v>
      </c>
    </row>
    <row r="405" spans="2:10" x14ac:dyDescent="0.2">
      <c r="B405" t="s">
        <v>780</v>
      </c>
      <c r="C405" t="s">
        <v>165</v>
      </c>
      <c r="D405" t="s">
        <v>781</v>
      </c>
      <c r="E405" t="s">
        <v>28</v>
      </c>
      <c r="F405" t="s">
        <v>29</v>
      </c>
      <c r="G405" t="s">
        <v>1033</v>
      </c>
      <c r="H405" t="s">
        <v>30</v>
      </c>
      <c r="I405" s="1">
        <v>1</v>
      </c>
      <c r="J405" s="2">
        <v>155.16999999999999</v>
      </c>
    </row>
    <row r="406" spans="2:10" x14ac:dyDescent="0.2">
      <c r="B406" t="s">
        <v>780</v>
      </c>
      <c r="C406" t="s">
        <v>166</v>
      </c>
      <c r="D406" t="s">
        <v>781</v>
      </c>
      <c r="E406" t="s">
        <v>611</v>
      </c>
      <c r="F406" t="s">
        <v>612</v>
      </c>
      <c r="G406" t="s">
        <v>1033</v>
      </c>
      <c r="H406" t="s">
        <v>30</v>
      </c>
      <c r="I406" s="1">
        <v>1</v>
      </c>
      <c r="J406" s="2">
        <v>793.1</v>
      </c>
    </row>
    <row r="407" spans="2:10" x14ac:dyDescent="0.2">
      <c r="B407" t="s">
        <v>780</v>
      </c>
      <c r="C407" t="s">
        <v>166</v>
      </c>
      <c r="D407" t="s">
        <v>781</v>
      </c>
      <c r="E407" t="s">
        <v>671</v>
      </c>
      <c r="F407" t="s">
        <v>672</v>
      </c>
      <c r="G407" t="s">
        <v>14</v>
      </c>
      <c r="H407" t="s">
        <v>35</v>
      </c>
      <c r="I407" s="1">
        <v>1</v>
      </c>
      <c r="J407" s="2">
        <v>77.59</v>
      </c>
    </row>
    <row r="408" spans="2:10" x14ac:dyDescent="0.2">
      <c r="B408" t="s">
        <v>780</v>
      </c>
      <c r="C408" t="s">
        <v>166</v>
      </c>
      <c r="D408" t="s">
        <v>781</v>
      </c>
      <c r="E408" t="s">
        <v>731</v>
      </c>
      <c r="F408" t="s">
        <v>732</v>
      </c>
      <c r="G408" t="s">
        <v>14</v>
      </c>
      <c r="H408" t="s">
        <v>27</v>
      </c>
      <c r="I408" s="1">
        <v>2</v>
      </c>
      <c r="J408" s="2">
        <v>827.58</v>
      </c>
    </row>
    <row r="409" spans="2:10" x14ac:dyDescent="0.2">
      <c r="B409" t="s">
        <v>780</v>
      </c>
      <c r="C409" t="s">
        <v>166</v>
      </c>
      <c r="D409" t="s">
        <v>781</v>
      </c>
      <c r="E409" t="s">
        <v>56</v>
      </c>
      <c r="F409" t="s">
        <v>57</v>
      </c>
      <c r="G409" t="s">
        <v>1034</v>
      </c>
      <c r="H409" t="s">
        <v>15</v>
      </c>
      <c r="I409" s="1">
        <v>1</v>
      </c>
      <c r="J409" s="2">
        <v>431.03</v>
      </c>
    </row>
    <row r="410" spans="2:10" x14ac:dyDescent="0.2">
      <c r="B410" t="s">
        <v>780</v>
      </c>
      <c r="C410" t="s">
        <v>166</v>
      </c>
      <c r="D410" t="s">
        <v>781</v>
      </c>
      <c r="E410" t="s">
        <v>406</v>
      </c>
      <c r="F410" t="s">
        <v>407</v>
      </c>
      <c r="G410" t="s">
        <v>14</v>
      </c>
      <c r="H410" t="s">
        <v>104</v>
      </c>
      <c r="I410" s="1">
        <v>5</v>
      </c>
      <c r="J410" s="2">
        <v>86.2</v>
      </c>
    </row>
    <row r="411" spans="2:10" x14ac:dyDescent="0.2">
      <c r="B411" t="s">
        <v>780</v>
      </c>
      <c r="C411" t="s">
        <v>166</v>
      </c>
      <c r="D411" t="s">
        <v>781</v>
      </c>
      <c r="E411" t="s">
        <v>16</v>
      </c>
      <c r="F411" t="s">
        <v>17</v>
      </c>
      <c r="G411" t="s">
        <v>1034</v>
      </c>
      <c r="H411" t="s">
        <v>15</v>
      </c>
      <c r="I411" s="1">
        <v>1</v>
      </c>
      <c r="J411" s="2">
        <v>577.59</v>
      </c>
    </row>
    <row r="412" spans="2:10" x14ac:dyDescent="0.2">
      <c r="B412" t="s">
        <v>780</v>
      </c>
      <c r="C412" t="s">
        <v>185</v>
      </c>
      <c r="D412" t="s">
        <v>781</v>
      </c>
      <c r="E412" t="s">
        <v>44</v>
      </c>
      <c r="F412" t="s">
        <v>45</v>
      </c>
      <c r="G412" t="s">
        <v>1033</v>
      </c>
      <c r="H412" t="s">
        <v>30</v>
      </c>
      <c r="I412" s="1">
        <v>1</v>
      </c>
      <c r="J412" s="2">
        <v>81.900000000000006</v>
      </c>
    </row>
    <row r="413" spans="2:10" x14ac:dyDescent="0.2">
      <c r="B413" t="s">
        <v>780</v>
      </c>
      <c r="C413" t="s">
        <v>185</v>
      </c>
      <c r="D413" t="s">
        <v>781</v>
      </c>
      <c r="E413" t="s">
        <v>808</v>
      </c>
      <c r="F413" t="s">
        <v>809</v>
      </c>
      <c r="G413" t="s">
        <v>1033</v>
      </c>
      <c r="H413" t="s">
        <v>30</v>
      </c>
      <c r="I413" s="1">
        <v>1</v>
      </c>
      <c r="J413" s="2">
        <v>806.03</v>
      </c>
    </row>
    <row r="414" spans="2:10" x14ac:dyDescent="0.2">
      <c r="B414" t="s">
        <v>780</v>
      </c>
      <c r="C414" t="s">
        <v>185</v>
      </c>
      <c r="D414" t="s">
        <v>781</v>
      </c>
      <c r="E414" t="s">
        <v>249</v>
      </c>
      <c r="F414" t="s">
        <v>250</v>
      </c>
      <c r="G414" t="s">
        <v>1033</v>
      </c>
      <c r="H414" t="s">
        <v>30</v>
      </c>
      <c r="I414" s="1">
        <v>1</v>
      </c>
      <c r="J414" s="2">
        <v>517.24</v>
      </c>
    </row>
    <row r="415" spans="2:10" x14ac:dyDescent="0.2">
      <c r="B415" t="s">
        <v>780</v>
      </c>
      <c r="C415" t="s">
        <v>185</v>
      </c>
      <c r="D415" t="s">
        <v>781</v>
      </c>
      <c r="E415" t="s">
        <v>149</v>
      </c>
      <c r="F415" t="s">
        <v>150</v>
      </c>
      <c r="G415" t="s">
        <v>43</v>
      </c>
      <c r="H415" t="s">
        <v>50</v>
      </c>
      <c r="I415" s="1">
        <v>1</v>
      </c>
      <c r="J415" s="2">
        <v>3017.24</v>
      </c>
    </row>
    <row r="416" spans="2:10" x14ac:dyDescent="0.2">
      <c r="B416" t="s">
        <v>780</v>
      </c>
      <c r="C416" t="s">
        <v>185</v>
      </c>
      <c r="D416" t="s">
        <v>781</v>
      </c>
      <c r="E416" t="s">
        <v>221</v>
      </c>
      <c r="F416" t="s">
        <v>222</v>
      </c>
      <c r="G416" t="s">
        <v>1034</v>
      </c>
      <c r="H416" t="s">
        <v>15</v>
      </c>
      <c r="I416" s="1">
        <v>1</v>
      </c>
      <c r="J416" s="2">
        <v>431.03</v>
      </c>
    </row>
    <row r="417" spans="2:10" x14ac:dyDescent="0.2">
      <c r="B417" t="s">
        <v>780</v>
      </c>
      <c r="C417" t="s">
        <v>185</v>
      </c>
      <c r="D417" t="s">
        <v>781</v>
      </c>
      <c r="E417" t="s">
        <v>177</v>
      </c>
      <c r="F417" t="s">
        <v>178</v>
      </c>
      <c r="G417" t="s">
        <v>1033</v>
      </c>
      <c r="H417" t="s">
        <v>30</v>
      </c>
      <c r="I417" s="1">
        <v>1</v>
      </c>
      <c r="J417" s="2">
        <v>637.92999999999995</v>
      </c>
    </row>
    <row r="418" spans="2:10" x14ac:dyDescent="0.2">
      <c r="B418" t="s">
        <v>780</v>
      </c>
      <c r="C418" t="s">
        <v>185</v>
      </c>
      <c r="D418" t="s">
        <v>781</v>
      </c>
      <c r="E418" t="s">
        <v>746</v>
      </c>
      <c r="F418" t="s">
        <v>747</v>
      </c>
      <c r="G418" t="s">
        <v>1033</v>
      </c>
      <c r="H418" t="s">
        <v>30</v>
      </c>
      <c r="I418" s="1">
        <v>1</v>
      </c>
      <c r="J418" s="2">
        <v>474.14</v>
      </c>
    </row>
    <row r="419" spans="2:10" x14ac:dyDescent="0.2">
      <c r="B419" t="s">
        <v>780</v>
      </c>
      <c r="C419" t="s">
        <v>185</v>
      </c>
      <c r="D419" t="s">
        <v>781</v>
      </c>
      <c r="E419" t="s">
        <v>72</v>
      </c>
      <c r="F419" t="s">
        <v>73</v>
      </c>
      <c r="G419" t="s">
        <v>1034</v>
      </c>
      <c r="H419" t="s">
        <v>15</v>
      </c>
      <c r="I419" s="1">
        <v>1</v>
      </c>
      <c r="J419" s="2">
        <v>775.86</v>
      </c>
    </row>
    <row r="420" spans="2:10" x14ac:dyDescent="0.2">
      <c r="B420" t="s">
        <v>780</v>
      </c>
      <c r="C420" t="s">
        <v>185</v>
      </c>
      <c r="D420" t="s">
        <v>781</v>
      </c>
      <c r="E420" t="s">
        <v>122</v>
      </c>
      <c r="F420" t="s">
        <v>123</v>
      </c>
      <c r="G420" t="s">
        <v>1034</v>
      </c>
      <c r="H420" t="s">
        <v>15</v>
      </c>
      <c r="I420" s="1">
        <v>1</v>
      </c>
      <c r="J420" s="2">
        <v>387.93</v>
      </c>
    </row>
    <row r="421" spans="2:10" x14ac:dyDescent="0.2">
      <c r="B421" t="s">
        <v>780</v>
      </c>
      <c r="C421" t="s">
        <v>185</v>
      </c>
      <c r="D421" t="s">
        <v>781</v>
      </c>
      <c r="E421" t="s">
        <v>255</v>
      </c>
      <c r="F421" t="s">
        <v>256</v>
      </c>
      <c r="G421" t="s">
        <v>1033</v>
      </c>
      <c r="H421" t="s">
        <v>30</v>
      </c>
      <c r="I421" s="1">
        <v>1</v>
      </c>
      <c r="J421" s="2">
        <v>517.24</v>
      </c>
    </row>
    <row r="422" spans="2:10" x14ac:dyDescent="0.2">
      <c r="B422" t="s">
        <v>780</v>
      </c>
      <c r="C422" t="s">
        <v>185</v>
      </c>
      <c r="D422" t="s">
        <v>781</v>
      </c>
      <c r="E422" t="s">
        <v>257</v>
      </c>
      <c r="F422" t="s">
        <v>258</v>
      </c>
      <c r="G422" t="s">
        <v>1033</v>
      </c>
      <c r="H422" t="s">
        <v>30</v>
      </c>
      <c r="I422" s="1">
        <v>1</v>
      </c>
      <c r="J422" s="2">
        <v>1577.59</v>
      </c>
    </row>
    <row r="423" spans="2:10" x14ac:dyDescent="0.2">
      <c r="B423" t="s">
        <v>824</v>
      </c>
      <c r="C423" t="s">
        <v>134</v>
      </c>
      <c r="D423" t="s">
        <v>825</v>
      </c>
      <c r="E423" t="s">
        <v>221</v>
      </c>
      <c r="F423" t="s">
        <v>222</v>
      </c>
      <c r="G423" t="s">
        <v>1034</v>
      </c>
      <c r="H423" t="s">
        <v>15</v>
      </c>
      <c r="I423" s="1">
        <v>1</v>
      </c>
      <c r="J423" s="2">
        <v>431.03</v>
      </c>
    </row>
    <row r="424" spans="2:10" x14ac:dyDescent="0.2">
      <c r="B424" t="s">
        <v>824</v>
      </c>
      <c r="C424" t="s">
        <v>134</v>
      </c>
      <c r="D424" t="s">
        <v>825</v>
      </c>
      <c r="E424" t="s">
        <v>251</v>
      </c>
      <c r="F424" t="s">
        <v>252</v>
      </c>
      <c r="G424" t="s">
        <v>1033</v>
      </c>
      <c r="H424" t="s">
        <v>30</v>
      </c>
      <c r="I424" s="1">
        <v>1</v>
      </c>
      <c r="J424" s="2">
        <v>1500</v>
      </c>
    </row>
    <row r="425" spans="2:10" x14ac:dyDescent="0.2">
      <c r="B425" t="s">
        <v>824</v>
      </c>
      <c r="C425" t="s">
        <v>134</v>
      </c>
      <c r="D425" t="s">
        <v>825</v>
      </c>
      <c r="E425" t="s">
        <v>786</v>
      </c>
      <c r="F425" t="s">
        <v>787</v>
      </c>
      <c r="G425" t="s">
        <v>43</v>
      </c>
      <c r="H425" t="s">
        <v>383</v>
      </c>
      <c r="I425" s="1">
        <v>1</v>
      </c>
      <c r="J425" s="2">
        <v>301.72000000000003</v>
      </c>
    </row>
    <row r="426" spans="2:10" x14ac:dyDescent="0.2">
      <c r="B426" t="s">
        <v>824</v>
      </c>
      <c r="C426" t="s">
        <v>134</v>
      </c>
      <c r="D426" t="s">
        <v>825</v>
      </c>
      <c r="E426" t="s">
        <v>406</v>
      </c>
      <c r="F426" t="s">
        <v>407</v>
      </c>
      <c r="G426" t="s">
        <v>14</v>
      </c>
      <c r="H426" t="s">
        <v>104</v>
      </c>
      <c r="I426" s="1">
        <v>3</v>
      </c>
      <c r="J426" s="2">
        <v>51.72</v>
      </c>
    </row>
    <row r="427" spans="2:10" x14ac:dyDescent="0.2">
      <c r="B427" t="s">
        <v>824</v>
      </c>
      <c r="C427" t="s">
        <v>134</v>
      </c>
      <c r="D427" t="s">
        <v>825</v>
      </c>
      <c r="E427" t="s">
        <v>61</v>
      </c>
      <c r="F427" t="s">
        <v>62</v>
      </c>
      <c r="G427" t="s">
        <v>1034</v>
      </c>
      <c r="H427" t="s">
        <v>15</v>
      </c>
      <c r="I427" s="1">
        <v>1</v>
      </c>
      <c r="J427" s="2">
        <v>172.41</v>
      </c>
    </row>
    <row r="428" spans="2:10" x14ac:dyDescent="0.2">
      <c r="B428" t="s">
        <v>824</v>
      </c>
      <c r="C428" t="s">
        <v>135</v>
      </c>
      <c r="D428" t="s">
        <v>825</v>
      </c>
      <c r="E428" t="s">
        <v>832</v>
      </c>
      <c r="F428" t="s">
        <v>833</v>
      </c>
      <c r="G428" t="s">
        <v>14</v>
      </c>
      <c r="H428" t="s">
        <v>87</v>
      </c>
      <c r="I428" s="1">
        <v>1</v>
      </c>
      <c r="J428" s="2">
        <v>120.69</v>
      </c>
    </row>
    <row r="429" spans="2:10" x14ac:dyDescent="0.2">
      <c r="B429" t="s">
        <v>824</v>
      </c>
      <c r="C429" t="s">
        <v>135</v>
      </c>
      <c r="D429" t="s">
        <v>825</v>
      </c>
      <c r="E429" t="s">
        <v>122</v>
      </c>
      <c r="F429" t="s">
        <v>123</v>
      </c>
      <c r="G429" t="s">
        <v>1034</v>
      </c>
      <c r="H429" t="s">
        <v>15</v>
      </c>
      <c r="I429" s="1">
        <v>1</v>
      </c>
      <c r="J429" s="2">
        <v>387.93</v>
      </c>
    </row>
    <row r="430" spans="2:10" x14ac:dyDescent="0.2">
      <c r="B430" t="s">
        <v>824</v>
      </c>
      <c r="C430" t="s">
        <v>135</v>
      </c>
      <c r="D430" t="s">
        <v>825</v>
      </c>
      <c r="E430" t="s">
        <v>56</v>
      </c>
      <c r="F430" t="s">
        <v>57</v>
      </c>
      <c r="G430" t="s">
        <v>1034</v>
      </c>
      <c r="H430" t="s">
        <v>15</v>
      </c>
      <c r="I430" s="1">
        <v>1</v>
      </c>
      <c r="J430" s="2">
        <v>431.03</v>
      </c>
    </row>
    <row r="431" spans="2:10" x14ac:dyDescent="0.2">
      <c r="B431" t="s">
        <v>824</v>
      </c>
      <c r="C431" t="s">
        <v>135</v>
      </c>
      <c r="D431" t="s">
        <v>825</v>
      </c>
      <c r="E431" t="s">
        <v>193</v>
      </c>
      <c r="F431" t="s">
        <v>194</v>
      </c>
      <c r="G431" t="s">
        <v>1034</v>
      </c>
      <c r="H431" t="s">
        <v>15</v>
      </c>
      <c r="I431" s="1">
        <v>1</v>
      </c>
      <c r="J431" s="2">
        <v>1293.0999999999999</v>
      </c>
    </row>
    <row r="432" spans="2:10" x14ac:dyDescent="0.2">
      <c r="B432" t="s">
        <v>824</v>
      </c>
      <c r="C432" t="s">
        <v>141</v>
      </c>
      <c r="D432" t="s">
        <v>825</v>
      </c>
      <c r="E432" t="s">
        <v>844</v>
      </c>
      <c r="F432" t="s">
        <v>845</v>
      </c>
      <c r="G432" t="s">
        <v>1033</v>
      </c>
      <c r="H432" t="s">
        <v>30</v>
      </c>
      <c r="I432" s="1">
        <v>1</v>
      </c>
      <c r="J432" s="2">
        <v>1810.34</v>
      </c>
    </row>
    <row r="433" spans="2:10" x14ac:dyDescent="0.2">
      <c r="B433" t="s">
        <v>824</v>
      </c>
      <c r="C433" t="s">
        <v>141</v>
      </c>
      <c r="D433" t="s">
        <v>825</v>
      </c>
      <c r="E433" t="s">
        <v>72</v>
      </c>
      <c r="F433" t="s">
        <v>73</v>
      </c>
      <c r="G433" t="s">
        <v>1034</v>
      </c>
      <c r="H433" t="s">
        <v>15</v>
      </c>
      <c r="I433" s="1">
        <v>2</v>
      </c>
      <c r="J433" s="2">
        <v>1551.72</v>
      </c>
    </row>
    <row r="434" spans="2:10" x14ac:dyDescent="0.2">
      <c r="B434" t="s">
        <v>824</v>
      </c>
      <c r="C434" t="s">
        <v>141</v>
      </c>
      <c r="D434" t="s">
        <v>825</v>
      </c>
      <c r="E434" t="s">
        <v>56</v>
      </c>
      <c r="F434" t="s">
        <v>57</v>
      </c>
      <c r="G434" t="s">
        <v>1034</v>
      </c>
      <c r="H434" t="s">
        <v>15</v>
      </c>
      <c r="I434" s="1">
        <v>3</v>
      </c>
      <c r="J434" s="2">
        <v>1293.0999999999999</v>
      </c>
    </row>
    <row r="435" spans="2:10" x14ac:dyDescent="0.2">
      <c r="B435" t="s">
        <v>824</v>
      </c>
      <c r="C435" t="s">
        <v>144</v>
      </c>
      <c r="D435" t="s">
        <v>277</v>
      </c>
      <c r="E435" t="s">
        <v>44</v>
      </c>
      <c r="F435" t="s">
        <v>45</v>
      </c>
      <c r="G435" t="s">
        <v>1033</v>
      </c>
      <c r="H435" t="s">
        <v>30</v>
      </c>
      <c r="I435" s="1">
        <v>2</v>
      </c>
      <c r="J435" s="2">
        <v>163.80000000000001</v>
      </c>
    </row>
    <row r="436" spans="2:10" x14ac:dyDescent="0.2">
      <c r="B436" t="s">
        <v>824</v>
      </c>
      <c r="C436" t="s">
        <v>144</v>
      </c>
      <c r="D436" t="s">
        <v>277</v>
      </c>
      <c r="E436" t="s">
        <v>120</v>
      </c>
      <c r="F436" t="s">
        <v>121</v>
      </c>
      <c r="G436" t="s">
        <v>1034</v>
      </c>
      <c r="H436" t="s">
        <v>15</v>
      </c>
      <c r="I436" s="1">
        <v>1</v>
      </c>
      <c r="J436" s="2">
        <v>301.72000000000003</v>
      </c>
    </row>
    <row r="437" spans="2:10" x14ac:dyDescent="0.2">
      <c r="B437" t="s">
        <v>824</v>
      </c>
      <c r="C437" t="s">
        <v>144</v>
      </c>
      <c r="D437" t="s">
        <v>277</v>
      </c>
      <c r="E437" t="s">
        <v>214</v>
      </c>
      <c r="F437" t="s">
        <v>215</v>
      </c>
      <c r="G437" t="s">
        <v>1034</v>
      </c>
      <c r="H437" t="s">
        <v>15</v>
      </c>
      <c r="I437" s="1">
        <v>1</v>
      </c>
      <c r="J437" s="2">
        <v>301.72000000000003</v>
      </c>
    </row>
    <row r="438" spans="2:10" x14ac:dyDescent="0.2">
      <c r="B438" t="s">
        <v>824</v>
      </c>
      <c r="C438" t="s">
        <v>144</v>
      </c>
      <c r="D438" t="s">
        <v>277</v>
      </c>
      <c r="E438" t="s">
        <v>72</v>
      </c>
      <c r="F438" t="s">
        <v>73</v>
      </c>
      <c r="G438" t="s">
        <v>1034</v>
      </c>
      <c r="H438" t="s">
        <v>15</v>
      </c>
      <c r="I438" s="1">
        <v>1</v>
      </c>
      <c r="J438" s="2">
        <v>775.86</v>
      </c>
    </row>
    <row r="439" spans="2:10" x14ac:dyDescent="0.2">
      <c r="B439" t="s">
        <v>824</v>
      </c>
      <c r="C439" t="s">
        <v>144</v>
      </c>
      <c r="D439" t="s">
        <v>277</v>
      </c>
      <c r="E439" t="s">
        <v>122</v>
      </c>
      <c r="F439" t="s">
        <v>123</v>
      </c>
      <c r="G439" t="s">
        <v>1034</v>
      </c>
      <c r="H439" t="s">
        <v>15</v>
      </c>
      <c r="I439" s="1">
        <v>1</v>
      </c>
      <c r="J439" s="2">
        <v>387.93</v>
      </c>
    </row>
    <row r="440" spans="2:10" x14ac:dyDescent="0.2">
      <c r="B440" t="s">
        <v>824</v>
      </c>
      <c r="C440" t="s">
        <v>144</v>
      </c>
      <c r="D440" t="s">
        <v>277</v>
      </c>
      <c r="E440" t="s">
        <v>56</v>
      </c>
      <c r="F440" t="s">
        <v>57</v>
      </c>
      <c r="G440" t="s">
        <v>1034</v>
      </c>
      <c r="H440" t="s">
        <v>15</v>
      </c>
      <c r="I440" s="1">
        <v>1</v>
      </c>
      <c r="J440" s="2">
        <v>431.03</v>
      </c>
    </row>
    <row r="441" spans="2:10" x14ac:dyDescent="0.2">
      <c r="B441" t="s">
        <v>824</v>
      </c>
      <c r="C441" t="s">
        <v>144</v>
      </c>
      <c r="D441" t="s">
        <v>277</v>
      </c>
      <c r="E441" t="s">
        <v>846</v>
      </c>
      <c r="F441" t="s">
        <v>847</v>
      </c>
      <c r="G441" t="s">
        <v>14</v>
      </c>
      <c r="H441" t="s">
        <v>87</v>
      </c>
      <c r="I441" s="1">
        <v>1</v>
      </c>
      <c r="J441" s="2">
        <v>129.31</v>
      </c>
    </row>
    <row r="442" spans="2:10" x14ac:dyDescent="0.2">
      <c r="B442" t="s">
        <v>824</v>
      </c>
      <c r="C442" t="s">
        <v>144</v>
      </c>
      <c r="D442" t="s">
        <v>277</v>
      </c>
      <c r="E442" t="s">
        <v>372</v>
      </c>
      <c r="F442" t="s">
        <v>373</v>
      </c>
      <c r="G442" t="s">
        <v>1033</v>
      </c>
      <c r="H442" t="s">
        <v>30</v>
      </c>
      <c r="I442" s="1">
        <v>1</v>
      </c>
      <c r="J442" s="2">
        <v>2465.52</v>
      </c>
    </row>
    <row r="443" spans="2:10" x14ac:dyDescent="0.2">
      <c r="B443" t="s">
        <v>824</v>
      </c>
      <c r="C443" t="s">
        <v>144</v>
      </c>
      <c r="D443" t="s">
        <v>277</v>
      </c>
      <c r="E443" t="s">
        <v>28</v>
      </c>
      <c r="F443" t="s">
        <v>29</v>
      </c>
      <c r="G443" t="s">
        <v>1033</v>
      </c>
      <c r="H443" t="s">
        <v>30</v>
      </c>
      <c r="I443" s="1">
        <v>1</v>
      </c>
      <c r="J443" s="2">
        <v>155.16999999999999</v>
      </c>
    </row>
    <row r="444" spans="2:10" x14ac:dyDescent="0.2">
      <c r="B444" t="s">
        <v>824</v>
      </c>
      <c r="C444" t="s">
        <v>165</v>
      </c>
      <c r="D444" t="s">
        <v>825</v>
      </c>
      <c r="E444" t="s">
        <v>644</v>
      </c>
      <c r="F444" t="s">
        <v>645</v>
      </c>
      <c r="G444" t="s">
        <v>1033</v>
      </c>
      <c r="H444" t="s">
        <v>30</v>
      </c>
      <c r="I444" s="1">
        <v>1</v>
      </c>
      <c r="J444" s="2">
        <v>431.03</v>
      </c>
    </row>
    <row r="445" spans="2:10" x14ac:dyDescent="0.2">
      <c r="B445" t="s">
        <v>824</v>
      </c>
      <c r="C445" t="s">
        <v>165</v>
      </c>
      <c r="D445" t="s">
        <v>825</v>
      </c>
      <c r="E445" t="s">
        <v>238</v>
      </c>
      <c r="F445" t="s">
        <v>239</v>
      </c>
      <c r="G445" t="s">
        <v>1033</v>
      </c>
      <c r="H445" t="s">
        <v>30</v>
      </c>
      <c r="I445" s="1">
        <v>1</v>
      </c>
      <c r="J445" s="2">
        <v>396.55</v>
      </c>
    </row>
    <row r="446" spans="2:10" x14ac:dyDescent="0.2">
      <c r="B446" t="s">
        <v>824</v>
      </c>
      <c r="C446" t="s">
        <v>165</v>
      </c>
      <c r="D446" t="s">
        <v>825</v>
      </c>
      <c r="E446" t="s">
        <v>44</v>
      </c>
      <c r="F446" t="s">
        <v>45</v>
      </c>
      <c r="G446" t="s">
        <v>1033</v>
      </c>
      <c r="H446" t="s">
        <v>30</v>
      </c>
      <c r="I446" s="1">
        <v>2</v>
      </c>
      <c r="J446" s="2">
        <v>163.80000000000001</v>
      </c>
    </row>
    <row r="447" spans="2:10" x14ac:dyDescent="0.2">
      <c r="B447" t="s">
        <v>824</v>
      </c>
      <c r="C447" t="s">
        <v>165</v>
      </c>
      <c r="D447" t="s">
        <v>825</v>
      </c>
      <c r="E447" t="s">
        <v>838</v>
      </c>
      <c r="F447" t="s">
        <v>839</v>
      </c>
      <c r="G447" t="s">
        <v>14</v>
      </c>
      <c r="H447" t="s">
        <v>87</v>
      </c>
      <c r="I447" s="1">
        <v>1</v>
      </c>
      <c r="J447" s="2">
        <v>120.69</v>
      </c>
    </row>
    <row r="448" spans="2:10" x14ac:dyDescent="0.2">
      <c r="B448" t="s">
        <v>824</v>
      </c>
      <c r="C448" t="s">
        <v>165</v>
      </c>
      <c r="D448" t="s">
        <v>825</v>
      </c>
      <c r="E448" t="s">
        <v>242</v>
      </c>
      <c r="F448" t="s">
        <v>243</v>
      </c>
      <c r="G448" t="s">
        <v>14</v>
      </c>
      <c r="H448" t="s">
        <v>87</v>
      </c>
      <c r="I448" s="1">
        <v>1</v>
      </c>
      <c r="J448" s="2">
        <v>120.69</v>
      </c>
    </row>
    <row r="449" spans="2:10" x14ac:dyDescent="0.2">
      <c r="B449" t="s">
        <v>824</v>
      </c>
      <c r="C449" t="s">
        <v>165</v>
      </c>
      <c r="D449" t="s">
        <v>825</v>
      </c>
      <c r="E449" t="s">
        <v>151</v>
      </c>
      <c r="F449" t="s">
        <v>152</v>
      </c>
      <c r="G449" t="s">
        <v>14</v>
      </c>
      <c r="H449" t="s">
        <v>27</v>
      </c>
      <c r="I449" s="1">
        <v>1</v>
      </c>
      <c r="J449" s="2">
        <v>379.31</v>
      </c>
    </row>
    <row r="450" spans="2:10" x14ac:dyDescent="0.2">
      <c r="B450" t="s">
        <v>824</v>
      </c>
      <c r="C450" t="s">
        <v>165</v>
      </c>
      <c r="D450" t="s">
        <v>825</v>
      </c>
      <c r="E450" t="s">
        <v>12</v>
      </c>
      <c r="F450" t="s">
        <v>13</v>
      </c>
      <c r="G450" t="s">
        <v>1034</v>
      </c>
      <c r="H450" t="s">
        <v>15</v>
      </c>
      <c r="I450" s="1">
        <v>1</v>
      </c>
      <c r="J450" s="2">
        <v>1077.5899999999999</v>
      </c>
    </row>
    <row r="451" spans="2:10" x14ac:dyDescent="0.2">
      <c r="B451" t="s">
        <v>824</v>
      </c>
      <c r="C451" t="s">
        <v>165</v>
      </c>
      <c r="D451" t="s">
        <v>825</v>
      </c>
      <c r="E451" t="s">
        <v>36</v>
      </c>
      <c r="F451" t="s">
        <v>37</v>
      </c>
      <c r="G451" t="s">
        <v>1034</v>
      </c>
      <c r="H451" t="s">
        <v>15</v>
      </c>
      <c r="I451" s="1">
        <v>1</v>
      </c>
      <c r="J451" s="2">
        <v>301.72000000000003</v>
      </c>
    </row>
    <row r="452" spans="2:10" x14ac:dyDescent="0.2">
      <c r="B452" t="s">
        <v>824</v>
      </c>
      <c r="C452" t="s">
        <v>165</v>
      </c>
      <c r="D452" t="s">
        <v>825</v>
      </c>
      <c r="E452" t="s">
        <v>72</v>
      </c>
      <c r="F452" t="s">
        <v>73</v>
      </c>
      <c r="G452" t="s">
        <v>1034</v>
      </c>
      <c r="H452" t="s">
        <v>15</v>
      </c>
      <c r="I452" s="1">
        <v>1</v>
      </c>
      <c r="J452" s="2">
        <v>775.86</v>
      </c>
    </row>
    <row r="453" spans="2:10" x14ac:dyDescent="0.2">
      <c r="B453" t="s">
        <v>824</v>
      </c>
      <c r="C453" t="s">
        <v>165</v>
      </c>
      <c r="D453" t="s">
        <v>825</v>
      </c>
      <c r="E453" t="s">
        <v>122</v>
      </c>
      <c r="F453" t="s">
        <v>123</v>
      </c>
      <c r="G453" t="s">
        <v>1034</v>
      </c>
      <c r="H453" t="s">
        <v>15</v>
      </c>
      <c r="I453" s="1">
        <v>1</v>
      </c>
      <c r="J453" s="2">
        <v>387.93</v>
      </c>
    </row>
    <row r="454" spans="2:10" x14ac:dyDescent="0.2">
      <c r="B454" t="s">
        <v>824</v>
      </c>
      <c r="C454" t="s">
        <v>165</v>
      </c>
      <c r="D454" t="s">
        <v>825</v>
      </c>
      <c r="E454" t="s">
        <v>406</v>
      </c>
      <c r="F454" t="s">
        <v>407</v>
      </c>
      <c r="G454" t="s">
        <v>14</v>
      </c>
      <c r="H454" t="s">
        <v>104</v>
      </c>
      <c r="I454" s="1">
        <v>2</v>
      </c>
      <c r="J454" s="2">
        <v>34.479999999999997</v>
      </c>
    </row>
    <row r="455" spans="2:10" x14ac:dyDescent="0.2">
      <c r="B455" t="s">
        <v>824</v>
      </c>
      <c r="C455" t="s">
        <v>165</v>
      </c>
      <c r="D455" t="s">
        <v>825</v>
      </c>
      <c r="E455" t="s">
        <v>61</v>
      </c>
      <c r="F455" t="s">
        <v>62</v>
      </c>
      <c r="G455" t="s">
        <v>1034</v>
      </c>
      <c r="H455" t="s">
        <v>15</v>
      </c>
      <c r="I455" s="1">
        <v>1</v>
      </c>
      <c r="J455" s="2">
        <v>172.41</v>
      </c>
    </row>
    <row r="456" spans="2:10" x14ac:dyDescent="0.2">
      <c r="B456" t="s">
        <v>824</v>
      </c>
      <c r="C456" t="s">
        <v>165</v>
      </c>
      <c r="D456" t="s">
        <v>825</v>
      </c>
      <c r="E456" t="s">
        <v>16</v>
      </c>
      <c r="F456" t="s">
        <v>17</v>
      </c>
      <c r="G456" t="s">
        <v>1034</v>
      </c>
      <c r="H456" t="s">
        <v>15</v>
      </c>
      <c r="I456" s="1">
        <v>2</v>
      </c>
      <c r="J456" s="2">
        <v>1155.18</v>
      </c>
    </row>
    <row r="457" spans="2:10" x14ac:dyDescent="0.2">
      <c r="B457" t="s">
        <v>824</v>
      </c>
      <c r="C457" t="s">
        <v>165</v>
      </c>
      <c r="D457" t="s">
        <v>825</v>
      </c>
      <c r="E457" t="s">
        <v>28</v>
      </c>
      <c r="F457" t="s">
        <v>29</v>
      </c>
      <c r="G457" t="s">
        <v>1033</v>
      </c>
      <c r="H457" t="s">
        <v>30</v>
      </c>
      <c r="I457" s="1">
        <v>2</v>
      </c>
      <c r="J457" s="2">
        <v>310.33999999999997</v>
      </c>
    </row>
    <row r="458" spans="2:10" x14ac:dyDescent="0.2">
      <c r="B458" t="s">
        <v>824</v>
      </c>
      <c r="C458" t="s">
        <v>166</v>
      </c>
      <c r="D458" t="s">
        <v>825</v>
      </c>
      <c r="E458" t="s">
        <v>44</v>
      </c>
      <c r="F458" t="s">
        <v>45</v>
      </c>
      <c r="G458" t="s">
        <v>1033</v>
      </c>
      <c r="H458" t="s">
        <v>30</v>
      </c>
      <c r="I458" s="1">
        <v>1</v>
      </c>
      <c r="J458" s="2">
        <v>81.900000000000006</v>
      </c>
    </row>
    <row r="459" spans="2:10" x14ac:dyDescent="0.2">
      <c r="B459" t="s">
        <v>824</v>
      </c>
      <c r="C459" t="s">
        <v>166</v>
      </c>
      <c r="D459" t="s">
        <v>825</v>
      </c>
      <c r="E459" t="s">
        <v>848</v>
      </c>
      <c r="F459" t="s">
        <v>849</v>
      </c>
      <c r="G459" t="s">
        <v>1033</v>
      </c>
      <c r="H459" t="s">
        <v>30</v>
      </c>
      <c r="I459" s="1">
        <v>1</v>
      </c>
      <c r="J459" s="2">
        <v>379.31</v>
      </c>
    </row>
    <row r="460" spans="2:10" x14ac:dyDescent="0.2">
      <c r="B460" t="s">
        <v>824</v>
      </c>
      <c r="C460" t="s">
        <v>166</v>
      </c>
      <c r="D460" t="s">
        <v>825</v>
      </c>
      <c r="E460" t="s">
        <v>579</v>
      </c>
      <c r="F460" t="s">
        <v>580</v>
      </c>
      <c r="G460" t="s">
        <v>1033</v>
      </c>
      <c r="H460" t="s">
        <v>30</v>
      </c>
      <c r="I460" s="1">
        <v>1</v>
      </c>
      <c r="J460" s="2">
        <v>77.59</v>
      </c>
    </row>
    <row r="461" spans="2:10" x14ac:dyDescent="0.2">
      <c r="B461" t="s">
        <v>824</v>
      </c>
      <c r="C461" t="s">
        <v>166</v>
      </c>
      <c r="D461" t="s">
        <v>825</v>
      </c>
      <c r="E461" t="s">
        <v>63</v>
      </c>
      <c r="F461" t="s">
        <v>64</v>
      </c>
      <c r="G461" t="s">
        <v>1034</v>
      </c>
      <c r="H461" t="s">
        <v>15</v>
      </c>
      <c r="I461" s="1">
        <v>1</v>
      </c>
      <c r="J461" s="2">
        <v>172.41</v>
      </c>
    </row>
    <row r="462" spans="2:10" x14ac:dyDescent="0.2">
      <c r="B462" t="s">
        <v>824</v>
      </c>
      <c r="C462" t="s">
        <v>166</v>
      </c>
      <c r="D462" t="s">
        <v>825</v>
      </c>
      <c r="E462" t="s">
        <v>16</v>
      </c>
      <c r="F462" t="s">
        <v>17</v>
      </c>
      <c r="G462" t="s">
        <v>1034</v>
      </c>
      <c r="H462" t="s">
        <v>15</v>
      </c>
      <c r="I462" s="1">
        <v>1</v>
      </c>
      <c r="J462" s="2">
        <v>577.59</v>
      </c>
    </row>
    <row r="463" spans="2:10" x14ac:dyDescent="0.2">
      <c r="B463" t="s">
        <v>824</v>
      </c>
      <c r="C463" t="s">
        <v>166</v>
      </c>
      <c r="D463" t="s">
        <v>825</v>
      </c>
      <c r="E463" t="s">
        <v>585</v>
      </c>
      <c r="F463" t="s">
        <v>586</v>
      </c>
      <c r="G463" t="s">
        <v>1034</v>
      </c>
      <c r="H463" t="s">
        <v>15</v>
      </c>
      <c r="I463" s="1">
        <v>1</v>
      </c>
      <c r="J463" s="2">
        <v>310.33999999999997</v>
      </c>
    </row>
    <row r="464" spans="2:10" x14ac:dyDescent="0.2">
      <c r="B464" t="s">
        <v>824</v>
      </c>
      <c r="C464" t="s">
        <v>185</v>
      </c>
      <c r="D464" t="s">
        <v>825</v>
      </c>
      <c r="E464" t="s">
        <v>579</v>
      </c>
      <c r="F464" t="s">
        <v>580</v>
      </c>
      <c r="G464" t="s">
        <v>1033</v>
      </c>
      <c r="H464" t="s">
        <v>30</v>
      </c>
      <c r="I464" s="1">
        <v>1</v>
      </c>
      <c r="J464" s="2">
        <v>77.59</v>
      </c>
    </row>
    <row r="465" spans="2:10" x14ac:dyDescent="0.2">
      <c r="B465" t="s">
        <v>824</v>
      </c>
      <c r="C465" t="s">
        <v>185</v>
      </c>
      <c r="D465" t="s">
        <v>825</v>
      </c>
      <c r="E465" t="s">
        <v>838</v>
      </c>
      <c r="F465" t="s">
        <v>839</v>
      </c>
      <c r="G465" t="s">
        <v>14</v>
      </c>
      <c r="H465" t="s">
        <v>87</v>
      </c>
      <c r="I465" s="1">
        <v>1</v>
      </c>
      <c r="J465" s="2">
        <v>120.69</v>
      </c>
    </row>
    <row r="466" spans="2:10" x14ac:dyDescent="0.2">
      <c r="B466" t="s">
        <v>824</v>
      </c>
      <c r="C466" t="s">
        <v>185</v>
      </c>
      <c r="D466" t="s">
        <v>825</v>
      </c>
      <c r="E466" t="s">
        <v>731</v>
      </c>
      <c r="F466" t="s">
        <v>732</v>
      </c>
      <c r="G466" t="s">
        <v>14</v>
      </c>
      <c r="H466" t="s">
        <v>27</v>
      </c>
      <c r="I466" s="1">
        <v>1</v>
      </c>
      <c r="J466" s="2">
        <v>413.79</v>
      </c>
    </row>
    <row r="467" spans="2:10" x14ac:dyDescent="0.2">
      <c r="B467" t="s">
        <v>824</v>
      </c>
      <c r="C467" t="s">
        <v>185</v>
      </c>
      <c r="D467" t="s">
        <v>825</v>
      </c>
      <c r="E467" t="s">
        <v>36</v>
      </c>
      <c r="F467" t="s">
        <v>37</v>
      </c>
      <c r="G467" t="s">
        <v>1034</v>
      </c>
      <c r="H467" t="s">
        <v>15</v>
      </c>
      <c r="I467" s="1">
        <v>1</v>
      </c>
      <c r="J467" s="2">
        <v>301.72000000000003</v>
      </c>
    </row>
    <row r="468" spans="2:10" x14ac:dyDescent="0.2">
      <c r="B468" t="s">
        <v>824</v>
      </c>
      <c r="C468" t="s">
        <v>185</v>
      </c>
      <c r="D468" t="s">
        <v>825</v>
      </c>
      <c r="E468" t="s">
        <v>427</v>
      </c>
      <c r="F468" t="s">
        <v>428</v>
      </c>
      <c r="G468" t="s">
        <v>14</v>
      </c>
      <c r="H468" t="s">
        <v>87</v>
      </c>
      <c r="I468" s="1">
        <v>1</v>
      </c>
      <c r="J468" s="2">
        <v>120.69</v>
      </c>
    </row>
    <row r="469" spans="2:10" x14ac:dyDescent="0.2">
      <c r="B469" t="s">
        <v>824</v>
      </c>
      <c r="C469" t="s">
        <v>185</v>
      </c>
      <c r="D469" t="s">
        <v>825</v>
      </c>
      <c r="E469" t="s">
        <v>61</v>
      </c>
      <c r="F469" t="s">
        <v>62</v>
      </c>
      <c r="G469" t="s">
        <v>1034</v>
      </c>
      <c r="H469" t="s">
        <v>15</v>
      </c>
      <c r="I469" s="1">
        <v>1</v>
      </c>
      <c r="J469" s="2">
        <v>172.41</v>
      </c>
    </row>
    <row r="470" spans="2:10" x14ac:dyDescent="0.2">
      <c r="B470" t="s">
        <v>824</v>
      </c>
      <c r="C470" t="s">
        <v>185</v>
      </c>
      <c r="D470" t="s">
        <v>825</v>
      </c>
      <c r="E470" t="s">
        <v>63</v>
      </c>
      <c r="F470" t="s">
        <v>64</v>
      </c>
      <c r="G470" t="s">
        <v>1034</v>
      </c>
      <c r="H470" t="s">
        <v>15</v>
      </c>
      <c r="I470" s="1">
        <v>1</v>
      </c>
      <c r="J470" s="2">
        <v>172.41</v>
      </c>
    </row>
    <row r="471" spans="2:10" x14ac:dyDescent="0.2">
      <c r="B471" t="s">
        <v>866</v>
      </c>
      <c r="C471" t="s">
        <v>134</v>
      </c>
      <c r="D471" t="s">
        <v>226</v>
      </c>
      <c r="E471" t="s">
        <v>214</v>
      </c>
      <c r="F471" t="s">
        <v>215</v>
      </c>
      <c r="G471" t="s">
        <v>1034</v>
      </c>
      <c r="H471" t="s">
        <v>15</v>
      </c>
      <c r="I471" s="1">
        <v>1</v>
      </c>
      <c r="J471" s="2">
        <v>301.72000000000003</v>
      </c>
    </row>
    <row r="472" spans="2:10" x14ac:dyDescent="0.2">
      <c r="B472" t="s">
        <v>866</v>
      </c>
      <c r="C472" t="s">
        <v>134</v>
      </c>
      <c r="D472" t="s">
        <v>226</v>
      </c>
      <c r="E472" t="s">
        <v>56</v>
      </c>
      <c r="F472" t="s">
        <v>57</v>
      </c>
      <c r="G472" t="s">
        <v>1034</v>
      </c>
      <c r="H472" t="s">
        <v>15</v>
      </c>
      <c r="I472" s="1">
        <v>1</v>
      </c>
      <c r="J472" s="2">
        <v>431.03</v>
      </c>
    </row>
    <row r="473" spans="2:10" x14ac:dyDescent="0.2">
      <c r="B473" t="s">
        <v>866</v>
      </c>
      <c r="C473" t="s">
        <v>135</v>
      </c>
      <c r="D473" t="s">
        <v>32</v>
      </c>
      <c r="E473" t="s">
        <v>883</v>
      </c>
      <c r="F473" t="s">
        <v>884</v>
      </c>
      <c r="G473" t="s">
        <v>1033</v>
      </c>
      <c r="H473" t="s">
        <v>30</v>
      </c>
      <c r="I473" s="1">
        <v>1</v>
      </c>
      <c r="J473" s="2">
        <v>1551.72</v>
      </c>
    </row>
    <row r="474" spans="2:10" x14ac:dyDescent="0.2">
      <c r="B474" t="s">
        <v>866</v>
      </c>
      <c r="C474" t="s">
        <v>135</v>
      </c>
      <c r="D474" t="s">
        <v>32</v>
      </c>
      <c r="E474" t="s">
        <v>856</v>
      </c>
      <c r="F474" t="s">
        <v>857</v>
      </c>
      <c r="G474" t="s">
        <v>54</v>
      </c>
      <c r="H474" t="s">
        <v>138</v>
      </c>
      <c r="I474" s="1">
        <v>1</v>
      </c>
      <c r="J474" s="2">
        <v>431.03</v>
      </c>
    </row>
    <row r="475" spans="2:10" x14ac:dyDescent="0.2">
      <c r="B475" t="s">
        <v>866</v>
      </c>
      <c r="C475" t="s">
        <v>135</v>
      </c>
      <c r="D475" t="s">
        <v>32</v>
      </c>
      <c r="E475" t="s">
        <v>214</v>
      </c>
      <c r="F475" t="s">
        <v>215</v>
      </c>
      <c r="G475" t="s">
        <v>1034</v>
      </c>
      <c r="H475" t="s">
        <v>15</v>
      </c>
      <c r="I475" s="1">
        <v>2</v>
      </c>
      <c r="J475" s="2">
        <v>603.44000000000005</v>
      </c>
    </row>
    <row r="476" spans="2:10" x14ac:dyDescent="0.2">
      <c r="B476" t="s">
        <v>866</v>
      </c>
      <c r="C476" t="s">
        <v>135</v>
      </c>
      <c r="D476" t="s">
        <v>32</v>
      </c>
      <c r="E476" t="s">
        <v>431</v>
      </c>
      <c r="F476" t="s">
        <v>432</v>
      </c>
      <c r="G476" t="s">
        <v>43</v>
      </c>
      <c r="H476" t="s">
        <v>50</v>
      </c>
      <c r="I476" s="1">
        <v>1</v>
      </c>
      <c r="J476" s="2">
        <v>181.03</v>
      </c>
    </row>
    <row r="477" spans="2:10" x14ac:dyDescent="0.2">
      <c r="B477" t="s">
        <v>866</v>
      </c>
      <c r="C477" t="s">
        <v>135</v>
      </c>
      <c r="D477" t="s">
        <v>32</v>
      </c>
      <c r="E477" t="s">
        <v>836</v>
      </c>
      <c r="F477" t="s">
        <v>837</v>
      </c>
      <c r="G477" t="s">
        <v>14</v>
      </c>
      <c r="H477" t="s">
        <v>87</v>
      </c>
      <c r="I477" s="1">
        <v>1</v>
      </c>
      <c r="J477" s="2">
        <v>301.72000000000003</v>
      </c>
    </row>
    <row r="478" spans="2:10" x14ac:dyDescent="0.2">
      <c r="B478" t="s">
        <v>866</v>
      </c>
      <c r="C478" t="s">
        <v>135</v>
      </c>
      <c r="D478" t="s">
        <v>32</v>
      </c>
      <c r="E478" t="s">
        <v>885</v>
      </c>
      <c r="F478" t="s">
        <v>886</v>
      </c>
      <c r="G478" t="s">
        <v>14</v>
      </c>
      <c r="H478" t="s">
        <v>60</v>
      </c>
      <c r="I478" s="1">
        <v>1</v>
      </c>
      <c r="J478" s="2">
        <v>310.35000000000002</v>
      </c>
    </row>
    <row r="479" spans="2:10" x14ac:dyDescent="0.2">
      <c r="B479" t="s">
        <v>866</v>
      </c>
      <c r="C479" t="s">
        <v>135</v>
      </c>
      <c r="D479" t="s">
        <v>32</v>
      </c>
      <c r="E479" t="s">
        <v>25</v>
      </c>
      <c r="F479" t="s">
        <v>26</v>
      </c>
      <c r="G479" t="s">
        <v>14</v>
      </c>
      <c r="H479" t="s">
        <v>27</v>
      </c>
      <c r="I479" s="1">
        <v>1</v>
      </c>
      <c r="J479" s="2">
        <v>310.33999999999997</v>
      </c>
    </row>
    <row r="480" spans="2:10" x14ac:dyDescent="0.2">
      <c r="B480" t="s">
        <v>866</v>
      </c>
      <c r="C480" t="s">
        <v>135</v>
      </c>
      <c r="D480" t="s">
        <v>32</v>
      </c>
      <c r="E480" t="s">
        <v>38</v>
      </c>
      <c r="F480" t="s">
        <v>39</v>
      </c>
      <c r="G480" t="s">
        <v>1034</v>
      </c>
      <c r="H480" t="s">
        <v>15</v>
      </c>
      <c r="I480" s="1">
        <v>3</v>
      </c>
      <c r="J480" s="2">
        <v>1293.0899999999999</v>
      </c>
    </row>
    <row r="481" spans="2:10" x14ac:dyDescent="0.2">
      <c r="B481" t="s">
        <v>866</v>
      </c>
      <c r="C481" t="s">
        <v>135</v>
      </c>
      <c r="D481" t="s">
        <v>32</v>
      </c>
      <c r="E481" t="s">
        <v>28</v>
      </c>
      <c r="F481" t="s">
        <v>29</v>
      </c>
      <c r="G481" t="s">
        <v>1033</v>
      </c>
      <c r="H481" t="s">
        <v>30</v>
      </c>
      <c r="I481" s="1">
        <v>1</v>
      </c>
      <c r="J481" s="2">
        <v>155.16999999999999</v>
      </c>
    </row>
    <row r="482" spans="2:10" x14ac:dyDescent="0.2">
      <c r="B482" t="s">
        <v>866</v>
      </c>
      <c r="C482" t="s">
        <v>141</v>
      </c>
      <c r="D482" t="s">
        <v>277</v>
      </c>
      <c r="E482" t="s">
        <v>12</v>
      </c>
      <c r="F482" t="s">
        <v>13</v>
      </c>
      <c r="G482" t="s">
        <v>1034</v>
      </c>
      <c r="H482" t="s">
        <v>15</v>
      </c>
      <c r="I482" s="1">
        <v>1</v>
      </c>
      <c r="J482" s="2">
        <v>1077.5899999999999</v>
      </c>
    </row>
    <row r="483" spans="2:10" x14ac:dyDescent="0.2">
      <c r="B483" t="s">
        <v>866</v>
      </c>
      <c r="C483" t="s">
        <v>141</v>
      </c>
      <c r="D483" t="s">
        <v>277</v>
      </c>
      <c r="E483" t="s">
        <v>214</v>
      </c>
      <c r="F483" t="s">
        <v>215</v>
      </c>
      <c r="G483" t="s">
        <v>1034</v>
      </c>
      <c r="H483" t="s">
        <v>15</v>
      </c>
      <c r="I483" s="1">
        <v>1</v>
      </c>
      <c r="J483" s="2">
        <v>301.72000000000003</v>
      </c>
    </row>
    <row r="484" spans="2:10" x14ac:dyDescent="0.2">
      <c r="B484" t="s">
        <v>866</v>
      </c>
      <c r="C484" t="s">
        <v>141</v>
      </c>
      <c r="D484" t="s">
        <v>277</v>
      </c>
      <c r="E484" t="s">
        <v>38</v>
      </c>
      <c r="F484" t="s">
        <v>39</v>
      </c>
      <c r="G484" t="s">
        <v>1034</v>
      </c>
      <c r="H484" t="s">
        <v>15</v>
      </c>
      <c r="I484" s="1">
        <v>1</v>
      </c>
      <c r="J484" s="2">
        <v>431.03</v>
      </c>
    </row>
    <row r="485" spans="2:10" x14ac:dyDescent="0.2">
      <c r="B485" t="s">
        <v>866</v>
      </c>
      <c r="C485" t="s">
        <v>141</v>
      </c>
      <c r="D485" t="s">
        <v>277</v>
      </c>
      <c r="E485" t="s">
        <v>56</v>
      </c>
      <c r="F485" t="s">
        <v>57</v>
      </c>
      <c r="G485" t="s">
        <v>1034</v>
      </c>
      <c r="H485" t="s">
        <v>15</v>
      </c>
      <c r="I485" s="1">
        <v>3</v>
      </c>
      <c r="J485" s="2">
        <v>1293.0899999999999</v>
      </c>
    </row>
    <row r="486" spans="2:10" x14ac:dyDescent="0.2">
      <c r="B486" t="s">
        <v>866</v>
      </c>
      <c r="C486" t="s">
        <v>141</v>
      </c>
      <c r="D486" t="s">
        <v>277</v>
      </c>
      <c r="E486" t="s">
        <v>61</v>
      </c>
      <c r="F486" t="s">
        <v>62</v>
      </c>
      <c r="G486" t="s">
        <v>1034</v>
      </c>
      <c r="H486" t="s">
        <v>15</v>
      </c>
      <c r="I486" s="1">
        <v>1</v>
      </c>
      <c r="J486" s="2">
        <v>172.41</v>
      </c>
    </row>
    <row r="487" spans="2:10" x14ac:dyDescent="0.2">
      <c r="B487" t="s">
        <v>866</v>
      </c>
      <c r="C487" t="s">
        <v>141</v>
      </c>
      <c r="D487" t="s">
        <v>277</v>
      </c>
      <c r="E487" t="s">
        <v>28</v>
      </c>
      <c r="F487" t="s">
        <v>29</v>
      </c>
      <c r="G487" t="s">
        <v>1033</v>
      </c>
      <c r="H487" t="s">
        <v>30</v>
      </c>
      <c r="I487" s="1">
        <v>1</v>
      </c>
      <c r="J487" s="2">
        <v>155.16999999999999</v>
      </c>
    </row>
    <row r="488" spans="2:10" x14ac:dyDescent="0.2">
      <c r="B488" t="s">
        <v>866</v>
      </c>
      <c r="C488" t="s">
        <v>144</v>
      </c>
      <c r="D488" t="s">
        <v>32</v>
      </c>
      <c r="E488" t="s">
        <v>399</v>
      </c>
      <c r="F488" t="s">
        <v>400</v>
      </c>
      <c r="G488" t="s">
        <v>1033</v>
      </c>
      <c r="H488" t="s">
        <v>30</v>
      </c>
      <c r="I488" s="1">
        <v>1</v>
      </c>
      <c r="J488" s="2">
        <v>818.97</v>
      </c>
    </row>
    <row r="489" spans="2:10" x14ac:dyDescent="0.2">
      <c r="B489" t="s">
        <v>866</v>
      </c>
      <c r="C489" t="s">
        <v>144</v>
      </c>
      <c r="D489" t="s">
        <v>32</v>
      </c>
      <c r="E489" t="s">
        <v>312</v>
      </c>
      <c r="F489" t="s">
        <v>313</v>
      </c>
      <c r="G489" t="s">
        <v>1033</v>
      </c>
      <c r="H489" t="s">
        <v>30</v>
      </c>
      <c r="I489" s="1">
        <v>1</v>
      </c>
      <c r="J489" s="2">
        <v>603.45000000000005</v>
      </c>
    </row>
    <row r="490" spans="2:10" x14ac:dyDescent="0.2">
      <c r="B490" t="s">
        <v>866</v>
      </c>
      <c r="C490" t="s">
        <v>144</v>
      </c>
      <c r="D490" t="s">
        <v>32</v>
      </c>
      <c r="E490" t="s">
        <v>56</v>
      </c>
      <c r="F490" t="s">
        <v>57</v>
      </c>
      <c r="G490" t="s">
        <v>1034</v>
      </c>
      <c r="H490" t="s">
        <v>15</v>
      </c>
      <c r="I490" s="1">
        <v>2</v>
      </c>
      <c r="J490" s="2">
        <v>862.06</v>
      </c>
    </row>
    <row r="491" spans="2:10" x14ac:dyDescent="0.2">
      <c r="B491" t="s">
        <v>866</v>
      </c>
      <c r="C491" t="s">
        <v>144</v>
      </c>
      <c r="D491" t="s">
        <v>32</v>
      </c>
      <c r="E491" t="s">
        <v>110</v>
      </c>
      <c r="F491" t="s">
        <v>111</v>
      </c>
      <c r="G491" t="s">
        <v>14</v>
      </c>
      <c r="H491" t="s">
        <v>112</v>
      </c>
      <c r="I491" s="1">
        <v>1</v>
      </c>
      <c r="J491" s="2">
        <v>301.72000000000003</v>
      </c>
    </row>
    <row r="492" spans="2:10" x14ac:dyDescent="0.2">
      <c r="B492" t="s">
        <v>866</v>
      </c>
      <c r="C492" t="s">
        <v>144</v>
      </c>
      <c r="D492" t="s">
        <v>32</v>
      </c>
      <c r="E492" t="s">
        <v>459</v>
      </c>
      <c r="F492" t="s">
        <v>460</v>
      </c>
      <c r="G492" t="s">
        <v>43</v>
      </c>
      <c r="H492" t="s">
        <v>50</v>
      </c>
      <c r="I492" s="1">
        <v>1</v>
      </c>
      <c r="J492" s="2">
        <v>1810.34</v>
      </c>
    </row>
    <row r="493" spans="2:10" x14ac:dyDescent="0.2">
      <c r="B493" t="s">
        <v>866</v>
      </c>
      <c r="C493" t="s">
        <v>165</v>
      </c>
      <c r="D493" t="s">
        <v>32</v>
      </c>
      <c r="E493" t="s">
        <v>575</v>
      </c>
      <c r="F493" t="s">
        <v>576</v>
      </c>
      <c r="G493" t="s">
        <v>1033</v>
      </c>
      <c r="H493" t="s">
        <v>30</v>
      </c>
      <c r="I493" s="1">
        <v>1</v>
      </c>
      <c r="J493" s="2">
        <v>474.14</v>
      </c>
    </row>
    <row r="494" spans="2:10" x14ac:dyDescent="0.2">
      <c r="B494" t="s">
        <v>866</v>
      </c>
      <c r="C494" t="s">
        <v>165</v>
      </c>
      <c r="D494" t="s">
        <v>32</v>
      </c>
      <c r="E494" t="s">
        <v>19</v>
      </c>
      <c r="F494" t="s">
        <v>20</v>
      </c>
      <c r="G494" t="s">
        <v>14</v>
      </c>
      <c r="H494" t="s">
        <v>21</v>
      </c>
      <c r="I494" s="1">
        <v>1</v>
      </c>
      <c r="J494" s="2">
        <v>431.04</v>
      </c>
    </row>
    <row r="495" spans="2:10" x14ac:dyDescent="0.2">
      <c r="B495" t="s">
        <v>866</v>
      </c>
      <c r="C495" t="s">
        <v>165</v>
      </c>
      <c r="D495" t="s">
        <v>32</v>
      </c>
      <c r="E495" t="s">
        <v>120</v>
      </c>
      <c r="F495" t="s">
        <v>121</v>
      </c>
      <c r="G495" t="s">
        <v>1034</v>
      </c>
      <c r="H495" t="s">
        <v>15</v>
      </c>
      <c r="I495" s="1">
        <v>1</v>
      </c>
      <c r="J495" s="2">
        <v>301.72000000000003</v>
      </c>
    </row>
    <row r="496" spans="2:10" x14ac:dyDescent="0.2">
      <c r="B496" t="s">
        <v>866</v>
      </c>
      <c r="C496" t="s">
        <v>165</v>
      </c>
      <c r="D496" t="s">
        <v>32</v>
      </c>
      <c r="E496" t="s">
        <v>214</v>
      </c>
      <c r="F496" t="s">
        <v>215</v>
      </c>
      <c r="G496" t="s">
        <v>1034</v>
      </c>
      <c r="H496" t="s">
        <v>15</v>
      </c>
      <c r="I496" s="1">
        <v>1</v>
      </c>
      <c r="J496" s="2">
        <v>301.72000000000003</v>
      </c>
    </row>
    <row r="497" spans="2:10" x14ac:dyDescent="0.2">
      <c r="B497" t="s">
        <v>866</v>
      </c>
      <c r="C497" t="s">
        <v>165</v>
      </c>
      <c r="D497" t="s">
        <v>32</v>
      </c>
      <c r="E497" t="s">
        <v>887</v>
      </c>
      <c r="F497" t="s">
        <v>888</v>
      </c>
      <c r="G497" t="s">
        <v>14</v>
      </c>
      <c r="H497" t="s">
        <v>27</v>
      </c>
      <c r="I497" s="1">
        <v>1</v>
      </c>
      <c r="J497" s="2">
        <v>310.35000000000002</v>
      </c>
    </row>
    <row r="498" spans="2:10" x14ac:dyDescent="0.2">
      <c r="B498" t="s">
        <v>866</v>
      </c>
      <c r="C498" t="s">
        <v>165</v>
      </c>
      <c r="D498" t="s">
        <v>32</v>
      </c>
      <c r="E498" t="s">
        <v>273</v>
      </c>
      <c r="F498" t="s">
        <v>274</v>
      </c>
      <c r="G498" t="s">
        <v>1033</v>
      </c>
      <c r="H498" t="s">
        <v>30</v>
      </c>
      <c r="I498" s="1">
        <v>1</v>
      </c>
      <c r="J498" s="2">
        <v>1293.0999999999999</v>
      </c>
    </row>
    <row r="499" spans="2:10" x14ac:dyDescent="0.2">
      <c r="B499" t="s">
        <v>866</v>
      </c>
      <c r="C499" t="s">
        <v>165</v>
      </c>
      <c r="D499" t="s">
        <v>32</v>
      </c>
      <c r="E499" t="s">
        <v>56</v>
      </c>
      <c r="F499" t="s">
        <v>57</v>
      </c>
      <c r="G499" t="s">
        <v>1034</v>
      </c>
      <c r="H499" t="s">
        <v>15</v>
      </c>
      <c r="I499" s="1">
        <v>1</v>
      </c>
      <c r="J499" s="2">
        <v>431.03</v>
      </c>
    </row>
    <row r="500" spans="2:10" x14ac:dyDescent="0.2">
      <c r="B500" t="s">
        <v>866</v>
      </c>
      <c r="C500" t="s">
        <v>165</v>
      </c>
      <c r="D500" t="s">
        <v>32</v>
      </c>
      <c r="E500" t="s">
        <v>63</v>
      </c>
      <c r="F500" t="s">
        <v>64</v>
      </c>
      <c r="G500" t="s">
        <v>1034</v>
      </c>
      <c r="H500" t="s">
        <v>15</v>
      </c>
      <c r="I500" s="1">
        <v>1</v>
      </c>
      <c r="J500" s="2">
        <v>172.41</v>
      </c>
    </row>
    <row r="501" spans="2:10" x14ac:dyDescent="0.2">
      <c r="B501" t="s">
        <v>866</v>
      </c>
      <c r="C501" t="s">
        <v>165</v>
      </c>
      <c r="D501" t="s">
        <v>32</v>
      </c>
      <c r="E501" t="s">
        <v>16</v>
      </c>
      <c r="F501" t="s">
        <v>17</v>
      </c>
      <c r="G501" t="s">
        <v>1034</v>
      </c>
      <c r="H501" t="s">
        <v>15</v>
      </c>
      <c r="I501" s="1">
        <v>1</v>
      </c>
      <c r="J501" s="2">
        <v>577.59</v>
      </c>
    </row>
    <row r="502" spans="2:10" x14ac:dyDescent="0.2">
      <c r="B502" t="s">
        <v>866</v>
      </c>
      <c r="C502" t="s">
        <v>166</v>
      </c>
      <c r="D502" t="s">
        <v>277</v>
      </c>
      <c r="E502" t="s">
        <v>44</v>
      </c>
      <c r="F502" t="s">
        <v>45</v>
      </c>
      <c r="G502" t="s">
        <v>1033</v>
      </c>
      <c r="H502" t="s">
        <v>30</v>
      </c>
      <c r="I502" s="1">
        <v>1</v>
      </c>
      <c r="J502" s="2">
        <v>81.900000000000006</v>
      </c>
    </row>
    <row r="503" spans="2:10" x14ac:dyDescent="0.2">
      <c r="B503" t="s">
        <v>866</v>
      </c>
      <c r="C503" t="s">
        <v>166</v>
      </c>
      <c r="D503" t="s">
        <v>277</v>
      </c>
      <c r="E503" t="s">
        <v>120</v>
      </c>
      <c r="F503" t="s">
        <v>121</v>
      </c>
      <c r="G503" t="s">
        <v>1034</v>
      </c>
      <c r="H503" t="s">
        <v>15</v>
      </c>
      <c r="I503" s="1">
        <v>1</v>
      </c>
      <c r="J503" s="2">
        <v>301.72000000000003</v>
      </c>
    </row>
    <row r="504" spans="2:10" x14ac:dyDescent="0.2">
      <c r="B504" t="s">
        <v>866</v>
      </c>
      <c r="C504" t="s">
        <v>166</v>
      </c>
      <c r="D504" t="s">
        <v>277</v>
      </c>
      <c r="E504" t="s">
        <v>214</v>
      </c>
      <c r="F504" t="s">
        <v>215</v>
      </c>
      <c r="G504" t="s">
        <v>1034</v>
      </c>
      <c r="H504" t="s">
        <v>15</v>
      </c>
      <c r="I504" s="1">
        <v>1</v>
      </c>
      <c r="J504" s="2">
        <v>301.72000000000003</v>
      </c>
    </row>
    <row r="505" spans="2:10" x14ac:dyDescent="0.2">
      <c r="B505" t="s">
        <v>866</v>
      </c>
      <c r="C505" t="s">
        <v>166</v>
      </c>
      <c r="D505" t="s">
        <v>277</v>
      </c>
      <c r="E505" t="s">
        <v>889</v>
      </c>
      <c r="F505" t="s">
        <v>890</v>
      </c>
      <c r="G505" t="s">
        <v>1033</v>
      </c>
      <c r="H505" t="s">
        <v>30</v>
      </c>
      <c r="I505" s="1">
        <v>1</v>
      </c>
      <c r="J505" s="2">
        <v>2379.31</v>
      </c>
    </row>
    <row r="506" spans="2:10" x14ac:dyDescent="0.2">
      <c r="B506" t="s">
        <v>866</v>
      </c>
      <c r="C506" t="s">
        <v>166</v>
      </c>
      <c r="D506" t="s">
        <v>277</v>
      </c>
      <c r="E506" t="s">
        <v>370</v>
      </c>
      <c r="F506" t="s">
        <v>371</v>
      </c>
      <c r="G506" t="s">
        <v>1033</v>
      </c>
      <c r="H506" t="s">
        <v>30</v>
      </c>
      <c r="I506" s="1">
        <v>1</v>
      </c>
      <c r="J506" s="2">
        <v>1034.48</v>
      </c>
    </row>
    <row r="507" spans="2:10" x14ac:dyDescent="0.2">
      <c r="B507" t="s">
        <v>866</v>
      </c>
      <c r="C507" t="s">
        <v>166</v>
      </c>
      <c r="D507" t="s">
        <v>277</v>
      </c>
      <c r="E507" t="s">
        <v>163</v>
      </c>
      <c r="F507" t="s">
        <v>164</v>
      </c>
      <c r="G507" t="s">
        <v>1034</v>
      </c>
      <c r="H507" t="s">
        <v>15</v>
      </c>
      <c r="I507" s="1">
        <v>1</v>
      </c>
      <c r="J507" s="2">
        <v>431.03</v>
      </c>
    </row>
    <row r="508" spans="2:10" x14ac:dyDescent="0.2">
      <c r="B508" t="s">
        <v>866</v>
      </c>
      <c r="C508" t="s">
        <v>166</v>
      </c>
      <c r="D508" t="s">
        <v>277</v>
      </c>
      <c r="E508" t="s">
        <v>61</v>
      </c>
      <c r="F508" t="s">
        <v>62</v>
      </c>
      <c r="G508" t="s">
        <v>1034</v>
      </c>
      <c r="H508" t="s">
        <v>15</v>
      </c>
      <c r="I508" s="1">
        <v>1</v>
      </c>
      <c r="J508" s="2">
        <v>172.41</v>
      </c>
    </row>
    <row r="509" spans="2:10" x14ac:dyDescent="0.2">
      <c r="B509" t="s">
        <v>866</v>
      </c>
      <c r="C509" t="s">
        <v>166</v>
      </c>
      <c r="D509" t="s">
        <v>277</v>
      </c>
      <c r="E509" t="s">
        <v>16</v>
      </c>
      <c r="F509" t="s">
        <v>17</v>
      </c>
      <c r="G509" t="s">
        <v>1034</v>
      </c>
      <c r="H509" t="s">
        <v>15</v>
      </c>
      <c r="I509" s="1">
        <v>1</v>
      </c>
      <c r="J509" s="2">
        <v>577.59</v>
      </c>
    </row>
    <row r="510" spans="2:10" x14ac:dyDescent="0.2">
      <c r="B510" t="s">
        <v>907</v>
      </c>
      <c r="C510" t="s">
        <v>134</v>
      </c>
      <c r="D510" t="s">
        <v>130</v>
      </c>
      <c r="E510" t="s">
        <v>19</v>
      </c>
      <c r="F510" t="s">
        <v>20</v>
      </c>
      <c r="G510" t="s">
        <v>14</v>
      </c>
      <c r="H510" t="s">
        <v>21</v>
      </c>
      <c r="I510" s="1">
        <v>1</v>
      </c>
      <c r="J510" s="2">
        <v>431.04</v>
      </c>
    </row>
    <row r="511" spans="2:10" x14ac:dyDescent="0.2">
      <c r="B511" t="s">
        <v>907</v>
      </c>
      <c r="C511" t="s">
        <v>134</v>
      </c>
      <c r="D511" t="s">
        <v>130</v>
      </c>
      <c r="E511" t="s">
        <v>36</v>
      </c>
      <c r="F511" t="s">
        <v>37</v>
      </c>
      <c r="G511" t="s">
        <v>1034</v>
      </c>
      <c r="H511" t="s">
        <v>15</v>
      </c>
      <c r="I511" s="1">
        <v>1</v>
      </c>
      <c r="J511" s="2">
        <v>301.72000000000003</v>
      </c>
    </row>
    <row r="512" spans="2:10" x14ac:dyDescent="0.2">
      <c r="B512" t="s">
        <v>907</v>
      </c>
      <c r="C512" t="s">
        <v>134</v>
      </c>
      <c r="D512" t="s">
        <v>130</v>
      </c>
      <c r="E512" t="s">
        <v>679</v>
      </c>
      <c r="F512" t="s">
        <v>680</v>
      </c>
      <c r="G512" t="s">
        <v>1033</v>
      </c>
      <c r="H512" t="s">
        <v>30</v>
      </c>
      <c r="I512" s="1">
        <v>1</v>
      </c>
      <c r="J512" s="2">
        <v>1293.0999999999999</v>
      </c>
    </row>
    <row r="513" spans="2:10" x14ac:dyDescent="0.2">
      <c r="B513" t="s">
        <v>907</v>
      </c>
      <c r="C513" t="s">
        <v>134</v>
      </c>
      <c r="D513" t="s">
        <v>130</v>
      </c>
      <c r="E513" t="s">
        <v>131</v>
      </c>
      <c r="F513" t="s">
        <v>132</v>
      </c>
      <c r="G513" t="s">
        <v>43</v>
      </c>
      <c r="H513" t="s">
        <v>133</v>
      </c>
      <c r="I513" s="1">
        <v>1</v>
      </c>
      <c r="J513" s="2">
        <v>2155.17</v>
      </c>
    </row>
    <row r="514" spans="2:10" x14ac:dyDescent="0.2">
      <c r="B514" t="s">
        <v>907</v>
      </c>
      <c r="C514" t="s">
        <v>134</v>
      </c>
      <c r="D514" t="s">
        <v>130</v>
      </c>
      <c r="E514" t="s">
        <v>231</v>
      </c>
      <c r="F514" t="s">
        <v>232</v>
      </c>
      <c r="G514" t="s">
        <v>43</v>
      </c>
      <c r="H514" t="s">
        <v>50</v>
      </c>
      <c r="I514" s="1">
        <v>1</v>
      </c>
      <c r="J514" s="2">
        <v>3017.24</v>
      </c>
    </row>
    <row r="515" spans="2:10" x14ac:dyDescent="0.2">
      <c r="B515" t="s">
        <v>907</v>
      </c>
      <c r="C515" t="s">
        <v>134</v>
      </c>
      <c r="D515" t="s">
        <v>130</v>
      </c>
      <c r="E515" t="s">
        <v>61</v>
      </c>
      <c r="F515" t="s">
        <v>62</v>
      </c>
      <c r="G515" t="s">
        <v>1034</v>
      </c>
      <c r="H515" t="s">
        <v>15</v>
      </c>
      <c r="I515" s="1">
        <v>1</v>
      </c>
      <c r="J515" s="2">
        <v>172.41</v>
      </c>
    </row>
    <row r="516" spans="2:10" x14ac:dyDescent="0.2">
      <c r="B516" t="s">
        <v>907</v>
      </c>
      <c r="C516" t="s">
        <v>134</v>
      </c>
      <c r="D516" t="s">
        <v>130</v>
      </c>
      <c r="E516" t="s">
        <v>193</v>
      </c>
      <c r="F516" t="s">
        <v>194</v>
      </c>
      <c r="G516" t="s">
        <v>1034</v>
      </c>
      <c r="H516" t="s">
        <v>15</v>
      </c>
      <c r="I516" s="1">
        <v>1</v>
      </c>
      <c r="J516" s="2">
        <v>1293.0999999999999</v>
      </c>
    </row>
    <row r="517" spans="2:10" x14ac:dyDescent="0.2">
      <c r="B517" t="s">
        <v>907</v>
      </c>
      <c r="C517" t="s">
        <v>135</v>
      </c>
      <c r="D517" t="s">
        <v>908</v>
      </c>
      <c r="E517" t="s">
        <v>318</v>
      </c>
      <c r="F517" t="s">
        <v>319</v>
      </c>
      <c r="G517" t="s">
        <v>1033</v>
      </c>
      <c r="H517" t="s">
        <v>30</v>
      </c>
      <c r="I517" s="1">
        <v>1</v>
      </c>
      <c r="J517" s="2">
        <v>456.9</v>
      </c>
    </row>
    <row r="518" spans="2:10" x14ac:dyDescent="0.2">
      <c r="B518" t="s">
        <v>907</v>
      </c>
      <c r="C518" t="s">
        <v>135</v>
      </c>
      <c r="D518" t="s">
        <v>908</v>
      </c>
      <c r="E518" t="s">
        <v>915</v>
      </c>
      <c r="F518" t="s">
        <v>916</v>
      </c>
      <c r="G518" t="s">
        <v>1033</v>
      </c>
      <c r="H518" t="s">
        <v>30</v>
      </c>
      <c r="I518" s="1">
        <v>1</v>
      </c>
      <c r="J518" s="2">
        <v>301.72000000000003</v>
      </c>
    </row>
    <row r="519" spans="2:10" x14ac:dyDescent="0.2">
      <c r="B519" t="s">
        <v>907</v>
      </c>
      <c r="C519" t="s">
        <v>135</v>
      </c>
      <c r="D519" t="s">
        <v>908</v>
      </c>
      <c r="E519" t="s">
        <v>358</v>
      </c>
      <c r="F519" t="s">
        <v>359</v>
      </c>
      <c r="G519" t="s">
        <v>1033</v>
      </c>
      <c r="H519" t="s">
        <v>30</v>
      </c>
      <c r="I519" s="1">
        <v>1</v>
      </c>
      <c r="J519" s="2">
        <v>1500</v>
      </c>
    </row>
    <row r="520" spans="2:10" x14ac:dyDescent="0.2">
      <c r="B520" t="s">
        <v>907</v>
      </c>
      <c r="C520" t="s">
        <v>135</v>
      </c>
      <c r="D520" t="s">
        <v>908</v>
      </c>
      <c r="E520" t="s">
        <v>255</v>
      </c>
      <c r="F520" t="s">
        <v>256</v>
      </c>
      <c r="G520" t="s">
        <v>1033</v>
      </c>
      <c r="H520" t="s">
        <v>30</v>
      </c>
      <c r="I520" s="1">
        <v>1</v>
      </c>
      <c r="J520" s="2">
        <v>517.24</v>
      </c>
    </row>
    <row r="521" spans="2:10" x14ac:dyDescent="0.2">
      <c r="B521" t="s">
        <v>907</v>
      </c>
      <c r="C521" t="s">
        <v>135</v>
      </c>
      <c r="D521" t="s">
        <v>908</v>
      </c>
      <c r="E521" t="s">
        <v>126</v>
      </c>
      <c r="F521" t="s">
        <v>127</v>
      </c>
      <c r="G521" t="s">
        <v>43</v>
      </c>
      <c r="H521" t="s">
        <v>128</v>
      </c>
      <c r="I521" s="1">
        <v>1</v>
      </c>
      <c r="J521" s="2">
        <v>2068.9699999999998</v>
      </c>
    </row>
    <row r="522" spans="2:10" x14ac:dyDescent="0.2">
      <c r="B522" t="s">
        <v>907</v>
      </c>
      <c r="C522" t="s">
        <v>141</v>
      </c>
      <c r="D522" t="s">
        <v>908</v>
      </c>
      <c r="E522" t="s">
        <v>318</v>
      </c>
      <c r="F522" t="s">
        <v>319</v>
      </c>
      <c r="G522" t="s">
        <v>1033</v>
      </c>
      <c r="H522" t="s">
        <v>30</v>
      </c>
      <c r="I522" s="1">
        <v>1</v>
      </c>
      <c r="J522" s="2">
        <v>456.9</v>
      </c>
    </row>
    <row r="523" spans="2:10" x14ac:dyDescent="0.2">
      <c r="B523" t="s">
        <v>907</v>
      </c>
      <c r="C523" t="s">
        <v>141</v>
      </c>
      <c r="D523" t="s">
        <v>908</v>
      </c>
      <c r="E523" t="s">
        <v>883</v>
      </c>
      <c r="F523" t="s">
        <v>884</v>
      </c>
      <c r="G523" t="s">
        <v>1033</v>
      </c>
      <c r="H523" t="s">
        <v>30</v>
      </c>
      <c r="I523" s="1">
        <v>1</v>
      </c>
      <c r="J523" s="2">
        <v>1551.72</v>
      </c>
    </row>
    <row r="524" spans="2:10" x14ac:dyDescent="0.2">
      <c r="B524" t="s">
        <v>907</v>
      </c>
      <c r="C524" t="s">
        <v>141</v>
      </c>
      <c r="D524" t="s">
        <v>908</v>
      </c>
      <c r="E524" t="s">
        <v>559</v>
      </c>
      <c r="F524" t="s">
        <v>560</v>
      </c>
      <c r="G524" t="s">
        <v>1033</v>
      </c>
      <c r="H524" t="s">
        <v>30</v>
      </c>
      <c r="I524" s="1">
        <v>1</v>
      </c>
      <c r="J524" s="2">
        <v>1706.9</v>
      </c>
    </row>
    <row r="525" spans="2:10" x14ac:dyDescent="0.2">
      <c r="B525" t="s">
        <v>907</v>
      </c>
      <c r="C525" t="s">
        <v>141</v>
      </c>
      <c r="D525" t="s">
        <v>908</v>
      </c>
      <c r="E525" t="s">
        <v>120</v>
      </c>
      <c r="F525" t="s">
        <v>121</v>
      </c>
      <c r="G525" t="s">
        <v>1034</v>
      </c>
      <c r="H525" t="s">
        <v>15</v>
      </c>
      <c r="I525" s="1">
        <v>1</v>
      </c>
      <c r="J525" s="2">
        <v>301.72000000000003</v>
      </c>
    </row>
    <row r="526" spans="2:10" x14ac:dyDescent="0.2">
      <c r="B526" t="s">
        <v>907</v>
      </c>
      <c r="C526" t="s">
        <v>141</v>
      </c>
      <c r="D526" t="s">
        <v>908</v>
      </c>
      <c r="E526" t="s">
        <v>36</v>
      </c>
      <c r="F526" t="s">
        <v>37</v>
      </c>
      <c r="G526" t="s">
        <v>1034</v>
      </c>
      <c r="H526" t="s">
        <v>15</v>
      </c>
      <c r="I526" s="1">
        <v>1</v>
      </c>
      <c r="J526" s="2">
        <v>301.72000000000003</v>
      </c>
    </row>
    <row r="527" spans="2:10" x14ac:dyDescent="0.2">
      <c r="B527" t="s">
        <v>907</v>
      </c>
      <c r="C527" t="s">
        <v>141</v>
      </c>
      <c r="D527" t="s">
        <v>908</v>
      </c>
      <c r="E527" t="s">
        <v>56</v>
      </c>
      <c r="F527" t="s">
        <v>57</v>
      </c>
      <c r="G527" t="s">
        <v>1034</v>
      </c>
      <c r="H527" t="s">
        <v>15</v>
      </c>
      <c r="I527" s="1">
        <v>1</v>
      </c>
      <c r="J527" s="2">
        <v>431.03</v>
      </c>
    </row>
    <row r="528" spans="2:10" x14ac:dyDescent="0.2">
      <c r="B528" t="s">
        <v>907</v>
      </c>
      <c r="C528" t="s">
        <v>141</v>
      </c>
      <c r="D528" t="s">
        <v>908</v>
      </c>
      <c r="E528" t="s">
        <v>63</v>
      </c>
      <c r="F528" t="s">
        <v>64</v>
      </c>
      <c r="G528" t="s">
        <v>1034</v>
      </c>
      <c r="H528" t="s">
        <v>15</v>
      </c>
      <c r="I528" s="1">
        <v>1</v>
      </c>
      <c r="J528" s="2">
        <v>172.41</v>
      </c>
    </row>
    <row r="529" spans="2:10" x14ac:dyDescent="0.2">
      <c r="B529" t="s">
        <v>907</v>
      </c>
      <c r="C529" t="s">
        <v>141</v>
      </c>
      <c r="D529" t="s">
        <v>908</v>
      </c>
      <c r="E529" t="s">
        <v>472</v>
      </c>
      <c r="F529" t="s">
        <v>473</v>
      </c>
      <c r="G529" t="s">
        <v>14</v>
      </c>
      <c r="H529" t="s">
        <v>200</v>
      </c>
      <c r="I529" s="1">
        <v>1</v>
      </c>
      <c r="J529" s="2">
        <v>517.24</v>
      </c>
    </row>
    <row r="530" spans="2:10" x14ac:dyDescent="0.2">
      <c r="B530" t="s">
        <v>907</v>
      </c>
      <c r="C530" t="s">
        <v>141</v>
      </c>
      <c r="D530" t="s">
        <v>908</v>
      </c>
      <c r="E530" t="s">
        <v>484</v>
      </c>
      <c r="F530" t="s">
        <v>485</v>
      </c>
      <c r="G530" t="s">
        <v>1033</v>
      </c>
      <c r="H530" t="s">
        <v>30</v>
      </c>
      <c r="I530" s="1">
        <v>1</v>
      </c>
      <c r="J530" s="2">
        <v>2163.79</v>
      </c>
    </row>
    <row r="531" spans="2:10" x14ac:dyDescent="0.2">
      <c r="B531" t="s">
        <v>907</v>
      </c>
      <c r="C531" t="s">
        <v>144</v>
      </c>
      <c r="D531" t="s">
        <v>908</v>
      </c>
      <c r="E531" t="s">
        <v>804</v>
      </c>
      <c r="F531" t="s">
        <v>805</v>
      </c>
      <c r="G531" t="s">
        <v>1033</v>
      </c>
      <c r="H531" t="s">
        <v>30</v>
      </c>
      <c r="I531" s="1">
        <v>1</v>
      </c>
      <c r="J531" s="2">
        <v>137.93</v>
      </c>
    </row>
    <row r="532" spans="2:10" x14ac:dyDescent="0.2">
      <c r="B532" t="s">
        <v>907</v>
      </c>
      <c r="C532" t="s">
        <v>144</v>
      </c>
      <c r="D532" t="s">
        <v>908</v>
      </c>
      <c r="E532" t="s">
        <v>731</v>
      </c>
      <c r="F532" t="s">
        <v>732</v>
      </c>
      <c r="G532" t="s">
        <v>14</v>
      </c>
      <c r="H532" t="s">
        <v>27</v>
      </c>
      <c r="I532" s="1">
        <v>1</v>
      </c>
      <c r="J532" s="2">
        <v>413.79</v>
      </c>
    </row>
    <row r="533" spans="2:10" x14ac:dyDescent="0.2">
      <c r="B533" t="s">
        <v>907</v>
      </c>
      <c r="C533" t="s">
        <v>144</v>
      </c>
      <c r="D533" t="s">
        <v>908</v>
      </c>
      <c r="E533" t="s">
        <v>336</v>
      </c>
      <c r="F533" t="s">
        <v>337</v>
      </c>
      <c r="G533" t="s">
        <v>1034</v>
      </c>
      <c r="H533" t="s">
        <v>15</v>
      </c>
      <c r="I533" s="1">
        <v>1</v>
      </c>
      <c r="J533" s="2">
        <v>387.93</v>
      </c>
    </row>
    <row r="534" spans="2:10" x14ac:dyDescent="0.2">
      <c r="B534" t="s">
        <v>907</v>
      </c>
      <c r="C534" t="s">
        <v>144</v>
      </c>
      <c r="D534" t="s">
        <v>908</v>
      </c>
      <c r="E534" t="s">
        <v>38</v>
      </c>
      <c r="F534" t="s">
        <v>39</v>
      </c>
      <c r="G534" t="s">
        <v>1034</v>
      </c>
      <c r="H534" t="s">
        <v>15</v>
      </c>
      <c r="I534" s="1">
        <v>1</v>
      </c>
      <c r="J534" s="2">
        <v>431.03</v>
      </c>
    </row>
    <row r="535" spans="2:10" x14ac:dyDescent="0.2">
      <c r="B535" t="s">
        <v>907</v>
      </c>
      <c r="C535" t="s">
        <v>144</v>
      </c>
      <c r="D535" t="s">
        <v>908</v>
      </c>
      <c r="E535" t="s">
        <v>273</v>
      </c>
      <c r="F535" t="s">
        <v>274</v>
      </c>
      <c r="G535" t="s">
        <v>1033</v>
      </c>
      <c r="H535" t="s">
        <v>30</v>
      </c>
      <c r="I535" s="1">
        <v>1</v>
      </c>
      <c r="J535" s="2">
        <v>1293.0999999999999</v>
      </c>
    </row>
    <row r="536" spans="2:10" x14ac:dyDescent="0.2">
      <c r="B536" t="s">
        <v>907</v>
      </c>
      <c r="C536" t="s">
        <v>144</v>
      </c>
      <c r="D536" t="s">
        <v>908</v>
      </c>
      <c r="E536" t="s">
        <v>126</v>
      </c>
      <c r="F536" t="s">
        <v>127</v>
      </c>
      <c r="G536" t="s">
        <v>43</v>
      </c>
      <c r="H536" t="s">
        <v>128</v>
      </c>
      <c r="I536" s="1">
        <v>1</v>
      </c>
      <c r="J536" s="2">
        <v>2068.9699999999998</v>
      </c>
    </row>
    <row r="537" spans="2:10" x14ac:dyDescent="0.2">
      <c r="B537" t="s">
        <v>907</v>
      </c>
      <c r="C537" t="s">
        <v>144</v>
      </c>
      <c r="D537" t="s">
        <v>908</v>
      </c>
      <c r="E537" t="s">
        <v>28</v>
      </c>
      <c r="F537" t="s">
        <v>29</v>
      </c>
      <c r="G537" t="s">
        <v>1033</v>
      </c>
      <c r="H537" t="s">
        <v>30</v>
      </c>
      <c r="I537" s="1">
        <v>1</v>
      </c>
      <c r="J537" s="2">
        <v>155.16999999999999</v>
      </c>
    </row>
    <row r="538" spans="2:10" x14ac:dyDescent="0.2">
      <c r="B538" t="s">
        <v>907</v>
      </c>
      <c r="C538" t="s">
        <v>165</v>
      </c>
      <c r="D538" t="s">
        <v>130</v>
      </c>
      <c r="E538" t="s">
        <v>318</v>
      </c>
      <c r="F538" t="s">
        <v>319</v>
      </c>
      <c r="G538" t="s">
        <v>1033</v>
      </c>
      <c r="H538" t="s">
        <v>30</v>
      </c>
      <c r="I538" s="1">
        <v>1</v>
      </c>
      <c r="J538" s="2">
        <v>456.9</v>
      </c>
    </row>
    <row r="539" spans="2:10" x14ac:dyDescent="0.2">
      <c r="B539" t="s">
        <v>907</v>
      </c>
      <c r="C539" t="s">
        <v>165</v>
      </c>
      <c r="D539" t="s">
        <v>130</v>
      </c>
      <c r="E539" t="s">
        <v>419</v>
      </c>
      <c r="F539" t="s">
        <v>420</v>
      </c>
      <c r="G539" t="s">
        <v>14</v>
      </c>
      <c r="H539" t="s">
        <v>35</v>
      </c>
      <c r="I539" s="1">
        <v>2</v>
      </c>
      <c r="J539" s="2">
        <v>155.18</v>
      </c>
    </row>
    <row r="540" spans="2:10" x14ac:dyDescent="0.2">
      <c r="B540" t="s">
        <v>907</v>
      </c>
      <c r="C540" t="s">
        <v>165</v>
      </c>
      <c r="D540" t="s">
        <v>130</v>
      </c>
      <c r="E540" t="s">
        <v>505</v>
      </c>
      <c r="F540" t="s">
        <v>506</v>
      </c>
      <c r="G540" t="s">
        <v>1033</v>
      </c>
      <c r="H540" t="s">
        <v>30</v>
      </c>
      <c r="I540" s="1">
        <v>1</v>
      </c>
      <c r="J540" s="2">
        <v>775.86</v>
      </c>
    </row>
    <row r="541" spans="2:10" x14ac:dyDescent="0.2">
      <c r="B541" t="s">
        <v>907</v>
      </c>
      <c r="C541" t="s">
        <v>165</v>
      </c>
      <c r="D541" t="s">
        <v>130</v>
      </c>
      <c r="E541" t="s">
        <v>36</v>
      </c>
      <c r="F541" t="s">
        <v>37</v>
      </c>
      <c r="G541" t="s">
        <v>1034</v>
      </c>
      <c r="H541" t="s">
        <v>15</v>
      </c>
      <c r="I541" s="1">
        <v>1</v>
      </c>
      <c r="J541" s="2">
        <v>301.72000000000003</v>
      </c>
    </row>
    <row r="542" spans="2:10" x14ac:dyDescent="0.2">
      <c r="B542" t="s">
        <v>907</v>
      </c>
      <c r="C542" t="s">
        <v>165</v>
      </c>
      <c r="D542" t="s">
        <v>130</v>
      </c>
      <c r="E542" t="s">
        <v>38</v>
      </c>
      <c r="F542" t="s">
        <v>39</v>
      </c>
      <c r="G542" t="s">
        <v>1034</v>
      </c>
      <c r="H542" t="s">
        <v>15</v>
      </c>
      <c r="I542" s="1">
        <v>1</v>
      </c>
      <c r="J542" s="2">
        <v>431.03</v>
      </c>
    </row>
    <row r="543" spans="2:10" x14ac:dyDescent="0.2">
      <c r="B543" t="s">
        <v>907</v>
      </c>
      <c r="C543" t="s">
        <v>165</v>
      </c>
      <c r="D543" t="s">
        <v>130</v>
      </c>
      <c r="E543" t="s">
        <v>56</v>
      </c>
      <c r="F543" t="s">
        <v>57</v>
      </c>
      <c r="G543" t="s">
        <v>1034</v>
      </c>
      <c r="H543" t="s">
        <v>15</v>
      </c>
      <c r="I543" s="1">
        <v>1</v>
      </c>
      <c r="J543" s="2">
        <v>431.03</v>
      </c>
    </row>
    <row r="544" spans="2:10" x14ac:dyDescent="0.2">
      <c r="B544" t="s">
        <v>907</v>
      </c>
      <c r="C544" t="s">
        <v>166</v>
      </c>
      <c r="D544" t="s">
        <v>908</v>
      </c>
      <c r="E544" t="s">
        <v>44</v>
      </c>
      <c r="F544" t="s">
        <v>45</v>
      </c>
      <c r="G544" t="s">
        <v>1033</v>
      </c>
      <c r="H544" t="s">
        <v>30</v>
      </c>
      <c r="I544" s="1">
        <v>1</v>
      </c>
      <c r="J544" s="2">
        <v>81.900000000000006</v>
      </c>
    </row>
    <row r="545" spans="2:10" x14ac:dyDescent="0.2">
      <c r="B545" t="s">
        <v>907</v>
      </c>
      <c r="C545" t="s">
        <v>166</v>
      </c>
      <c r="D545" t="s">
        <v>908</v>
      </c>
      <c r="E545" t="s">
        <v>36</v>
      </c>
      <c r="F545" t="s">
        <v>37</v>
      </c>
      <c r="G545" t="s">
        <v>1034</v>
      </c>
      <c r="H545" t="s">
        <v>15</v>
      </c>
      <c r="I545" s="1">
        <v>1</v>
      </c>
      <c r="J545" s="2">
        <v>301.72000000000003</v>
      </c>
    </row>
    <row r="546" spans="2:10" x14ac:dyDescent="0.2">
      <c r="B546" t="s">
        <v>907</v>
      </c>
      <c r="C546" t="s">
        <v>166</v>
      </c>
      <c r="D546" t="s">
        <v>908</v>
      </c>
      <c r="E546" t="s">
        <v>74</v>
      </c>
      <c r="F546" t="s">
        <v>75</v>
      </c>
      <c r="G546" t="s">
        <v>76</v>
      </c>
      <c r="H546" t="s">
        <v>60</v>
      </c>
      <c r="I546" s="1">
        <v>1</v>
      </c>
      <c r="J546" s="2">
        <v>344.83</v>
      </c>
    </row>
    <row r="547" spans="2:10" x14ac:dyDescent="0.2">
      <c r="B547" t="s">
        <v>907</v>
      </c>
      <c r="C547" t="s">
        <v>166</v>
      </c>
      <c r="D547" t="s">
        <v>908</v>
      </c>
      <c r="E547" t="s">
        <v>61</v>
      </c>
      <c r="F547" t="s">
        <v>62</v>
      </c>
      <c r="G547" t="s">
        <v>1034</v>
      </c>
      <c r="H547" t="s">
        <v>15</v>
      </c>
      <c r="I547" s="1">
        <v>1</v>
      </c>
      <c r="J547" s="2">
        <v>172.41</v>
      </c>
    </row>
    <row r="548" spans="2:10" x14ac:dyDescent="0.2">
      <c r="B548" t="s">
        <v>907</v>
      </c>
      <c r="C548" t="s">
        <v>166</v>
      </c>
      <c r="D548" t="s">
        <v>908</v>
      </c>
      <c r="E548" t="s">
        <v>63</v>
      </c>
      <c r="F548" t="s">
        <v>64</v>
      </c>
      <c r="G548" t="s">
        <v>1034</v>
      </c>
      <c r="H548" t="s">
        <v>15</v>
      </c>
      <c r="I548" s="1">
        <v>1</v>
      </c>
      <c r="J548" s="2">
        <v>172.41</v>
      </c>
    </row>
    <row r="549" spans="2:10" x14ac:dyDescent="0.2">
      <c r="B549" t="s">
        <v>907</v>
      </c>
      <c r="C549" t="s">
        <v>166</v>
      </c>
      <c r="D549" t="s">
        <v>908</v>
      </c>
      <c r="E549" t="s">
        <v>16</v>
      </c>
      <c r="F549" t="s">
        <v>17</v>
      </c>
      <c r="G549" t="s">
        <v>1034</v>
      </c>
      <c r="H549" t="s">
        <v>15</v>
      </c>
      <c r="I549" s="1">
        <v>1</v>
      </c>
      <c r="J549" s="2">
        <v>577.59</v>
      </c>
    </row>
    <row r="550" spans="2:10" x14ac:dyDescent="0.2">
      <c r="B550" t="s">
        <v>907</v>
      </c>
      <c r="C550" t="s">
        <v>185</v>
      </c>
      <c r="D550" t="s">
        <v>908</v>
      </c>
      <c r="E550" t="s">
        <v>41</v>
      </c>
      <c r="F550" t="s">
        <v>42</v>
      </c>
      <c r="G550" t="s">
        <v>1033</v>
      </c>
      <c r="H550" t="s">
        <v>30</v>
      </c>
      <c r="I550" s="1">
        <v>2</v>
      </c>
      <c r="J550" s="2">
        <v>68.97</v>
      </c>
    </row>
    <row r="551" spans="2:10" x14ac:dyDescent="0.2">
      <c r="B551" t="s">
        <v>907</v>
      </c>
      <c r="C551" t="s">
        <v>185</v>
      </c>
      <c r="D551" t="s">
        <v>908</v>
      </c>
      <c r="E551" t="s">
        <v>19</v>
      </c>
      <c r="F551" t="s">
        <v>20</v>
      </c>
      <c r="G551" t="s">
        <v>14</v>
      </c>
      <c r="H551" t="s">
        <v>21</v>
      </c>
      <c r="I551" s="1">
        <v>1</v>
      </c>
      <c r="J551" s="2">
        <v>431.04</v>
      </c>
    </row>
    <row r="552" spans="2:10" x14ac:dyDescent="0.2">
      <c r="B552" t="s">
        <v>907</v>
      </c>
      <c r="C552" t="s">
        <v>185</v>
      </c>
      <c r="D552" t="s">
        <v>908</v>
      </c>
      <c r="E552" t="s">
        <v>46</v>
      </c>
      <c r="F552" t="s">
        <v>47</v>
      </c>
      <c r="G552" t="s">
        <v>1034</v>
      </c>
      <c r="H552" t="s">
        <v>15</v>
      </c>
      <c r="I552" s="1">
        <v>1</v>
      </c>
      <c r="J552" s="2">
        <v>301.72000000000003</v>
      </c>
    </row>
    <row r="553" spans="2:10" x14ac:dyDescent="0.2">
      <c r="B553" t="s">
        <v>907</v>
      </c>
      <c r="C553" t="s">
        <v>185</v>
      </c>
      <c r="D553" t="s">
        <v>908</v>
      </c>
      <c r="E553" t="s">
        <v>36</v>
      </c>
      <c r="F553" t="s">
        <v>37</v>
      </c>
      <c r="G553" t="s">
        <v>1034</v>
      </c>
      <c r="H553" t="s">
        <v>15</v>
      </c>
      <c r="I553" s="1">
        <v>1</v>
      </c>
      <c r="J553" s="2">
        <v>301.72000000000003</v>
      </c>
    </row>
    <row r="554" spans="2:10" x14ac:dyDescent="0.2">
      <c r="B554" t="s">
        <v>907</v>
      </c>
      <c r="C554" t="s">
        <v>185</v>
      </c>
      <c r="D554" t="s">
        <v>908</v>
      </c>
      <c r="E554" t="s">
        <v>336</v>
      </c>
      <c r="F554" t="s">
        <v>337</v>
      </c>
      <c r="G554" t="s">
        <v>1034</v>
      </c>
      <c r="H554" t="s">
        <v>15</v>
      </c>
      <c r="I554" s="1">
        <v>1</v>
      </c>
      <c r="J554" s="2">
        <v>387.93</v>
      </c>
    </row>
    <row r="555" spans="2:10" x14ac:dyDescent="0.2">
      <c r="B555" t="s">
        <v>907</v>
      </c>
      <c r="C555" t="s">
        <v>185</v>
      </c>
      <c r="D555" t="s">
        <v>908</v>
      </c>
      <c r="E555" t="s">
        <v>153</v>
      </c>
      <c r="F555" t="s">
        <v>154</v>
      </c>
      <c r="G555" t="s">
        <v>1034</v>
      </c>
      <c r="H555" t="s">
        <v>15</v>
      </c>
      <c r="I555" s="1">
        <v>1</v>
      </c>
      <c r="J555" s="2">
        <v>387.93</v>
      </c>
    </row>
    <row r="556" spans="2:10" x14ac:dyDescent="0.2">
      <c r="B556" t="s">
        <v>907</v>
      </c>
      <c r="C556" t="s">
        <v>185</v>
      </c>
      <c r="D556" t="s">
        <v>908</v>
      </c>
      <c r="E556" t="s">
        <v>312</v>
      </c>
      <c r="F556" t="s">
        <v>313</v>
      </c>
      <c r="G556" t="s">
        <v>1033</v>
      </c>
      <c r="H556" t="s">
        <v>30</v>
      </c>
      <c r="I556" s="1">
        <v>1</v>
      </c>
      <c r="J556" s="2">
        <v>603.45000000000005</v>
      </c>
    </row>
    <row r="557" spans="2:10" x14ac:dyDescent="0.2">
      <c r="B557" t="s">
        <v>907</v>
      </c>
      <c r="C557" t="s">
        <v>185</v>
      </c>
      <c r="D557" t="s">
        <v>908</v>
      </c>
      <c r="E557" t="s">
        <v>63</v>
      </c>
      <c r="F557" t="s">
        <v>64</v>
      </c>
      <c r="G557" t="s">
        <v>1034</v>
      </c>
      <c r="H557" t="s">
        <v>15</v>
      </c>
      <c r="I557" s="1">
        <v>1</v>
      </c>
      <c r="J557" s="2">
        <v>172.41</v>
      </c>
    </row>
    <row r="558" spans="2:10" x14ac:dyDescent="0.2">
      <c r="B558" t="s">
        <v>907</v>
      </c>
      <c r="C558" t="s">
        <v>185</v>
      </c>
      <c r="D558" t="s">
        <v>908</v>
      </c>
      <c r="E558" t="s">
        <v>762</v>
      </c>
      <c r="F558" t="s">
        <v>763</v>
      </c>
      <c r="G558" t="s">
        <v>1033</v>
      </c>
      <c r="H558" t="s">
        <v>30</v>
      </c>
      <c r="I558" s="1">
        <v>1</v>
      </c>
      <c r="J558" s="2">
        <v>2396.5500000000002</v>
      </c>
    </row>
    <row r="559" spans="2:10" x14ac:dyDescent="0.2">
      <c r="B559" t="s">
        <v>933</v>
      </c>
      <c r="C559" t="s">
        <v>135</v>
      </c>
      <c r="D559" t="s">
        <v>934</v>
      </c>
      <c r="E559" t="s">
        <v>19</v>
      </c>
      <c r="F559" t="s">
        <v>20</v>
      </c>
      <c r="G559" t="s">
        <v>14</v>
      </c>
      <c r="H559" t="s">
        <v>21</v>
      </c>
      <c r="I559" s="1">
        <v>1</v>
      </c>
      <c r="J559" s="2">
        <v>431.04</v>
      </c>
    </row>
    <row r="560" spans="2:10" x14ac:dyDescent="0.2">
      <c r="B560" t="s">
        <v>933</v>
      </c>
      <c r="C560" t="s">
        <v>135</v>
      </c>
      <c r="D560" t="s">
        <v>934</v>
      </c>
      <c r="E560" t="s">
        <v>142</v>
      </c>
      <c r="F560" t="s">
        <v>143</v>
      </c>
      <c r="G560" t="s">
        <v>43</v>
      </c>
      <c r="H560" t="s">
        <v>50</v>
      </c>
      <c r="I560" s="1">
        <v>1</v>
      </c>
      <c r="J560" s="2">
        <v>2155.17</v>
      </c>
    </row>
    <row r="561" spans="2:10" x14ac:dyDescent="0.2">
      <c r="B561" t="s">
        <v>933</v>
      </c>
      <c r="C561" t="s">
        <v>135</v>
      </c>
      <c r="D561" t="s">
        <v>934</v>
      </c>
      <c r="E561" t="s">
        <v>36</v>
      </c>
      <c r="F561" t="s">
        <v>37</v>
      </c>
      <c r="G561" t="s">
        <v>1034</v>
      </c>
      <c r="H561" t="s">
        <v>15</v>
      </c>
      <c r="I561" s="1">
        <v>1</v>
      </c>
      <c r="J561" s="2">
        <v>301.72000000000003</v>
      </c>
    </row>
    <row r="562" spans="2:10" x14ac:dyDescent="0.2">
      <c r="B562" t="s">
        <v>933</v>
      </c>
      <c r="C562" t="s">
        <v>135</v>
      </c>
      <c r="D562" t="s">
        <v>934</v>
      </c>
      <c r="E562" t="s">
        <v>56</v>
      </c>
      <c r="F562" t="s">
        <v>57</v>
      </c>
      <c r="G562" t="s">
        <v>1034</v>
      </c>
      <c r="H562" t="s">
        <v>15</v>
      </c>
      <c r="I562" s="1">
        <v>1</v>
      </c>
      <c r="J562" s="2">
        <v>431.03</v>
      </c>
    </row>
    <row r="563" spans="2:10" x14ac:dyDescent="0.2">
      <c r="B563" t="s">
        <v>933</v>
      </c>
      <c r="C563" t="s">
        <v>135</v>
      </c>
      <c r="D563" t="s">
        <v>934</v>
      </c>
      <c r="E563" t="s">
        <v>63</v>
      </c>
      <c r="F563" t="s">
        <v>64</v>
      </c>
      <c r="G563" t="s">
        <v>1034</v>
      </c>
      <c r="H563" t="s">
        <v>15</v>
      </c>
      <c r="I563" s="1">
        <v>1</v>
      </c>
      <c r="J563" s="2">
        <v>172.41</v>
      </c>
    </row>
    <row r="564" spans="2:10" x14ac:dyDescent="0.2">
      <c r="B564" t="s">
        <v>933</v>
      </c>
      <c r="C564" t="s">
        <v>141</v>
      </c>
      <c r="D564" t="s">
        <v>934</v>
      </c>
      <c r="E564" t="s">
        <v>611</v>
      </c>
      <c r="F564" t="s">
        <v>612</v>
      </c>
      <c r="G564" t="s">
        <v>1033</v>
      </c>
      <c r="H564" t="s">
        <v>30</v>
      </c>
      <c r="I564" s="1">
        <v>1</v>
      </c>
      <c r="J564" s="2">
        <v>793.1</v>
      </c>
    </row>
    <row r="565" spans="2:10" x14ac:dyDescent="0.2">
      <c r="B565" t="s">
        <v>933</v>
      </c>
      <c r="C565" t="s">
        <v>141</v>
      </c>
      <c r="D565" t="s">
        <v>934</v>
      </c>
      <c r="E565" t="s">
        <v>46</v>
      </c>
      <c r="F565" t="s">
        <v>47</v>
      </c>
      <c r="G565" t="s">
        <v>1034</v>
      </c>
      <c r="H565" t="s">
        <v>15</v>
      </c>
      <c r="I565" s="1">
        <v>2</v>
      </c>
      <c r="J565" s="2">
        <v>603.44000000000005</v>
      </c>
    </row>
    <row r="566" spans="2:10" x14ac:dyDescent="0.2">
      <c r="B566" t="s">
        <v>933</v>
      </c>
      <c r="C566" t="s">
        <v>141</v>
      </c>
      <c r="D566" t="s">
        <v>934</v>
      </c>
      <c r="E566" t="s">
        <v>101</v>
      </c>
      <c r="F566" t="s">
        <v>102</v>
      </c>
      <c r="G566" t="s">
        <v>103</v>
      </c>
      <c r="H566" t="s">
        <v>104</v>
      </c>
      <c r="I566" s="1">
        <v>3</v>
      </c>
      <c r="J566" s="2">
        <v>0.03</v>
      </c>
    </row>
    <row r="567" spans="2:10" x14ac:dyDescent="0.2">
      <c r="B567" t="s">
        <v>933</v>
      </c>
      <c r="C567" t="s">
        <v>141</v>
      </c>
      <c r="D567" t="s">
        <v>934</v>
      </c>
      <c r="E567" t="s">
        <v>83</v>
      </c>
      <c r="F567" t="s">
        <v>84</v>
      </c>
      <c r="G567" t="s">
        <v>1034</v>
      </c>
      <c r="H567" t="s">
        <v>15</v>
      </c>
      <c r="I567" s="1">
        <v>1</v>
      </c>
      <c r="J567" s="2">
        <v>387.93</v>
      </c>
    </row>
    <row r="568" spans="2:10" x14ac:dyDescent="0.2">
      <c r="B568" t="s">
        <v>933</v>
      </c>
      <c r="C568" t="s">
        <v>141</v>
      </c>
      <c r="D568" t="s">
        <v>934</v>
      </c>
      <c r="E568" t="s">
        <v>153</v>
      </c>
      <c r="F568" t="s">
        <v>154</v>
      </c>
      <c r="G568" t="s">
        <v>1034</v>
      </c>
      <c r="H568" t="s">
        <v>15</v>
      </c>
      <c r="I568" s="1">
        <v>1</v>
      </c>
      <c r="J568" s="2">
        <v>387.93</v>
      </c>
    </row>
    <row r="569" spans="2:10" x14ac:dyDescent="0.2">
      <c r="B569" t="s">
        <v>933</v>
      </c>
      <c r="C569" t="s">
        <v>141</v>
      </c>
      <c r="D569" t="s">
        <v>934</v>
      </c>
      <c r="E569" t="s">
        <v>56</v>
      </c>
      <c r="F569" t="s">
        <v>57</v>
      </c>
      <c r="G569" t="s">
        <v>1034</v>
      </c>
      <c r="H569" t="s">
        <v>15</v>
      </c>
      <c r="I569" s="1">
        <v>2</v>
      </c>
      <c r="J569" s="2">
        <v>862.06</v>
      </c>
    </row>
    <row r="570" spans="2:10" x14ac:dyDescent="0.2">
      <c r="B570" t="s">
        <v>933</v>
      </c>
      <c r="C570" t="s">
        <v>141</v>
      </c>
      <c r="D570" t="s">
        <v>934</v>
      </c>
      <c r="E570" t="s">
        <v>181</v>
      </c>
      <c r="F570" t="s">
        <v>182</v>
      </c>
      <c r="G570" t="s">
        <v>43</v>
      </c>
      <c r="H570" t="s">
        <v>81</v>
      </c>
      <c r="I570" s="1">
        <v>1</v>
      </c>
      <c r="J570" s="2">
        <v>1379.31</v>
      </c>
    </row>
    <row r="571" spans="2:10" x14ac:dyDescent="0.2">
      <c r="B571" t="s">
        <v>933</v>
      </c>
      <c r="C571" t="s">
        <v>141</v>
      </c>
      <c r="D571" t="s">
        <v>934</v>
      </c>
      <c r="E571" t="s">
        <v>939</v>
      </c>
      <c r="F571" t="s">
        <v>940</v>
      </c>
      <c r="G571" t="s">
        <v>1033</v>
      </c>
      <c r="H571" t="s">
        <v>30</v>
      </c>
      <c r="I571" s="1">
        <v>1</v>
      </c>
      <c r="J571" s="2">
        <v>1508.62</v>
      </c>
    </row>
    <row r="572" spans="2:10" x14ac:dyDescent="0.2">
      <c r="B572" t="s">
        <v>933</v>
      </c>
      <c r="C572" t="s">
        <v>144</v>
      </c>
      <c r="D572" t="s">
        <v>934</v>
      </c>
      <c r="E572" t="s">
        <v>535</v>
      </c>
      <c r="F572" t="s">
        <v>536</v>
      </c>
      <c r="G572" t="s">
        <v>14</v>
      </c>
      <c r="H572" t="s">
        <v>60</v>
      </c>
      <c r="I572" s="1">
        <v>1</v>
      </c>
      <c r="J572" s="2">
        <v>327.58999999999997</v>
      </c>
    </row>
    <row r="573" spans="2:10" x14ac:dyDescent="0.2">
      <c r="B573" t="s">
        <v>933</v>
      </c>
      <c r="C573" t="s">
        <v>144</v>
      </c>
      <c r="D573" t="s">
        <v>934</v>
      </c>
      <c r="E573" t="s">
        <v>142</v>
      </c>
      <c r="F573" t="s">
        <v>143</v>
      </c>
      <c r="G573" t="s">
        <v>43</v>
      </c>
      <c r="H573" t="s">
        <v>50</v>
      </c>
      <c r="I573" s="1">
        <v>1</v>
      </c>
      <c r="J573" s="2">
        <v>2155.17</v>
      </c>
    </row>
    <row r="574" spans="2:10" x14ac:dyDescent="0.2">
      <c r="B574" t="s">
        <v>933</v>
      </c>
      <c r="C574" t="s">
        <v>144</v>
      </c>
      <c r="D574" t="s">
        <v>934</v>
      </c>
      <c r="E574" t="s">
        <v>941</v>
      </c>
      <c r="F574" t="s">
        <v>942</v>
      </c>
      <c r="G574" t="s">
        <v>54</v>
      </c>
      <c r="H574" t="s">
        <v>138</v>
      </c>
      <c r="I574" s="1">
        <v>1</v>
      </c>
      <c r="J574" s="2">
        <v>508.62</v>
      </c>
    </row>
    <row r="575" spans="2:10" x14ac:dyDescent="0.2">
      <c r="B575" t="s">
        <v>933</v>
      </c>
      <c r="C575" t="s">
        <v>144</v>
      </c>
      <c r="D575" t="s">
        <v>934</v>
      </c>
      <c r="E575" t="s">
        <v>36</v>
      </c>
      <c r="F575" t="s">
        <v>37</v>
      </c>
      <c r="G575" t="s">
        <v>1034</v>
      </c>
      <c r="H575" t="s">
        <v>15</v>
      </c>
      <c r="I575" s="1">
        <v>1</v>
      </c>
      <c r="J575" s="2">
        <v>301.72000000000003</v>
      </c>
    </row>
    <row r="576" spans="2:10" x14ac:dyDescent="0.2">
      <c r="B576" t="s">
        <v>933</v>
      </c>
      <c r="C576" t="s">
        <v>144</v>
      </c>
      <c r="D576" t="s">
        <v>934</v>
      </c>
      <c r="E576" t="s">
        <v>83</v>
      </c>
      <c r="F576" t="s">
        <v>84</v>
      </c>
      <c r="G576" t="s">
        <v>1034</v>
      </c>
      <c r="H576" t="s">
        <v>15</v>
      </c>
      <c r="I576" s="1">
        <v>1</v>
      </c>
      <c r="J576" s="2">
        <v>387.93</v>
      </c>
    </row>
    <row r="577" spans="2:10" x14ac:dyDescent="0.2">
      <c r="B577" t="s">
        <v>933</v>
      </c>
      <c r="C577" t="s">
        <v>165</v>
      </c>
      <c r="D577" t="s">
        <v>934</v>
      </c>
      <c r="E577" t="s">
        <v>316</v>
      </c>
      <c r="F577" t="s">
        <v>317</v>
      </c>
      <c r="G577" t="s">
        <v>14</v>
      </c>
      <c r="H577" t="s">
        <v>27</v>
      </c>
      <c r="I577" s="1">
        <v>1</v>
      </c>
      <c r="J577" s="2">
        <v>413.79</v>
      </c>
    </row>
    <row r="578" spans="2:10" x14ac:dyDescent="0.2">
      <c r="B578" t="s">
        <v>933</v>
      </c>
      <c r="C578" t="s">
        <v>165</v>
      </c>
      <c r="D578" t="s">
        <v>934</v>
      </c>
      <c r="E578" t="s">
        <v>101</v>
      </c>
      <c r="F578" t="s">
        <v>102</v>
      </c>
      <c r="G578" t="s">
        <v>103</v>
      </c>
      <c r="H578" t="s">
        <v>104</v>
      </c>
      <c r="I578" s="1">
        <v>3</v>
      </c>
      <c r="J578" s="2">
        <v>0.03</v>
      </c>
    </row>
    <row r="579" spans="2:10" x14ac:dyDescent="0.2">
      <c r="B579" t="s">
        <v>933</v>
      </c>
      <c r="C579" t="s">
        <v>165</v>
      </c>
      <c r="D579" t="s">
        <v>934</v>
      </c>
      <c r="E579" t="s">
        <v>153</v>
      </c>
      <c r="F579" t="s">
        <v>154</v>
      </c>
      <c r="G579" t="s">
        <v>1034</v>
      </c>
      <c r="H579" t="s">
        <v>15</v>
      </c>
      <c r="I579" s="1">
        <v>1</v>
      </c>
      <c r="J579" s="2">
        <v>387.93</v>
      </c>
    </row>
    <row r="580" spans="2:10" x14ac:dyDescent="0.2">
      <c r="B580" t="s">
        <v>933</v>
      </c>
      <c r="C580" t="s">
        <v>165</v>
      </c>
      <c r="D580" t="s">
        <v>934</v>
      </c>
      <c r="E580" t="s">
        <v>623</v>
      </c>
      <c r="F580" t="s">
        <v>624</v>
      </c>
      <c r="G580" t="s">
        <v>76</v>
      </c>
      <c r="H580" t="s">
        <v>60</v>
      </c>
      <c r="I580" s="1">
        <v>1</v>
      </c>
      <c r="J580" s="2">
        <v>344.83</v>
      </c>
    </row>
    <row r="581" spans="2:10" x14ac:dyDescent="0.2">
      <c r="B581" t="s">
        <v>933</v>
      </c>
      <c r="C581" t="s">
        <v>165</v>
      </c>
      <c r="D581" t="s">
        <v>934</v>
      </c>
      <c r="E581" t="s">
        <v>38</v>
      </c>
      <c r="F581" t="s">
        <v>39</v>
      </c>
      <c r="G581" t="s">
        <v>1034</v>
      </c>
      <c r="H581" t="s">
        <v>15</v>
      </c>
      <c r="I581" s="1">
        <v>1</v>
      </c>
      <c r="J581" s="2">
        <v>431.03</v>
      </c>
    </row>
    <row r="582" spans="2:10" x14ac:dyDescent="0.2">
      <c r="B582" t="s">
        <v>933</v>
      </c>
      <c r="C582" t="s">
        <v>165</v>
      </c>
      <c r="D582" t="s">
        <v>934</v>
      </c>
      <c r="E582" t="s">
        <v>56</v>
      </c>
      <c r="F582" t="s">
        <v>57</v>
      </c>
      <c r="G582" t="s">
        <v>1034</v>
      </c>
      <c r="H582" t="s">
        <v>15</v>
      </c>
      <c r="I582" s="1">
        <v>1</v>
      </c>
      <c r="J582" s="2">
        <v>431.03</v>
      </c>
    </row>
    <row r="583" spans="2:10" x14ac:dyDescent="0.2">
      <c r="B583" t="s">
        <v>933</v>
      </c>
      <c r="C583" t="s">
        <v>166</v>
      </c>
      <c r="D583" t="s">
        <v>226</v>
      </c>
      <c r="E583" t="s">
        <v>352</v>
      </c>
      <c r="F583" t="s">
        <v>353</v>
      </c>
      <c r="G583" t="s">
        <v>1033</v>
      </c>
      <c r="H583" t="s">
        <v>30</v>
      </c>
      <c r="I583" s="1">
        <v>1</v>
      </c>
      <c r="J583" s="2">
        <v>1422.41</v>
      </c>
    </row>
    <row r="584" spans="2:10" x14ac:dyDescent="0.2">
      <c r="B584" t="s">
        <v>933</v>
      </c>
      <c r="C584" t="s">
        <v>166</v>
      </c>
      <c r="D584" t="s">
        <v>226</v>
      </c>
      <c r="E584" t="s">
        <v>44</v>
      </c>
      <c r="F584" t="s">
        <v>45</v>
      </c>
      <c r="G584" t="s">
        <v>1033</v>
      </c>
      <c r="H584" t="s">
        <v>30</v>
      </c>
      <c r="I584" s="1">
        <v>1</v>
      </c>
      <c r="J584" s="2">
        <v>81.900000000000006</v>
      </c>
    </row>
    <row r="585" spans="2:10" x14ac:dyDescent="0.2">
      <c r="B585" t="s">
        <v>933</v>
      </c>
      <c r="C585" t="s">
        <v>166</v>
      </c>
      <c r="D585" t="s">
        <v>226</v>
      </c>
      <c r="E585" t="s">
        <v>943</v>
      </c>
      <c r="F585" t="s">
        <v>944</v>
      </c>
      <c r="G585" t="s">
        <v>54</v>
      </c>
      <c r="H585" t="s">
        <v>138</v>
      </c>
      <c r="I585" s="1">
        <v>1</v>
      </c>
      <c r="J585" s="2">
        <v>517.24</v>
      </c>
    </row>
    <row r="586" spans="2:10" x14ac:dyDescent="0.2">
      <c r="B586" t="s">
        <v>933</v>
      </c>
      <c r="C586" t="s">
        <v>166</v>
      </c>
      <c r="D586" t="s">
        <v>226</v>
      </c>
      <c r="E586" t="s">
        <v>212</v>
      </c>
      <c r="F586" t="s">
        <v>213</v>
      </c>
      <c r="G586" t="s">
        <v>14</v>
      </c>
      <c r="H586" t="s">
        <v>35</v>
      </c>
      <c r="I586" s="1">
        <v>1</v>
      </c>
      <c r="J586" s="2">
        <v>77.59</v>
      </c>
    </row>
    <row r="587" spans="2:10" x14ac:dyDescent="0.2">
      <c r="B587" t="s">
        <v>933</v>
      </c>
      <c r="C587" t="s">
        <v>166</v>
      </c>
      <c r="D587" t="s">
        <v>226</v>
      </c>
      <c r="E587" t="s">
        <v>36</v>
      </c>
      <c r="F587" t="s">
        <v>37</v>
      </c>
      <c r="G587" t="s">
        <v>1034</v>
      </c>
      <c r="H587" t="s">
        <v>15</v>
      </c>
      <c r="I587" s="1">
        <v>1</v>
      </c>
      <c r="J587" s="2">
        <v>301.72000000000003</v>
      </c>
    </row>
    <row r="588" spans="2:10" x14ac:dyDescent="0.2">
      <c r="B588" t="s">
        <v>933</v>
      </c>
      <c r="C588" t="s">
        <v>166</v>
      </c>
      <c r="D588" t="s">
        <v>226</v>
      </c>
      <c r="E588" t="s">
        <v>216</v>
      </c>
      <c r="F588" t="s">
        <v>217</v>
      </c>
      <c r="G588" t="s">
        <v>14</v>
      </c>
      <c r="H588" t="s">
        <v>104</v>
      </c>
      <c r="I588" s="1">
        <v>1</v>
      </c>
      <c r="J588" s="2">
        <v>17.239999999999998</v>
      </c>
    </row>
    <row r="589" spans="2:10" x14ac:dyDescent="0.2">
      <c r="B589" t="s">
        <v>933</v>
      </c>
      <c r="C589" t="s">
        <v>166</v>
      </c>
      <c r="D589" t="s">
        <v>226</v>
      </c>
      <c r="E589" t="s">
        <v>22</v>
      </c>
      <c r="F589" t="s">
        <v>23</v>
      </c>
      <c r="G589" t="s">
        <v>14</v>
      </c>
      <c r="H589" t="s">
        <v>24</v>
      </c>
      <c r="I589" s="1">
        <v>2</v>
      </c>
      <c r="J589" s="2">
        <v>431.03</v>
      </c>
    </row>
    <row r="590" spans="2:10" x14ac:dyDescent="0.2">
      <c r="B590" t="s">
        <v>933</v>
      </c>
      <c r="C590" t="s">
        <v>166</v>
      </c>
      <c r="D590" t="s">
        <v>226</v>
      </c>
      <c r="E590" t="s">
        <v>521</v>
      </c>
      <c r="F590" t="s">
        <v>522</v>
      </c>
      <c r="G590" t="s">
        <v>14</v>
      </c>
      <c r="H590" t="s">
        <v>104</v>
      </c>
      <c r="I590" s="1">
        <v>2</v>
      </c>
      <c r="J590" s="2">
        <v>43.1</v>
      </c>
    </row>
    <row r="591" spans="2:10" x14ac:dyDescent="0.2">
      <c r="B591" t="s">
        <v>933</v>
      </c>
      <c r="C591" t="s">
        <v>166</v>
      </c>
      <c r="D591" t="s">
        <v>226</v>
      </c>
      <c r="E591" t="s">
        <v>61</v>
      </c>
      <c r="F591" t="s">
        <v>62</v>
      </c>
      <c r="G591" t="s">
        <v>1034</v>
      </c>
      <c r="H591" t="s">
        <v>15</v>
      </c>
      <c r="I591" s="1">
        <v>1</v>
      </c>
      <c r="J591" s="2">
        <v>172.41</v>
      </c>
    </row>
    <row r="592" spans="2:10" x14ac:dyDescent="0.2">
      <c r="B592" t="s">
        <v>933</v>
      </c>
      <c r="C592" t="s">
        <v>166</v>
      </c>
      <c r="D592" t="s">
        <v>226</v>
      </c>
      <c r="E592" t="s">
        <v>16</v>
      </c>
      <c r="F592" t="s">
        <v>17</v>
      </c>
      <c r="G592" t="s">
        <v>1034</v>
      </c>
      <c r="H592" t="s">
        <v>15</v>
      </c>
      <c r="I592" s="1">
        <v>3</v>
      </c>
      <c r="J592" s="2">
        <v>1732.77</v>
      </c>
    </row>
    <row r="593" spans="2:10" x14ac:dyDescent="0.2">
      <c r="B593" t="s">
        <v>933</v>
      </c>
      <c r="C593" t="s">
        <v>185</v>
      </c>
      <c r="D593" t="s">
        <v>226</v>
      </c>
      <c r="E593" t="s">
        <v>214</v>
      </c>
      <c r="F593" t="s">
        <v>215</v>
      </c>
      <c r="G593" t="s">
        <v>1034</v>
      </c>
      <c r="H593" t="s">
        <v>15</v>
      </c>
      <c r="I593" s="1">
        <v>1</v>
      </c>
      <c r="J593" s="2">
        <v>301.72000000000003</v>
      </c>
    </row>
    <row r="594" spans="2:10" x14ac:dyDescent="0.2">
      <c r="B594" t="s">
        <v>933</v>
      </c>
      <c r="C594" t="s">
        <v>185</v>
      </c>
      <c r="D594" t="s">
        <v>226</v>
      </c>
      <c r="E594" t="s">
        <v>61</v>
      </c>
      <c r="F594" t="s">
        <v>62</v>
      </c>
      <c r="G594" t="s">
        <v>1034</v>
      </c>
      <c r="H594" t="s">
        <v>15</v>
      </c>
      <c r="I594" s="1">
        <v>1</v>
      </c>
      <c r="J594" s="2">
        <v>172.41</v>
      </c>
    </row>
    <row r="595" spans="2:10" x14ac:dyDescent="0.2">
      <c r="B595" t="s">
        <v>933</v>
      </c>
      <c r="C595" t="s">
        <v>185</v>
      </c>
      <c r="D595" t="s">
        <v>226</v>
      </c>
      <c r="E595" t="s">
        <v>945</v>
      </c>
      <c r="F595" t="s">
        <v>946</v>
      </c>
      <c r="G595" t="s">
        <v>43</v>
      </c>
      <c r="H595" t="s">
        <v>947</v>
      </c>
      <c r="I595" s="1">
        <v>1</v>
      </c>
      <c r="J595" s="2">
        <v>1293.0999999999999</v>
      </c>
    </row>
    <row r="596" spans="2:10" x14ac:dyDescent="0.2">
      <c r="B596" t="s">
        <v>955</v>
      </c>
      <c r="C596" t="s">
        <v>134</v>
      </c>
      <c r="D596" t="s">
        <v>956</v>
      </c>
      <c r="E596" t="s">
        <v>293</v>
      </c>
      <c r="F596" t="s">
        <v>294</v>
      </c>
      <c r="G596" t="s">
        <v>43</v>
      </c>
      <c r="H596" t="s">
        <v>128</v>
      </c>
      <c r="I596" s="1">
        <v>1</v>
      </c>
      <c r="J596" s="2">
        <v>5862.07</v>
      </c>
    </row>
    <row r="597" spans="2:10" x14ac:dyDescent="0.2">
      <c r="B597" t="s">
        <v>955</v>
      </c>
      <c r="C597" t="s">
        <v>134</v>
      </c>
      <c r="D597" t="s">
        <v>956</v>
      </c>
      <c r="E597" t="s">
        <v>72</v>
      </c>
      <c r="F597" t="s">
        <v>73</v>
      </c>
      <c r="G597" t="s">
        <v>1034</v>
      </c>
      <c r="H597" t="s">
        <v>15</v>
      </c>
      <c r="I597" s="1">
        <v>1</v>
      </c>
      <c r="J597" s="2">
        <v>775.86</v>
      </c>
    </row>
    <row r="598" spans="2:10" x14ac:dyDescent="0.2">
      <c r="B598" t="s">
        <v>955</v>
      </c>
      <c r="C598" t="s">
        <v>134</v>
      </c>
      <c r="D598" t="s">
        <v>956</v>
      </c>
      <c r="E598" t="s">
        <v>122</v>
      </c>
      <c r="F598" t="s">
        <v>123</v>
      </c>
      <c r="G598" t="s">
        <v>1034</v>
      </c>
      <c r="H598" t="s">
        <v>15</v>
      </c>
      <c r="I598" s="1">
        <v>1</v>
      </c>
      <c r="J598" s="2">
        <v>387.93</v>
      </c>
    </row>
    <row r="599" spans="2:10" x14ac:dyDescent="0.2">
      <c r="B599" t="s">
        <v>955</v>
      </c>
      <c r="C599" t="s">
        <v>134</v>
      </c>
      <c r="D599" t="s">
        <v>956</v>
      </c>
      <c r="E599" t="s">
        <v>507</v>
      </c>
      <c r="F599" t="s">
        <v>508</v>
      </c>
      <c r="G599" t="s">
        <v>14</v>
      </c>
      <c r="H599" t="s">
        <v>509</v>
      </c>
      <c r="I599" s="1">
        <v>1</v>
      </c>
      <c r="J599" s="2">
        <v>775.86</v>
      </c>
    </row>
    <row r="600" spans="2:10" x14ac:dyDescent="0.2">
      <c r="B600" t="s">
        <v>955</v>
      </c>
      <c r="C600" t="s">
        <v>134</v>
      </c>
      <c r="D600" t="s">
        <v>956</v>
      </c>
      <c r="E600" t="s">
        <v>974</v>
      </c>
      <c r="F600" t="s">
        <v>975</v>
      </c>
      <c r="G600" t="s">
        <v>1034</v>
      </c>
      <c r="H600" t="s">
        <v>15</v>
      </c>
      <c r="I600" s="1">
        <v>1</v>
      </c>
      <c r="J600" s="2">
        <v>431.03</v>
      </c>
    </row>
    <row r="601" spans="2:10" x14ac:dyDescent="0.2">
      <c r="B601" t="s">
        <v>955</v>
      </c>
      <c r="C601" t="s">
        <v>134</v>
      </c>
      <c r="D601" t="s">
        <v>956</v>
      </c>
      <c r="E601" t="s">
        <v>163</v>
      </c>
      <c r="F601" t="s">
        <v>164</v>
      </c>
      <c r="G601" t="s">
        <v>1034</v>
      </c>
      <c r="H601" t="s">
        <v>15</v>
      </c>
      <c r="I601" s="1">
        <v>1</v>
      </c>
      <c r="J601" s="2">
        <v>431.03</v>
      </c>
    </row>
    <row r="602" spans="2:10" x14ac:dyDescent="0.2">
      <c r="B602" t="s">
        <v>955</v>
      </c>
      <c r="C602" t="s">
        <v>135</v>
      </c>
      <c r="D602" t="s">
        <v>956</v>
      </c>
      <c r="E602" t="s">
        <v>41</v>
      </c>
      <c r="F602" t="s">
        <v>42</v>
      </c>
      <c r="G602" t="s">
        <v>1033</v>
      </c>
      <c r="H602" t="s">
        <v>30</v>
      </c>
      <c r="I602" s="1">
        <v>1</v>
      </c>
      <c r="J602" s="2">
        <v>34.479999999999997</v>
      </c>
    </row>
    <row r="603" spans="2:10" x14ac:dyDescent="0.2">
      <c r="B603" t="s">
        <v>955</v>
      </c>
      <c r="C603" t="s">
        <v>135</v>
      </c>
      <c r="D603" t="s">
        <v>956</v>
      </c>
      <c r="E603" t="s">
        <v>350</v>
      </c>
      <c r="F603" t="s">
        <v>351</v>
      </c>
      <c r="G603" t="s">
        <v>1033</v>
      </c>
      <c r="H603" t="s">
        <v>30</v>
      </c>
      <c r="I603" s="1">
        <v>1</v>
      </c>
      <c r="J603" s="2">
        <v>818.97</v>
      </c>
    </row>
    <row r="604" spans="2:10" x14ac:dyDescent="0.2">
      <c r="B604" t="s">
        <v>955</v>
      </c>
      <c r="C604" t="s">
        <v>135</v>
      </c>
      <c r="D604" t="s">
        <v>956</v>
      </c>
      <c r="E604" t="s">
        <v>36</v>
      </c>
      <c r="F604" t="s">
        <v>37</v>
      </c>
      <c r="G604" t="s">
        <v>1034</v>
      </c>
      <c r="H604" t="s">
        <v>15</v>
      </c>
      <c r="I604" s="1">
        <v>1</v>
      </c>
      <c r="J604" s="2">
        <v>301.72000000000003</v>
      </c>
    </row>
    <row r="605" spans="2:10" x14ac:dyDescent="0.2">
      <c r="B605" t="s">
        <v>955</v>
      </c>
      <c r="C605" t="s">
        <v>135</v>
      </c>
      <c r="D605" t="s">
        <v>956</v>
      </c>
      <c r="E605" t="s">
        <v>72</v>
      </c>
      <c r="F605" t="s">
        <v>73</v>
      </c>
      <c r="G605" t="s">
        <v>1034</v>
      </c>
      <c r="H605" t="s">
        <v>15</v>
      </c>
      <c r="I605" s="1">
        <v>1</v>
      </c>
      <c r="J605" s="2">
        <v>775.86</v>
      </c>
    </row>
    <row r="606" spans="2:10" x14ac:dyDescent="0.2">
      <c r="B606" t="s">
        <v>955</v>
      </c>
      <c r="C606" t="s">
        <v>135</v>
      </c>
      <c r="D606" t="s">
        <v>956</v>
      </c>
      <c r="E606" t="s">
        <v>988</v>
      </c>
      <c r="F606" t="s">
        <v>989</v>
      </c>
      <c r="G606" t="s">
        <v>14</v>
      </c>
      <c r="H606" t="s">
        <v>509</v>
      </c>
      <c r="I606" s="1">
        <v>1</v>
      </c>
      <c r="J606" s="2">
        <v>620.69000000000005</v>
      </c>
    </row>
    <row r="607" spans="2:10" x14ac:dyDescent="0.2">
      <c r="B607" t="s">
        <v>955</v>
      </c>
      <c r="C607" t="s">
        <v>135</v>
      </c>
      <c r="D607" t="s">
        <v>956</v>
      </c>
      <c r="E607" t="s">
        <v>83</v>
      </c>
      <c r="F607" t="s">
        <v>84</v>
      </c>
      <c r="G607" t="s">
        <v>1034</v>
      </c>
      <c r="H607" t="s">
        <v>15</v>
      </c>
      <c r="I607" s="1">
        <v>1</v>
      </c>
      <c r="J607" s="2">
        <v>387.93</v>
      </c>
    </row>
    <row r="608" spans="2:10" x14ac:dyDescent="0.2">
      <c r="B608" t="s">
        <v>955</v>
      </c>
      <c r="C608" t="s">
        <v>135</v>
      </c>
      <c r="D608" t="s">
        <v>956</v>
      </c>
      <c r="E608" t="s">
        <v>500</v>
      </c>
      <c r="F608" t="s">
        <v>501</v>
      </c>
      <c r="G608" t="s">
        <v>1033</v>
      </c>
      <c r="H608" t="s">
        <v>30</v>
      </c>
      <c r="I608" s="1">
        <v>1</v>
      </c>
      <c r="J608" s="2">
        <v>3017.24</v>
      </c>
    </row>
    <row r="609" spans="2:10" x14ac:dyDescent="0.2">
      <c r="B609" t="s">
        <v>955</v>
      </c>
      <c r="C609" t="s">
        <v>135</v>
      </c>
      <c r="D609" t="s">
        <v>956</v>
      </c>
      <c r="E609" t="s">
        <v>990</v>
      </c>
      <c r="F609" t="s">
        <v>991</v>
      </c>
      <c r="G609" t="s">
        <v>992</v>
      </c>
      <c r="H609" t="s">
        <v>993</v>
      </c>
      <c r="I609" s="1">
        <v>1</v>
      </c>
      <c r="J609" s="2">
        <v>43.1</v>
      </c>
    </row>
    <row r="610" spans="2:10" x14ac:dyDescent="0.2">
      <c r="B610" t="s">
        <v>955</v>
      </c>
      <c r="C610" t="s">
        <v>135</v>
      </c>
      <c r="D610" t="s">
        <v>956</v>
      </c>
      <c r="E610" t="s">
        <v>873</v>
      </c>
      <c r="F610" t="s">
        <v>874</v>
      </c>
      <c r="G610" t="s">
        <v>43</v>
      </c>
      <c r="H610" t="s">
        <v>755</v>
      </c>
      <c r="I610" s="1">
        <v>1</v>
      </c>
      <c r="J610" s="2">
        <v>3448.28</v>
      </c>
    </row>
    <row r="611" spans="2:10" x14ac:dyDescent="0.2">
      <c r="B611" t="s">
        <v>955</v>
      </c>
      <c r="C611" t="s">
        <v>135</v>
      </c>
      <c r="D611" t="s">
        <v>956</v>
      </c>
      <c r="E611" t="s">
        <v>79</v>
      </c>
      <c r="F611" t="s">
        <v>80</v>
      </c>
      <c r="G611" t="s">
        <v>43</v>
      </c>
      <c r="H611" t="s">
        <v>81</v>
      </c>
      <c r="I611" s="1">
        <v>1</v>
      </c>
      <c r="J611" s="2">
        <v>1810.34</v>
      </c>
    </row>
    <row r="612" spans="2:10" x14ac:dyDescent="0.2">
      <c r="B612" t="s">
        <v>955</v>
      </c>
      <c r="C612" t="s">
        <v>135</v>
      </c>
      <c r="D612" t="s">
        <v>956</v>
      </c>
      <c r="E612" t="s">
        <v>994</v>
      </c>
      <c r="F612" t="s">
        <v>995</v>
      </c>
      <c r="G612" t="s">
        <v>43</v>
      </c>
      <c r="H612" t="s">
        <v>755</v>
      </c>
      <c r="I612" s="1">
        <v>1</v>
      </c>
      <c r="J612" s="2">
        <v>5172.41</v>
      </c>
    </row>
    <row r="613" spans="2:10" x14ac:dyDescent="0.2">
      <c r="B613" t="s">
        <v>955</v>
      </c>
      <c r="C613" t="s">
        <v>135</v>
      </c>
      <c r="D613" t="s">
        <v>956</v>
      </c>
      <c r="E613" t="s">
        <v>28</v>
      </c>
      <c r="F613" t="s">
        <v>29</v>
      </c>
      <c r="G613" t="s">
        <v>1033</v>
      </c>
      <c r="H613" t="s">
        <v>30</v>
      </c>
      <c r="I613" s="1">
        <v>2</v>
      </c>
      <c r="J613" s="2">
        <v>310.33999999999997</v>
      </c>
    </row>
    <row r="614" spans="2:10" x14ac:dyDescent="0.2">
      <c r="B614" t="s">
        <v>955</v>
      </c>
      <c r="C614" t="s">
        <v>141</v>
      </c>
      <c r="D614" t="s">
        <v>956</v>
      </c>
      <c r="E614" t="s">
        <v>308</v>
      </c>
      <c r="F614" t="s">
        <v>309</v>
      </c>
      <c r="G614" t="s">
        <v>1033</v>
      </c>
      <c r="H614" t="s">
        <v>30</v>
      </c>
      <c r="I614" s="1">
        <v>1</v>
      </c>
      <c r="J614" s="2">
        <v>818.97</v>
      </c>
    </row>
    <row r="615" spans="2:10" x14ac:dyDescent="0.2">
      <c r="B615" t="s">
        <v>955</v>
      </c>
      <c r="C615" t="s">
        <v>141</v>
      </c>
      <c r="D615" t="s">
        <v>956</v>
      </c>
      <c r="E615" t="s">
        <v>120</v>
      </c>
      <c r="F615" t="s">
        <v>121</v>
      </c>
      <c r="G615" t="s">
        <v>1034</v>
      </c>
      <c r="H615" t="s">
        <v>15</v>
      </c>
      <c r="I615" s="1">
        <v>1</v>
      </c>
      <c r="J615" s="2">
        <v>301.72000000000003</v>
      </c>
    </row>
    <row r="616" spans="2:10" x14ac:dyDescent="0.2">
      <c r="B616" t="s">
        <v>955</v>
      </c>
      <c r="C616" t="s">
        <v>141</v>
      </c>
      <c r="D616" t="s">
        <v>956</v>
      </c>
      <c r="E616" t="s">
        <v>12</v>
      </c>
      <c r="F616" t="s">
        <v>13</v>
      </c>
      <c r="G616" t="s">
        <v>1034</v>
      </c>
      <c r="H616" t="s">
        <v>15</v>
      </c>
      <c r="I616" s="1">
        <v>1</v>
      </c>
      <c r="J616" s="2">
        <v>1077.5899999999999</v>
      </c>
    </row>
    <row r="617" spans="2:10" x14ac:dyDescent="0.2">
      <c r="B617" t="s">
        <v>955</v>
      </c>
      <c r="C617" t="s">
        <v>141</v>
      </c>
      <c r="D617" t="s">
        <v>956</v>
      </c>
      <c r="E617" t="s">
        <v>36</v>
      </c>
      <c r="F617" t="s">
        <v>37</v>
      </c>
      <c r="G617" t="s">
        <v>1034</v>
      </c>
      <c r="H617" t="s">
        <v>15</v>
      </c>
      <c r="I617" s="1">
        <v>2</v>
      </c>
      <c r="J617" s="2">
        <v>603.44000000000005</v>
      </c>
    </row>
    <row r="618" spans="2:10" x14ac:dyDescent="0.2">
      <c r="B618" t="s">
        <v>955</v>
      </c>
      <c r="C618" t="s">
        <v>141</v>
      </c>
      <c r="D618" t="s">
        <v>956</v>
      </c>
      <c r="E618" t="s">
        <v>72</v>
      </c>
      <c r="F618" t="s">
        <v>73</v>
      </c>
      <c r="G618" t="s">
        <v>1034</v>
      </c>
      <c r="H618" t="s">
        <v>15</v>
      </c>
      <c r="I618" s="1">
        <v>2</v>
      </c>
      <c r="J618" s="2">
        <v>1551.72</v>
      </c>
    </row>
    <row r="619" spans="2:10" x14ac:dyDescent="0.2">
      <c r="B619" t="s">
        <v>955</v>
      </c>
      <c r="C619" t="s">
        <v>141</v>
      </c>
      <c r="D619" t="s">
        <v>956</v>
      </c>
      <c r="E619" t="s">
        <v>885</v>
      </c>
      <c r="F619" t="s">
        <v>886</v>
      </c>
      <c r="G619" t="s">
        <v>14</v>
      </c>
      <c r="H619" t="s">
        <v>60</v>
      </c>
      <c r="I619" s="1">
        <v>1</v>
      </c>
      <c r="J619" s="2">
        <v>310.35000000000002</v>
      </c>
    </row>
    <row r="620" spans="2:10" x14ac:dyDescent="0.2">
      <c r="B620" t="s">
        <v>955</v>
      </c>
      <c r="C620" t="s">
        <v>141</v>
      </c>
      <c r="D620" t="s">
        <v>956</v>
      </c>
      <c r="E620" t="s">
        <v>163</v>
      </c>
      <c r="F620" t="s">
        <v>164</v>
      </c>
      <c r="G620" t="s">
        <v>1034</v>
      </c>
      <c r="H620" t="s">
        <v>15</v>
      </c>
      <c r="I620" s="1">
        <v>1</v>
      </c>
      <c r="J620" s="2">
        <v>431.03</v>
      </c>
    </row>
    <row r="621" spans="2:10" x14ac:dyDescent="0.2">
      <c r="B621" t="s">
        <v>955</v>
      </c>
      <c r="C621" t="s">
        <v>141</v>
      </c>
      <c r="D621" t="s">
        <v>956</v>
      </c>
      <c r="E621" t="s">
        <v>996</v>
      </c>
      <c r="F621" t="s">
        <v>997</v>
      </c>
      <c r="G621" t="s">
        <v>43</v>
      </c>
      <c r="H621" t="s">
        <v>128</v>
      </c>
      <c r="I621" s="1">
        <v>1</v>
      </c>
      <c r="J621" s="2">
        <v>4396.55</v>
      </c>
    </row>
    <row r="622" spans="2:10" x14ac:dyDescent="0.2">
      <c r="B622" t="s">
        <v>955</v>
      </c>
      <c r="C622" t="s">
        <v>141</v>
      </c>
      <c r="D622" t="s">
        <v>956</v>
      </c>
      <c r="E622" t="s">
        <v>218</v>
      </c>
      <c r="F622" t="s">
        <v>219</v>
      </c>
      <c r="G622" t="s">
        <v>43</v>
      </c>
      <c r="H622" t="s">
        <v>128</v>
      </c>
      <c r="I622" s="1">
        <v>1</v>
      </c>
      <c r="J622" s="2">
        <v>4396.55</v>
      </c>
    </row>
    <row r="623" spans="2:10" x14ac:dyDescent="0.2">
      <c r="B623" t="s">
        <v>955</v>
      </c>
      <c r="C623" t="s">
        <v>141</v>
      </c>
      <c r="D623" t="s">
        <v>956</v>
      </c>
      <c r="E623" t="s">
        <v>461</v>
      </c>
      <c r="F623" t="s">
        <v>462</v>
      </c>
      <c r="G623" t="s">
        <v>43</v>
      </c>
      <c r="H623" t="s">
        <v>50</v>
      </c>
      <c r="I623" s="1">
        <v>1</v>
      </c>
      <c r="J623" s="2">
        <v>3879.31</v>
      </c>
    </row>
    <row r="624" spans="2:10" x14ac:dyDescent="0.2">
      <c r="B624" t="s">
        <v>955</v>
      </c>
      <c r="C624" t="s">
        <v>141</v>
      </c>
      <c r="D624" t="s">
        <v>956</v>
      </c>
      <c r="E624" t="s">
        <v>961</v>
      </c>
      <c r="F624" t="s">
        <v>962</v>
      </c>
      <c r="G624" t="s">
        <v>1033</v>
      </c>
      <c r="H624" t="s">
        <v>30</v>
      </c>
      <c r="I624" s="1">
        <v>1</v>
      </c>
      <c r="J624" s="2">
        <v>2577.59</v>
      </c>
    </row>
    <row r="625" spans="2:10" x14ac:dyDescent="0.2">
      <c r="B625" t="s">
        <v>955</v>
      </c>
      <c r="C625" t="s">
        <v>144</v>
      </c>
      <c r="D625" t="s">
        <v>956</v>
      </c>
      <c r="E625" t="s">
        <v>318</v>
      </c>
      <c r="F625" t="s">
        <v>319</v>
      </c>
      <c r="G625" t="s">
        <v>1033</v>
      </c>
      <c r="H625" t="s">
        <v>30</v>
      </c>
      <c r="I625" s="1">
        <v>1</v>
      </c>
      <c r="J625" s="2">
        <v>456.9</v>
      </c>
    </row>
    <row r="626" spans="2:10" x14ac:dyDescent="0.2">
      <c r="B626" t="s">
        <v>955</v>
      </c>
      <c r="C626" t="s">
        <v>144</v>
      </c>
      <c r="D626" t="s">
        <v>956</v>
      </c>
      <c r="E626" t="s">
        <v>19</v>
      </c>
      <c r="F626" t="s">
        <v>20</v>
      </c>
      <c r="G626" t="s">
        <v>14</v>
      </c>
      <c r="H626" t="s">
        <v>21</v>
      </c>
      <c r="I626" s="1">
        <v>1</v>
      </c>
      <c r="J626" s="2">
        <v>431.04</v>
      </c>
    </row>
    <row r="627" spans="2:10" x14ac:dyDescent="0.2">
      <c r="B627" t="s">
        <v>955</v>
      </c>
      <c r="C627" t="s">
        <v>144</v>
      </c>
      <c r="D627" t="s">
        <v>956</v>
      </c>
      <c r="E627" t="s">
        <v>998</v>
      </c>
      <c r="F627" t="s">
        <v>999</v>
      </c>
      <c r="G627" t="s">
        <v>54</v>
      </c>
      <c r="H627" t="s">
        <v>138</v>
      </c>
      <c r="I627" s="1">
        <v>1</v>
      </c>
      <c r="J627" s="2">
        <v>534.48</v>
      </c>
    </row>
    <row r="628" spans="2:10" x14ac:dyDescent="0.2">
      <c r="B628" t="s">
        <v>955</v>
      </c>
      <c r="C628" t="s">
        <v>144</v>
      </c>
      <c r="D628" t="s">
        <v>956</v>
      </c>
      <c r="E628" t="s">
        <v>99</v>
      </c>
      <c r="F628" t="s">
        <v>100</v>
      </c>
      <c r="G628" t="s">
        <v>43</v>
      </c>
      <c r="H628" t="s">
        <v>50</v>
      </c>
      <c r="I628" s="1">
        <v>1</v>
      </c>
      <c r="J628" s="2">
        <v>3275.86</v>
      </c>
    </row>
    <row r="629" spans="2:10" x14ac:dyDescent="0.2">
      <c r="B629" t="s">
        <v>955</v>
      </c>
      <c r="C629" t="s">
        <v>144</v>
      </c>
      <c r="D629" t="s">
        <v>956</v>
      </c>
      <c r="E629" t="s">
        <v>474</v>
      </c>
      <c r="F629" t="s">
        <v>475</v>
      </c>
      <c r="G629" t="s">
        <v>43</v>
      </c>
      <c r="H629" t="s">
        <v>128</v>
      </c>
      <c r="I629" s="1">
        <v>1</v>
      </c>
      <c r="J629" s="2">
        <v>5172.41</v>
      </c>
    </row>
    <row r="630" spans="2:10" x14ac:dyDescent="0.2">
      <c r="B630" t="s">
        <v>955</v>
      </c>
      <c r="C630" t="s">
        <v>144</v>
      </c>
      <c r="D630" t="s">
        <v>956</v>
      </c>
      <c r="E630" t="s">
        <v>36</v>
      </c>
      <c r="F630" t="s">
        <v>37</v>
      </c>
      <c r="G630" t="s">
        <v>1034</v>
      </c>
      <c r="H630" t="s">
        <v>15</v>
      </c>
      <c r="I630" s="1">
        <v>1</v>
      </c>
      <c r="J630" s="2">
        <v>301.72000000000003</v>
      </c>
    </row>
    <row r="631" spans="2:10" x14ac:dyDescent="0.2">
      <c r="B631" t="s">
        <v>955</v>
      </c>
      <c r="C631" t="s">
        <v>144</v>
      </c>
      <c r="D631" t="s">
        <v>956</v>
      </c>
      <c r="E631" t="s">
        <v>72</v>
      </c>
      <c r="F631" t="s">
        <v>73</v>
      </c>
      <c r="G631" t="s">
        <v>1034</v>
      </c>
      <c r="H631" t="s">
        <v>15</v>
      </c>
      <c r="I631" s="1">
        <v>1</v>
      </c>
      <c r="J631" s="2">
        <v>775.86</v>
      </c>
    </row>
    <row r="632" spans="2:10" x14ac:dyDescent="0.2">
      <c r="B632" t="s">
        <v>955</v>
      </c>
      <c r="C632" t="s">
        <v>144</v>
      </c>
      <c r="D632" t="s">
        <v>956</v>
      </c>
      <c r="E632" t="s">
        <v>56</v>
      </c>
      <c r="F632" t="s">
        <v>57</v>
      </c>
      <c r="G632" t="s">
        <v>1034</v>
      </c>
      <c r="H632" t="s">
        <v>15</v>
      </c>
      <c r="I632" s="1">
        <v>2</v>
      </c>
      <c r="J632" s="2">
        <v>862.06</v>
      </c>
    </row>
    <row r="633" spans="2:10" x14ac:dyDescent="0.2">
      <c r="B633" t="s">
        <v>955</v>
      </c>
      <c r="C633" t="s">
        <v>165</v>
      </c>
      <c r="D633" t="s">
        <v>277</v>
      </c>
      <c r="E633" t="s">
        <v>318</v>
      </c>
      <c r="F633" t="s">
        <v>319</v>
      </c>
      <c r="G633" t="s">
        <v>1033</v>
      </c>
      <c r="H633" t="s">
        <v>30</v>
      </c>
      <c r="I633" s="1">
        <v>1</v>
      </c>
      <c r="J633" s="2">
        <v>456.9</v>
      </c>
    </row>
    <row r="634" spans="2:10" x14ac:dyDescent="0.2">
      <c r="B634" t="s">
        <v>955</v>
      </c>
      <c r="C634" t="s">
        <v>165</v>
      </c>
      <c r="D634" t="s">
        <v>277</v>
      </c>
      <c r="E634" t="s">
        <v>280</v>
      </c>
      <c r="F634" t="s">
        <v>281</v>
      </c>
      <c r="G634" t="s">
        <v>1033</v>
      </c>
      <c r="H634" t="s">
        <v>30</v>
      </c>
      <c r="I634" s="1">
        <v>1</v>
      </c>
      <c r="J634" s="2">
        <v>474.14</v>
      </c>
    </row>
    <row r="635" spans="2:10" x14ac:dyDescent="0.2">
      <c r="B635" t="s">
        <v>955</v>
      </c>
      <c r="C635" t="s">
        <v>165</v>
      </c>
      <c r="D635" t="s">
        <v>277</v>
      </c>
      <c r="E635" t="s">
        <v>12</v>
      </c>
      <c r="F635" t="s">
        <v>13</v>
      </c>
      <c r="G635" t="s">
        <v>1034</v>
      </c>
      <c r="H635" t="s">
        <v>15</v>
      </c>
      <c r="I635" s="1">
        <v>1</v>
      </c>
      <c r="J635" s="2">
        <v>1077.5899999999999</v>
      </c>
    </row>
    <row r="636" spans="2:10" x14ac:dyDescent="0.2">
      <c r="B636" t="s">
        <v>955</v>
      </c>
      <c r="C636" t="s">
        <v>165</v>
      </c>
      <c r="D636" t="s">
        <v>277</v>
      </c>
      <c r="E636" t="s">
        <v>72</v>
      </c>
      <c r="F636" t="s">
        <v>73</v>
      </c>
      <c r="G636" t="s">
        <v>1034</v>
      </c>
      <c r="H636" t="s">
        <v>15</v>
      </c>
      <c r="I636" s="1">
        <v>1</v>
      </c>
      <c r="J636" s="2">
        <v>775.86</v>
      </c>
    </row>
    <row r="637" spans="2:10" x14ac:dyDescent="0.2">
      <c r="B637" t="s">
        <v>955</v>
      </c>
      <c r="C637" t="s">
        <v>165</v>
      </c>
      <c r="D637" t="s">
        <v>277</v>
      </c>
      <c r="E637" t="s">
        <v>83</v>
      </c>
      <c r="F637" t="s">
        <v>84</v>
      </c>
      <c r="G637" t="s">
        <v>1034</v>
      </c>
      <c r="H637" t="s">
        <v>15</v>
      </c>
      <c r="I637" s="1">
        <v>1</v>
      </c>
      <c r="J637" s="2">
        <v>387.93</v>
      </c>
    </row>
    <row r="638" spans="2:10" x14ac:dyDescent="0.2">
      <c r="B638" t="s">
        <v>955</v>
      </c>
      <c r="C638" t="s">
        <v>165</v>
      </c>
      <c r="D638" t="s">
        <v>277</v>
      </c>
      <c r="E638" t="s">
        <v>56</v>
      </c>
      <c r="F638" t="s">
        <v>57</v>
      </c>
      <c r="G638" t="s">
        <v>1034</v>
      </c>
      <c r="H638" t="s">
        <v>15</v>
      </c>
      <c r="I638" s="1">
        <v>1</v>
      </c>
      <c r="J638" s="2">
        <v>431.03</v>
      </c>
    </row>
    <row r="639" spans="2:10" x14ac:dyDescent="0.2">
      <c r="B639" t="s">
        <v>955</v>
      </c>
      <c r="C639" t="s">
        <v>166</v>
      </c>
      <c r="D639" t="s">
        <v>956</v>
      </c>
      <c r="E639" t="s">
        <v>167</v>
      </c>
      <c r="F639" t="s">
        <v>168</v>
      </c>
      <c r="G639" t="s">
        <v>1033</v>
      </c>
      <c r="H639" t="s">
        <v>30</v>
      </c>
      <c r="I639" s="1">
        <v>1</v>
      </c>
      <c r="J639" s="2">
        <v>1267.24</v>
      </c>
    </row>
    <row r="640" spans="2:10" x14ac:dyDescent="0.2">
      <c r="B640" t="s">
        <v>955</v>
      </c>
      <c r="C640" t="s">
        <v>166</v>
      </c>
      <c r="D640" t="s">
        <v>956</v>
      </c>
      <c r="E640" t="s">
        <v>46</v>
      </c>
      <c r="F640" t="s">
        <v>47</v>
      </c>
      <c r="G640" t="s">
        <v>1034</v>
      </c>
      <c r="H640" t="s">
        <v>15</v>
      </c>
      <c r="I640" s="1">
        <v>1</v>
      </c>
      <c r="J640" s="2">
        <v>301.72000000000003</v>
      </c>
    </row>
    <row r="641" spans="2:10" x14ac:dyDescent="0.2">
      <c r="B641" t="s">
        <v>955</v>
      </c>
      <c r="C641" t="s">
        <v>166</v>
      </c>
      <c r="D641" t="s">
        <v>956</v>
      </c>
      <c r="E641" t="s">
        <v>425</v>
      </c>
      <c r="F641" t="s">
        <v>426</v>
      </c>
      <c r="G641" t="s">
        <v>1033</v>
      </c>
      <c r="H641" t="s">
        <v>30</v>
      </c>
      <c r="I641" s="1">
        <v>1</v>
      </c>
      <c r="J641" s="2">
        <v>1137.93</v>
      </c>
    </row>
    <row r="642" spans="2:10" x14ac:dyDescent="0.2">
      <c r="B642" t="s">
        <v>955</v>
      </c>
      <c r="C642" t="s">
        <v>166</v>
      </c>
      <c r="D642" t="s">
        <v>956</v>
      </c>
      <c r="E642" t="s">
        <v>656</v>
      </c>
      <c r="F642" t="s">
        <v>657</v>
      </c>
      <c r="G642" t="s">
        <v>43</v>
      </c>
      <c r="H642" t="s">
        <v>50</v>
      </c>
      <c r="I642" s="1">
        <v>1</v>
      </c>
      <c r="J642" s="2">
        <v>181.03</v>
      </c>
    </row>
    <row r="643" spans="2:10" x14ac:dyDescent="0.2">
      <c r="B643" t="s">
        <v>955</v>
      </c>
      <c r="C643" t="s">
        <v>166</v>
      </c>
      <c r="D643" t="s">
        <v>956</v>
      </c>
      <c r="E643" t="s">
        <v>596</v>
      </c>
      <c r="F643" t="s">
        <v>597</v>
      </c>
      <c r="G643" t="s">
        <v>43</v>
      </c>
      <c r="H643" t="s">
        <v>50</v>
      </c>
      <c r="I643" s="1">
        <v>1</v>
      </c>
      <c r="J643" s="2">
        <v>181.03</v>
      </c>
    </row>
    <row r="644" spans="2:10" x14ac:dyDescent="0.2">
      <c r="B644" t="s">
        <v>955</v>
      </c>
      <c r="C644" t="s">
        <v>166</v>
      </c>
      <c r="D644" t="s">
        <v>956</v>
      </c>
      <c r="E644" t="s">
        <v>257</v>
      </c>
      <c r="F644" t="s">
        <v>258</v>
      </c>
      <c r="G644" t="s">
        <v>1033</v>
      </c>
      <c r="H644" t="s">
        <v>30</v>
      </c>
      <c r="I644" s="1">
        <v>1</v>
      </c>
      <c r="J644" s="2">
        <v>1577.59</v>
      </c>
    </row>
    <row r="645" spans="2:10" x14ac:dyDescent="0.2">
      <c r="B645" t="s">
        <v>955</v>
      </c>
      <c r="C645" t="s">
        <v>185</v>
      </c>
      <c r="D645" t="s">
        <v>277</v>
      </c>
      <c r="E645" t="s">
        <v>173</v>
      </c>
      <c r="F645" t="s">
        <v>174</v>
      </c>
      <c r="G645" t="s">
        <v>14</v>
      </c>
      <c r="H645" t="s">
        <v>35</v>
      </c>
      <c r="I645" s="1">
        <v>1</v>
      </c>
      <c r="J645" s="2">
        <v>60.34</v>
      </c>
    </row>
    <row r="646" spans="2:10" x14ac:dyDescent="0.2">
      <c r="B646" t="s">
        <v>955</v>
      </c>
      <c r="C646" t="s">
        <v>185</v>
      </c>
      <c r="D646" t="s">
        <v>277</v>
      </c>
      <c r="E646" t="s">
        <v>12</v>
      </c>
      <c r="F646" t="s">
        <v>13</v>
      </c>
      <c r="G646" t="s">
        <v>1034</v>
      </c>
      <c r="H646" t="s">
        <v>15</v>
      </c>
      <c r="I646" s="1">
        <v>1</v>
      </c>
      <c r="J646" s="2">
        <v>1077.5899999999999</v>
      </c>
    </row>
    <row r="647" spans="2:10" x14ac:dyDescent="0.2">
      <c r="B647" t="s">
        <v>955</v>
      </c>
      <c r="C647" t="s">
        <v>185</v>
      </c>
      <c r="D647" t="s">
        <v>277</v>
      </c>
      <c r="E647" t="s">
        <v>974</v>
      </c>
      <c r="F647" t="s">
        <v>975</v>
      </c>
      <c r="G647" t="s">
        <v>1034</v>
      </c>
      <c r="H647" t="s">
        <v>15</v>
      </c>
      <c r="I647" s="1">
        <v>1</v>
      </c>
      <c r="J647" s="2">
        <v>431.03</v>
      </c>
    </row>
    <row r="648" spans="2:10" x14ac:dyDescent="0.2">
      <c r="B648" t="s">
        <v>955</v>
      </c>
      <c r="C648" t="s">
        <v>185</v>
      </c>
      <c r="D648" t="s">
        <v>277</v>
      </c>
      <c r="E648" t="s">
        <v>16</v>
      </c>
      <c r="F648" t="s">
        <v>17</v>
      </c>
      <c r="G648" t="s">
        <v>1034</v>
      </c>
      <c r="H648" t="s">
        <v>15</v>
      </c>
      <c r="I648" s="1">
        <v>2</v>
      </c>
      <c r="J648" s="2">
        <v>1155.18</v>
      </c>
    </row>
    <row r="649" spans="2:10" x14ac:dyDescent="0.2">
      <c r="B649" t="s">
        <v>1016</v>
      </c>
      <c r="C649" t="s">
        <v>134</v>
      </c>
      <c r="D649" t="s">
        <v>1017</v>
      </c>
      <c r="E649" t="s">
        <v>306</v>
      </c>
      <c r="F649" t="s">
        <v>307</v>
      </c>
      <c r="G649" t="s">
        <v>1033</v>
      </c>
      <c r="H649" t="s">
        <v>30</v>
      </c>
      <c r="I649" s="1">
        <v>1</v>
      </c>
      <c r="J649" s="2">
        <v>258.62</v>
      </c>
    </row>
    <row r="650" spans="2:10" x14ac:dyDescent="0.2">
      <c r="B650" t="s">
        <v>1016</v>
      </c>
      <c r="C650" t="s">
        <v>134</v>
      </c>
      <c r="D650" t="s">
        <v>1017</v>
      </c>
      <c r="E650" t="s">
        <v>605</v>
      </c>
      <c r="F650" t="s">
        <v>606</v>
      </c>
      <c r="G650" t="s">
        <v>1033</v>
      </c>
      <c r="H650" t="s">
        <v>30</v>
      </c>
      <c r="I650" s="1">
        <v>1</v>
      </c>
      <c r="J650" s="2">
        <v>465.52</v>
      </c>
    </row>
    <row r="651" spans="2:10" x14ac:dyDescent="0.2">
      <c r="B651" t="s">
        <v>1016</v>
      </c>
      <c r="C651" t="s">
        <v>134</v>
      </c>
      <c r="D651" t="s">
        <v>1017</v>
      </c>
      <c r="E651" t="s">
        <v>122</v>
      </c>
      <c r="F651" t="s">
        <v>123</v>
      </c>
      <c r="G651" t="s">
        <v>1034</v>
      </c>
      <c r="H651" t="s">
        <v>15</v>
      </c>
      <c r="I651" s="1">
        <v>1</v>
      </c>
      <c r="J651" s="2">
        <v>387.93</v>
      </c>
    </row>
    <row r="652" spans="2:10" x14ac:dyDescent="0.2">
      <c r="B652" t="s">
        <v>1016</v>
      </c>
      <c r="C652" t="s">
        <v>134</v>
      </c>
      <c r="D652" t="s">
        <v>1017</v>
      </c>
      <c r="E652" t="s">
        <v>223</v>
      </c>
      <c r="F652" t="s">
        <v>224</v>
      </c>
      <c r="G652" t="s">
        <v>43</v>
      </c>
      <c r="H652" t="s">
        <v>50</v>
      </c>
      <c r="I652" s="1">
        <v>1</v>
      </c>
      <c r="J652" s="2">
        <v>1637.93</v>
      </c>
    </row>
    <row r="653" spans="2:10" x14ac:dyDescent="0.2">
      <c r="B653" t="s">
        <v>1016</v>
      </c>
      <c r="C653" t="s">
        <v>134</v>
      </c>
      <c r="D653" t="s">
        <v>1017</v>
      </c>
      <c r="E653" t="s">
        <v>63</v>
      </c>
      <c r="F653" t="s">
        <v>64</v>
      </c>
      <c r="G653" t="s">
        <v>1034</v>
      </c>
      <c r="H653" t="s">
        <v>15</v>
      </c>
      <c r="I653" s="1">
        <v>1</v>
      </c>
      <c r="J653" s="2">
        <v>172.41</v>
      </c>
    </row>
    <row r="654" spans="2:10" x14ac:dyDescent="0.2">
      <c r="B654" t="s">
        <v>1016</v>
      </c>
      <c r="C654" t="s">
        <v>135</v>
      </c>
      <c r="D654" t="s">
        <v>1017</v>
      </c>
      <c r="E654" t="s">
        <v>255</v>
      </c>
      <c r="F654" t="s">
        <v>256</v>
      </c>
      <c r="G654" t="s">
        <v>1033</v>
      </c>
      <c r="H654" t="s">
        <v>30</v>
      </c>
      <c r="I654" s="1">
        <v>1</v>
      </c>
      <c r="J654" s="2">
        <v>517.24</v>
      </c>
    </row>
    <row r="655" spans="2:10" x14ac:dyDescent="0.2">
      <c r="B655" t="s">
        <v>1016</v>
      </c>
      <c r="C655" t="s">
        <v>135</v>
      </c>
      <c r="D655" t="s">
        <v>1017</v>
      </c>
      <c r="E655" t="s">
        <v>48</v>
      </c>
      <c r="F655" t="s">
        <v>49</v>
      </c>
      <c r="G655" t="s">
        <v>43</v>
      </c>
      <c r="H655" t="s">
        <v>50</v>
      </c>
      <c r="I655" s="1">
        <v>1</v>
      </c>
      <c r="J655" s="2">
        <v>1318.97</v>
      </c>
    </row>
    <row r="656" spans="2:10" x14ac:dyDescent="0.2">
      <c r="B656" t="s">
        <v>1016</v>
      </c>
      <c r="C656" t="s">
        <v>141</v>
      </c>
      <c r="D656" t="s">
        <v>1017</v>
      </c>
      <c r="E656" t="s">
        <v>44</v>
      </c>
      <c r="F656" t="s">
        <v>45</v>
      </c>
      <c r="G656" t="s">
        <v>1033</v>
      </c>
      <c r="H656" t="s">
        <v>30</v>
      </c>
      <c r="I656" s="1">
        <v>1</v>
      </c>
      <c r="J656" s="2">
        <v>81.900000000000006</v>
      </c>
    </row>
    <row r="657" spans="2:10" x14ac:dyDescent="0.2">
      <c r="B657" t="s">
        <v>1016</v>
      </c>
      <c r="C657" t="s">
        <v>141</v>
      </c>
      <c r="D657" t="s">
        <v>1017</v>
      </c>
      <c r="E657" t="s">
        <v>56</v>
      </c>
      <c r="F657" t="s">
        <v>57</v>
      </c>
      <c r="G657" t="s">
        <v>1034</v>
      </c>
      <c r="H657" t="s">
        <v>15</v>
      </c>
      <c r="I657" s="1">
        <v>2</v>
      </c>
      <c r="J657" s="2">
        <v>862.06</v>
      </c>
    </row>
    <row r="658" spans="2:10" x14ac:dyDescent="0.2">
      <c r="B658" t="s">
        <v>1016</v>
      </c>
      <c r="C658" t="s">
        <v>141</v>
      </c>
      <c r="D658" t="s">
        <v>1017</v>
      </c>
      <c r="E658" t="s">
        <v>61</v>
      </c>
      <c r="F658" t="s">
        <v>62</v>
      </c>
      <c r="G658" t="s">
        <v>1034</v>
      </c>
      <c r="H658" t="s">
        <v>15</v>
      </c>
      <c r="I658" s="1">
        <v>1</v>
      </c>
      <c r="J658" s="2">
        <v>172.41</v>
      </c>
    </row>
    <row r="659" spans="2:10" x14ac:dyDescent="0.2">
      <c r="B659" t="s">
        <v>1016</v>
      </c>
      <c r="C659" t="s">
        <v>141</v>
      </c>
      <c r="D659" t="s">
        <v>1017</v>
      </c>
      <c r="E659" t="s">
        <v>193</v>
      </c>
      <c r="F659" t="s">
        <v>194</v>
      </c>
      <c r="G659" t="s">
        <v>1034</v>
      </c>
      <c r="H659" t="s">
        <v>15</v>
      </c>
      <c r="I659" s="1">
        <v>1</v>
      </c>
      <c r="J659" s="2">
        <v>1293.0999999999999</v>
      </c>
    </row>
    <row r="660" spans="2:10" x14ac:dyDescent="0.2">
      <c r="B660" t="s">
        <v>1016</v>
      </c>
      <c r="C660" t="s">
        <v>141</v>
      </c>
      <c r="D660" t="s">
        <v>1017</v>
      </c>
      <c r="E660" t="s">
        <v>28</v>
      </c>
      <c r="F660" t="s">
        <v>29</v>
      </c>
      <c r="G660" t="s">
        <v>1033</v>
      </c>
      <c r="H660" t="s">
        <v>30</v>
      </c>
      <c r="I660" s="1">
        <v>1</v>
      </c>
      <c r="J660" s="2">
        <v>155.16999999999999</v>
      </c>
    </row>
    <row r="661" spans="2:10" x14ac:dyDescent="0.2">
      <c r="B661" t="s">
        <v>1016</v>
      </c>
      <c r="C661" t="s">
        <v>144</v>
      </c>
      <c r="D661" t="s">
        <v>1017</v>
      </c>
      <c r="E661" t="s">
        <v>19</v>
      </c>
      <c r="F661" t="s">
        <v>20</v>
      </c>
      <c r="G661" t="s">
        <v>14</v>
      </c>
      <c r="H661" t="s">
        <v>21</v>
      </c>
      <c r="I661" s="1">
        <v>1</v>
      </c>
      <c r="J661" s="2">
        <v>431.04</v>
      </c>
    </row>
    <row r="662" spans="2:10" x14ac:dyDescent="0.2">
      <c r="B662" t="s">
        <v>1016</v>
      </c>
      <c r="C662" t="s">
        <v>144</v>
      </c>
      <c r="D662" t="s">
        <v>1017</v>
      </c>
      <c r="E662" t="s">
        <v>38</v>
      </c>
      <c r="F662" t="s">
        <v>39</v>
      </c>
      <c r="G662" t="s">
        <v>1034</v>
      </c>
      <c r="H662" t="s">
        <v>15</v>
      </c>
      <c r="I662" s="1">
        <v>1</v>
      </c>
      <c r="J662" s="2">
        <v>431.03</v>
      </c>
    </row>
    <row r="663" spans="2:10" x14ac:dyDescent="0.2">
      <c r="B663" t="s">
        <v>1016</v>
      </c>
      <c r="C663" t="s">
        <v>144</v>
      </c>
      <c r="D663" t="s">
        <v>1017</v>
      </c>
      <c r="E663" t="s">
        <v>126</v>
      </c>
      <c r="F663" t="s">
        <v>127</v>
      </c>
      <c r="G663" t="s">
        <v>43</v>
      </c>
      <c r="H663" t="s">
        <v>128</v>
      </c>
      <c r="I663" s="1">
        <v>1</v>
      </c>
      <c r="J663" s="2">
        <v>2068.9699999999998</v>
      </c>
    </row>
    <row r="664" spans="2:10" x14ac:dyDescent="0.2">
      <c r="B664" t="s">
        <v>1016</v>
      </c>
      <c r="C664" t="s">
        <v>165</v>
      </c>
      <c r="D664" t="s">
        <v>1017</v>
      </c>
      <c r="E664" t="s">
        <v>214</v>
      </c>
      <c r="F664" t="s">
        <v>215</v>
      </c>
      <c r="G664" t="s">
        <v>1034</v>
      </c>
      <c r="H664" t="s">
        <v>15</v>
      </c>
      <c r="I664" s="1">
        <v>1</v>
      </c>
      <c r="J664" s="2">
        <v>301.72000000000003</v>
      </c>
    </row>
    <row r="665" spans="2:10" x14ac:dyDescent="0.2">
      <c r="B665" t="s">
        <v>1016</v>
      </c>
      <c r="C665" t="s">
        <v>165</v>
      </c>
      <c r="D665" t="s">
        <v>1017</v>
      </c>
      <c r="E665" t="s">
        <v>679</v>
      </c>
      <c r="F665" t="s">
        <v>680</v>
      </c>
      <c r="G665" t="s">
        <v>1033</v>
      </c>
      <c r="H665" t="s">
        <v>30</v>
      </c>
      <c r="I665" s="1">
        <v>1</v>
      </c>
      <c r="J665" s="2">
        <v>1293.0999999999999</v>
      </c>
    </row>
    <row r="666" spans="2:10" x14ac:dyDescent="0.2">
      <c r="B666" t="s">
        <v>1016</v>
      </c>
      <c r="C666" t="s">
        <v>165</v>
      </c>
      <c r="D666" t="s">
        <v>1017</v>
      </c>
      <c r="E666" t="s">
        <v>56</v>
      </c>
      <c r="F666" t="s">
        <v>57</v>
      </c>
      <c r="G666" t="s">
        <v>1034</v>
      </c>
      <c r="H666" t="s">
        <v>15</v>
      </c>
      <c r="I666" s="1">
        <v>1</v>
      </c>
      <c r="J666" s="2">
        <v>431.03</v>
      </c>
    </row>
    <row r="667" spans="2:10" x14ac:dyDescent="0.2">
      <c r="B667" t="s">
        <v>1016</v>
      </c>
      <c r="C667" t="s">
        <v>166</v>
      </c>
      <c r="D667" t="s">
        <v>32</v>
      </c>
      <c r="E667" t="s">
        <v>660</v>
      </c>
      <c r="F667" t="s">
        <v>661</v>
      </c>
      <c r="G667" t="s">
        <v>14</v>
      </c>
      <c r="H667" t="s">
        <v>27</v>
      </c>
      <c r="I667" s="1">
        <v>1</v>
      </c>
      <c r="J667" s="2">
        <v>448.28</v>
      </c>
    </row>
    <row r="668" spans="2:10" x14ac:dyDescent="0.2">
      <c r="B668" t="s">
        <v>1016</v>
      </c>
      <c r="C668" t="s">
        <v>166</v>
      </c>
      <c r="D668" t="s">
        <v>32</v>
      </c>
      <c r="E668" t="s">
        <v>637</v>
      </c>
      <c r="F668" t="s">
        <v>638</v>
      </c>
      <c r="G668" t="s">
        <v>1033</v>
      </c>
      <c r="H668" t="s">
        <v>30</v>
      </c>
      <c r="I668" s="1">
        <v>1</v>
      </c>
      <c r="J668" s="2">
        <v>689.66</v>
      </c>
    </row>
    <row r="669" spans="2:10" x14ac:dyDescent="0.2">
      <c r="B669" t="s">
        <v>1016</v>
      </c>
      <c r="C669" t="s">
        <v>166</v>
      </c>
      <c r="D669" t="s">
        <v>32</v>
      </c>
      <c r="E669" t="s">
        <v>41</v>
      </c>
      <c r="F669" t="s">
        <v>42</v>
      </c>
      <c r="G669" t="s">
        <v>1033</v>
      </c>
      <c r="H669" t="s">
        <v>30</v>
      </c>
      <c r="I669" s="1">
        <v>1</v>
      </c>
      <c r="J669" s="2">
        <v>34.479999999999997</v>
      </c>
    </row>
    <row r="670" spans="2:10" x14ac:dyDescent="0.2">
      <c r="B670" t="s">
        <v>1016</v>
      </c>
      <c r="C670" t="s">
        <v>166</v>
      </c>
      <c r="D670" t="s">
        <v>32</v>
      </c>
      <c r="E670" t="s">
        <v>44</v>
      </c>
      <c r="F670" t="s">
        <v>45</v>
      </c>
      <c r="G670" t="s">
        <v>1033</v>
      </c>
      <c r="H670" t="s">
        <v>30</v>
      </c>
      <c r="I670" s="1">
        <v>1</v>
      </c>
      <c r="J670" s="2">
        <v>81.900000000000006</v>
      </c>
    </row>
    <row r="671" spans="2:10" x14ac:dyDescent="0.2">
      <c r="B671" t="s">
        <v>1016</v>
      </c>
      <c r="C671" t="s">
        <v>166</v>
      </c>
      <c r="D671" t="s">
        <v>32</v>
      </c>
      <c r="E671" t="s">
        <v>19</v>
      </c>
      <c r="F671" t="s">
        <v>20</v>
      </c>
      <c r="G671" t="s">
        <v>14</v>
      </c>
      <c r="H671" t="s">
        <v>21</v>
      </c>
      <c r="I671" s="1">
        <v>1</v>
      </c>
      <c r="J671" s="2">
        <v>431.04</v>
      </c>
    </row>
    <row r="672" spans="2:10" x14ac:dyDescent="0.2">
      <c r="B672" t="s">
        <v>1016</v>
      </c>
      <c r="C672" t="s">
        <v>166</v>
      </c>
      <c r="D672" t="s">
        <v>32</v>
      </c>
      <c r="E672" t="s">
        <v>1021</v>
      </c>
      <c r="F672" t="s">
        <v>1022</v>
      </c>
      <c r="G672" t="s">
        <v>1033</v>
      </c>
      <c r="H672" t="s">
        <v>30</v>
      </c>
      <c r="I672" s="1">
        <v>1</v>
      </c>
      <c r="J672" s="2">
        <v>344.83</v>
      </c>
    </row>
    <row r="673" spans="2:10" x14ac:dyDescent="0.2">
      <c r="B673" t="s">
        <v>1016</v>
      </c>
      <c r="C673" t="s">
        <v>166</v>
      </c>
      <c r="D673" t="s">
        <v>32</v>
      </c>
      <c r="E673" t="s">
        <v>463</v>
      </c>
      <c r="F673" t="s">
        <v>464</v>
      </c>
      <c r="G673" t="s">
        <v>14</v>
      </c>
      <c r="H673" t="s">
        <v>35</v>
      </c>
      <c r="I673" s="1">
        <v>1</v>
      </c>
      <c r="J673" s="2">
        <v>77.59</v>
      </c>
    </row>
    <row r="674" spans="2:10" x14ac:dyDescent="0.2">
      <c r="B674" t="s">
        <v>1016</v>
      </c>
      <c r="C674" t="s">
        <v>166</v>
      </c>
      <c r="D674" t="s">
        <v>32</v>
      </c>
      <c r="E674" t="s">
        <v>70</v>
      </c>
      <c r="F674" t="s">
        <v>71</v>
      </c>
      <c r="G674" t="s">
        <v>1033</v>
      </c>
      <c r="H674" t="s">
        <v>30</v>
      </c>
      <c r="I674" s="1">
        <v>1</v>
      </c>
      <c r="J674" s="2">
        <v>2112.0700000000002</v>
      </c>
    </row>
    <row r="675" spans="2:10" x14ac:dyDescent="0.2">
      <c r="B675" t="s">
        <v>1016</v>
      </c>
      <c r="C675" t="s">
        <v>166</v>
      </c>
      <c r="D675" t="s">
        <v>32</v>
      </c>
      <c r="E675" t="s">
        <v>968</v>
      </c>
      <c r="F675" t="s">
        <v>969</v>
      </c>
      <c r="G675" t="s">
        <v>14</v>
      </c>
      <c r="H675" t="s">
        <v>60</v>
      </c>
      <c r="I675" s="1">
        <v>1</v>
      </c>
      <c r="J675" s="2">
        <v>603.45000000000005</v>
      </c>
    </row>
    <row r="676" spans="2:10" x14ac:dyDescent="0.2">
      <c r="B676" t="s">
        <v>1016</v>
      </c>
      <c r="C676" t="s">
        <v>166</v>
      </c>
      <c r="D676" t="s">
        <v>32</v>
      </c>
      <c r="E676" t="s">
        <v>1023</v>
      </c>
      <c r="F676" t="s">
        <v>1024</v>
      </c>
      <c r="G676" t="s">
        <v>14</v>
      </c>
      <c r="H676" t="s">
        <v>94</v>
      </c>
      <c r="I676" s="1">
        <v>1</v>
      </c>
      <c r="J676" s="2">
        <v>396.55</v>
      </c>
    </row>
    <row r="677" spans="2:10" x14ac:dyDescent="0.2">
      <c r="B677" t="s">
        <v>1016</v>
      </c>
      <c r="C677" t="s">
        <v>166</v>
      </c>
      <c r="D677" t="s">
        <v>32</v>
      </c>
      <c r="E677" t="s">
        <v>295</v>
      </c>
      <c r="F677" t="s">
        <v>296</v>
      </c>
      <c r="G677" t="s">
        <v>43</v>
      </c>
      <c r="H677" t="s">
        <v>297</v>
      </c>
      <c r="I677" s="1">
        <v>1</v>
      </c>
      <c r="J677" s="2">
        <v>224.14</v>
      </c>
    </row>
    <row r="678" spans="2:10" x14ac:dyDescent="0.2">
      <c r="B678" t="s">
        <v>1016</v>
      </c>
      <c r="C678" t="s">
        <v>166</v>
      </c>
      <c r="D678" t="s">
        <v>32</v>
      </c>
      <c r="E678" t="s">
        <v>120</v>
      </c>
      <c r="F678" t="s">
        <v>121</v>
      </c>
      <c r="G678" t="s">
        <v>1034</v>
      </c>
      <c r="H678" t="s">
        <v>15</v>
      </c>
      <c r="I678" s="1">
        <v>2</v>
      </c>
      <c r="J678" s="2">
        <v>603.44000000000005</v>
      </c>
    </row>
    <row r="679" spans="2:10" x14ac:dyDescent="0.2">
      <c r="B679" t="s">
        <v>1016</v>
      </c>
      <c r="C679" t="s">
        <v>166</v>
      </c>
      <c r="D679" t="s">
        <v>32</v>
      </c>
      <c r="E679" t="s">
        <v>72</v>
      </c>
      <c r="F679" t="s">
        <v>73</v>
      </c>
      <c r="G679" t="s">
        <v>1034</v>
      </c>
      <c r="H679" t="s">
        <v>15</v>
      </c>
      <c r="I679" s="1">
        <v>1</v>
      </c>
      <c r="J679" s="2">
        <v>775.86</v>
      </c>
    </row>
    <row r="680" spans="2:10" x14ac:dyDescent="0.2">
      <c r="B680" t="s">
        <v>1016</v>
      </c>
      <c r="C680" t="s">
        <v>166</v>
      </c>
      <c r="D680" t="s">
        <v>32</v>
      </c>
      <c r="E680" t="s">
        <v>25</v>
      </c>
      <c r="F680" t="s">
        <v>26</v>
      </c>
      <c r="G680" t="s">
        <v>14</v>
      </c>
      <c r="H680" t="s">
        <v>27</v>
      </c>
      <c r="I680" s="1">
        <v>1</v>
      </c>
      <c r="J680" s="2">
        <v>310.33999999999997</v>
      </c>
    </row>
    <row r="681" spans="2:10" x14ac:dyDescent="0.2">
      <c r="B681" t="s">
        <v>1016</v>
      </c>
      <c r="C681" t="s">
        <v>166</v>
      </c>
      <c r="D681" t="s">
        <v>32</v>
      </c>
      <c r="E681" t="s">
        <v>887</v>
      </c>
      <c r="F681" t="s">
        <v>888</v>
      </c>
      <c r="G681" t="s">
        <v>14</v>
      </c>
      <c r="H681" t="s">
        <v>27</v>
      </c>
      <c r="I681" s="1">
        <v>1</v>
      </c>
      <c r="J681" s="2">
        <v>310.35000000000002</v>
      </c>
    </row>
    <row r="682" spans="2:10" x14ac:dyDescent="0.2">
      <c r="B682" t="s">
        <v>1016</v>
      </c>
      <c r="C682" t="s">
        <v>166</v>
      </c>
      <c r="D682" t="s">
        <v>32</v>
      </c>
      <c r="E682" t="s">
        <v>191</v>
      </c>
      <c r="F682" t="s">
        <v>192</v>
      </c>
      <c r="G682" t="s">
        <v>43</v>
      </c>
      <c r="H682" t="s">
        <v>50</v>
      </c>
      <c r="I682" s="1">
        <v>1</v>
      </c>
      <c r="J682" s="2">
        <v>3534.48</v>
      </c>
    </row>
    <row r="683" spans="2:10" x14ac:dyDescent="0.2">
      <c r="B683" t="s">
        <v>1016</v>
      </c>
      <c r="C683" t="s">
        <v>166</v>
      </c>
      <c r="D683" t="s">
        <v>32</v>
      </c>
      <c r="E683" t="s">
        <v>16</v>
      </c>
      <c r="F683" t="s">
        <v>17</v>
      </c>
      <c r="G683" t="s">
        <v>1034</v>
      </c>
      <c r="H683" t="s">
        <v>15</v>
      </c>
      <c r="I683" s="1">
        <v>1</v>
      </c>
      <c r="J683" s="2">
        <v>577.59</v>
      </c>
    </row>
    <row r="684" spans="2:10" x14ac:dyDescent="0.2">
      <c r="B684" t="s">
        <v>1016</v>
      </c>
      <c r="C684" t="s">
        <v>166</v>
      </c>
      <c r="D684" t="s">
        <v>32</v>
      </c>
      <c r="E684" t="s">
        <v>110</v>
      </c>
      <c r="F684" t="s">
        <v>111</v>
      </c>
      <c r="G684" t="s">
        <v>14</v>
      </c>
      <c r="H684" t="s">
        <v>112</v>
      </c>
      <c r="I684" s="1">
        <v>1</v>
      </c>
      <c r="J684" s="2">
        <v>301.72000000000003</v>
      </c>
    </row>
    <row r="685" spans="2:10" x14ac:dyDescent="0.2">
      <c r="B685" t="s">
        <v>1016</v>
      </c>
      <c r="C685" t="s">
        <v>185</v>
      </c>
      <c r="D685" t="s">
        <v>1017</v>
      </c>
      <c r="E685" t="s">
        <v>41</v>
      </c>
      <c r="F685" t="s">
        <v>42</v>
      </c>
      <c r="G685" t="s">
        <v>1033</v>
      </c>
      <c r="H685" t="s">
        <v>30</v>
      </c>
      <c r="I685" s="1">
        <v>1</v>
      </c>
      <c r="J685" s="2">
        <v>34.479999999999997</v>
      </c>
    </row>
    <row r="686" spans="2:10" x14ac:dyDescent="0.2">
      <c r="B686" t="s">
        <v>1016</v>
      </c>
      <c r="C686" t="s">
        <v>185</v>
      </c>
      <c r="D686" t="s">
        <v>1017</v>
      </c>
      <c r="E686" t="s">
        <v>19</v>
      </c>
      <c r="F686" t="s">
        <v>20</v>
      </c>
      <c r="G686" t="s">
        <v>14</v>
      </c>
      <c r="H686" t="s">
        <v>21</v>
      </c>
      <c r="I686" s="1">
        <v>1</v>
      </c>
      <c r="J686" s="2">
        <v>431.04</v>
      </c>
    </row>
    <row r="687" spans="2:10" x14ac:dyDescent="0.2">
      <c r="B687" t="s">
        <v>1016</v>
      </c>
      <c r="C687" t="s">
        <v>185</v>
      </c>
      <c r="D687" t="s">
        <v>1017</v>
      </c>
      <c r="E687" t="s">
        <v>1025</v>
      </c>
      <c r="F687" t="s">
        <v>1026</v>
      </c>
      <c r="G687" t="s">
        <v>1033</v>
      </c>
      <c r="H687" t="s">
        <v>30</v>
      </c>
      <c r="I687" s="1">
        <v>1</v>
      </c>
      <c r="J687" s="2">
        <v>1293.0999999999999</v>
      </c>
    </row>
    <row r="688" spans="2:10" x14ac:dyDescent="0.2">
      <c r="B688" t="s">
        <v>1016</v>
      </c>
      <c r="C688" t="s">
        <v>185</v>
      </c>
      <c r="D688" t="s">
        <v>1017</v>
      </c>
      <c r="E688" t="s">
        <v>36</v>
      </c>
      <c r="F688" t="s">
        <v>37</v>
      </c>
      <c r="G688" t="s">
        <v>1034</v>
      </c>
      <c r="H688" t="s">
        <v>15</v>
      </c>
      <c r="I688" s="1">
        <v>1</v>
      </c>
      <c r="J688" s="2">
        <v>301.72000000000003</v>
      </c>
    </row>
    <row r="689" spans="2:10" x14ac:dyDescent="0.2">
      <c r="B689" t="s">
        <v>1016</v>
      </c>
      <c r="C689" t="s">
        <v>185</v>
      </c>
      <c r="D689" t="s">
        <v>1017</v>
      </c>
      <c r="E689" t="s">
        <v>216</v>
      </c>
      <c r="F689" t="s">
        <v>217</v>
      </c>
      <c r="G689" t="s">
        <v>14</v>
      </c>
      <c r="H689" t="s">
        <v>104</v>
      </c>
      <c r="I689" s="1">
        <v>2</v>
      </c>
      <c r="J689" s="2">
        <v>34.479999999999997</v>
      </c>
    </row>
    <row r="690" spans="2:10" x14ac:dyDescent="0.2">
      <c r="B690" t="s">
        <v>1016</v>
      </c>
      <c r="C690" t="s">
        <v>185</v>
      </c>
      <c r="D690" t="s">
        <v>1017</v>
      </c>
      <c r="E690" t="s">
        <v>273</v>
      </c>
      <c r="F690" t="s">
        <v>274</v>
      </c>
      <c r="G690" t="s">
        <v>1033</v>
      </c>
      <c r="H690" t="s">
        <v>30</v>
      </c>
      <c r="I690" s="1">
        <v>1</v>
      </c>
      <c r="J690" s="2">
        <v>1293.0999999999999</v>
      </c>
    </row>
    <row r="691" spans="2:10" x14ac:dyDescent="0.2">
      <c r="B691" t="s">
        <v>1016</v>
      </c>
      <c r="C691" t="s">
        <v>185</v>
      </c>
      <c r="D691" t="s">
        <v>1017</v>
      </c>
      <c r="E691" t="s">
        <v>521</v>
      </c>
      <c r="F691" t="s">
        <v>522</v>
      </c>
      <c r="G691" t="s">
        <v>14</v>
      </c>
      <c r="H691" t="s">
        <v>104</v>
      </c>
      <c r="I691" s="1">
        <v>2</v>
      </c>
      <c r="J691" s="2">
        <v>43.1</v>
      </c>
    </row>
    <row r="692" spans="2:10" x14ac:dyDescent="0.2">
      <c r="B692" t="s">
        <v>1016</v>
      </c>
      <c r="C692" t="s">
        <v>185</v>
      </c>
      <c r="D692" t="s">
        <v>1017</v>
      </c>
      <c r="E692" t="s">
        <v>63</v>
      </c>
      <c r="F692" t="s">
        <v>64</v>
      </c>
      <c r="G692" t="s">
        <v>1034</v>
      </c>
      <c r="H692" t="s">
        <v>15</v>
      </c>
      <c r="I692" s="1">
        <v>1</v>
      </c>
      <c r="J692" s="2">
        <v>172.41</v>
      </c>
    </row>
    <row r="693" spans="2:10" x14ac:dyDescent="0.2">
      <c r="B693" t="s">
        <v>1016</v>
      </c>
      <c r="C693" t="s">
        <v>185</v>
      </c>
      <c r="D693" t="s">
        <v>1017</v>
      </c>
      <c r="E693" t="s">
        <v>126</v>
      </c>
      <c r="F693" t="s">
        <v>127</v>
      </c>
      <c r="G693" t="s">
        <v>43</v>
      </c>
      <c r="H693" t="s">
        <v>128</v>
      </c>
      <c r="I693" s="1">
        <v>1</v>
      </c>
      <c r="J693" s="2">
        <v>2068.9699999999998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1478F-8BBD-4067-8882-FFB44AF547CC}">
  <dimension ref="B4:P1165"/>
  <sheetViews>
    <sheetView showGridLines="0" topLeftCell="G1" workbookViewId="0">
      <selection activeCell="N9" sqref="N9"/>
    </sheetView>
  </sheetViews>
  <sheetFormatPr baseColWidth="10" defaultRowHeight="12.75" x14ac:dyDescent="0.2"/>
  <cols>
    <col min="12" max="12" width="27.7109375" bestFit="1" customWidth="1"/>
    <col min="13" max="13" width="17.42578125" bestFit="1" customWidth="1"/>
    <col min="15" max="15" width="13.85546875" bestFit="1" customWidth="1"/>
    <col min="16" max="16" width="12.28515625" bestFit="1" customWidth="1"/>
  </cols>
  <sheetData>
    <row r="4" spans="2:16" x14ac:dyDescent="0.2"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  <c r="P4" t="s">
        <v>1099</v>
      </c>
    </row>
    <row r="5" spans="2:16" x14ac:dyDescent="0.2"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1034</v>
      </c>
      <c r="H5" t="s">
        <v>15</v>
      </c>
      <c r="I5" s="1">
        <v>1</v>
      </c>
      <c r="J5" s="2">
        <v>1077.5899999999999</v>
      </c>
      <c r="L5" s="139" t="s">
        <v>1094</v>
      </c>
      <c r="M5" t="s">
        <v>1096</v>
      </c>
      <c r="N5" s="143">
        <v>0.01</v>
      </c>
      <c r="O5" t="s">
        <v>1098</v>
      </c>
      <c r="P5" s="3">
        <v>11</v>
      </c>
    </row>
    <row r="6" spans="2:16" x14ac:dyDescent="0.2">
      <c r="B6" t="s">
        <v>9</v>
      </c>
      <c r="C6" t="s">
        <v>10</v>
      </c>
      <c r="D6" t="s">
        <v>11</v>
      </c>
      <c r="E6" t="s">
        <v>16</v>
      </c>
      <c r="F6" t="s">
        <v>17</v>
      </c>
      <c r="G6" t="s">
        <v>1034</v>
      </c>
      <c r="H6" t="s">
        <v>15</v>
      </c>
      <c r="I6" s="1">
        <v>1</v>
      </c>
      <c r="J6" s="2">
        <v>577.59</v>
      </c>
      <c r="L6" s="140" t="s">
        <v>9</v>
      </c>
      <c r="M6" s="2">
        <v>54232.73</v>
      </c>
      <c r="O6" s="144">
        <f>ERECTUS!C13</f>
        <v>200000</v>
      </c>
      <c r="P6" s="144">
        <f>O6/31*$P$5</f>
        <v>70967.741935483878</v>
      </c>
    </row>
    <row r="7" spans="2:16" x14ac:dyDescent="0.2">
      <c r="B7" t="s">
        <v>9</v>
      </c>
      <c r="C7" t="s">
        <v>18</v>
      </c>
      <c r="D7" t="s">
        <v>11</v>
      </c>
      <c r="E7" t="s">
        <v>19</v>
      </c>
      <c r="F7" t="s">
        <v>20</v>
      </c>
      <c r="G7" t="s">
        <v>14</v>
      </c>
      <c r="H7" t="s">
        <v>21</v>
      </c>
      <c r="I7" s="1">
        <v>1</v>
      </c>
      <c r="J7" s="2">
        <v>431.04</v>
      </c>
      <c r="L7" s="140" t="s">
        <v>261</v>
      </c>
      <c r="M7" s="2">
        <v>59683.480000000018</v>
      </c>
      <c r="N7" s="142"/>
      <c r="O7" s="144">
        <f>ERECTUS!C19</f>
        <v>175000</v>
      </c>
      <c r="P7" s="144">
        <f t="shared" ref="P7:P22" si="0">O7/31*$P$5</f>
        <v>62096.774193548386</v>
      </c>
    </row>
    <row r="8" spans="2:16" x14ac:dyDescent="0.2">
      <c r="B8" t="s">
        <v>9</v>
      </c>
      <c r="C8" t="s">
        <v>18</v>
      </c>
      <c r="D8" t="s">
        <v>11</v>
      </c>
      <c r="E8" t="s">
        <v>22</v>
      </c>
      <c r="F8" t="s">
        <v>23</v>
      </c>
      <c r="G8" t="s">
        <v>14</v>
      </c>
      <c r="H8" t="s">
        <v>24</v>
      </c>
      <c r="I8" s="1">
        <v>1</v>
      </c>
      <c r="J8" s="2">
        <v>215.52</v>
      </c>
      <c r="L8" s="140" t="s">
        <v>376</v>
      </c>
      <c r="M8" s="2">
        <v>27176.74</v>
      </c>
      <c r="N8" s="142"/>
      <c r="O8" s="144">
        <f>ERECTUS!C23</f>
        <v>110000</v>
      </c>
      <c r="P8" s="144">
        <f t="shared" si="0"/>
        <v>39032.258064516129</v>
      </c>
    </row>
    <row r="9" spans="2:16" x14ac:dyDescent="0.2">
      <c r="B9" t="s">
        <v>9</v>
      </c>
      <c r="C9" t="s">
        <v>18</v>
      </c>
      <c r="D9" t="s">
        <v>11</v>
      </c>
      <c r="E9" t="s">
        <v>25</v>
      </c>
      <c r="F9" t="s">
        <v>26</v>
      </c>
      <c r="G9" t="s">
        <v>14</v>
      </c>
      <c r="H9" t="s">
        <v>27</v>
      </c>
      <c r="I9" s="1">
        <v>1</v>
      </c>
      <c r="J9" s="2">
        <v>310.35000000000002</v>
      </c>
      <c r="L9" s="140" t="s">
        <v>453</v>
      </c>
      <c r="M9" s="2">
        <v>78961.050000000017</v>
      </c>
      <c r="N9" s="142">
        <f>GETPIVOTDATA("SUBTOT",$L$5,"UBICACION","Conchitas CEL")*N5</f>
        <v>789.61050000000023</v>
      </c>
      <c r="O9" s="144">
        <f>ERECTUS!C29</f>
        <v>210000</v>
      </c>
      <c r="P9" s="144">
        <f t="shared" si="0"/>
        <v>74516.129032258061</v>
      </c>
    </row>
    <row r="10" spans="2:16" x14ac:dyDescent="0.2">
      <c r="B10" t="s">
        <v>9</v>
      </c>
      <c r="C10" t="s">
        <v>18</v>
      </c>
      <c r="D10" t="s">
        <v>11</v>
      </c>
      <c r="E10" t="s">
        <v>28</v>
      </c>
      <c r="F10" t="s">
        <v>29</v>
      </c>
      <c r="G10" t="s">
        <v>1033</v>
      </c>
      <c r="H10" t="s">
        <v>30</v>
      </c>
      <c r="I10" s="1">
        <v>2</v>
      </c>
      <c r="J10" s="2">
        <v>310.33999999999997</v>
      </c>
      <c r="L10" s="140" t="s">
        <v>531</v>
      </c>
      <c r="M10" s="2">
        <v>31900.80000000001</v>
      </c>
      <c r="N10" s="142"/>
      <c r="O10" s="144">
        <f>ERECTUS!C34</f>
        <v>100000</v>
      </c>
      <c r="P10" s="144">
        <f t="shared" si="0"/>
        <v>35483.870967741939</v>
      </c>
    </row>
    <row r="11" spans="2:16" x14ac:dyDescent="0.2">
      <c r="B11" t="s">
        <v>9</v>
      </c>
      <c r="C11" t="s">
        <v>31</v>
      </c>
      <c r="D11" t="s">
        <v>32</v>
      </c>
      <c r="E11" t="s">
        <v>33</v>
      </c>
      <c r="F11" t="s">
        <v>34</v>
      </c>
      <c r="G11" t="s">
        <v>14</v>
      </c>
      <c r="H11" t="s">
        <v>35</v>
      </c>
      <c r="I11" s="1">
        <v>1</v>
      </c>
      <c r="J11" s="2">
        <v>60.34</v>
      </c>
      <c r="L11" s="140" t="s">
        <v>583</v>
      </c>
      <c r="M11" s="2">
        <v>19392.190000000002</v>
      </c>
      <c r="N11" s="142"/>
      <c r="O11" s="144">
        <f>ERECTUS!C39</f>
        <v>120000</v>
      </c>
      <c r="P11" s="144">
        <f t="shared" si="0"/>
        <v>42580.645161290326</v>
      </c>
    </row>
    <row r="12" spans="2:16" x14ac:dyDescent="0.2">
      <c r="B12" t="s">
        <v>9</v>
      </c>
      <c r="C12" t="s">
        <v>31</v>
      </c>
      <c r="D12" t="s">
        <v>32</v>
      </c>
      <c r="E12" t="s">
        <v>36</v>
      </c>
      <c r="F12" t="s">
        <v>37</v>
      </c>
      <c r="G12" t="s">
        <v>1034</v>
      </c>
      <c r="H12" t="s">
        <v>15</v>
      </c>
      <c r="I12" s="1">
        <v>1</v>
      </c>
      <c r="J12" s="2">
        <v>301.72000000000003</v>
      </c>
      <c r="L12" s="140" t="s">
        <v>615</v>
      </c>
      <c r="M12" s="2">
        <v>25268.080000000005</v>
      </c>
      <c r="N12" s="142"/>
      <c r="O12" s="144">
        <f>ERECTUS!C44</f>
        <v>100000</v>
      </c>
      <c r="P12" s="144">
        <f t="shared" si="0"/>
        <v>35483.870967741939</v>
      </c>
    </row>
    <row r="13" spans="2:16" x14ac:dyDescent="0.2">
      <c r="B13" t="s">
        <v>9</v>
      </c>
      <c r="C13" t="s">
        <v>31</v>
      </c>
      <c r="D13" t="s">
        <v>32</v>
      </c>
      <c r="E13" t="s">
        <v>38</v>
      </c>
      <c r="F13" t="s">
        <v>39</v>
      </c>
      <c r="G13" t="s">
        <v>1034</v>
      </c>
      <c r="H13" t="s">
        <v>15</v>
      </c>
      <c r="I13" s="1">
        <v>1</v>
      </c>
      <c r="J13" s="2">
        <v>431.03</v>
      </c>
      <c r="L13" s="140" t="s">
        <v>654</v>
      </c>
      <c r="M13" s="2">
        <v>32758.609999999997</v>
      </c>
      <c r="N13" s="142"/>
      <c r="O13" s="144">
        <f>ERECTUS!C48</f>
        <v>100000</v>
      </c>
      <c r="P13" s="144">
        <f t="shared" si="0"/>
        <v>35483.870967741939</v>
      </c>
    </row>
    <row r="14" spans="2:16" x14ac:dyDescent="0.2">
      <c r="B14" t="s">
        <v>9</v>
      </c>
      <c r="C14" t="s">
        <v>40</v>
      </c>
      <c r="D14" t="s">
        <v>11</v>
      </c>
      <c r="E14" t="s">
        <v>41</v>
      </c>
      <c r="F14" t="s">
        <v>42</v>
      </c>
      <c r="G14" t="s">
        <v>1033</v>
      </c>
      <c r="H14" t="s">
        <v>30</v>
      </c>
      <c r="I14" s="1">
        <v>1</v>
      </c>
      <c r="J14" s="2">
        <v>34.479999999999997</v>
      </c>
      <c r="L14" s="140" t="s">
        <v>690</v>
      </c>
      <c r="M14" s="2">
        <v>60780.629999999983</v>
      </c>
      <c r="N14" s="142">
        <f>GETPIVOTDATA("SUBTOT",$L$5,"UBICACION","Naciones Unidas CEL")*N5</f>
        <v>607.80629999999985</v>
      </c>
      <c r="O14" s="144">
        <f>ERECTUS!C50</f>
        <v>100000</v>
      </c>
      <c r="P14" s="144">
        <f t="shared" si="0"/>
        <v>35483.870967741939</v>
      </c>
    </row>
    <row r="15" spans="2:16" x14ac:dyDescent="0.2">
      <c r="B15" t="s">
        <v>9</v>
      </c>
      <c r="C15" t="s">
        <v>40</v>
      </c>
      <c r="D15" t="s">
        <v>11</v>
      </c>
      <c r="E15" t="s">
        <v>44</v>
      </c>
      <c r="F15" t="s">
        <v>45</v>
      </c>
      <c r="G15" t="s">
        <v>1033</v>
      </c>
      <c r="H15" t="s">
        <v>30</v>
      </c>
      <c r="I15" s="1">
        <v>1</v>
      </c>
      <c r="J15" s="2">
        <v>81.900000000000006</v>
      </c>
      <c r="L15" s="140" t="s">
        <v>740</v>
      </c>
      <c r="M15" s="2">
        <v>54111.930000000008</v>
      </c>
      <c r="N15" s="142"/>
      <c r="O15" s="144">
        <f>ERECTUS!C53</f>
        <v>185000</v>
      </c>
      <c r="P15" s="144">
        <f t="shared" si="0"/>
        <v>65645.161290322576</v>
      </c>
    </row>
    <row r="16" spans="2:16" x14ac:dyDescent="0.2">
      <c r="B16" t="s">
        <v>9</v>
      </c>
      <c r="C16" t="s">
        <v>40</v>
      </c>
      <c r="D16" t="s">
        <v>11</v>
      </c>
      <c r="E16" t="s">
        <v>46</v>
      </c>
      <c r="F16" t="s">
        <v>47</v>
      </c>
      <c r="G16" t="s">
        <v>1034</v>
      </c>
      <c r="H16" t="s">
        <v>15</v>
      </c>
      <c r="I16" s="1">
        <v>1</v>
      </c>
      <c r="J16" s="2">
        <v>301.72000000000003</v>
      </c>
      <c r="L16" s="140" t="s">
        <v>780</v>
      </c>
      <c r="M16" s="2">
        <v>42659.410000000018</v>
      </c>
      <c r="N16" s="142">
        <f>GETPIVOTDATA("SUBTOT",$L$5,"UBICACION","Plaza Alamo CELESTERRA")*N5</f>
        <v>426.5941000000002</v>
      </c>
      <c r="O16" s="144">
        <f>ERECTUS!C59</f>
        <v>100000</v>
      </c>
      <c r="P16" s="144">
        <f t="shared" si="0"/>
        <v>35483.870967741939</v>
      </c>
    </row>
    <row r="17" spans="2:16" x14ac:dyDescent="0.2">
      <c r="B17" t="s">
        <v>9</v>
      </c>
      <c r="C17" t="s">
        <v>40</v>
      </c>
      <c r="D17" t="s">
        <v>11</v>
      </c>
      <c r="E17" t="s">
        <v>22</v>
      </c>
      <c r="F17" t="s">
        <v>23</v>
      </c>
      <c r="G17" t="s">
        <v>14</v>
      </c>
      <c r="H17" t="s">
        <v>24</v>
      </c>
      <c r="I17" s="1">
        <v>2</v>
      </c>
      <c r="J17" s="2">
        <v>431.04</v>
      </c>
      <c r="L17" s="140" t="s">
        <v>824</v>
      </c>
      <c r="M17" s="2">
        <v>37099.000000000015</v>
      </c>
      <c r="N17" s="142"/>
      <c r="O17" s="144">
        <f>ERECTUS!C63</f>
        <v>150000</v>
      </c>
      <c r="P17" s="144">
        <f t="shared" si="0"/>
        <v>53225.806451612909</v>
      </c>
    </row>
    <row r="18" spans="2:16" x14ac:dyDescent="0.2">
      <c r="B18" t="s">
        <v>9</v>
      </c>
      <c r="C18" t="s">
        <v>40</v>
      </c>
      <c r="D18" t="s">
        <v>11</v>
      </c>
      <c r="E18" t="s">
        <v>48</v>
      </c>
      <c r="F18" t="s">
        <v>49</v>
      </c>
      <c r="G18" t="s">
        <v>43</v>
      </c>
      <c r="H18" t="s">
        <v>50</v>
      </c>
      <c r="I18" s="1">
        <v>1</v>
      </c>
      <c r="J18" s="2">
        <v>1318.97</v>
      </c>
      <c r="L18" s="140" t="s">
        <v>866</v>
      </c>
      <c r="M18" s="2">
        <v>45193.8</v>
      </c>
      <c r="O18" s="144">
        <f>ERECTUS!C71</f>
        <v>180000</v>
      </c>
      <c r="P18" s="144">
        <f t="shared" si="0"/>
        <v>63870.967741935478</v>
      </c>
    </row>
    <row r="19" spans="2:16" x14ac:dyDescent="0.2">
      <c r="B19" t="s">
        <v>9</v>
      </c>
      <c r="C19" t="s">
        <v>40</v>
      </c>
      <c r="D19" t="s">
        <v>11</v>
      </c>
      <c r="E19" t="s">
        <v>28</v>
      </c>
      <c r="F19" t="s">
        <v>29</v>
      </c>
      <c r="G19" t="s">
        <v>1033</v>
      </c>
      <c r="H19" t="s">
        <v>30</v>
      </c>
      <c r="I19" s="1">
        <v>2</v>
      </c>
      <c r="J19" s="2">
        <v>310.33999999999997</v>
      </c>
      <c r="L19" s="140" t="s">
        <v>907</v>
      </c>
      <c r="M19" s="2">
        <v>40094.840000000011</v>
      </c>
      <c r="O19" s="144">
        <f>ERECTUS!C67</f>
        <v>115000</v>
      </c>
      <c r="P19" s="144">
        <f t="shared" si="0"/>
        <v>40806.451612903227</v>
      </c>
    </row>
    <row r="20" spans="2:16" x14ac:dyDescent="0.2">
      <c r="B20" t="s">
        <v>9</v>
      </c>
      <c r="C20" t="s">
        <v>51</v>
      </c>
      <c r="D20" t="s">
        <v>11</v>
      </c>
      <c r="E20" t="s">
        <v>36</v>
      </c>
      <c r="F20" t="s">
        <v>37</v>
      </c>
      <c r="G20" t="s">
        <v>1034</v>
      </c>
      <c r="H20" t="s">
        <v>15</v>
      </c>
      <c r="I20" s="1">
        <v>1</v>
      </c>
      <c r="J20" s="2">
        <v>301.72000000000003</v>
      </c>
      <c r="L20" s="140" t="s">
        <v>933</v>
      </c>
      <c r="M20" s="2">
        <v>66478.430000000008</v>
      </c>
      <c r="O20" s="144">
        <f>ERECTUS!C76</f>
        <v>155000</v>
      </c>
      <c r="P20" s="144">
        <f t="shared" si="0"/>
        <v>55000</v>
      </c>
    </row>
    <row r="21" spans="2:16" x14ac:dyDescent="0.2">
      <c r="B21" t="s">
        <v>9</v>
      </c>
      <c r="C21" t="s">
        <v>51</v>
      </c>
      <c r="D21" t="s">
        <v>11</v>
      </c>
      <c r="E21" t="s">
        <v>22</v>
      </c>
      <c r="F21" t="s">
        <v>23</v>
      </c>
      <c r="G21" t="s">
        <v>14</v>
      </c>
      <c r="H21" t="s">
        <v>24</v>
      </c>
      <c r="I21" s="1">
        <v>1</v>
      </c>
      <c r="J21" s="2">
        <v>215.52</v>
      </c>
      <c r="L21" s="140" t="s">
        <v>955</v>
      </c>
      <c r="M21" s="2">
        <v>104853.27999999997</v>
      </c>
      <c r="O21" s="144">
        <f>ERECTUS!C81</f>
        <v>435000</v>
      </c>
      <c r="P21" s="144">
        <f t="shared" si="0"/>
        <v>154354.83870967742</v>
      </c>
    </row>
    <row r="22" spans="2:16" x14ac:dyDescent="0.2">
      <c r="B22" t="s">
        <v>9</v>
      </c>
      <c r="C22" t="s">
        <v>51</v>
      </c>
      <c r="D22" t="s">
        <v>11</v>
      </c>
      <c r="E22" t="s">
        <v>52</v>
      </c>
      <c r="F22" t="s">
        <v>53</v>
      </c>
      <c r="G22" t="s">
        <v>54</v>
      </c>
      <c r="H22" t="s">
        <v>55</v>
      </c>
      <c r="I22" s="1">
        <v>1</v>
      </c>
      <c r="J22" s="2">
        <v>543.1</v>
      </c>
      <c r="L22" s="140" t="s">
        <v>1016</v>
      </c>
      <c r="M22" s="2">
        <v>42555.97</v>
      </c>
      <c r="O22" s="144">
        <f>ERECTUS!C85</f>
        <v>145000</v>
      </c>
      <c r="P22" s="144">
        <f t="shared" si="0"/>
        <v>51451.612903225803</v>
      </c>
    </row>
    <row r="23" spans="2:16" x14ac:dyDescent="0.2">
      <c r="B23" t="s">
        <v>9</v>
      </c>
      <c r="C23" t="s">
        <v>51</v>
      </c>
      <c r="D23" t="s">
        <v>11</v>
      </c>
      <c r="E23" t="s">
        <v>56</v>
      </c>
      <c r="F23" t="s">
        <v>57</v>
      </c>
      <c r="G23" t="s">
        <v>1034</v>
      </c>
      <c r="H23" t="s">
        <v>15</v>
      </c>
      <c r="I23" s="1">
        <v>1</v>
      </c>
      <c r="J23" s="2">
        <v>431.03</v>
      </c>
      <c r="L23" s="140" t="s">
        <v>1095</v>
      </c>
      <c r="M23" s="2">
        <v>823200.97</v>
      </c>
      <c r="N23" s="156">
        <f>SUM(N7:N22)</f>
        <v>1824.0109000000002</v>
      </c>
      <c r="O23" s="144">
        <f>SUM(O6:O22)</f>
        <v>2680000</v>
      </c>
      <c r="P23" s="156">
        <f>SUM(P6:P22)</f>
        <v>950967.74193548388</v>
      </c>
    </row>
    <row r="24" spans="2:16" x14ac:dyDescent="0.2">
      <c r="B24" t="s">
        <v>9</v>
      </c>
      <c r="C24" t="s">
        <v>51</v>
      </c>
      <c r="D24" t="s">
        <v>11</v>
      </c>
      <c r="E24" t="s">
        <v>58</v>
      </c>
      <c r="F24" t="s">
        <v>59</v>
      </c>
      <c r="G24" t="s">
        <v>14</v>
      </c>
      <c r="H24" t="s">
        <v>60</v>
      </c>
      <c r="I24" s="1">
        <v>1</v>
      </c>
      <c r="J24" s="2">
        <v>172.41</v>
      </c>
    </row>
    <row r="25" spans="2:16" x14ac:dyDescent="0.2">
      <c r="B25" t="s">
        <v>9</v>
      </c>
      <c r="C25" t="s">
        <v>51</v>
      </c>
      <c r="D25" t="s">
        <v>11</v>
      </c>
      <c r="E25" t="s">
        <v>61</v>
      </c>
      <c r="F25" t="s">
        <v>62</v>
      </c>
      <c r="G25" t="s">
        <v>1034</v>
      </c>
      <c r="H25" t="s">
        <v>15</v>
      </c>
      <c r="I25" s="1">
        <v>1</v>
      </c>
      <c r="J25" s="2">
        <v>172.41</v>
      </c>
    </row>
    <row r="26" spans="2:16" x14ac:dyDescent="0.2">
      <c r="B26" t="s">
        <v>9</v>
      </c>
      <c r="C26" t="s">
        <v>51</v>
      </c>
      <c r="D26" t="s">
        <v>11</v>
      </c>
      <c r="E26" t="s">
        <v>63</v>
      </c>
      <c r="F26" t="s">
        <v>64</v>
      </c>
      <c r="G26" t="s">
        <v>1034</v>
      </c>
      <c r="H26" t="s">
        <v>15</v>
      </c>
      <c r="I26" s="1">
        <v>1</v>
      </c>
      <c r="J26" s="2">
        <v>172.41</v>
      </c>
    </row>
    <row r="27" spans="2:16" x14ac:dyDescent="0.2">
      <c r="B27" t="s">
        <v>9</v>
      </c>
      <c r="C27" t="s">
        <v>65</v>
      </c>
      <c r="D27" t="s">
        <v>11</v>
      </c>
      <c r="E27" t="s">
        <v>66</v>
      </c>
      <c r="F27" t="s">
        <v>67</v>
      </c>
      <c r="G27" t="s">
        <v>1033</v>
      </c>
      <c r="H27" t="s">
        <v>30</v>
      </c>
      <c r="I27" s="1">
        <v>1</v>
      </c>
      <c r="J27" s="2">
        <v>1681.03</v>
      </c>
    </row>
    <row r="28" spans="2:16" x14ac:dyDescent="0.2">
      <c r="B28" t="s">
        <v>9</v>
      </c>
      <c r="C28" t="s">
        <v>65</v>
      </c>
      <c r="D28" t="s">
        <v>11</v>
      </c>
      <c r="E28" t="s">
        <v>44</v>
      </c>
      <c r="F28" t="s">
        <v>45</v>
      </c>
      <c r="G28" t="s">
        <v>1033</v>
      </c>
      <c r="H28" t="s">
        <v>30</v>
      </c>
      <c r="I28" s="1">
        <v>3</v>
      </c>
      <c r="J28" s="2">
        <v>245.70000000000002</v>
      </c>
    </row>
    <row r="29" spans="2:16" x14ac:dyDescent="0.2">
      <c r="B29" t="s">
        <v>9</v>
      </c>
      <c r="C29" t="s">
        <v>65</v>
      </c>
      <c r="D29" t="s">
        <v>11</v>
      </c>
      <c r="E29" t="s">
        <v>19</v>
      </c>
      <c r="F29" t="s">
        <v>20</v>
      </c>
      <c r="G29" t="s">
        <v>14</v>
      </c>
      <c r="H29" t="s">
        <v>21</v>
      </c>
      <c r="I29" s="1">
        <v>1</v>
      </c>
      <c r="J29" s="2">
        <v>431.04</v>
      </c>
    </row>
    <row r="30" spans="2:16" x14ac:dyDescent="0.2">
      <c r="B30" t="s">
        <v>9</v>
      </c>
      <c r="C30" t="s">
        <v>65</v>
      </c>
      <c r="D30" t="s">
        <v>11</v>
      </c>
      <c r="E30" t="s">
        <v>68</v>
      </c>
      <c r="F30" t="s">
        <v>69</v>
      </c>
      <c r="G30" t="s">
        <v>1033</v>
      </c>
      <c r="H30" t="s">
        <v>30</v>
      </c>
      <c r="I30" s="1">
        <v>1</v>
      </c>
      <c r="J30" s="2">
        <v>689.66</v>
      </c>
    </row>
    <row r="31" spans="2:16" x14ac:dyDescent="0.2">
      <c r="B31" t="s">
        <v>9</v>
      </c>
      <c r="C31" t="s">
        <v>65</v>
      </c>
      <c r="D31" t="s">
        <v>11</v>
      </c>
      <c r="E31" t="s">
        <v>70</v>
      </c>
      <c r="F31" t="s">
        <v>71</v>
      </c>
      <c r="G31" t="s">
        <v>1033</v>
      </c>
      <c r="H31" t="s">
        <v>30</v>
      </c>
      <c r="I31" s="1">
        <v>1</v>
      </c>
      <c r="J31" s="2">
        <v>2112.0700000000002</v>
      </c>
    </row>
    <row r="32" spans="2:16" x14ac:dyDescent="0.2">
      <c r="B32" t="s">
        <v>9</v>
      </c>
      <c r="C32" t="s">
        <v>65</v>
      </c>
      <c r="D32" t="s">
        <v>11</v>
      </c>
      <c r="E32" t="s">
        <v>72</v>
      </c>
      <c r="F32" t="s">
        <v>73</v>
      </c>
      <c r="G32" t="s">
        <v>1034</v>
      </c>
      <c r="H32" t="s">
        <v>15</v>
      </c>
      <c r="I32" s="1">
        <v>2</v>
      </c>
      <c r="J32" s="2">
        <v>1551.72</v>
      </c>
    </row>
    <row r="33" spans="2:10" x14ac:dyDescent="0.2">
      <c r="B33" t="s">
        <v>9</v>
      </c>
      <c r="C33" t="s">
        <v>65</v>
      </c>
      <c r="D33" t="s">
        <v>11</v>
      </c>
      <c r="E33" t="s">
        <v>74</v>
      </c>
      <c r="F33" t="s">
        <v>75</v>
      </c>
      <c r="G33" t="s">
        <v>76</v>
      </c>
      <c r="H33" t="s">
        <v>60</v>
      </c>
      <c r="I33" s="1">
        <v>1</v>
      </c>
      <c r="J33" s="2">
        <v>344.83</v>
      </c>
    </row>
    <row r="34" spans="2:10" x14ac:dyDescent="0.2">
      <c r="B34" t="s">
        <v>9</v>
      </c>
      <c r="C34" t="s">
        <v>65</v>
      </c>
      <c r="D34" t="s">
        <v>11</v>
      </c>
      <c r="E34" t="s">
        <v>22</v>
      </c>
      <c r="F34" t="s">
        <v>23</v>
      </c>
      <c r="G34" t="s">
        <v>14</v>
      </c>
      <c r="H34" t="s">
        <v>24</v>
      </c>
      <c r="I34" s="1">
        <v>2</v>
      </c>
      <c r="J34" s="2">
        <v>431.03</v>
      </c>
    </row>
    <row r="35" spans="2:10" x14ac:dyDescent="0.2">
      <c r="B35" t="s">
        <v>9</v>
      </c>
      <c r="C35" t="s">
        <v>65</v>
      </c>
      <c r="D35" t="s">
        <v>11</v>
      </c>
      <c r="E35" t="s">
        <v>77</v>
      </c>
      <c r="F35" t="s">
        <v>78</v>
      </c>
      <c r="G35" t="s">
        <v>14</v>
      </c>
      <c r="H35" t="s">
        <v>27</v>
      </c>
      <c r="I35" s="1">
        <v>1</v>
      </c>
      <c r="J35" s="2">
        <v>51.72</v>
      </c>
    </row>
    <row r="36" spans="2:10" x14ac:dyDescent="0.2">
      <c r="B36" t="s">
        <v>9</v>
      </c>
      <c r="C36" t="s">
        <v>65</v>
      </c>
      <c r="D36" t="s">
        <v>11</v>
      </c>
      <c r="E36" t="s">
        <v>38</v>
      </c>
      <c r="F36" t="s">
        <v>39</v>
      </c>
      <c r="G36" t="s">
        <v>1034</v>
      </c>
      <c r="H36" t="s">
        <v>15</v>
      </c>
      <c r="I36" s="1">
        <v>1</v>
      </c>
      <c r="J36" s="2">
        <v>431.03</v>
      </c>
    </row>
    <row r="37" spans="2:10" x14ac:dyDescent="0.2">
      <c r="B37" t="s">
        <v>9</v>
      </c>
      <c r="C37" t="s">
        <v>65</v>
      </c>
      <c r="D37" t="s">
        <v>11</v>
      </c>
      <c r="E37" t="s">
        <v>79</v>
      </c>
      <c r="F37" t="s">
        <v>80</v>
      </c>
      <c r="G37" t="s">
        <v>43</v>
      </c>
      <c r="H37" t="s">
        <v>81</v>
      </c>
      <c r="I37" s="1">
        <v>1</v>
      </c>
      <c r="J37" s="2">
        <v>1810.34</v>
      </c>
    </row>
    <row r="38" spans="2:10" x14ac:dyDescent="0.2">
      <c r="B38" t="s">
        <v>9</v>
      </c>
      <c r="C38" t="s">
        <v>65</v>
      </c>
      <c r="D38" t="s">
        <v>11</v>
      </c>
      <c r="E38" t="s">
        <v>28</v>
      </c>
      <c r="F38" t="s">
        <v>29</v>
      </c>
      <c r="G38" t="s">
        <v>1033</v>
      </c>
      <c r="H38" t="s">
        <v>30</v>
      </c>
      <c r="I38" s="1">
        <v>3</v>
      </c>
      <c r="J38" s="2">
        <v>465.51</v>
      </c>
    </row>
    <row r="39" spans="2:10" x14ac:dyDescent="0.2">
      <c r="B39" t="s">
        <v>9</v>
      </c>
      <c r="C39" t="s">
        <v>82</v>
      </c>
      <c r="D39" t="s">
        <v>11</v>
      </c>
      <c r="E39" t="s">
        <v>44</v>
      </c>
      <c r="F39" t="s">
        <v>45</v>
      </c>
      <c r="G39" t="s">
        <v>1033</v>
      </c>
      <c r="H39" t="s">
        <v>30</v>
      </c>
      <c r="I39" s="1">
        <v>1</v>
      </c>
      <c r="J39" s="2">
        <v>81.900000000000006</v>
      </c>
    </row>
    <row r="40" spans="2:10" x14ac:dyDescent="0.2">
      <c r="B40" t="s">
        <v>9</v>
      </c>
      <c r="C40" t="s">
        <v>82</v>
      </c>
      <c r="D40" t="s">
        <v>11</v>
      </c>
      <c r="E40" t="s">
        <v>70</v>
      </c>
      <c r="F40" t="s">
        <v>71</v>
      </c>
      <c r="G40" t="s">
        <v>1033</v>
      </c>
      <c r="H40" t="s">
        <v>30</v>
      </c>
      <c r="I40" s="1">
        <v>1</v>
      </c>
      <c r="J40" s="2">
        <v>2112.0700000000002</v>
      </c>
    </row>
    <row r="41" spans="2:10" x14ac:dyDescent="0.2">
      <c r="B41" t="s">
        <v>9</v>
      </c>
      <c r="C41" t="s">
        <v>82</v>
      </c>
      <c r="D41" t="s">
        <v>11</v>
      </c>
      <c r="E41" t="s">
        <v>83</v>
      </c>
      <c r="F41" t="s">
        <v>84</v>
      </c>
      <c r="G41" t="s">
        <v>1034</v>
      </c>
      <c r="H41" t="s">
        <v>15</v>
      </c>
      <c r="I41" s="1">
        <v>1</v>
      </c>
      <c r="J41" s="2">
        <v>387.93</v>
      </c>
    </row>
    <row r="42" spans="2:10" x14ac:dyDescent="0.2">
      <c r="B42" t="s">
        <v>9</v>
      </c>
      <c r="C42" t="s">
        <v>82</v>
      </c>
      <c r="D42" t="s">
        <v>11</v>
      </c>
      <c r="E42" t="s">
        <v>85</v>
      </c>
      <c r="F42" t="s">
        <v>86</v>
      </c>
      <c r="G42" t="s">
        <v>14</v>
      </c>
      <c r="H42" t="s">
        <v>87</v>
      </c>
      <c r="I42" s="1">
        <v>1</v>
      </c>
      <c r="J42" s="2">
        <v>301.72000000000003</v>
      </c>
    </row>
    <row r="43" spans="2:10" x14ac:dyDescent="0.2">
      <c r="B43" t="s">
        <v>9</v>
      </c>
      <c r="C43" t="s">
        <v>88</v>
      </c>
      <c r="D43" t="s">
        <v>11</v>
      </c>
      <c r="E43" t="s">
        <v>44</v>
      </c>
      <c r="F43" t="s">
        <v>45</v>
      </c>
      <c r="G43" t="s">
        <v>1033</v>
      </c>
      <c r="H43" t="s">
        <v>30</v>
      </c>
      <c r="I43" s="1">
        <v>1</v>
      </c>
      <c r="J43" s="2">
        <v>81.900000000000006</v>
      </c>
    </row>
    <row r="44" spans="2:10" x14ac:dyDescent="0.2">
      <c r="B44" t="s">
        <v>9</v>
      </c>
      <c r="C44" t="s">
        <v>88</v>
      </c>
      <c r="D44" t="s">
        <v>11</v>
      </c>
      <c r="E44" t="s">
        <v>89</v>
      </c>
      <c r="F44" t="s">
        <v>90</v>
      </c>
      <c r="G44" t="s">
        <v>43</v>
      </c>
      <c r="H44" t="s">
        <v>91</v>
      </c>
      <c r="I44" s="1">
        <v>1</v>
      </c>
      <c r="J44" s="2">
        <v>1637.93</v>
      </c>
    </row>
    <row r="45" spans="2:10" x14ac:dyDescent="0.2">
      <c r="B45" t="s">
        <v>9</v>
      </c>
      <c r="C45" t="s">
        <v>88</v>
      </c>
      <c r="D45" t="s">
        <v>11</v>
      </c>
      <c r="E45" t="s">
        <v>92</v>
      </c>
      <c r="F45" t="s">
        <v>93</v>
      </c>
      <c r="G45" t="s">
        <v>43</v>
      </c>
      <c r="H45" t="s">
        <v>94</v>
      </c>
      <c r="I45" s="1">
        <v>1</v>
      </c>
      <c r="J45" s="2">
        <v>1448.28</v>
      </c>
    </row>
    <row r="46" spans="2:10" x14ac:dyDescent="0.2">
      <c r="B46" t="s">
        <v>9</v>
      </c>
      <c r="C46" t="s">
        <v>88</v>
      </c>
      <c r="D46" t="s">
        <v>11</v>
      </c>
      <c r="E46" t="s">
        <v>70</v>
      </c>
      <c r="F46" t="s">
        <v>71</v>
      </c>
      <c r="G46" t="s">
        <v>1033</v>
      </c>
      <c r="H46" t="s">
        <v>30</v>
      </c>
      <c r="I46" s="1">
        <v>1</v>
      </c>
      <c r="J46" s="2">
        <v>2112.0700000000002</v>
      </c>
    </row>
    <row r="47" spans="2:10" x14ac:dyDescent="0.2">
      <c r="B47" t="s">
        <v>9</v>
      </c>
      <c r="C47" t="s">
        <v>88</v>
      </c>
      <c r="D47" t="s">
        <v>11</v>
      </c>
      <c r="E47" t="s">
        <v>95</v>
      </c>
      <c r="F47" t="s">
        <v>96</v>
      </c>
      <c r="G47" t="s">
        <v>1033</v>
      </c>
      <c r="H47" t="s">
        <v>30</v>
      </c>
      <c r="I47" s="1">
        <v>1</v>
      </c>
      <c r="J47" s="2">
        <v>1706.9</v>
      </c>
    </row>
    <row r="48" spans="2:10" x14ac:dyDescent="0.2">
      <c r="B48" t="s">
        <v>9</v>
      </c>
      <c r="C48" t="s">
        <v>88</v>
      </c>
      <c r="D48" t="s">
        <v>11</v>
      </c>
      <c r="E48" t="s">
        <v>97</v>
      </c>
      <c r="F48" t="s">
        <v>98</v>
      </c>
      <c r="G48" t="s">
        <v>1033</v>
      </c>
      <c r="H48" t="s">
        <v>30</v>
      </c>
      <c r="I48" s="1">
        <v>1</v>
      </c>
      <c r="J48" s="2">
        <v>2500</v>
      </c>
    </row>
    <row r="49" spans="2:10" x14ac:dyDescent="0.2">
      <c r="B49" t="s">
        <v>9</v>
      </c>
      <c r="C49" t="s">
        <v>88</v>
      </c>
      <c r="D49" t="s">
        <v>11</v>
      </c>
      <c r="E49" t="s">
        <v>99</v>
      </c>
      <c r="F49" t="s">
        <v>100</v>
      </c>
      <c r="G49" t="s">
        <v>43</v>
      </c>
      <c r="H49" t="s">
        <v>50</v>
      </c>
      <c r="I49" s="1">
        <v>1</v>
      </c>
      <c r="J49" s="2">
        <v>3275.86</v>
      </c>
    </row>
    <row r="50" spans="2:10" x14ac:dyDescent="0.2">
      <c r="B50" t="s">
        <v>9</v>
      </c>
      <c r="C50" t="s">
        <v>88</v>
      </c>
      <c r="D50" t="s">
        <v>11</v>
      </c>
      <c r="E50" t="s">
        <v>72</v>
      </c>
      <c r="F50" t="s">
        <v>73</v>
      </c>
      <c r="G50" t="s">
        <v>1034</v>
      </c>
      <c r="H50" t="s">
        <v>15</v>
      </c>
      <c r="I50" s="1">
        <v>3</v>
      </c>
      <c r="J50" s="2">
        <v>2327.58</v>
      </c>
    </row>
    <row r="51" spans="2:10" x14ac:dyDescent="0.2">
      <c r="B51" t="s">
        <v>9</v>
      </c>
      <c r="C51" t="s">
        <v>88</v>
      </c>
      <c r="D51" t="s">
        <v>11</v>
      </c>
      <c r="E51" t="s">
        <v>101</v>
      </c>
      <c r="F51" t="s">
        <v>102</v>
      </c>
      <c r="G51" t="s">
        <v>103</v>
      </c>
      <c r="H51" t="s">
        <v>104</v>
      </c>
      <c r="I51" s="1">
        <v>1</v>
      </c>
      <c r="J51" s="2">
        <v>0.01</v>
      </c>
    </row>
    <row r="52" spans="2:10" x14ac:dyDescent="0.2">
      <c r="B52" t="s">
        <v>9</v>
      </c>
      <c r="C52" t="s">
        <v>88</v>
      </c>
      <c r="D52" t="s">
        <v>11</v>
      </c>
      <c r="E52" t="s">
        <v>83</v>
      </c>
      <c r="F52" t="s">
        <v>84</v>
      </c>
      <c r="G52" t="s">
        <v>1034</v>
      </c>
      <c r="H52" t="s">
        <v>15</v>
      </c>
      <c r="I52" s="1">
        <v>1</v>
      </c>
      <c r="J52" s="2">
        <v>387.93</v>
      </c>
    </row>
    <row r="53" spans="2:10" x14ac:dyDescent="0.2">
      <c r="B53" t="s">
        <v>9</v>
      </c>
      <c r="C53" t="s">
        <v>88</v>
      </c>
      <c r="D53" t="s">
        <v>11</v>
      </c>
      <c r="E53" t="s">
        <v>105</v>
      </c>
      <c r="F53" t="s">
        <v>106</v>
      </c>
      <c r="G53" t="s">
        <v>107</v>
      </c>
      <c r="H53" t="s">
        <v>50</v>
      </c>
      <c r="I53" s="1">
        <v>1</v>
      </c>
      <c r="J53" s="2">
        <v>2586.21</v>
      </c>
    </row>
    <row r="54" spans="2:10" x14ac:dyDescent="0.2">
      <c r="B54" t="s">
        <v>9</v>
      </c>
      <c r="C54" t="s">
        <v>88</v>
      </c>
      <c r="D54" t="s">
        <v>11</v>
      </c>
      <c r="E54" t="s">
        <v>108</v>
      </c>
      <c r="F54" t="s">
        <v>109</v>
      </c>
      <c r="G54" t="s">
        <v>43</v>
      </c>
      <c r="H54" t="s">
        <v>91</v>
      </c>
      <c r="I54" s="1">
        <v>1</v>
      </c>
      <c r="J54" s="2">
        <v>1637.93</v>
      </c>
    </row>
    <row r="55" spans="2:10" x14ac:dyDescent="0.2">
      <c r="B55" t="s">
        <v>9</v>
      </c>
      <c r="C55" t="s">
        <v>88</v>
      </c>
      <c r="D55" t="s">
        <v>11</v>
      </c>
      <c r="E55" t="s">
        <v>110</v>
      </c>
      <c r="F55" t="s">
        <v>111</v>
      </c>
      <c r="G55" t="s">
        <v>14</v>
      </c>
      <c r="H55" t="s">
        <v>112</v>
      </c>
      <c r="I55" s="1">
        <v>1</v>
      </c>
      <c r="J55" s="2">
        <v>301.72000000000003</v>
      </c>
    </row>
    <row r="56" spans="2:10" x14ac:dyDescent="0.2">
      <c r="B56" t="s">
        <v>9</v>
      </c>
      <c r="C56" t="s">
        <v>88</v>
      </c>
      <c r="D56" t="s">
        <v>11</v>
      </c>
      <c r="E56" t="s">
        <v>113</v>
      </c>
      <c r="F56" t="s">
        <v>114</v>
      </c>
      <c r="G56" t="s">
        <v>43</v>
      </c>
      <c r="H56" t="s">
        <v>91</v>
      </c>
      <c r="I56" s="1">
        <v>1</v>
      </c>
      <c r="J56" s="2">
        <v>775.86</v>
      </c>
    </row>
    <row r="57" spans="2:10" x14ac:dyDescent="0.2">
      <c r="B57" t="s">
        <v>9</v>
      </c>
      <c r="C57" t="s">
        <v>88</v>
      </c>
      <c r="D57" t="s">
        <v>11</v>
      </c>
      <c r="E57" t="s">
        <v>115</v>
      </c>
      <c r="F57" t="s">
        <v>116</v>
      </c>
      <c r="G57" t="s">
        <v>1033</v>
      </c>
      <c r="H57" t="s">
        <v>30</v>
      </c>
      <c r="I57" s="1">
        <v>1</v>
      </c>
      <c r="J57" s="2">
        <v>2465.52</v>
      </c>
    </row>
    <row r="58" spans="2:10" x14ac:dyDescent="0.2">
      <c r="B58" t="s">
        <v>9</v>
      </c>
      <c r="C58" t="s">
        <v>117</v>
      </c>
      <c r="D58" t="s">
        <v>11</v>
      </c>
      <c r="E58" t="s">
        <v>44</v>
      </c>
      <c r="F58" t="s">
        <v>45</v>
      </c>
      <c r="G58" t="s">
        <v>1033</v>
      </c>
      <c r="H58" t="s">
        <v>30</v>
      </c>
      <c r="I58" s="1">
        <v>4</v>
      </c>
      <c r="J58" s="2">
        <v>327.60000000000002</v>
      </c>
    </row>
    <row r="59" spans="2:10" x14ac:dyDescent="0.2">
      <c r="B59" t="s">
        <v>9</v>
      </c>
      <c r="C59" t="s">
        <v>117</v>
      </c>
      <c r="D59" t="s">
        <v>11</v>
      </c>
      <c r="E59" t="s">
        <v>118</v>
      </c>
      <c r="F59" t="s">
        <v>119</v>
      </c>
      <c r="G59" t="s">
        <v>14</v>
      </c>
      <c r="H59" t="s">
        <v>27</v>
      </c>
      <c r="I59" s="1">
        <v>1</v>
      </c>
      <c r="J59" s="2">
        <v>379.31</v>
      </c>
    </row>
    <row r="60" spans="2:10" x14ac:dyDescent="0.2">
      <c r="B60" t="s">
        <v>9</v>
      </c>
      <c r="C60" t="s">
        <v>117</v>
      </c>
      <c r="D60" t="s">
        <v>11</v>
      </c>
      <c r="E60" t="s">
        <v>120</v>
      </c>
      <c r="F60" t="s">
        <v>121</v>
      </c>
      <c r="G60" t="s">
        <v>1034</v>
      </c>
      <c r="H60" t="s">
        <v>15</v>
      </c>
      <c r="I60" s="1">
        <v>1</v>
      </c>
      <c r="J60" s="2">
        <v>301.72000000000003</v>
      </c>
    </row>
    <row r="61" spans="2:10" x14ac:dyDescent="0.2">
      <c r="B61" t="s">
        <v>9</v>
      </c>
      <c r="C61" t="s">
        <v>117</v>
      </c>
      <c r="D61" t="s">
        <v>11</v>
      </c>
      <c r="E61" t="s">
        <v>72</v>
      </c>
      <c r="F61" t="s">
        <v>73</v>
      </c>
      <c r="G61" t="s">
        <v>1034</v>
      </c>
      <c r="H61" t="s">
        <v>15</v>
      </c>
      <c r="I61" s="1">
        <v>1</v>
      </c>
      <c r="J61" s="2">
        <v>775.86</v>
      </c>
    </row>
    <row r="62" spans="2:10" x14ac:dyDescent="0.2">
      <c r="B62" t="s">
        <v>9</v>
      </c>
      <c r="C62" t="s">
        <v>117</v>
      </c>
      <c r="D62" t="s">
        <v>11</v>
      </c>
      <c r="E62" t="s">
        <v>122</v>
      </c>
      <c r="F62" t="s">
        <v>123</v>
      </c>
      <c r="G62" t="s">
        <v>1034</v>
      </c>
      <c r="H62" t="s">
        <v>15</v>
      </c>
      <c r="I62" s="1">
        <v>1</v>
      </c>
      <c r="J62" s="2">
        <v>387.93</v>
      </c>
    </row>
    <row r="63" spans="2:10" x14ac:dyDescent="0.2">
      <c r="B63" t="s">
        <v>9</v>
      </c>
      <c r="C63" t="s">
        <v>117</v>
      </c>
      <c r="D63" t="s">
        <v>11</v>
      </c>
      <c r="E63" t="s">
        <v>22</v>
      </c>
      <c r="F63" t="s">
        <v>23</v>
      </c>
      <c r="G63" t="s">
        <v>14</v>
      </c>
      <c r="H63" t="s">
        <v>24</v>
      </c>
      <c r="I63" s="1">
        <v>2</v>
      </c>
      <c r="J63" s="2">
        <v>431.03</v>
      </c>
    </row>
    <row r="64" spans="2:10" x14ac:dyDescent="0.2">
      <c r="B64" t="s">
        <v>9</v>
      </c>
      <c r="C64" t="s">
        <v>117</v>
      </c>
      <c r="D64" t="s">
        <v>11</v>
      </c>
      <c r="E64" t="s">
        <v>56</v>
      </c>
      <c r="F64" t="s">
        <v>57</v>
      </c>
      <c r="G64" t="s">
        <v>1034</v>
      </c>
      <c r="H64" t="s">
        <v>15</v>
      </c>
      <c r="I64" s="1">
        <v>3</v>
      </c>
      <c r="J64" s="2">
        <v>1293.0999999999999</v>
      </c>
    </row>
    <row r="65" spans="2:10" x14ac:dyDescent="0.2">
      <c r="B65" t="s">
        <v>9</v>
      </c>
      <c r="C65" t="s">
        <v>117</v>
      </c>
      <c r="D65" t="s">
        <v>11</v>
      </c>
      <c r="E65" t="s">
        <v>124</v>
      </c>
      <c r="F65" t="s">
        <v>125</v>
      </c>
      <c r="G65" t="s">
        <v>1034</v>
      </c>
      <c r="H65" t="s">
        <v>15</v>
      </c>
      <c r="I65" s="1">
        <v>1</v>
      </c>
      <c r="J65" s="2">
        <v>431.03</v>
      </c>
    </row>
    <row r="66" spans="2:10" x14ac:dyDescent="0.2">
      <c r="B66" t="s">
        <v>9</v>
      </c>
      <c r="C66" t="s">
        <v>117</v>
      </c>
      <c r="D66" t="s">
        <v>11</v>
      </c>
      <c r="E66" t="s">
        <v>61</v>
      </c>
      <c r="F66" t="s">
        <v>62</v>
      </c>
      <c r="G66" t="s">
        <v>1034</v>
      </c>
      <c r="H66" t="s">
        <v>15</v>
      </c>
      <c r="I66" s="1">
        <v>1</v>
      </c>
      <c r="J66" s="2">
        <v>172.41</v>
      </c>
    </row>
    <row r="67" spans="2:10" x14ac:dyDescent="0.2">
      <c r="B67" t="s">
        <v>9</v>
      </c>
      <c r="C67" t="s">
        <v>117</v>
      </c>
      <c r="D67" t="s">
        <v>11</v>
      </c>
      <c r="E67" t="s">
        <v>126</v>
      </c>
      <c r="F67" t="s">
        <v>127</v>
      </c>
      <c r="G67" t="s">
        <v>43</v>
      </c>
      <c r="H67" t="s">
        <v>128</v>
      </c>
      <c r="I67" s="1">
        <v>1</v>
      </c>
      <c r="J67" s="2">
        <v>2068.9699999999998</v>
      </c>
    </row>
    <row r="68" spans="2:10" x14ac:dyDescent="0.2">
      <c r="B68" t="s">
        <v>9</v>
      </c>
      <c r="C68" t="s">
        <v>117</v>
      </c>
      <c r="D68" t="s">
        <v>11</v>
      </c>
      <c r="E68" t="s">
        <v>28</v>
      </c>
      <c r="F68" t="s">
        <v>29</v>
      </c>
      <c r="G68" t="s">
        <v>1033</v>
      </c>
      <c r="H68" t="s">
        <v>30</v>
      </c>
      <c r="I68" s="1">
        <v>6</v>
      </c>
      <c r="J68" s="2">
        <v>931.03</v>
      </c>
    </row>
    <row r="69" spans="2:10" x14ac:dyDescent="0.2">
      <c r="B69" t="s">
        <v>9</v>
      </c>
      <c r="C69" t="s">
        <v>129</v>
      </c>
      <c r="D69" t="s">
        <v>130</v>
      </c>
      <c r="E69" t="s">
        <v>131</v>
      </c>
      <c r="F69" t="s">
        <v>132</v>
      </c>
      <c r="G69" t="s">
        <v>43</v>
      </c>
      <c r="H69" t="s">
        <v>133</v>
      </c>
      <c r="I69" s="1">
        <v>1</v>
      </c>
      <c r="J69" s="2">
        <v>2155.17</v>
      </c>
    </row>
    <row r="70" spans="2:10" x14ac:dyDescent="0.2">
      <c r="B70" t="s">
        <v>261</v>
      </c>
      <c r="C70" t="s">
        <v>10</v>
      </c>
      <c r="D70" t="s">
        <v>262</v>
      </c>
      <c r="E70" t="s">
        <v>19</v>
      </c>
      <c r="F70" t="s">
        <v>20</v>
      </c>
      <c r="G70" t="s">
        <v>14</v>
      </c>
      <c r="H70" t="s">
        <v>21</v>
      </c>
      <c r="I70" s="1">
        <v>1</v>
      </c>
      <c r="J70" s="2">
        <v>431.04</v>
      </c>
    </row>
    <row r="71" spans="2:10" x14ac:dyDescent="0.2">
      <c r="B71" t="s">
        <v>261</v>
      </c>
      <c r="C71" t="s">
        <v>10</v>
      </c>
      <c r="D71" t="s">
        <v>262</v>
      </c>
      <c r="E71" t="s">
        <v>263</v>
      </c>
      <c r="F71" t="s">
        <v>264</v>
      </c>
      <c r="G71" t="s">
        <v>14</v>
      </c>
      <c r="H71" t="s">
        <v>35</v>
      </c>
      <c r="I71" s="1">
        <v>1</v>
      </c>
      <c r="J71" s="2">
        <v>77.59</v>
      </c>
    </row>
    <row r="72" spans="2:10" x14ac:dyDescent="0.2">
      <c r="B72" t="s">
        <v>261</v>
      </c>
      <c r="C72" t="s">
        <v>10</v>
      </c>
      <c r="D72" t="s">
        <v>262</v>
      </c>
      <c r="E72" t="s">
        <v>214</v>
      </c>
      <c r="F72" t="s">
        <v>215</v>
      </c>
      <c r="G72" t="s">
        <v>1034</v>
      </c>
      <c r="H72" t="s">
        <v>15</v>
      </c>
      <c r="I72" s="1">
        <v>1</v>
      </c>
      <c r="J72" s="2">
        <v>301.72000000000003</v>
      </c>
    </row>
    <row r="73" spans="2:10" x14ac:dyDescent="0.2">
      <c r="B73" t="s">
        <v>261</v>
      </c>
      <c r="C73" t="s">
        <v>10</v>
      </c>
      <c r="D73" t="s">
        <v>262</v>
      </c>
      <c r="E73" t="s">
        <v>56</v>
      </c>
      <c r="F73" t="s">
        <v>57</v>
      </c>
      <c r="G73" t="s">
        <v>1034</v>
      </c>
      <c r="H73" t="s">
        <v>15</v>
      </c>
      <c r="I73" s="1">
        <v>1</v>
      </c>
      <c r="J73" s="2">
        <v>431.03</v>
      </c>
    </row>
    <row r="74" spans="2:10" x14ac:dyDescent="0.2">
      <c r="B74" t="s">
        <v>261</v>
      </c>
      <c r="C74" t="s">
        <v>10</v>
      </c>
      <c r="D74" t="s">
        <v>262</v>
      </c>
      <c r="E74" t="s">
        <v>163</v>
      </c>
      <c r="F74" t="s">
        <v>164</v>
      </c>
      <c r="G74" t="s">
        <v>1034</v>
      </c>
      <c r="H74" t="s">
        <v>15</v>
      </c>
      <c r="I74" s="1">
        <v>1</v>
      </c>
      <c r="J74" s="2">
        <v>431.03</v>
      </c>
    </row>
    <row r="75" spans="2:10" x14ac:dyDescent="0.2">
      <c r="B75" t="s">
        <v>261</v>
      </c>
      <c r="C75" t="s">
        <v>10</v>
      </c>
      <c r="D75" t="s">
        <v>262</v>
      </c>
      <c r="E75" t="s">
        <v>16</v>
      </c>
      <c r="F75" t="s">
        <v>17</v>
      </c>
      <c r="G75" t="s">
        <v>1034</v>
      </c>
      <c r="H75" t="s">
        <v>15</v>
      </c>
      <c r="I75" s="1">
        <v>1</v>
      </c>
      <c r="J75" s="2">
        <v>577.59</v>
      </c>
    </row>
    <row r="76" spans="2:10" x14ac:dyDescent="0.2">
      <c r="B76" t="s">
        <v>261</v>
      </c>
      <c r="C76" t="s">
        <v>10</v>
      </c>
      <c r="D76" t="s">
        <v>262</v>
      </c>
      <c r="E76" t="s">
        <v>265</v>
      </c>
      <c r="F76" t="s">
        <v>266</v>
      </c>
      <c r="G76" t="s">
        <v>43</v>
      </c>
      <c r="H76" t="s">
        <v>128</v>
      </c>
      <c r="I76" s="1">
        <v>1</v>
      </c>
      <c r="J76" s="2">
        <v>5862.07</v>
      </c>
    </row>
    <row r="77" spans="2:10" x14ac:dyDescent="0.2">
      <c r="B77" t="s">
        <v>261</v>
      </c>
      <c r="C77" t="s">
        <v>18</v>
      </c>
      <c r="D77" t="s">
        <v>262</v>
      </c>
      <c r="E77" t="s">
        <v>142</v>
      </c>
      <c r="F77" t="s">
        <v>143</v>
      </c>
      <c r="G77" t="s">
        <v>43</v>
      </c>
      <c r="H77" t="s">
        <v>50</v>
      </c>
      <c r="I77" s="1">
        <v>1</v>
      </c>
      <c r="J77" s="2">
        <v>2155.17</v>
      </c>
    </row>
    <row r="78" spans="2:10" x14ac:dyDescent="0.2">
      <c r="B78" t="s">
        <v>261</v>
      </c>
      <c r="C78" t="s">
        <v>18</v>
      </c>
      <c r="D78" t="s">
        <v>262</v>
      </c>
      <c r="E78" t="s">
        <v>46</v>
      </c>
      <c r="F78" t="s">
        <v>47</v>
      </c>
      <c r="G78" t="s">
        <v>1034</v>
      </c>
      <c r="H78" t="s">
        <v>15</v>
      </c>
      <c r="I78" s="1">
        <v>1</v>
      </c>
      <c r="J78" s="2">
        <v>301.72000000000003</v>
      </c>
    </row>
    <row r="79" spans="2:10" x14ac:dyDescent="0.2">
      <c r="B79" t="s">
        <v>261</v>
      </c>
      <c r="C79" t="s">
        <v>18</v>
      </c>
      <c r="D79" t="s">
        <v>262</v>
      </c>
      <c r="E79" t="s">
        <v>267</v>
      </c>
      <c r="F79" t="s">
        <v>268</v>
      </c>
      <c r="G79" t="s">
        <v>1034</v>
      </c>
      <c r="H79" t="s">
        <v>15</v>
      </c>
      <c r="I79" s="1">
        <v>1</v>
      </c>
      <c r="J79" s="2">
        <v>258.62</v>
      </c>
    </row>
    <row r="80" spans="2:10" x14ac:dyDescent="0.2">
      <c r="B80" t="s">
        <v>261</v>
      </c>
      <c r="C80" t="s">
        <v>18</v>
      </c>
      <c r="D80" t="s">
        <v>262</v>
      </c>
      <c r="E80" t="s">
        <v>36</v>
      </c>
      <c r="F80" t="s">
        <v>37</v>
      </c>
      <c r="G80" t="s">
        <v>1034</v>
      </c>
      <c r="H80" t="s">
        <v>15</v>
      </c>
      <c r="I80" s="1">
        <v>3</v>
      </c>
      <c r="J80" s="2">
        <v>905.16000000000008</v>
      </c>
    </row>
    <row r="81" spans="2:10" x14ac:dyDescent="0.2">
      <c r="B81" t="s">
        <v>261</v>
      </c>
      <c r="C81" t="s">
        <v>18</v>
      </c>
      <c r="D81" t="s">
        <v>262</v>
      </c>
      <c r="E81" t="s">
        <v>269</v>
      </c>
      <c r="F81" t="s">
        <v>270</v>
      </c>
      <c r="G81" t="s">
        <v>1033</v>
      </c>
      <c r="H81" t="s">
        <v>30</v>
      </c>
      <c r="I81" s="1">
        <v>1</v>
      </c>
      <c r="J81" s="2">
        <v>948.28</v>
      </c>
    </row>
    <row r="82" spans="2:10" x14ac:dyDescent="0.2">
      <c r="B82" t="s">
        <v>261</v>
      </c>
      <c r="C82" t="s">
        <v>18</v>
      </c>
      <c r="D82" t="s">
        <v>262</v>
      </c>
      <c r="E82" t="s">
        <v>271</v>
      </c>
      <c r="F82" t="s">
        <v>272</v>
      </c>
      <c r="G82" t="s">
        <v>54</v>
      </c>
      <c r="H82" t="s">
        <v>138</v>
      </c>
      <c r="I82" s="1">
        <v>1</v>
      </c>
      <c r="J82" s="2">
        <v>344.83</v>
      </c>
    </row>
    <row r="83" spans="2:10" x14ac:dyDescent="0.2">
      <c r="B83" t="s">
        <v>261</v>
      </c>
      <c r="C83" t="s">
        <v>18</v>
      </c>
      <c r="D83" t="s">
        <v>262</v>
      </c>
      <c r="E83" t="s">
        <v>273</v>
      </c>
      <c r="F83" t="s">
        <v>274</v>
      </c>
      <c r="G83" t="s">
        <v>1033</v>
      </c>
      <c r="H83" t="s">
        <v>30</v>
      </c>
      <c r="I83" s="1">
        <v>1</v>
      </c>
      <c r="J83" s="2">
        <v>1293.0999999999999</v>
      </c>
    </row>
    <row r="84" spans="2:10" x14ac:dyDescent="0.2">
      <c r="B84" t="s">
        <v>261</v>
      </c>
      <c r="C84" t="s">
        <v>18</v>
      </c>
      <c r="D84" t="s">
        <v>262</v>
      </c>
      <c r="E84" t="s">
        <v>275</v>
      </c>
      <c r="F84" t="s">
        <v>276</v>
      </c>
      <c r="G84" t="s">
        <v>1033</v>
      </c>
      <c r="H84" t="s">
        <v>30</v>
      </c>
      <c r="I84" s="1">
        <v>1</v>
      </c>
      <c r="J84" s="2">
        <v>1551.72</v>
      </c>
    </row>
    <row r="85" spans="2:10" x14ac:dyDescent="0.2">
      <c r="B85" t="s">
        <v>261</v>
      </c>
      <c r="C85" t="s">
        <v>18</v>
      </c>
      <c r="D85" t="s">
        <v>262</v>
      </c>
      <c r="E85" t="s">
        <v>163</v>
      </c>
      <c r="F85" t="s">
        <v>164</v>
      </c>
      <c r="G85" t="s">
        <v>1034</v>
      </c>
      <c r="H85" t="s">
        <v>15</v>
      </c>
      <c r="I85" s="1">
        <v>2</v>
      </c>
      <c r="J85" s="2">
        <v>862.06</v>
      </c>
    </row>
    <row r="86" spans="2:10" x14ac:dyDescent="0.2">
      <c r="B86" t="s">
        <v>261</v>
      </c>
      <c r="C86" t="s">
        <v>18</v>
      </c>
      <c r="D86" t="s">
        <v>262</v>
      </c>
      <c r="E86" t="s">
        <v>61</v>
      </c>
      <c r="F86" t="s">
        <v>62</v>
      </c>
      <c r="G86" t="s">
        <v>1034</v>
      </c>
      <c r="H86" t="s">
        <v>15</v>
      </c>
      <c r="I86" s="1">
        <v>1</v>
      </c>
      <c r="J86" s="2">
        <v>172.41</v>
      </c>
    </row>
    <row r="87" spans="2:10" x14ac:dyDescent="0.2">
      <c r="B87" t="s">
        <v>261</v>
      </c>
      <c r="C87" t="s">
        <v>18</v>
      </c>
      <c r="D87" t="s">
        <v>262</v>
      </c>
      <c r="E87" t="s">
        <v>63</v>
      </c>
      <c r="F87" t="s">
        <v>64</v>
      </c>
      <c r="G87" t="s">
        <v>1034</v>
      </c>
      <c r="H87" t="s">
        <v>15</v>
      </c>
      <c r="I87" s="1">
        <v>1</v>
      </c>
      <c r="J87" s="2">
        <v>172.41</v>
      </c>
    </row>
    <row r="88" spans="2:10" x14ac:dyDescent="0.2">
      <c r="B88" t="s">
        <v>261</v>
      </c>
      <c r="C88" t="s">
        <v>18</v>
      </c>
      <c r="D88" t="s">
        <v>262</v>
      </c>
      <c r="E88" t="s">
        <v>16</v>
      </c>
      <c r="F88" t="s">
        <v>17</v>
      </c>
      <c r="G88" t="s">
        <v>1034</v>
      </c>
      <c r="H88" t="s">
        <v>15</v>
      </c>
      <c r="I88" s="1">
        <v>1</v>
      </c>
      <c r="J88" s="2">
        <v>577.59</v>
      </c>
    </row>
    <row r="89" spans="2:10" x14ac:dyDescent="0.2">
      <c r="B89" t="s">
        <v>261</v>
      </c>
      <c r="C89" t="s">
        <v>31</v>
      </c>
      <c r="D89" t="s">
        <v>262</v>
      </c>
      <c r="E89" t="s">
        <v>44</v>
      </c>
      <c r="F89" t="s">
        <v>45</v>
      </c>
      <c r="G89" t="s">
        <v>1033</v>
      </c>
      <c r="H89" t="s">
        <v>30</v>
      </c>
      <c r="I89" s="1">
        <v>1</v>
      </c>
      <c r="J89" s="2">
        <v>81.900000000000006</v>
      </c>
    </row>
    <row r="90" spans="2:10" x14ac:dyDescent="0.2">
      <c r="B90" t="s">
        <v>261</v>
      </c>
      <c r="C90" t="s">
        <v>31</v>
      </c>
      <c r="D90" t="s">
        <v>262</v>
      </c>
      <c r="E90" t="s">
        <v>251</v>
      </c>
      <c r="F90" t="s">
        <v>252</v>
      </c>
      <c r="G90" t="s">
        <v>1033</v>
      </c>
      <c r="H90" t="s">
        <v>30</v>
      </c>
      <c r="I90" s="1">
        <v>1</v>
      </c>
      <c r="J90" s="2">
        <v>1500</v>
      </c>
    </row>
    <row r="91" spans="2:10" x14ac:dyDescent="0.2">
      <c r="B91" t="s">
        <v>261</v>
      </c>
      <c r="C91" t="s">
        <v>31</v>
      </c>
      <c r="D91" t="s">
        <v>262</v>
      </c>
      <c r="E91" t="s">
        <v>153</v>
      </c>
      <c r="F91" t="s">
        <v>154</v>
      </c>
      <c r="G91" t="s">
        <v>1034</v>
      </c>
      <c r="H91" t="s">
        <v>15</v>
      </c>
      <c r="I91" s="1">
        <v>1</v>
      </c>
      <c r="J91" s="2">
        <v>387.93</v>
      </c>
    </row>
    <row r="92" spans="2:10" x14ac:dyDescent="0.2">
      <c r="B92" t="s">
        <v>261</v>
      </c>
      <c r="C92" t="s">
        <v>31</v>
      </c>
      <c r="D92" t="s">
        <v>262</v>
      </c>
      <c r="E92" t="s">
        <v>223</v>
      </c>
      <c r="F92" t="s">
        <v>224</v>
      </c>
      <c r="G92" t="s">
        <v>43</v>
      </c>
      <c r="H92" t="s">
        <v>50</v>
      </c>
      <c r="I92" s="1">
        <v>1</v>
      </c>
      <c r="J92" s="2">
        <v>1637.93</v>
      </c>
    </row>
    <row r="93" spans="2:10" x14ac:dyDescent="0.2">
      <c r="B93" t="s">
        <v>261</v>
      </c>
      <c r="C93" t="s">
        <v>40</v>
      </c>
      <c r="D93" t="s">
        <v>277</v>
      </c>
      <c r="E93" t="s">
        <v>278</v>
      </c>
      <c r="F93" t="s">
        <v>279</v>
      </c>
      <c r="G93" t="s">
        <v>1033</v>
      </c>
      <c r="H93" t="s">
        <v>30</v>
      </c>
      <c r="I93" s="1">
        <v>1</v>
      </c>
      <c r="J93" s="2">
        <v>112.07</v>
      </c>
    </row>
    <row r="94" spans="2:10" x14ac:dyDescent="0.2">
      <c r="B94" t="s">
        <v>261</v>
      </c>
      <c r="C94" t="s">
        <v>40</v>
      </c>
      <c r="D94" t="s">
        <v>277</v>
      </c>
      <c r="E94" t="s">
        <v>280</v>
      </c>
      <c r="F94" t="s">
        <v>281</v>
      </c>
      <c r="G94" t="s">
        <v>1033</v>
      </c>
      <c r="H94" t="s">
        <v>30</v>
      </c>
      <c r="I94" s="1">
        <v>1</v>
      </c>
      <c r="J94" s="2">
        <v>474.14</v>
      </c>
    </row>
    <row r="95" spans="2:10" x14ac:dyDescent="0.2">
      <c r="B95" t="s">
        <v>261</v>
      </c>
      <c r="C95" t="s">
        <v>40</v>
      </c>
      <c r="D95" t="s">
        <v>277</v>
      </c>
      <c r="E95" t="s">
        <v>122</v>
      </c>
      <c r="F95" t="s">
        <v>123</v>
      </c>
      <c r="G95" t="s">
        <v>1034</v>
      </c>
      <c r="H95" t="s">
        <v>15</v>
      </c>
      <c r="I95" s="1">
        <v>1</v>
      </c>
      <c r="J95" s="2">
        <v>387.93</v>
      </c>
    </row>
    <row r="96" spans="2:10" x14ac:dyDescent="0.2">
      <c r="B96" t="s">
        <v>261</v>
      </c>
      <c r="C96" t="s">
        <v>40</v>
      </c>
      <c r="D96" t="s">
        <v>277</v>
      </c>
      <c r="E96" t="s">
        <v>83</v>
      </c>
      <c r="F96" t="s">
        <v>84</v>
      </c>
      <c r="G96" t="s">
        <v>1034</v>
      </c>
      <c r="H96" t="s">
        <v>15</v>
      </c>
      <c r="I96" s="1">
        <v>1</v>
      </c>
      <c r="J96" s="2">
        <v>387.93</v>
      </c>
    </row>
    <row r="97" spans="2:10" x14ac:dyDescent="0.2">
      <c r="B97" t="s">
        <v>261</v>
      </c>
      <c r="C97" t="s">
        <v>40</v>
      </c>
      <c r="D97" t="s">
        <v>277</v>
      </c>
      <c r="E97" t="s">
        <v>269</v>
      </c>
      <c r="F97" t="s">
        <v>270</v>
      </c>
      <c r="G97" t="s">
        <v>1033</v>
      </c>
      <c r="H97" t="s">
        <v>30</v>
      </c>
      <c r="I97" s="1">
        <v>1</v>
      </c>
      <c r="J97" s="2">
        <v>948.28</v>
      </c>
    </row>
    <row r="98" spans="2:10" x14ac:dyDescent="0.2">
      <c r="B98" t="s">
        <v>261</v>
      </c>
      <c r="C98" t="s">
        <v>40</v>
      </c>
      <c r="D98" t="s">
        <v>277</v>
      </c>
      <c r="E98" t="s">
        <v>16</v>
      </c>
      <c r="F98" t="s">
        <v>17</v>
      </c>
      <c r="G98" t="s">
        <v>1034</v>
      </c>
      <c r="H98" t="s">
        <v>15</v>
      </c>
      <c r="I98" s="1">
        <v>1</v>
      </c>
      <c r="J98" s="2">
        <v>577.59</v>
      </c>
    </row>
    <row r="99" spans="2:10" x14ac:dyDescent="0.2">
      <c r="B99" t="s">
        <v>261</v>
      </c>
      <c r="C99" t="s">
        <v>40</v>
      </c>
      <c r="D99" t="s">
        <v>277</v>
      </c>
      <c r="E99" t="s">
        <v>28</v>
      </c>
      <c r="F99" t="s">
        <v>29</v>
      </c>
      <c r="G99" t="s">
        <v>1033</v>
      </c>
      <c r="H99" t="s">
        <v>30</v>
      </c>
      <c r="I99" s="1">
        <v>1</v>
      </c>
      <c r="J99" s="2">
        <v>155.16999999999999</v>
      </c>
    </row>
    <row r="100" spans="2:10" x14ac:dyDescent="0.2">
      <c r="B100" t="s">
        <v>261</v>
      </c>
      <c r="C100" t="s">
        <v>51</v>
      </c>
      <c r="D100" t="s">
        <v>262</v>
      </c>
      <c r="E100" t="s">
        <v>282</v>
      </c>
      <c r="F100" t="s">
        <v>283</v>
      </c>
      <c r="G100" t="s">
        <v>1033</v>
      </c>
      <c r="H100" t="s">
        <v>30</v>
      </c>
      <c r="I100" s="1">
        <v>1</v>
      </c>
      <c r="J100" s="2">
        <v>129.31</v>
      </c>
    </row>
    <row r="101" spans="2:10" x14ac:dyDescent="0.2">
      <c r="B101" t="s">
        <v>261</v>
      </c>
      <c r="C101" t="s">
        <v>51</v>
      </c>
      <c r="D101" t="s">
        <v>262</v>
      </c>
      <c r="E101" t="s">
        <v>120</v>
      </c>
      <c r="F101" t="s">
        <v>121</v>
      </c>
      <c r="G101" t="s">
        <v>1034</v>
      </c>
      <c r="H101" t="s">
        <v>15</v>
      </c>
      <c r="I101" s="1">
        <v>1</v>
      </c>
      <c r="J101" s="2">
        <v>301.72000000000003</v>
      </c>
    </row>
    <row r="102" spans="2:10" x14ac:dyDescent="0.2">
      <c r="B102" t="s">
        <v>261</v>
      </c>
      <c r="C102" t="s">
        <v>51</v>
      </c>
      <c r="D102" t="s">
        <v>262</v>
      </c>
      <c r="E102" t="s">
        <v>285</v>
      </c>
      <c r="F102" t="s">
        <v>286</v>
      </c>
      <c r="G102" t="s">
        <v>1033</v>
      </c>
      <c r="H102" t="s">
        <v>30</v>
      </c>
      <c r="I102" s="1">
        <v>1</v>
      </c>
      <c r="J102" s="2">
        <v>1034.48</v>
      </c>
    </row>
    <row r="103" spans="2:10" x14ac:dyDescent="0.2">
      <c r="B103" t="s">
        <v>261</v>
      </c>
      <c r="C103" t="s">
        <v>51</v>
      </c>
      <c r="D103" t="s">
        <v>262</v>
      </c>
      <c r="E103" t="s">
        <v>269</v>
      </c>
      <c r="F103" t="s">
        <v>270</v>
      </c>
      <c r="G103" t="s">
        <v>1033</v>
      </c>
      <c r="H103" t="s">
        <v>30</v>
      </c>
      <c r="I103" s="1">
        <v>1</v>
      </c>
      <c r="J103" s="2">
        <v>948.28</v>
      </c>
    </row>
    <row r="104" spans="2:10" x14ac:dyDescent="0.2">
      <c r="B104" t="s">
        <v>261</v>
      </c>
      <c r="C104" t="s">
        <v>51</v>
      </c>
      <c r="D104" t="s">
        <v>262</v>
      </c>
      <c r="E104" t="s">
        <v>61</v>
      </c>
      <c r="F104" t="s">
        <v>62</v>
      </c>
      <c r="G104" t="s">
        <v>1034</v>
      </c>
      <c r="H104" t="s">
        <v>15</v>
      </c>
      <c r="I104" s="1">
        <v>2</v>
      </c>
      <c r="J104" s="2">
        <v>344.82</v>
      </c>
    </row>
    <row r="105" spans="2:10" x14ac:dyDescent="0.2">
      <c r="B105" t="s">
        <v>261</v>
      </c>
      <c r="C105" t="s">
        <v>51</v>
      </c>
      <c r="D105" t="s">
        <v>262</v>
      </c>
      <c r="E105" t="s">
        <v>16</v>
      </c>
      <c r="F105" t="s">
        <v>17</v>
      </c>
      <c r="G105" t="s">
        <v>1034</v>
      </c>
      <c r="H105" t="s">
        <v>15</v>
      </c>
      <c r="I105" s="1">
        <v>2</v>
      </c>
      <c r="J105" s="2">
        <v>1155.18</v>
      </c>
    </row>
    <row r="106" spans="2:10" x14ac:dyDescent="0.2">
      <c r="B106" t="s">
        <v>261</v>
      </c>
      <c r="C106" t="s">
        <v>65</v>
      </c>
      <c r="D106" t="s">
        <v>262</v>
      </c>
      <c r="E106" t="s">
        <v>19</v>
      </c>
      <c r="F106" t="s">
        <v>20</v>
      </c>
      <c r="G106" t="s">
        <v>14</v>
      </c>
      <c r="H106" t="s">
        <v>21</v>
      </c>
      <c r="I106" s="1">
        <v>1</v>
      </c>
      <c r="J106" s="2">
        <v>431.04</v>
      </c>
    </row>
    <row r="107" spans="2:10" x14ac:dyDescent="0.2">
      <c r="B107" t="s">
        <v>261</v>
      </c>
      <c r="C107" t="s">
        <v>65</v>
      </c>
      <c r="D107" t="s">
        <v>262</v>
      </c>
      <c r="E107" t="s">
        <v>46</v>
      </c>
      <c r="F107" t="s">
        <v>47</v>
      </c>
      <c r="G107" t="s">
        <v>1034</v>
      </c>
      <c r="H107" t="s">
        <v>15</v>
      </c>
      <c r="I107" s="1">
        <v>1</v>
      </c>
      <c r="J107" s="2">
        <v>301.72000000000003</v>
      </c>
    </row>
    <row r="108" spans="2:10" x14ac:dyDescent="0.2">
      <c r="B108" t="s">
        <v>261</v>
      </c>
      <c r="C108" t="s">
        <v>65</v>
      </c>
      <c r="D108" t="s">
        <v>262</v>
      </c>
      <c r="E108" t="s">
        <v>287</v>
      </c>
      <c r="F108" t="s">
        <v>288</v>
      </c>
      <c r="G108" t="s">
        <v>14</v>
      </c>
      <c r="H108" t="s">
        <v>35</v>
      </c>
      <c r="I108" s="1">
        <v>1</v>
      </c>
      <c r="J108" s="2">
        <v>60.34</v>
      </c>
    </row>
    <row r="109" spans="2:10" x14ac:dyDescent="0.2">
      <c r="B109" t="s">
        <v>261</v>
      </c>
      <c r="C109" t="s">
        <v>65</v>
      </c>
      <c r="D109" t="s">
        <v>262</v>
      </c>
      <c r="E109" t="s">
        <v>289</v>
      </c>
      <c r="F109" t="s">
        <v>290</v>
      </c>
      <c r="G109" t="s">
        <v>54</v>
      </c>
      <c r="H109" t="s">
        <v>138</v>
      </c>
      <c r="I109" s="1">
        <v>1</v>
      </c>
      <c r="J109" s="2">
        <v>468.1</v>
      </c>
    </row>
    <row r="110" spans="2:10" x14ac:dyDescent="0.2">
      <c r="B110" t="s">
        <v>261</v>
      </c>
      <c r="C110" t="s">
        <v>65</v>
      </c>
      <c r="D110" t="s">
        <v>262</v>
      </c>
      <c r="E110" t="s">
        <v>291</v>
      </c>
      <c r="F110" t="s">
        <v>292</v>
      </c>
      <c r="G110" t="s">
        <v>54</v>
      </c>
      <c r="H110" t="s">
        <v>138</v>
      </c>
      <c r="I110" s="1">
        <v>1</v>
      </c>
      <c r="J110" s="2">
        <v>327.58999999999997</v>
      </c>
    </row>
    <row r="111" spans="2:10" x14ac:dyDescent="0.2">
      <c r="B111" t="s">
        <v>261</v>
      </c>
      <c r="C111" t="s">
        <v>65</v>
      </c>
      <c r="D111" t="s">
        <v>262</v>
      </c>
      <c r="E111" t="s">
        <v>293</v>
      </c>
      <c r="F111" t="s">
        <v>294</v>
      </c>
      <c r="G111" t="s">
        <v>43</v>
      </c>
      <c r="H111" t="s">
        <v>128</v>
      </c>
      <c r="I111" s="1">
        <v>1</v>
      </c>
      <c r="J111" s="2">
        <v>5862.07</v>
      </c>
    </row>
    <row r="112" spans="2:10" x14ac:dyDescent="0.2">
      <c r="B112" t="s">
        <v>261</v>
      </c>
      <c r="C112" t="s">
        <v>65</v>
      </c>
      <c r="D112" t="s">
        <v>262</v>
      </c>
      <c r="E112" t="s">
        <v>295</v>
      </c>
      <c r="F112" t="s">
        <v>296</v>
      </c>
      <c r="G112" t="s">
        <v>43</v>
      </c>
      <c r="H112" t="s">
        <v>297</v>
      </c>
      <c r="I112" s="1">
        <v>1</v>
      </c>
      <c r="J112" s="2">
        <v>224.14</v>
      </c>
    </row>
    <row r="113" spans="2:10" x14ac:dyDescent="0.2">
      <c r="B113" t="s">
        <v>261</v>
      </c>
      <c r="C113" t="s">
        <v>65</v>
      </c>
      <c r="D113" t="s">
        <v>262</v>
      </c>
      <c r="E113" t="s">
        <v>36</v>
      </c>
      <c r="F113" t="s">
        <v>37</v>
      </c>
      <c r="G113" t="s">
        <v>1034</v>
      </c>
      <c r="H113" t="s">
        <v>15</v>
      </c>
      <c r="I113" s="1">
        <v>3</v>
      </c>
      <c r="J113" s="2">
        <v>905.16000000000008</v>
      </c>
    </row>
    <row r="114" spans="2:10" x14ac:dyDescent="0.2">
      <c r="B114" t="s">
        <v>261</v>
      </c>
      <c r="C114" t="s">
        <v>65</v>
      </c>
      <c r="D114" t="s">
        <v>262</v>
      </c>
      <c r="E114" t="s">
        <v>22</v>
      </c>
      <c r="F114" t="s">
        <v>23</v>
      </c>
      <c r="G114" t="s">
        <v>14</v>
      </c>
      <c r="H114" t="s">
        <v>24</v>
      </c>
      <c r="I114" s="1">
        <v>1</v>
      </c>
      <c r="J114" s="2">
        <v>215.52</v>
      </c>
    </row>
    <row r="115" spans="2:10" x14ac:dyDescent="0.2">
      <c r="B115" t="s">
        <v>261</v>
      </c>
      <c r="C115" t="s">
        <v>65</v>
      </c>
      <c r="D115" t="s">
        <v>262</v>
      </c>
      <c r="E115" t="s">
        <v>63</v>
      </c>
      <c r="F115" t="s">
        <v>64</v>
      </c>
      <c r="G115" t="s">
        <v>1034</v>
      </c>
      <c r="H115" t="s">
        <v>15</v>
      </c>
      <c r="I115" s="1">
        <v>1</v>
      </c>
      <c r="J115" s="2">
        <v>172.41</v>
      </c>
    </row>
    <row r="116" spans="2:10" x14ac:dyDescent="0.2">
      <c r="B116" t="s">
        <v>261</v>
      </c>
      <c r="C116" t="s">
        <v>82</v>
      </c>
      <c r="D116" t="s">
        <v>262</v>
      </c>
      <c r="E116" t="s">
        <v>99</v>
      </c>
      <c r="F116" t="s">
        <v>100</v>
      </c>
      <c r="G116" t="s">
        <v>43</v>
      </c>
      <c r="H116" t="s">
        <v>50</v>
      </c>
      <c r="I116" s="1">
        <v>1</v>
      </c>
      <c r="J116" s="2">
        <v>3275.86</v>
      </c>
    </row>
    <row r="117" spans="2:10" x14ac:dyDescent="0.2">
      <c r="B117" t="s">
        <v>261</v>
      </c>
      <c r="C117" t="s">
        <v>88</v>
      </c>
      <c r="D117" t="s">
        <v>262</v>
      </c>
      <c r="E117" t="s">
        <v>19</v>
      </c>
      <c r="F117" t="s">
        <v>20</v>
      </c>
      <c r="G117" t="s">
        <v>14</v>
      </c>
      <c r="H117" t="s">
        <v>21</v>
      </c>
      <c r="I117" s="1">
        <v>2</v>
      </c>
      <c r="J117" s="2">
        <v>862.08</v>
      </c>
    </row>
    <row r="118" spans="2:10" x14ac:dyDescent="0.2">
      <c r="B118" t="s">
        <v>261</v>
      </c>
      <c r="C118" t="s">
        <v>88</v>
      </c>
      <c r="D118" t="s">
        <v>262</v>
      </c>
      <c r="E118" t="s">
        <v>70</v>
      </c>
      <c r="F118" t="s">
        <v>71</v>
      </c>
      <c r="G118" t="s">
        <v>1033</v>
      </c>
      <c r="H118" t="s">
        <v>30</v>
      </c>
      <c r="I118" s="1">
        <v>1</v>
      </c>
      <c r="J118" s="2">
        <v>2112.0700000000002</v>
      </c>
    </row>
    <row r="119" spans="2:10" x14ac:dyDescent="0.2">
      <c r="B119" t="s">
        <v>261</v>
      </c>
      <c r="C119" t="s">
        <v>88</v>
      </c>
      <c r="D119" t="s">
        <v>262</v>
      </c>
      <c r="E119" t="s">
        <v>298</v>
      </c>
      <c r="F119" t="s">
        <v>299</v>
      </c>
      <c r="G119" t="s">
        <v>14</v>
      </c>
      <c r="H119" t="s">
        <v>27</v>
      </c>
      <c r="I119" s="1">
        <v>1</v>
      </c>
      <c r="J119" s="2">
        <v>387.93</v>
      </c>
    </row>
    <row r="120" spans="2:10" x14ac:dyDescent="0.2">
      <c r="B120" t="s">
        <v>261</v>
      </c>
      <c r="C120" t="s">
        <v>88</v>
      </c>
      <c r="D120" t="s">
        <v>262</v>
      </c>
      <c r="E120" t="s">
        <v>221</v>
      </c>
      <c r="F120" t="s">
        <v>222</v>
      </c>
      <c r="G120" t="s">
        <v>1034</v>
      </c>
      <c r="H120" t="s">
        <v>15</v>
      </c>
      <c r="I120" s="1">
        <v>1</v>
      </c>
      <c r="J120" s="2">
        <v>431.03</v>
      </c>
    </row>
    <row r="121" spans="2:10" x14ac:dyDescent="0.2">
      <c r="B121" t="s">
        <v>261</v>
      </c>
      <c r="C121" t="s">
        <v>88</v>
      </c>
      <c r="D121" t="s">
        <v>262</v>
      </c>
      <c r="E121" t="s">
        <v>214</v>
      </c>
      <c r="F121" t="s">
        <v>215</v>
      </c>
      <c r="G121" t="s">
        <v>1034</v>
      </c>
      <c r="H121" t="s">
        <v>15</v>
      </c>
      <c r="I121" s="1">
        <v>1</v>
      </c>
      <c r="J121" s="2">
        <v>301.72000000000003</v>
      </c>
    </row>
    <row r="122" spans="2:10" x14ac:dyDescent="0.2">
      <c r="B122" t="s">
        <v>261</v>
      </c>
      <c r="C122" t="s">
        <v>88</v>
      </c>
      <c r="D122" t="s">
        <v>262</v>
      </c>
      <c r="E122" t="s">
        <v>72</v>
      </c>
      <c r="F122" t="s">
        <v>73</v>
      </c>
      <c r="G122" t="s">
        <v>1034</v>
      </c>
      <c r="H122" t="s">
        <v>15</v>
      </c>
      <c r="I122" s="1">
        <v>1</v>
      </c>
      <c r="J122" s="2">
        <v>775.86</v>
      </c>
    </row>
    <row r="123" spans="2:10" x14ac:dyDescent="0.2">
      <c r="B123" t="s">
        <v>261</v>
      </c>
      <c r="C123" t="s">
        <v>88</v>
      </c>
      <c r="D123" t="s">
        <v>262</v>
      </c>
      <c r="E123" t="s">
        <v>22</v>
      </c>
      <c r="F123" t="s">
        <v>23</v>
      </c>
      <c r="G123" t="s">
        <v>14</v>
      </c>
      <c r="H123" t="s">
        <v>24</v>
      </c>
      <c r="I123" s="1">
        <v>2</v>
      </c>
      <c r="J123" s="2">
        <v>431.03</v>
      </c>
    </row>
    <row r="124" spans="2:10" x14ac:dyDescent="0.2">
      <c r="B124" t="s">
        <v>261</v>
      </c>
      <c r="C124" t="s">
        <v>88</v>
      </c>
      <c r="D124" t="s">
        <v>262</v>
      </c>
      <c r="E124" t="s">
        <v>38</v>
      </c>
      <c r="F124" t="s">
        <v>39</v>
      </c>
      <c r="G124" t="s">
        <v>1034</v>
      </c>
      <c r="H124" t="s">
        <v>15</v>
      </c>
      <c r="I124" s="1">
        <v>1</v>
      </c>
      <c r="J124" s="2">
        <v>431.03</v>
      </c>
    </row>
    <row r="125" spans="2:10" x14ac:dyDescent="0.2">
      <c r="B125" t="s">
        <v>261</v>
      </c>
      <c r="C125" t="s">
        <v>88</v>
      </c>
      <c r="D125" t="s">
        <v>262</v>
      </c>
      <c r="E125" t="s">
        <v>61</v>
      </c>
      <c r="F125" t="s">
        <v>62</v>
      </c>
      <c r="G125" t="s">
        <v>1034</v>
      </c>
      <c r="H125" t="s">
        <v>15</v>
      </c>
      <c r="I125" s="1">
        <v>16</v>
      </c>
      <c r="J125" s="2">
        <v>2758.56</v>
      </c>
    </row>
    <row r="126" spans="2:10" x14ac:dyDescent="0.2">
      <c r="B126" t="s">
        <v>261</v>
      </c>
      <c r="C126" t="s">
        <v>88</v>
      </c>
      <c r="D126" t="s">
        <v>262</v>
      </c>
      <c r="E126" t="s">
        <v>63</v>
      </c>
      <c r="F126" t="s">
        <v>64</v>
      </c>
      <c r="G126" t="s">
        <v>1034</v>
      </c>
      <c r="H126" t="s">
        <v>15</v>
      </c>
      <c r="I126" s="1">
        <v>2</v>
      </c>
      <c r="J126" s="2">
        <v>344.82</v>
      </c>
    </row>
    <row r="127" spans="2:10" x14ac:dyDescent="0.2">
      <c r="B127" t="s">
        <v>261</v>
      </c>
      <c r="C127" t="s">
        <v>88</v>
      </c>
      <c r="D127" t="s">
        <v>262</v>
      </c>
      <c r="E127" t="s">
        <v>300</v>
      </c>
      <c r="F127" t="s">
        <v>301</v>
      </c>
      <c r="G127" t="s">
        <v>1033</v>
      </c>
      <c r="H127" t="s">
        <v>30</v>
      </c>
      <c r="I127" s="1">
        <v>1</v>
      </c>
      <c r="J127" s="2">
        <v>2413.79</v>
      </c>
    </row>
    <row r="128" spans="2:10" x14ac:dyDescent="0.2">
      <c r="B128" t="s">
        <v>261</v>
      </c>
      <c r="C128" t="s">
        <v>117</v>
      </c>
      <c r="D128" t="s">
        <v>262</v>
      </c>
      <c r="E128" t="s">
        <v>302</v>
      </c>
      <c r="F128" t="s">
        <v>303</v>
      </c>
      <c r="G128" t="s">
        <v>1033</v>
      </c>
      <c r="H128" t="s">
        <v>30</v>
      </c>
      <c r="I128" s="1">
        <v>1</v>
      </c>
      <c r="J128" s="2">
        <v>474.14</v>
      </c>
    </row>
    <row r="129" spans="2:10" x14ac:dyDescent="0.2">
      <c r="B129" t="s">
        <v>261</v>
      </c>
      <c r="C129" t="s">
        <v>117</v>
      </c>
      <c r="D129" t="s">
        <v>262</v>
      </c>
      <c r="E129" t="s">
        <v>44</v>
      </c>
      <c r="F129" t="s">
        <v>45</v>
      </c>
      <c r="G129" t="s">
        <v>1033</v>
      </c>
      <c r="H129" t="s">
        <v>30</v>
      </c>
      <c r="I129" s="1">
        <v>2</v>
      </c>
      <c r="J129" s="2">
        <v>163.80000000000001</v>
      </c>
    </row>
    <row r="130" spans="2:10" x14ac:dyDescent="0.2">
      <c r="B130" t="s">
        <v>261</v>
      </c>
      <c r="C130" t="s">
        <v>117</v>
      </c>
      <c r="D130" t="s">
        <v>262</v>
      </c>
      <c r="E130" t="s">
        <v>19</v>
      </c>
      <c r="F130" t="s">
        <v>20</v>
      </c>
      <c r="G130" t="s">
        <v>14</v>
      </c>
      <c r="H130" t="s">
        <v>21</v>
      </c>
      <c r="I130" s="1">
        <v>1</v>
      </c>
      <c r="J130" s="2">
        <v>431.04</v>
      </c>
    </row>
    <row r="131" spans="2:10" x14ac:dyDescent="0.2">
      <c r="B131" t="s">
        <v>261</v>
      </c>
      <c r="C131" t="s">
        <v>117</v>
      </c>
      <c r="D131" t="s">
        <v>262</v>
      </c>
      <c r="E131" t="s">
        <v>70</v>
      </c>
      <c r="F131" t="s">
        <v>71</v>
      </c>
      <c r="G131" t="s">
        <v>1033</v>
      </c>
      <c r="H131" t="s">
        <v>30</v>
      </c>
      <c r="I131" s="1">
        <v>1</v>
      </c>
      <c r="J131" s="2">
        <v>2112.0700000000002</v>
      </c>
    </row>
    <row r="132" spans="2:10" x14ac:dyDescent="0.2">
      <c r="B132" t="s">
        <v>261</v>
      </c>
      <c r="C132" t="s">
        <v>117</v>
      </c>
      <c r="D132" t="s">
        <v>262</v>
      </c>
      <c r="E132" t="s">
        <v>214</v>
      </c>
      <c r="F132" t="s">
        <v>215</v>
      </c>
      <c r="G132" t="s">
        <v>1034</v>
      </c>
      <c r="H132" t="s">
        <v>15</v>
      </c>
      <c r="I132" s="1">
        <v>2</v>
      </c>
      <c r="J132" s="2">
        <v>603.44000000000005</v>
      </c>
    </row>
    <row r="133" spans="2:10" x14ac:dyDescent="0.2">
      <c r="B133" t="s">
        <v>261</v>
      </c>
      <c r="C133" t="s">
        <v>117</v>
      </c>
      <c r="D133" t="s">
        <v>262</v>
      </c>
      <c r="E133" t="s">
        <v>36</v>
      </c>
      <c r="F133" t="s">
        <v>37</v>
      </c>
      <c r="G133" t="s">
        <v>1034</v>
      </c>
      <c r="H133" t="s">
        <v>15</v>
      </c>
      <c r="I133" s="1">
        <v>2</v>
      </c>
      <c r="J133" s="2">
        <v>603.44000000000005</v>
      </c>
    </row>
    <row r="134" spans="2:10" x14ac:dyDescent="0.2">
      <c r="B134" t="s">
        <v>261</v>
      </c>
      <c r="C134" t="s">
        <v>117</v>
      </c>
      <c r="D134" t="s">
        <v>262</v>
      </c>
      <c r="E134" t="s">
        <v>72</v>
      </c>
      <c r="F134" t="s">
        <v>73</v>
      </c>
      <c r="G134" t="s">
        <v>1034</v>
      </c>
      <c r="H134" t="s">
        <v>15</v>
      </c>
      <c r="I134" s="1">
        <v>3</v>
      </c>
      <c r="J134" s="2">
        <v>2327.58</v>
      </c>
    </row>
    <row r="135" spans="2:10" x14ac:dyDescent="0.2">
      <c r="B135" t="s">
        <v>261</v>
      </c>
      <c r="C135" t="s">
        <v>117</v>
      </c>
      <c r="D135" t="s">
        <v>262</v>
      </c>
      <c r="E135" t="s">
        <v>61</v>
      </c>
      <c r="F135" t="s">
        <v>62</v>
      </c>
      <c r="G135" t="s">
        <v>1034</v>
      </c>
      <c r="H135" t="s">
        <v>15</v>
      </c>
      <c r="I135" s="1">
        <v>1</v>
      </c>
      <c r="J135" s="2">
        <v>172.41</v>
      </c>
    </row>
    <row r="136" spans="2:10" x14ac:dyDescent="0.2">
      <c r="B136" t="s">
        <v>261</v>
      </c>
      <c r="C136" t="s">
        <v>117</v>
      </c>
      <c r="D136" t="s">
        <v>262</v>
      </c>
      <c r="E136" t="s">
        <v>28</v>
      </c>
      <c r="F136" t="s">
        <v>29</v>
      </c>
      <c r="G136" t="s">
        <v>1033</v>
      </c>
      <c r="H136" t="s">
        <v>30</v>
      </c>
      <c r="I136" s="1">
        <v>2</v>
      </c>
      <c r="J136" s="2">
        <v>310.33999999999997</v>
      </c>
    </row>
    <row r="137" spans="2:10" x14ac:dyDescent="0.2">
      <c r="B137" t="s">
        <v>261</v>
      </c>
      <c r="C137" t="s">
        <v>129</v>
      </c>
      <c r="D137" t="s">
        <v>262</v>
      </c>
      <c r="E137" t="s">
        <v>44</v>
      </c>
      <c r="F137" t="s">
        <v>45</v>
      </c>
      <c r="G137" t="s">
        <v>1033</v>
      </c>
      <c r="H137" t="s">
        <v>30</v>
      </c>
      <c r="I137" s="1">
        <v>1</v>
      </c>
      <c r="J137" s="2">
        <v>81.900000000000006</v>
      </c>
    </row>
    <row r="138" spans="2:10" x14ac:dyDescent="0.2">
      <c r="B138" t="s">
        <v>261</v>
      </c>
      <c r="C138" t="s">
        <v>129</v>
      </c>
      <c r="D138" t="s">
        <v>262</v>
      </c>
      <c r="E138" t="s">
        <v>36</v>
      </c>
      <c r="F138" t="s">
        <v>37</v>
      </c>
      <c r="G138" t="s">
        <v>1034</v>
      </c>
      <c r="H138" t="s">
        <v>15</v>
      </c>
      <c r="I138" s="1">
        <v>1</v>
      </c>
      <c r="J138" s="2">
        <v>301.72000000000003</v>
      </c>
    </row>
    <row r="139" spans="2:10" x14ac:dyDescent="0.2">
      <c r="B139" t="s">
        <v>261</v>
      </c>
      <c r="C139" t="s">
        <v>129</v>
      </c>
      <c r="D139" t="s">
        <v>262</v>
      </c>
      <c r="E139" t="s">
        <v>83</v>
      </c>
      <c r="F139" t="s">
        <v>84</v>
      </c>
      <c r="G139" t="s">
        <v>1034</v>
      </c>
      <c r="H139" t="s">
        <v>15</v>
      </c>
      <c r="I139" s="1">
        <v>1</v>
      </c>
      <c r="J139" s="2">
        <v>387.93</v>
      </c>
    </row>
    <row r="140" spans="2:10" x14ac:dyDescent="0.2">
      <c r="B140" t="s">
        <v>376</v>
      </c>
      <c r="C140" t="s">
        <v>10</v>
      </c>
      <c r="D140" t="s">
        <v>32</v>
      </c>
      <c r="E140" t="s">
        <v>44</v>
      </c>
      <c r="F140" t="s">
        <v>45</v>
      </c>
      <c r="G140" t="s">
        <v>1033</v>
      </c>
      <c r="H140" t="s">
        <v>30</v>
      </c>
      <c r="I140" s="1">
        <v>1</v>
      </c>
      <c r="J140" s="2">
        <v>81.900000000000006</v>
      </c>
    </row>
    <row r="141" spans="2:10" x14ac:dyDescent="0.2">
      <c r="B141" t="s">
        <v>376</v>
      </c>
      <c r="C141" t="s">
        <v>10</v>
      </c>
      <c r="D141" t="s">
        <v>32</v>
      </c>
      <c r="E141" t="s">
        <v>19</v>
      </c>
      <c r="F141" t="s">
        <v>20</v>
      </c>
      <c r="G141" t="s">
        <v>14</v>
      </c>
      <c r="H141" t="s">
        <v>21</v>
      </c>
      <c r="I141" s="1">
        <v>2</v>
      </c>
      <c r="J141" s="2">
        <v>862.08</v>
      </c>
    </row>
    <row r="142" spans="2:10" x14ac:dyDescent="0.2">
      <c r="B142" t="s">
        <v>376</v>
      </c>
      <c r="C142" t="s">
        <v>10</v>
      </c>
      <c r="D142" t="s">
        <v>32</v>
      </c>
      <c r="E142" t="s">
        <v>377</v>
      </c>
      <c r="F142" t="s">
        <v>378</v>
      </c>
      <c r="G142" t="s">
        <v>54</v>
      </c>
      <c r="H142" t="s">
        <v>138</v>
      </c>
      <c r="I142" s="1">
        <v>1</v>
      </c>
      <c r="J142" s="2">
        <v>431.03</v>
      </c>
    </row>
    <row r="143" spans="2:10" x14ac:dyDescent="0.2">
      <c r="B143" t="s">
        <v>376</v>
      </c>
      <c r="C143" t="s">
        <v>10</v>
      </c>
      <c r="D143" t="s">
        <v>32</v>
      </c>
      <c r="E143" t="s">
        <v>242</v>
      </c>
      <c r="F143" t="s">
        <v>243</v>
      </c>
      <c r="G143" t="s">
        <v>14</v>
      </c>
      <c r="H143" t="s">
        <v>87</v>
      </c>
      <c r="I143" s="1">
        <v>1</v>
      </c>
      <c r="J143" s="2">
        <v>120.69</v>
      </c>
    </row>
    <row r="144" spans="2:10" x14ac:dyDescent="0.2">
      <c r="B144" t="s">
        <v>376</v>
      </c>
      <c r="C144" t="s">
        <v>10</v>
      </c>
      <c r="D144" t="s">
        <v>32</v>
      </c>
      <c r="E144" t="s">
        <v>379</v>
      </c>
      <c r="F144" t="s">
        <v>380</v>
      </c>
      <c r="G144" t="s">
        <v>1033</v>
      </c>
      <c r="H144" t="s">
        <v>30</v>
      </c>
      <c r="I144" s="1">
        <v>1</v>
      </c>
      <c r="J144" s="2">
        <v>775.86</v>
      </c>
    </row>
    <row r="145" spans="2:10" x14ac:dyDescent="0.2">
      <c r="B145" t="s">
        <v>376</v>
      </c>
      <c r="C145" t="s">
        <v>10</v>
      </c>
      <c r="D145" t="s">
        <v>32</v>
      </c>
      <c r="E145" t="s">
        <v>36</v>
      </c>
      <c r="F145" t="s">
        <v>37</v>
      </c>
      <c r="G145" t="s">
        <v>1034</v>
      </c>
      <c r="H145" t="s">
        <v>15</v>
      </c>
      <c r="I145" s="1">
        <v>1</v>
      </c>
      <c r="J145" s="2">
        <v>301.72000000000003</v>
      </c>
    </row>
    <row r="146" spans="2:10" x14ac:dyDescent="0.2">
      <c r="B146" t="s">
        <v>376</v>
      </c>
      <c r="C146" t="s">
        <v>10</v>
      </c>
      <c r="D146" t="s">
        <v>32</v>
      </c>
      <c r="E146" t="s">
        <v>122</v>
      </c>
      <c r="F146" t="s">
        <v>123</v>
      </c>
      <c r="G146" t="s">
        <v>1034</v>
      </c>
      <c r="H146" t="s">
        <v>15</v>
      </c>
      <c r="I146" s="1">
        <v>1</v>
      </c>
      <c r="J146" s="2">
        <v>387.93</v>
      </c>
    </row>
    <row r="147" spans="2:10" x14ac:dyDescent="0.2">
      <c r="B147" t="s">
        <v>376</v>
      </c>
      <c r="C147" t="s">
        <v>10</v>
      </c>
      <c r="D147" t="s">
        <v>32</v>
      </c>
      <c r="E147" t="s">
        <v>74</v>
      </c>
      <c r="F147" t="s">
        <v>75</v>
      </c>
      <c r="G147" t="s">
        <v>76</v>
      </c>
      <c r="H147" t="s">
        <v>60</v>
      </c>
      <c r="I147" s="1">
        <v>1</v>
      </c>
      <c r="J147" s="2">
        <v>344.83</v>
      </c>
    </row>
    <row r="148" spans="2:10" x14ac:dyDescent="0.2">
      <c r="B148" t="s">
        <v>376</v>
      </c>
      <c r="C148" t="s">
        <v>10</v>
      </c>
      <c r="D148" t="s">
        <v>32</v>
      </c>
      <c r="E148" t="s">
        <v>381</v>
      </c>
      <c r="F148" t="s">
        <v>382</v>
      </c>
      <c r="G148" t="s">
        <v>43</v>
      </c>
      <c r="H148" t="s">
        <v>383</v>
      </c>
      <c r="I148" s="1">
        <v>1</v>
      </c>
      <c r="J148" s="2">
        <v>301.72000000000003</v>
      </c>
    </row>
    <row r="149" spans="2:10" x14ac:dyDescent="0.2">
      <c r="B149" t="s">
        <v>376</v>
      </c>
      <c r="C149" t="s">
        <v>10</v>
      </c>
      <c r="D149" t="s">
        <v>32</v>
      </c>
      <c r="E149" t="s">
        <v>56</v>
      </c>
      <c r="F149" t="s">
        <v>57</v>
      </c>
      <c r="G149" t="s">
        <v>1034</v>
      </c>
      <c r="H149" t="s">
        <v>15</v>
      </c>
      <c r="I149" s="1">
        <v>1</v>
      </c>
      <c r="J149" s="2">
        <v>431.03</v>
      </c>
    </row>
    <row r="150" spans="2:10" x14ac:dyDescent="0.2">
      <c r="B150" t="s">
        <v>376</v>
      </c>
      <c r="C150" t="s">
        <v>10</v>
      </c>
      <c r="D150" t="s">
        <v>32</v>
      </c>
      <c r="E150" t="s">
        <v>48</v>
      </c>
      <c r="F150" t="s">
        <v>49</v>
      </c>
      <c r="G150" t="s">
        <v>43</v>
      </c>
      <c r="H150" t="s">
        <v>50</v>
      </c>
      <c r="I150" s="1">
        <v>1</v>
      </c>
      <c r="J150" s="2">
        <v>1318.97</v>
      </c>
    </row>
    <row r="151" spans="2:10" x14ac:dyDescent="0.2">
      <c r="B151" t="s">
        <v>376</v>
      </c>
      <c r="C151" t="s">
        <v>10</v>
      </c>
      <c r="D151" t="s">
        <v>32</v>
      </c>
      <c r="E151" t="s">
        <v>16</v>
      </c>
      <c r="F151" t="s">
        <v>17</v>
      </c>
      <c r="G151" t="s">
        <v>1034</v>
      </c>
      <c r="H151" t="s">
        <v>15</v>
      </c>
      <c r="I151" s="1">
        <v>3</v>
      </c>
      <c r="J151" s="2">
        <v>1732.77</v>
      </c>
    </row>
    <row r="152" spans="2:10" x14ac:dyDescent="0.2">
      <c r="B152" t="s">
        <v>376</v>
      </c>
      <c r="C152" t="s">
        <v>10</v>
      </c>
      <c r="D152" t="s">
        <v>32</v>
      </c>
      <c r="E152" t="s">
        <v>384</v>
      </c>
      <c r="F152" t="s">
        <v>385</v>
      </c>
      <c r="G152" t="s">
        <v>43</v>
      </c>
      <c r="H152" t="s">
        <v>50</v>
      </c>
      <c r="I152" s="1">
        <v>1</v>
      </c>
      <c r="J152" s="2">
        <v>2155.17</v>
      </c>
    </row>
    <row r="153" spans="2:10" x14ac:dyDescent="0.2">
      <c r="B153" t="s">
        <v>376</v>
      </c>
      <c r="C153" t="s">
        <v>18</v>
      </c>
      <c r="D153" t="s">
        <v>386</v>
      </c>
      <c r="E153" t="s">
        <v>44</v>
      </c>
      <c r="F153" t="s">
        <v>45</v>
      </c>
      <c r="G153" t="s">
        <v>1033</v>
      </c>
      <c r="H153" t="s">
        <v>30</v>
      </c>
      <c r="I153" s="1">
        <v>1</v>
      </c>
      <c r="J153" s="2">
        <v>81.900000000000006</v>
      </c>
    </row>
    <row r="154" spans="2:10" x14ac:dyDescent="0.2">
      <c r="B154" t="s">
        <v>376</v>
      </c>
      <c r="C154" t="s">
        <v>18</v>
      </c>
      <c r="D154" t="s">
        <v>386</v>
      </c>
      <c r="E154" t="s">
        <v>19</v>
      </c>
      <c r="F154" t="s">
        <v>20</v>
      </c>
      <c r="G154" t="s">
        <v>14</v>
      </c>
      <c r="H154" t="s">
        <v>21</v>
      </c>
      <c r="I154" s="1">
        <v>1</v>
      </c>
      <c r="J154" s="2">
        <v>431.04</v>
      </c>
    </row>
    <row r="155" spans="2:10" x14ac:dyDescent="0.2">
      <c r="B155" t="s">
        <v>376</v>
      </c>
      <c r="C155" t="s">
        <v>18</v>
      </c>
      <c r="D155" t="s">
        <v>386</v>
      </c>
      <c r="E155" t="s">
        <v>46</v>
      </c>
      <c r="F155" t="s">
        <v>47</v>
      </c>
      <c r="G155" t="s">
        <v>1034</v>
      </c>
      <c r="H155" t="s">
        <v>15</v>
      </c>
      <c r="I155" s="1">
        <v>1</v>
      </c>
      <c r="J155" s="2">
        <v>301.72000000000003</v>
      </c>
    </row>
    <row r="156" spans="2:10" x14ac:dyDescent="0.2">
      <c r="B156" t="s">
        <v>376</v>
      </c>
      <c r="C156" t="s">
        <v>18</v>
      </c>
      <c r="D156" t="s">
        <v>386</v>
      </c>
      <c r="E156" t="s">
        <v>221</v>
      </c>
      <c r="F156" t="s">
        <v>222</v>
      </c>
      <c r="G156" t="s">
        <v>1034</v>
      </c>
      <c r="H156" t="s">
        <v>15</v>
      </c>
      <c r="I156" s="1">
        <v>1</v>
      </c>
      <c r="J156" s="2">
        <v>431.03</v>
      </c>
    </row>
    <row r="157" spans="2:10" x14ac:dyDescent="0.2">
      <c r="B157" t="s">
        <v>376</v>
      </c>
      <c r="C157" t="s">
        <v>18</v>
      </c>
      <c r="D157" t="s">
        <v>386</v>
      </c>
      <c r="E157" t="s">
        <v>12</v>
      </c>
      <c r="F157" t="s">
        <v>13</v>
      </c>
      <c r="G157" t="s">
        <v>1034</v>
      </c>
      <c r="H157" t="s">
        <v>15</v>
      </c>
      <c r="I157" s="1">
        <v>1</v>
      </c>
      <c r="J157" s="2">
        <v>1077.5899999999999</v>
      </c>
    </row>
    <row r="158" spans="2:10" x14ac:dyDescent="0.2">
      <c r="B158" t="s">
        <v>376</v>
      </c>
      <c r="C158" t="s">
        <v>18</v>
      </c>
      <c r="D158" t="s">
        <v>386</v>
      </c>
      <c r="E158" t="s">
        <v>253</v>
      </c>
      <c r="F158" t="s">
        <v>254</v>
      </c>
      <c r="G158" t="s">
        <v>1034</v>
      </c>
      <c r="H158" t="s">
        <v>15</v>
      </c>
      <c r="I158" s="1">
        <v>1</v>
      </c>
      <c r="J158" s="2">
        <v>775.86</v>
      </c>
    </row>
    <row r="159" spans="2:10" x14ac:dyDescent="0.2">
      <c r="B159" t="s">
        <v>376</v>
      </c>
      <c r="C159" t="s">
        <v>18</v>
      </c>
      <c r="D159" t="s">
        <v>386</v>
      </c>
      <c r="E159" t="s">
        <v>101</v>
      </c>
      <c r="F159" t="s">
        <v>102</v>
      </c>
      <c r="G159" t="s">
        <v>103</v>
      </c>
      <c r="H159" t="s">
        <v>104</v>
      </c>
      <c r="I159" s="1">
        <v>1</v>
      </c>
      <c r="J159" s="2">
        <v>0.01</v>
      </c>
    </row>
    <row r="160" spans="2:10" x14ac:dyDescent="0.2">
      <c r="B160" t="s">
        <v>376</v>
      </c>
      <c r="C160" t="s">
        <v>18</v>
      </c>
      <c r="D160" t="s">
        <v>386</v>
      </c>
      <c r="E160" t="s">
        <v>179</v>
      </c>
      <c r="F160" t="s">
        <v>180</v>
      </c>
      <c r="G160" t="s">
        <v>76</v>
      </c>
      <c r="H160" t="s">
        <v>60</v>
      </c>
      <c r="I160" s="1">
        <v>1</v>
      </c>
      <c r="J160" s="2">
        <v>344.83</v>
      </c>
    </row>
    <row r="161" spans="2:10" x14ac:dyDescent="0.2">
      <c r="B161" t="s">
        <v>376</v>
      </c>
      <c r="C161" t="s">
        <v>18</v>
      </c>
      <c r="D161" t="s">
        <v>386</v>
      </c>
      <c r="E161" t="s">
        <v>38</v>
      </c>
      <c r="F161" t="s">
        <v>39</v>
      </c>
      <c r="G161" t="s">
        <v>1034</v>
      </c>
      <c r="H161" t="s">
        <v>15</v>
      </c>
      <c r="I161" s="1">
        <v>1</v>
      </c>
      <c r="J161" s="2">
        <v>431.03</v>
      </c>
    </row>
    <row r="162" spans="2:10" x14ac:dyDescent="0.2">
      <c r="B162" t="s">
        <v>376</v>
      </c>
      <c r="C162" t="s">
        <v>18</v>
      </c>
      <c r="D162" t="s">
        <v>386</v>
      </c>
      <c r="E162" t="s">
        <v>231</v>
      </c>
      <c r="F162" t="s">
        <v>232</v>
      </c>
      <c r="G162" t="s">
        <v>43</v>
      </c>
      <c r="H162" t="s">
        <v>50</v>
      </c>
      <c r="I162" s="1">
        <v>1</v>
      </c>
      <c r="J162" s="2">
        <v>3017.24</v>
      </c>
    </row>
    <row r="163" spans="2:10" x14ac:dyDescent="0.2">
      <c r="B163" t="s">
        <v>376</v>
      </c>
      <c r="C163" t="s">
        <v>18</v>
      </c>
      <c r="D163" t="s">
        <v>386</v>
      </c>
      <c r="E163" t="s">
        <v>275</v>
      </c>
      <c r="F163" t="s">
        <v>276</v>
      </c>
      <c r="G163" t="s">
        <v>1033</v>
      </c>
      <c r="H163" t="s">
        <v>30</v>
      </c>
      <c r="I163" s="1">
        <v>1</v>
      </c>
      <c r="J163" s="2">
        <v>1551.72</v>
      </c>
    </row>
    <row r="164" spans="2:10" x14ac:dyDescent="0.2">
      <c r="B164" t="s">
        <v>376</v>
      </c>
      <c r="C164" t="s">
        <v>18</v>
      </c>
      <c r="D164" t="s">
        <v>386</v>
      </c>
      <c r="E164" t="s">
        <v>16</v>
      </c>
      <c r="F164" t="s">
        <v>17</v>
      </c>
      <c r="G164" t="s">
        <v>1034</v>
      </c>
      <c r="H164" t="s">
        <v>15</v>
      </c>
      <c r="I164" s="1">
        <v>1</v>
      </c>
      <c r="J164" s="2">
        <v>577.59</v>
      </c>
    </row>
    <row r="165" spans="2:10" x14ac:dyDescent="0.2">
      <c r="B165" t="s">
        <v>376</v>
      </c>
      <c r="C165" t="s">
        <v>31</v>
      </c>
      <c r="D165" t="s">
        <v>386</v>
      </c>
      <c r="E165" t="s">
        <v>44</v>
      </c>
      <c r="F165" t="s">
        <v>45</v>
      </c>
      <c r="G165" t="s">
        <v>1033</v>
      </c>
      <c r="H165" t="s">
        <v>30</v>
      </c>
      <c r="I165" s="1">
        <v>1</v>
      </c>
      <c r="J165" s="2">
        <v>81.900000000000006</v>
      </c>
    </row>
    <row r="166" spans="2:10" x14ac:dyDescent="0.2">
      <c r="B166" t="s">
        <v>376</v>
      </c>
      <c r="C166" t="s">
        <v>31</v>
      </c>
      <c r="D166" t="s">
        <v>386</v>
      </c>
      <c r="E166" t="s">
        <v>139</v>
      </c>
      <c r="F166" t="s">
        <v>140</v>
      </c>
      <c r="G166" t="s">
        <v>14</v>
      </c>
      <c r="H166" t="s">
        <v>87</v>
      </c>
      <c r="I166" s="1">
        <v>1</v>
      </c>
      <c r="J166" s="2">
        <v>120.69</v>
      </c>
    </row>
    <row r="167" spans="2:10" x14ac:dyDescent="0.2">
      <c r="B167" t="s">
        <v>376</v>
      </c>
      <c r="C167" t="s">
        <v>31</v>
      </c>
      <c r="D167" t="s">
        <v>386</v>
      </c>
      <c r="E167" t="s">
        <v>328</v>
      </c>
      <c r="F167" t="s">
        <v>329</v>
      </c>
      <c r="G167" t="s">
        <v>1033</v>
      </c>
      <c r="H167" t="s">
        <v>30</v>
      </c>
      <c r="I167" s="1">
        <v>1</v>
      </c>
      <c r="J167" s="2">
        <v>172.41</v>
      </c>
    </row>
    <row r="168" spans="2:10" x14ac:dyDescent="0.2">
      <c r="B168" t="s">
        <v>376</v>
      </c>
      <c r="C168" t="s">
        <v>31</v>
      </c>
      <c r="D168" t="s">
        <v>386</v>
      </c>
      <c r="E168" t="s">
        <v>22</v>
      </c>
      <c r="F168" t="s">
        <v>23</v>
      </c>
      <c r="G168" t="s">
        <v>14</v>
      </c>
      <c r="H168" t="s">
        <v>24</v>
      </c>
      <c r="I168" s="1">
        <v>2</v>
      </c>
      <c r="J168" s="2">
        <v>431.04</v>
      </c>
    </row>
    <row r="169" spans="2:10" x14ac:dyDescent="0.2">
      <c r="B169" t="s">
        <v>376</v>
      </c>
      <c r="C169" t="s">
        <v>31</v>
      </c>
      <c r="D169" t="s">
        <v>386</v>
      </c>
      <c r="E169" t="s">
        <v>370</v>
      </c>
      <c r="F169" t="s">
        <v>371</v>
      </c>
      <c r="G169" t="s">
        <v>1033</v>
      </c>
      <c r="H169" t="s">
        <v>30</v>
      </c>
      <c r="I169" s="1">
        <v>1</v>
      </c>
      <c r="J169" s="2">
        <v>1034.48</v>
      </c>
    </row>
    <row r="170" spans="2:10" x14ac:dyDescent="0.2">
      <c r="B170" t="s">
        <v>376</v>
      </c>
      <c r="C170" t="s">
        <v>31</v>
      </c>
      <c r="D170" t="s">
        <v>386</v>
      </c>
      <c r="E170" t="s">
        <v>244</v>
      </c>
      <c r="F170" t="s">
        <v>245</v>
      </c>
      <c r="G170" t="s">
        <v>14</v>
      </c>
      <c r="H170" t="s">
        <v>94</v>
      </c>
      <c r="I170" s="1">
        <v>1</v>
      </c>
      <c r="J170" s="2">
        <v>68.97</v>
      </c>
    </row>
    <row r="171" spans="2:10" x14ac:dyDescent="0.2">
      <c r="B171" t="s">
        <v>376</v>
      </c>
      <c r="C171" t="s">
        <v>31</v>
      </c>
      <c r="D171" t="s">
        <v>386</v>
      </c>
      <c r="E171" t="s">
        <v>56</v>
      </c>
      <c r="F171" t="s">
        <v>57</v>
      </c>
      <c r="G171" t="s">
        <v>1034</v>
      </c>
      <c r="H171" t="s">
        <v>15</v>
      </c>
      <c r="I171" s="1">
        <v>1</v>
      </c>
      <c r="J171" s="2">
        <v>431.03</v>
      </c>
    </row>
    <row r="172" spans="2:10" x14ac:dyDescent="0.2">
      <c r="B172" t="s">
        <v>376</v>
      </c>
      <c r="C172" t="s">
        <v>31</v>
      </c>
      <c r="D172" t="s">
        <v>386</v>
      </c>
      <c r="E172" t="s">
        <v>387</v>
      </c>
      <c r="F172" t="s">
        <v>388</v>
      </c>
      <c r="G172" t="s">
        <v>1033</v>
      </c>
      <c r="H172" t="s">
        <v>30</v>
      </c>
      <c r="I172" s="1">
        <v>1</v>
      </c>
      <c r="J172" s="2">
        <v>775.86</v>
      </c>
    </row>
    <row r="173" spans="2:10" x14ac:dyDescent="0.2">
      <c r="B173" t="s">
        <v>376</v>
      </c>
      <c r="C173" t="s">
        <v>40</v>
      </c>
      <c r="D173" t="s">
        <v>386</v>
      </c>
      <c r="E173" t="s">
        <v>316</v>
      </c>
      <c r="F173" t="s">
        <v>317</v>
      </c>
      <c r="G173" t="s">
        <v>14</v>
      </c>
      <c r="H173" t="s">
        <v>27</v>
      </c>
      <c r="I173" s="1">
        <v>1</v>
      </c>
      <c r="J173" s="2">
        <v>413.79</v>
      </c>
    </row>
    <row r="174" spans="2:10" x14ac:dyDescent="0.2">
      <c r="B174" t="s">
        <v>376</v>
      </c>
      <c r="C174" t="s">
        <v>40</v>
      </c>
      <c r="D174" t="s">
        <v>386</v>
      </c>
      <c r="E174" t="s">
        <v>214</v>
      </c>
      <c r="F174" t="s">
        <v>215</v>
      </c>
      <c r="G174" t="s">
        <v>1034</v>
      </c>
      <c r="H174" t="s">
        <v>15</v>
      </c>
      <c r="I174" s="1">
        <v>1</v>
      </c>
      <c r="J174" s="2">
        <v>301.72000000000003</v>
      </c>
    </row>
    <row r="175" spans="2:10" x14ac:dyDescent="0.2">
      <c r="B175" t="s">
        <v>376</v>
      </c>
      <c r="C175" t="s">
        <v>40</v>
      </c>
      <c r="D175" t="s">
        <v>386</v>
      </c>
      <c r="E175" t="s">
        <v>28</v>
      </c>
      <c r="F175" t="s">
        <v>29</v>
      </c>
      <c r="G175" t="s">
        <v>1033</v>
      </c>
      <c r="H175" t="s">
        <v>30</v>
      </c>
      <c r="I175" s="1">
        <v>1</v>
      </c>
      <c r="J175" s="2">
        <v>155.16999999999999</v>
      </c>
    </row>
    <row r="176" spans="2:10" x14ac:dyDescent="0.2">
      <c r="B176" t="s">
        <v>376</v>
      </c>
      <c r="C176" t="s">
        <v>51</v>
      </c>
      <c r="D176" t="s">
        <v>386</v>
      </c>
      <c r="E176" t="s">
        <v>19</v>
      </c>
      <c r="F176" t="s">
        <v>20</v>
      </c>
      <c r="G176" t="s">
        <v>14</v>
      </c>
      <c r="H176" t="s">
        <v>21</v>
      </c>
      <c r="I176" s="1">
        <v>1</v>
      </c>
      <c r="J176" s="2">
        <v>431.04</v>
      </c>
    </row>
    <row r="177" spans="2:10" x14ac:dyDescent="0.2">
      <c r="B177" t="s">
        <v>376</v>
      </c>
      <c r="C177" t="s">
        <v>51</v>
      </c>
      <c r="D177" t="s">
        <v>386</v>
      </c>
      <c r="E177" t="s">
        <v>389</v>
      </c>
      <c r="F177" t="s">
        <v>390</v>
      </c>
      <c r="G177" t="s">
        <v>54</v>
      </c>
      <c r="H177" t="s">
        <v>138</v>
      </c>
      <c r="I177" s="1">
        <v>1</v>
      </c>
      <c r="J177" s="2">
        <v>655.16999999999996</v>
      </c>
    </row>
    <row r="178" spans="2:10" x14ac:dyDescent="0.2">
      <c r="B178" t="s">
        <v>376</v>
      </c>
      <c r="C178" t="s">
        <v>51</v>
      </c>
      <c r="D178" t="s">
        <v>386</v>
      </c>
      <c r="E178" t="s">
        <v>153</v>
      </c>
      <c r="F178" t="s">
        <v>154</v>
      </c>
      <c r="G178" t="s">
        <v>1034</v>
      </c>
      <c r="H178" t="s">
        <v>15</v>
      </c>
      <c r="I178" s="1">
        <v>1</v>
      </c>
      <c r="J178" s="2">
        <v>387.93</v>
      </c>
    </row>
    <row r="179" spans="2:10" x14ac:dyDescent="0.2">
      <c r="B179" t="s">
        <v>376</v>
      </c>
      <c r="C179" t="s">
        <v>51</v>
      </c>
      <c r="D179" t="s">
        <v>386</v>
      </c>
      <c r="E179" t="s">
        <v>56</v>
      </c>
      <c r="F179" t="s">
        <v>57</v>
      </c>
      <c r="G179" t="s">
        <v>1034</v>
      </c>
      <c r="H179" t="s">
        <v>15</v>
      </c>
      <c r="I179" s="1">
        <v>1</v>
      </c>
      <c r="J179" s="2">
        <v>431.03</v>
      </c>
    </row>
    <row r="180" spans="2:10" x14ac:dyDescent="0.2">
      <c r="B180" t="s">
        <v>376</v>
      </c>
      <c r="C180" t="s">
        <v>65</v>
      </c>
      <c r="D180" t="s">
        <v>386</v>
      </c>
      <c r="E180" t="s">
        <v>391</v>
      </c>
      <c r="F180" t="s">
        <v>392</v>
      </c>
      <c r="G180" t="s">
        <v>14</v>
      </c>
      <c r="H180" t="s">
        <v>87</v>
      </c>
      <c r="I180" s="1">
        <v>1</v>
      </c>
      <c r="J180" s="2">
        <v>482.76</v>
      </c>
    </row>
    <row r="181" spans="2:10" x14ac:dyDescent="0.2">
      <c r="B181" t="s">
        <v>376</v>
      </c>
      <c r="C181" t="s">
        <v>65</v>
      </c>
      <c r="D181" t="s">
        <v>386</v>
      </c>
      <c r="E181" t="s">
        <v>122</v>
      </c>
      <c r="F181" t="s">
        <v>123</v>
      </c>
      <c r="G181" t="s">
        <v>1034</v>
      </c>
      <c r="H181" t="s">
        <v>15</v>
      </c>
      <c r="I181" s="1">
        <v>1</v>
      </c>
      <c r="J181" s="2">
        <v>387.93</v>
      </c>
    </row>
    <row r="182" spans="2:10" x14ac:dyDescent="0.2">
      <c r="B182" t="s">
        <v>376</v>
      </c>
      <c r="C182" t="s">
        <v>65</v>
      </c>
      <c r="D182" t="s">
        <v>386</v>
      </c>
      <c r="E182" t="s">
        <v>74</v>
      </c>
      <c r="F182" t="s">
        <v>75</v>
      </c>
      <c r="G182" t="s">
        <v>76</v>
      </c>
      <c r="H182" t="s">
        <v>60</v>
      </c>
      <c r="I182" s="1">
        <v>1</v>
      </c>
      <c r="J182" s="2">
        <v>344.83</v>
      </c>
    </row>
    <row r="183" spans="2:10" x14ac:dyDescent="0.2">
      <c r="B183" t="s">
        <v>376</v>
      </c>
      <c r="C183" t="s">
        <v>65</v>
      </c>
      <c r="D183" t="s">
        <v>386</v>
      </c>
      <c r="E183" t="s">
        <v>56</v>
      </c>
      <c r="F183" t="s">
        <v>57</v>
      </c>
      <c r="G183" t="s">
        <v>1034</v>
      </c>
      <c r="H183" t="s">
        <v>15</v>
      </c>
      <c r="I183" s="1">
        <v>1</v>
      </c>
      <c r="J183" s="2">
        <v>431.03</v>
      </c>
    </row>
    <row r="184" spans="2:10" x14ac:dyDescent="0.2">
      <c r="B184" t="s">
        <v>376</v>
      </c>
      <c r="C184" t="s">
        <v>88</v>
      </c>
      <c r="D184" t="s">
        <v>32</v>
      </c>
      <c r="E184" t="s">
        <v>44</v>
      </c>
      <c r="F184" t="s">
        <v>45</v>
      </c>
      <c r="G184" t="s">
        <v>1033</v>
      </c>
      <c r="H184" t="s">
        <v>30</v>
      </c>
      <c r="I184" s="1">
        <v>2</v>
      </c>
      <c r="J184" s="2">
        <v>163.80000000000001</v>
      </c>
    </row>
    <row r="185" spans="2:10" x14ac:dyDescent="0.2">
      <c r="B185" t="s">
        <v>376</v>
      </c>
      <c r="C185" t="s">
        <v>88</v>
      </c>
      <c r="D185" t="s">
        <v>32</v>
      </c>
      <c r="E185" t="s">
        <v>267</v>
      </c>
      <c r="F185" t="s">
        <v>268</v>
      </c>
      <c r="G185" t="s">
        <v>1034</v>
      </c>
      <c r="H185" t="s">
        <v>15</v>
      </c>
      <c r="I185" s="1">
        <v>1</v>
      </c>
      <c r="J185" s="2">
        <v>258.62</v>
      </c>
    </row>
    <row r="186" spans="2:10" x14ac:dyDescent="0.2">
      <c r="B186" t="s">
        <v>376</v>
      </c>
      <c r="C186" t="s">
        <v>88</v>
      </c>
      <c r="D186" t="s">
        <v>32</v>
      </c>
      <c r="E186" t="s">
        <v>304</v>
      </c>
      <c r="F186" t="s">
        <v>305</v>
      </c>
      <c r="G186" t="s">
        <v>76</v>
      </c>
      <c r="H186" t="s">
        <v>60</v>
      </c>
      <c r="I186" s="1">
        <v>1</v>
      </c>
      <c r="J186" s="2">
        <v>344.83</v>
      </c>
    </row>
    <row r="187" spans="2:10" x14ac:dyDescent="0.2">
      <c r="B187" t="s">
        <v>376</v>
      </c>
      <c r="C187" t="s">
        <v>117</v>
      </c>
      <c r="D187" t="s">
        <v>386</v>
      </c>
      <c r="E187" t="s">
        <v>312</v>
      </c>
      <c r="F187" t="s">
        <v>313</v>
      </c>
      <c r="G187" t="s">
        <v>1033</v>
      </c>
      <c r="H187" t="s">
        <v>30</v>
      </c>
      <c r="I187" s="1">
        <v>1</v>
      </c>
      <c r="J187" s="2">
        <v>603.45000000000005</v>
      </c>
    </row>
    <row r="188" spans="2:10" x14ac:dyDescent="0.2">
      <c r="B188" t="s">
        <v>453</v>
      </c>
      <c r="C188" t="s">
        <v>10</v>
      </c>
      <c r="D188" t="s">
        <v>277</v>
      </c>
      <c r="E188" t="s">
        <v>44</v>
      </c>
      <c r="F188" t="s">
        <v>45</v>
      </c>
      <c r="G188" t="s">
        <v>1033</v>
      </c>
      <c r="H188" t="s">
        <v>30</v>
      </c>
      <c r="I188" s="1">
        <v>1</v>
      </c>
      <c r="J188" s="2">
        <v>81.900000000000006</v>
      </c>
    </row>
    <row r="189" spans="2:10" x14ac:dyDescent="0.2">
      <c r="B189" t="s">
        <v>453</v>
      </c>
      <c r="C189" t="s">
        <v>10</v>
      </c>
      <c r="D189" t="s">
        <v>277</v>
      </c>
      <c r="E189" t="s">
        <v>19</v>
      </c>
      <c r="F189" t="s">
        <v>20</v>
      </c>
      <c r="G189" t="s">
        <v>14</v>
      </c>
      <c r="H189" t="s">
        <v>21</v>
      </c>
      <c r="I189" s="1">
        <v>1</v>
      </c>
      <c r="J189" s="2">
        <v>431.04</v>
      </c>
    </row>
    <row r="190" spans="2:10" x14ac:dyDescent="0.2">
      <c r="B190" t="s">
        <v>453</v>
      </c>
      <c r="C190" t="s">
        <v>10</v>
      </c>
      <c r="D190" t="s">
        <v>277</v>
      </c>
      <c r="E190" t="s">
        <v>33</v>
      </c>
      <c r="F190" t="s">
        <v>34</v>
      </c>
      <c r="G190" t="s">
        <v>14</v>
      </c>
      <c r="H190" t="s">
        <v>35</v>
      </c>
      <c r="I190" s="1">
        <v>1</v>
      </c>
      <c r="J190" s="2">
        <v>60.34</v>
      </c>
    </row>
    <row r="191" spans="2:10" x14ac:dyDescent="0.2">
      <c r="B191" t="s">
        <v>453</v>
      </c>
      <c r="C191" t="s">
        <v>10</v>
      </c>
      <c r="D191" t="s">
        <v>277</v>
      </c>
      <c r="E191" t="s">
        <v>212</v>
      </c>
      <c r="F191" t="s">
        <v>213</v>
      </c>
      <c r="G191" t="s">
        <v>14</v>
      </c>
      <c r="H191" t="s">
        <v>35</v>
      </c>
      <c r="I191" s="1">
        <v>1</v>
      </c>
      <c r="J191" s="2">
        <v>77.59</v>
      </c>
    </row>
    <row r="192" spans="2:10" x14ac:dyDescent="0.2">
      <c r="B192" t="s">
        <v>453</v>
      </c>
      <c r="C192" t="s">
        <v>10</v>
      </c>
      <c r="D192" t="s">
        <v>277</v>
      </c>
      <c r="E192" t="s">
        <v>216</v>
      </c>
      <c r="F192" t="s">
        <v>217</v>
      </c>
      <c r="G192" t="s">
        <v>14</v>
      </c>
      <c r="H192" t="s">
        <v>104</v>
      </c>
      <c r="I192" s="1">
        <v>10</v>
      </c>
      <c r="J192" s="2">
        <v>172.4</v>
      </c>
    </row>
    <row r="193" spans="2:10" x14ac:dyDescent="0.2">
      <c r="B193" t="s">
        <v>453</v>
      </c>
      <c r="C193" t="s">
        <v>10</v>
      </c>
      <c r="D193" t="s">
        <v>277</v>
      </c>
      <c r="E193" t="s">
        <v>38</v>
      </c>
      <c r="F193" t="s">
        <v>39</v>
      </c>
      <c r="G193" t="s">
        <v>1034</v>
      </c>
      <c r="H193" t="s">
        <v>15</v>
      </c>
      <c r="I193" s="1">
        <v>1</v>
      </c>
      <c r="J193" s="2">
        <v>431.03</v>
      </c>
    </row>
    <row r="194" spans="2:10" x14ac:dyDescent="0.2">
      <c r="B194" t="s">
        <v>453</v>
      </c>
      <c r="C194" t="s">
        <v>10</v>
      </c>
      <c r="D194" t="s">
        <v>277</v>
      </c>
      <c r="E194" t="s">
        <v>56</v>
      </c>
      <c r="F194" t="s">
        <v>57</v>
      </c>
      <c r="G194" t="s">
        <v>1034</v>
      </c>
      <c r="H194" t="s">
        <v>15</v>
      </c>
      <c r="I194" s="1">
        <v>1</v>
      </c>
      <c r="J194" s="2">
        <v>431.03</v>
      </c>
    </row>
    <row r="195" spans="2:10" x14ac:dyDescent="0.2">
      <c r="B195" t="s">
        <v>453</v>
      </c>
      <c r="C195" t="s">
        <v>10</v>
      </c>
      <c r="D195" t="s">
        <v>277</v>
      </c>
      <c r="E195" t="s">
        <v>16</v>
      </c>
      <c r="F195" t="s">
        <v>17</v>
      </c>
      <c r="G195" t="s">
        <v>1034</v>
      </c>
      <c r="H195" t="s">
        <v>15</v>
      </c>
      <c r="I195" s="1">
        <v>4</v>
      </c>
      <c r="J195" s="2">
        <v>2310.36</v>
      </c>
    </row>
    <row r="196" spans="2:10" x14ac:dyDescent="0.2">
      <c r="B196" t="s">
        <v>453</v>
      </c>
      <c r="C196" t="s">
        <v>10</v>
      </c>
      <c r="D196" t="s">
        <v>277</v>
      </c>
      <c r="E196" t="s">
        <v>454</v>
      </c>
      <c r="F196" t="s">
        <v>455</v>
      </c>
      <c r="G196" t="s">
        <v>43</v>
      </c>
      <c r="H196" t="s">
        <v>91</v>
      </c>
      <c r="I196" s="1">
        <v>1</v>
      </c>
      <c r="J196" s="2">
        <v>1293.0999999999999</v>
      </c>
    </row>
    <row r="197" spans="2:10" x14ac:dyDescent="0.2">
      <c r="B197" t="s">
        <v>453</v>
      </c>
      <c r="C197" t="s">
        <v>10</v>
      </c>
      <c r="D197" t="s">
        <v>277</v>
      </c>
      <c r="E197" t="s">
        <v>28</v>
      </c>
      <c r="F197" t="s">
        <v>29</v>
      </c>
      <c r="G197" t="s">
        <v>1033</v>
      </c>
      <c r="H197" t="s">
        <v>30</v>
      </c>
      <c r="I197" s="1">
        <v>1</v>
      </c>
      <c r="J197" s="2">
        <v>155.16999999999999</v>
      </c>
    </row>
    <row r="198" spans="2:10" x14ac:dyDescent="0.2">
      <c r="B198" t="s">
        <v>453</v>
      </c>
      <c r="C198" t="s">
        <v>18</v>
      </c>
      <c r="D198" t="s">
        <v>456</v>
      </c>
      <c r="E198" t="s">
        <v>44</v>
      </c>
      <c r="F198" t="s">
        <v>45</v>
      </c>
      <c r="G198" t="s">
        <v>1033</v>
      </c>
      <c r="H198" t="s">
        <v>30</v>
      </c>
      <c r="I198" s="1">
        <v>1</v>
      </c>
      <c r="J198" s="2">
        <v>81.900000000000006</v>
      </c>
    </row>
    <row r="199" spans="2:10" x14ac:dyDescent="0.2">
      <c r="B199" t="s">
        <v>453</v>
      </c>
      <c r="C199" t="s">
        <v>18</v>
      </c>
      <c r="D199" t="s">
        <v>456</v>
      </c>
      <c r="E199" t="s">
        <v>46</v>
      </c>
      <c r="F199" t="s">
        <v>47</v>
      </c>
      <c r="G199" t="s">
        <v>1034</v>
      </c>
      <c r="H199" t="s">
        <v>15</v>
      </c>
      <c r="I199" s="1">
        <v>3</v>
      </c>
      <c r="J199" s="2">
        <v>905.16000000000008</v>
      </c>
    </row>
    <row r="200" spans="2:10" x14ac:dyDescent="0.2">
      <c r="B200" t="s">
        <v>453</v>
      </c>
      <c r="C200" t="s">
        <v>18</v>
      </c>
      <c r="D200" t="s">
        <v>456</v>
      </c>
      <c r="E200" t="s">
        <v>457</v>
      </c>
      <c r="F200" t="s">
        <v>458</v>
      </c>
      <c r="G200" t="s">
        <v>14</v>
      </c>
      <c r="H200" t="s">
        <v>27</v>
      </c>
      <c r="I200" s="1">
        <v>1</v>
      </c>
      <c r="J200" s="2">
        <v>413.79</v>
      </c>
    </row>
    <row r="201" spans="2:10" x14ac:dyDescent="0.2">
      <c r="B201" t="s">
        <v>453</v>
      </c>
      <c r="C201" t="s">
        <v>18</v>
      </c>
      <c r="D201" t="s">
        <v>456</v>
      </c>
      <c r="E201" t="s">
        <v>308</v>
      </c>
      <c r="F201" t="s">
        <v>309</v>
      </c>
      <c r="G201" t="s">
        <v>1033</v>
      </c>
      <c r="H201" t="s">
        <v>30</v>
      </c>
      <c r="I201" s="1">
        <v>1</v>
      </c>
      <c r="J201" s="2">
        <v>818.97</v>
      </c>
    </row>
    <row r="202" spans="2:10" x14ac:dyDescent="0.2">
      <c r="B202" t="s">
        <v>453</v>
      </c>
      <c r="C202" t="s">
        <v>18</v>
      </c>
      <c r="D202" t="s">
        <v>456</v>
      </c>
      <c r="E202" t="s">
        <v>221</v>
      </c>
      <c r="F202" t="s">
        <v>222</v>
      </c>
      <c r="G202" t="s">
        <v>1034</v>
      </c>
      <c r="H202" t="s">
        <v>15</v>
      </c>
      <c r="I202" s="1">
        <v>1</v>
      </c>
      <c r="J202" s="2">
        <v>431.03</v>
      </c>
    </row>
    <row r="203" spans="2:10" x14ac:dyDescent="0.2">
      <c r="B203" t="s">
        <v>453</v>
      </c>
      <c r="C203" t="s">
        <v>18</v>
      </c>
      <c r="D203" t="s">
        <v>456</v>
      </c>
      <c r="E203" t="s">
        <v>36</v>
      </c>
      <c r="F203" t="s">
        <v>37</v>
      </c>
      <c r="G203" t="s">
        <v>1034</v>
      </c>
      <c r="H203" t="s">
        <v>15</v>
      </c>
      <c r="I203" s="1">
        <v>2</v>
      </c>
      <c r="J203" s="2">
        <v>603.44000000000005</v>
      </c>
    </row>
    <row r="204" spans="2:10" x14ac:dyDescent="0.2">
      <c r="B204" t="s">
        <v>453</v>
      </c>
      <c r="C204" t="s">
        <v>18</v>
      </c>
      <c r="D204" t="s">
        <v>456</v>
      </c>
      <c r="E204" t="s">
        <v>72</v>
      </c>
      <c r="F204" t="s">
        <v>73</v>
      </c>
      <c r="G204" t="s">
        <v>1034</v>
      </c>
      <c r="H204" t="s">
        <v>15</v>
      </c>
      <c r="I204" s="1">
        <v>1</v>
      </c>
      <c r="J204" s="2">
        <v>775.86</v>
      </c>
    </row>
    <row r="205" spans="2:10" x14ac:dyDescent="0.2">
      <c r="B205" t="s">
        <v>453</v>
      </c>
      <c r="C205" t="s">
        <v>18</v>
      </c>
      <c r="D205" t="s">
        <v>456</v>
      </c>
      <c r="E205" t="s">
        <v>153</v>
      </c>
      <c r="F205" t="s">
        <v>154</v>
      </c>
      <c r="G205" t="s">
        <v>1034</v>
      </c>
      <c r="H205" t="s">
        <v>15</v>
      </c>
      <c r="I205" s="1">
        <v>2</v>
      </c>
      <c r="J205" s="2">
        <v>775.86</v>
      </c>
    </row>
    <row r="206" spans="2:10" x14ac:dyDescent="0.2">
      <c r="B206" t="s">
        <v>453</v>
      </c>
      <c r="C206" t="s">
        <v>18</v>
      </c>
      <c r="D206" t="s">
        <v>456</v>
      </c>
      <c r="E206" t="s">
        <v>61</v>
      </c>
      <c r="F206" t="s">
        <v>62</v>
      </c>
      <c r="G206" t="s">
        <v>1034</v>
      </c>
      <c r="H206" t="s">
        <v>15</v>
      </c>
      <c r="I206" s="1">
        <v>1</v>
      </c>
      <c r="J206" s="2">
        <v>172.41</v>
      </c>
    </row>
    <row r="207" spans="2:10" x14ac:dyDescent="0.2">
      <c r="B207" t="s">
        <v>453</v>
      </c>
      <c r="C207" t="s">
        <v>18</v>
      </c>
      <c r="D207" t="s">
        <v>456</v>
      </c>
      <c r="E207" t="s">
        <v>63</v>
      </c>
      <c r="F207" t="s">
        <v>64</v>
      </c>
      <c r="G207" t="s">
        <v>1034</v>
      </c>
      <c r="H207" t="s">
        <v>15</v>
      </c>
      <c r="I207" s="1">
        <v>1</v>
      </c>
      <c r="J207" s="2">
        <v>172.41</v>
      </c>
    </row>
    <row r="208" spans="2:10" x14ac:dyDescent="0.2">
      <c r="B208" t="s">
        <v>453</v>
      </c>
      <c r="C208" t="s">
        <v>18</v>
      </c>
      <c r="D208" t="s">
        <v>456</v>
      </c>
      <c r="E208" t="s">
        <v>79</v>
      </c>
      <c r="F208" t="s">
        <v>80</v>
      </c>
      <c r="G208" t="s">
        <v>43</v>
      </c>
      <c r="H208" t="s">
        <v>81</v>
      </c>
      <c r="I208" s="1">
        <v>1</v>
      </c>
      <c r="J208" s="2">
        <v>1810.34</v>
      </c>
    </row>
    <row r="209" spans="2:10" x14ac:dyDescent="0.2">
      <c r="B209" t="s">
        <v>453</v>
      </c>
      <c r="C209" t="s">
        <v>18</v>
      </c>
      <c r="D209" t="s">
        <v>456</v>
      </c>
      <c r="E209" t="s">
        <v>459</v>
      </c>
      <c r="F209" t="s">
        <v>460</v>
      </c>
      <c r="G209" t="s">
        <v>43</v>
      </c>
      <c r="H209" t="s">
        <v>50</v>
      </c>
      <c r="I209" s="1">
        <v>1</v>
      </c>
      <c r="J209" s="2">
        <v>1810.34</v>
      </c>
    </row>
    <row r="210" spans="2:10" x14ac:dyDescent="0.2">
      <c r="B210" t="s">
        <v>453</v>
      </c>
      <c r="C210" t="s">
        <v>18</v>
      </c>
      <c r="D210" t="s">
        <v>456</v>
      </c>
      <c r="E210" t="s">
        <v>461</v>
      </c>
      <c r="F210" t="s">
        <v>462</v>
      </c>
      <c r="G210" t="s">
        <v>43</v>
      </c>
      <c r="H210" t="s">
        <v>50</v>
      </c>
      <c r="I210" s="1">
        <v>1</v>
      </c>
      <c r="J210" s="2">
        <v>3879.31</v>
      </c>
    </row>
    <row r="211" spans="2:10" x14ac:dyDescent="0.2">
      <c r="B211" t="s">
        <v>453</v>
      </c>
      <c r="C211" t="s">
        <v>18</v>
      </c>
      <c r="D211" t="s">
        <v>456</v>
      </c>
      <c r="E211" t="s">
        <v>195</v>
      </c>
      <c r="F211" t="s">
        <v>196</v>
      </c>
      <c r="G211" t="s">
        <v>1033</v>
      </c>
      <c r="H211" t="s">
        <v>30</v>
      </c>
      <c r="I211" s="1">
        <v>1</v>
      </c>
      <c r="J211" s="2">
        <v>2120.69</v>
      </c>
    </row>
    <row r="212" spans="2:10" x14ac:dyDescent="0.2">
      <c r="B212" t="s">
        <v>453</v>
      </c>
      <c r="C212" t="s">
        <v>31</v>
      </c>
      <c r="D212" t="s">
        <v>456</v>
      </c>
      <c r="E212" t="s">
        <v>44</v>
      </c>
      <c r="F212" t="s">
        <v>45</v>
      </c>
      <c r="G212" t="s">
        <v>1033</v>
      </c>
      <c r="H212" t="s">
        <v>30</v>
      </c>
      <c r="I212" s="1">
        <v>1</v>
      </c>
      <c r="J212" s="2">
        <v>81.900000000000006</v>
      </c>
    </row>
    <row r="213" spans="2:10" x14ac:dyDescent="0.2">
      <c r="B213" t="s">
        <v>453</v>
      </c>
      <c r="C213" t="s">
        <v>31</v>
      </c>
      <c r="D213" t="s">
        <v>456</v>
      </c>
      <c r="E213" t="s">
        <v>463</v>
      </c>
      <c r="F213" t="s">
        <v>464</v>
      </c>
      <c r="G213" t="s">
        <v>14</v>
      </c>
      <c r="H213" t="s">
        <v>35</v>
      </c>
      <c r="I213" s="1">
        <v>2</v>
      </c>
      <c r="J213" s="2">
        <v>155.18</v>
      </c>
    </row>
    <row r="214" spans="2:10" x14ac:dyDescent="0.2">
      <c r="B214" t="s">
        <v>453</v>
      </c>
      <c r="C214" t="s">
        <v>31</v>
      </c>
      <c r="D214" t="s">
        <v>456</v>
      </c>
      <c r="E214" t="s">
        <v>212</v>
      </c>
      <c r="F214" t="s">
        <v>213</v>
      </c>
      <c r="G214" t="s">
        <v>14</v>
      </c>
      <c r="H214" t="s">
        <v>35</v>
      </c>
      <c r="I214" s="1">
        <v>1</v>
      </c>
      <c r="J214" s="2">
        <v>77.59</v>
      </c>
    </row>
    <row r="215" spans="2:10" x14ac:dyDescent="0.2">
      <c r="B215" t="s">
        <v>453</v>
      </c>
      <c r="C215" t="s">
        <v>31</v>
      </c>
      <c r="D215" t="s">
        <v>456</v>
      </c>
      <c r="E215" t="s">
        <v>399</v>
      </c>
      <c r="F215" t="s">
        <v>400</v>
      </c>
      <c r="G215" t="s">
        <v>1033</v>
      </c>
      <c r="H215" t="s">
        <v>30</v>
      </c>
      <c r="I215" s="1">
        <v>1</v>
      </c>
      <c r="J215" s="2">
        <v>818.97</v>
      </c>
    </row>
    <row r="216" spans="2:10" x14ac:dyDescent="0.2">
      <c r="B216" t="s">
        <v>453</v>
      </c>
      <c r="C216" t="s">
        <v>31</v>
      </c>
      <c r="D216" t="s">
        <v>456</v>
      </c>
      <c r="E216" t="s">
        <v>72</v>
      </c>
      <c r="F216" t="s">
        <v>73</v>
      </c>
      <c r="G216" t="s">
        <v>1034</v>
      </c>
      <c r="H216" t="s">
        <v>15</v>
      </c>
      <c r="I216" s="1">
        <v>1</v>
      </c>
      <c r="J216" s="2">
        <v>775.86</v>
      </c>
    </row>
    <row r="217" spans="2:10" x14ac:dyDescent="0.2">
      <c r="B217" t="s">
        <v>453</v>
      </c>
      <c r="C217" t="s">
        <v>31</v>
      </c>
      <c r="D217" t="s">
        <v>456</v>
      </c>
      <c r="E217" t="s">
        <v>444</v>
      </c>
      <c r="F217" t="s">
        <v>445</v>
      </c>
      <c r="G217" t="s">
        <v>14</v>
      </c>
      <c r="H217" t="s">
        <v>27</v>
      </c>
      <c r="I217" s="1">
        <v>1</v>
      </c>
      <c r="J217" s="2">
        <v>508.62</v>
      </c>
    </row>
    <row r="218" spans="2:10" x14ac:dyDescent="0.2">
      <c r="B218" t="s">
        <v>453</v>
      </c>
      <c r="C218" t="s">
        <v>31</v>
      </c>
      <c r="D218" t="s">
        <v>456</v>
      </c>
      <c r="E218" t="s">
        <v>465</v>
      </c>
      <c r="F218" t="s">
        <v>466</v>
      </c>
      <c r="G218" t="s">
        <v>54</v>
      </c>
      <c r="H218" t="s">
        <v>439</v>
      </c>
      <c r="I218" s="1">
        <v>1</v>
      </c>
      <c r="J218" s="2">
        <v>120.69</v>
      </c>
    </row>
    <row r="219" spans="2:10" x14ac:dyDescent="0.2">
      <c r="B219" t="s">
        <v>453</v>
      </c>
      <c r="C219" t="s">
        <v>31</v>
      </c>
      <c r="D219" t="s">
        <v>456</v>
      </c>
      <c r="E219" t="s">
        <v>61</v>
      </c>
      <c r="F219" t="s">
        <v>62</v>
      </c>
      <c r="G219" t="s">
        <v>1034</v>
      </c>
      <c r="H219" t="s">
        <v>15</v>
      </c>
      <c r="I219" s="1">
        <v>2</v>
      </c>
      <c r="J219" s="2">
        <v>344.82</v>
      </c>
    </row>
    <row r="220" spans="2:10" x14ac:dyDescent="0.2">
      <c r="B220" t="s">
        <v>453</v>
      </c>
      <c r="C220" t="s">
        <v>31</v>
      </c>
      <c r="D220" t="s">
        <v>456</v>
      </c>
      <c r="E220" t="s">
        <v>63</v>
      </c>
      <c r="F220" t="s">
        <v>64</v>
      </c>
      <c r="G220" t="s">
        <v>1034</v>
      </c>
      <c r="H220" t="s">
        <v>15</v>
      </c>
      <c r="I220" s="1">
        <v>1</v>
      </c>
      <c r="J220" s="2">
        <v>172.41</v>
      </c>
    </row>
    <row r="221" spans="2:10" x14ac:dyDescent="0.2">
      <c r="B221" t="s">
        <v>453</v>
      </c>
      <c r="C221" t="s">
        <v>31</v>
      </c>
      <c r="D221" t="s">
        <v>456</v>
      </c>
      <c r="E221" t="s">
        <v>16</v>
      </c>
      <c r="F221" t="s">
        <v>17</v>
      </c>
      <c r="G221" t="s">
        <v>1034</v>
      </c>
      <c r="H221" t="s">
        <v>15</v>
      </c>
      <c r="I221" s="1">
        <v>4</v>
      </c>
      <c r="J221" s="2">
        <v>2310.36</v>
      </c>
    </row>
    <row r="222" spans="2:10" x14ac:dyDescent="0.2">
      <c r="B222" t="s">
        <v>453</v>
      </c>
      <c r="C222" t="s">
        <v>40</v>
      </c>
      <c r="D222" t="s">
        <v>456</v>
      </c>
      <c r="E222" t="s">
        <v>122</v>
      </c>
      <c r="F222" t="s">
        <v>123</v>
      </c>
      <c r="G222" t="s">
        <v>1034</v>
      </c>
      <c r="H222" t="s">
        <v>15</v>
      </c>
      <c r="I222" s="1">
        <v>1</v>
      </c>
      <c r="J222" s="2">
        <v>387.93</v>
      </c>
    </row>
    <row r="223" spans="2:10" x14ac:dyDescent="0.2">
      <c r="B223" t="s">
        <v>453</v>
      </c>
      <c r="C223" t="s">
        <v>40</v>
      </c>
      <c r="D223" t="s">
        <v>456</v>
      </c>
      <c r="E223" t="s">
        <v>61</v>
      </c>
      <c r="F223" t="s">
        <v>62</v>
      </c>
      <c r="G223" t="s">
        <v>1034</v>
      </c>
      <c r="H223" t="s">
        <v>15</v>
      </c>
      <c r="I223" s="1">
        <v>1</v>
      </c>
      <c r="J223" s="2">
        <v>172.41</v>
      </c>
    </row>
    <row r="224" spans="2:10" x14ac:dyDescent="0.2">
      <c r="B224" t="s">
        <v>453</v>
      </c>
      <c r="C224" t="s">
        <v>40</v>
      </c>
      <c r="D224" t="s">
        <v>456</v>
      </c>
      <c r="E224" t="s">
        <v>16</v>
      </c>
      <c r="F224" t="s">
        <v>17</v>
      </c>
      <c r="G224" t="s">
        <v>1034</v>
      </c>
      <c r="H224" t="s">
        <v>15</v>
      </c>
      <c r="I224" s="1">
        <v>2</v>
      </c>
      <c r="J224" s="2">
        <v>1155.18</v>
      </c>
    </row>
    <row r="225" spans="2:10" x14ac:dyDescent="0.2">
      <c r="B225" t="s">
        <v>453</v>
      </c>
      <c r="C225" t="s">
        <v>51</v>
      </c>
      <c r="D225" t="s">
        <v>456</v>
      </c>
      <c r="E225" t="s">
        <v>97</v>
      </c>
      <c r="F225" t="s">
        <v>98</v>
      </c>
      <c r="G225" t="s">
        <v>1033</v>
      </c>
      <c r="H225" t="s">
        <v>30</v>
      </c>
      <c r="I225" s="1">
        <v>1</v>
      </c>
      <c r="J225" s="2">
        <v>2500</v>
      </c>
    </row>
    <row r="226" spans="2:10" x14ac:dyDescent="0.2">
      <c r="B226" t="s">
        <v>453</v>
      </c>
      <c r="C226" t="s">
        <v>51</v>
      </c>
      <c r="D226" t="s">
        <v>456</v>
      </c>
      <c r="E226" t="s">
        <v>467</v>
      </c>
      <c r="F226" t="s">
        <v>468</v>
      </c>
      <c r="G226" t="s">
        <v>1033</v>
      </c>
      <c r="H226" t="s">
        <v>30</v>
      </c>
      <c r="I226" s="1">
        <v>1</v>
      </c>
      <c r="J226" s="2">
        <v>775.86</v>
      </c>
    </row>
    <row r="227" spans="2:10" x14ac:dyDescent="0.2">
      <c r="B227" t="s">
        <v>453</v>
      </c>
      <c r="C227" t="s">
        <v>51</v>
      </c>
      <c r="D227" t="s">
        <v>456</v>
      </c>
      <c r="E227" t="s">
        <v>153</v>
      </c>
      <c r="F227" t="s">
        <v>154</v>
      </c>
      <c r="G227" t="s">
        <v>1034</v>
      </c>
      <c r="H227" t="s">
        <v>15</v>
      </c>
      <c r="I227" s="1">
        <v>1</v>
      </c>
      <c r="J227" s="2">
        <v>387.93</v>
      </c>
    </row>
    <row r="228" spans="2:10" x14ac:dyDescent="0.2">
      <c r="B228" t="s">
        <v>453</v>
      </c>
      <c r="C228" t="s">
        <v>51</v>
      </c>
      <c r="D228" t="s">
        <v>456</v>
      </c>
      <c r="E228" t="s">
        <v>131</v>
      </c>
      <c r="F228" t="s">
        <v>132</v>
      </c>
      <c r="G228" t="s">
        <v>43</v>
      </c>
      <c r="H228" t="s">
        <v>133</v>
      </c>
      <c r="I228" s="1">
        <v>1</v>
      </c>
      <c r="J228" s="2">
        <v>2155.17</v>
      </c>
    </row>
    <row r="229" spans="2:10" x14ac:dyDescent="0.2">
      <c r="B229" t="s">
        <v>453</v>
      </c>
      <c r="C229" t="s">
        <v>51</v>
      </c>
      <c r="D229" t="s">
        <v>456</v>
      </c>
      <c r="E229" t="s">
        <v>16</v>
      </c>
      <c r="F229" t="s">
        <v>17</v>
      </c>
      <c r="G229" t="s">
        <v>1034</v>
      </c>
      <c r="H229" t="s">
        <v>15</v>
      </c>
      <c r="I229" s="1">
        <v>1</v>
      </c>
      <c r="J229" s="2">
        <v>577.59</v>
      </c>
    </row>
    <row r="230" spans="2:10" x14ac:dyDescent="0.2">
      <c r="B230" t="s">
        <v>453</v>
      </c>
      <c r="C230" t="s">
        <v>51</v>
      </c>
      <c r="D230" t="s">
        <v>456</v>
      </c>
      <c r="E230" t="s">
        <v>469</v>
      </c>
      <c r="F230" t="s">
        <v>470</v>
      </c>
      <c r="G230" t="s">
        <v>54</v>
      </c>
      <c r="H230" t="s">
        <v>471</v>
      </c>
      <c r="I230" s="1">
        <v>1</v>
      </c>
      <c r="J230" s="2">
        <v>413.79</v>
      </c>
    </row>
    <row r="231" spans="2:10" x14ac:dyDescent="0.2">
      <c r="B231" t="s">
        <v>453</v>
      </c>
      <c r="C231" t="s">
        <v>65</v>
      </c>
      <c r="D231" t="s">
        <v>456</v>
      </c>
      <c r="E231" t="s">
        <v>46</v>
      </c>
      <c r="F231" t="s">
        <v>47</v>
      </c>
      <c r="G231" t="s">
        <v>1034</v>
      </c>
      <c r="H231" t="s">
        <v>15</v>
      </c>
      <c r="I231" s="1">
        <v>1</v>
      </c>
      <c r="J231" s="2">
        <v>301.72000000000003</v>
      </c>
    </row>
    <row r="232" spans="2:10" x14ac:dyDescent="0.2">
      <c r="B232" t="s">
        <v>453</v>
      </c>
      <c r="C232" t="s">
        <v>65</v>
      </c>
      <c r="D232" t="s">
        <v>456</v>
      </c>
      <c r="E232" t="s">
        <v>97</v>
      </c>
      <c r="F232" t="s">
        <v>98</v>
      </c>
      <c r="G232" t="s">
        <v>1033</v>
      </c>
      <c r="H232" t="s">
        <v>30</v>
      </c>
      <c r="I232" s="1">
        <v>1</v>
      </c>
      <c r="J232" s="2">
        <v>2500</v>
      </c>
    </row>
    <row r="233" spans="2:10" x14ac:dyDescent="0.2">
      <c r="B233" t="s">
        <v>453</v>
      </c>
      <c r="C233" t="s">
        <v>65</v>
      </c>
      <c r="D233" t="s">
        <v>456</v>
      </c>
      <c r="E233" t="s">
        <v>120</v>
      </c>
      <c r="F233" t="s">
        <v>121</v>
      </c>
      <c r="G233" t="s">
        <v>1034</v>
      </c>
      <c r="H233" t="s">
        <v>15</v>
      </c>
      <c r="I233" s="1">
        <v>1</v>
      </c>
      <c r="J233" s="2">
        <v>301.72000000000003</v>
      </c>
    </row>
    <row r="234" spans="2:10" x14ac:dyDescent="0.2">
      <c r="B234" t="s">
        <v>453</v>
      </c>
      <c r="C234" t="s">
        <v>65</v>
      </c>
      <c r="D234" t="s">
        <v>456</v>
      </c>
      <c r="E234" t="s">
        <v>214</v>
      </c>
      <c r="F234" t="s">
        <v>215</v>
      </c>
      <c r="G234" t="s">
        <v>1034</v>
      </c>
      <c r="H234" t="s">
        <v>15</v>
      </c>
      <c r="I234" s="1">
        <v>1</v>
      </c>
      <c r="J234" s="2">
        <v>301.72000000000003</v>
      </c>
    </row>
    <row r="235" spans="2:10" x14ac:dyDescent="0.2">
      <c r="B235" t="s">
        <v>453</v>
      </c>
      <c r="C235" t="s">
        <v>65</v>
      </c>
      <c r="D235" t="s">
        <v>456</v>
      </c>
      <c r="E235" t="s">
        <v>36</v>
      </c>
      <c r="F235" t="s">
        <v>37</v>
      </c>
      <c r="G235" t="s">
        <v>1034</v>
      </c>
      <c r="H235" t="s">
        <v>15</v>
      </c>
      <c r="I235" s="1">
        <v>1</v>
      </c>
      <c r="J235" s="2">
        <v>301.72000000000003</v>
      </c>
    </row>
    <row r="236" spans="2:10" x14ac:dyDescent="0.2">
      <c r="B236" t="s">
        <v>453</v>
      </c>
      <c r="C236" t="s">
        <v>65</v>
      </c>
      <c r="D236" t="s">
        <v>456</v>
      </c>
      <c r="E236" t="s">
        <v>124</v>
      </c>
      <c r="F236" t="s">
        <v>125</v>
      </c>
      <c r="G236" t="s">
        <v>1034</v>
      </c>
      <c r="H236" t="s">
        <v>15</v>
      </c>
      <c r="I236" s="1">
        <v>1</v>
      </c>
      <c r="J236" s="2">
        <v>431.03</v>
      </c>
    </row>
    <row r="237" spans="2:10" x14ac:dyDescent="0.2">
      <c r="B237" t="s">
        <v>453</v>
      </c>
      <c r="C237" t="s">
        <v>65</v>
      </c>
      <c r="D237" t="s">
        <v>456</v>
      </c>
      <c r="E237" t="s">
        <v>61</v>
      </c>
      <c r="F237" t="s">
        <v>62</v>
      </c>
      <c r="G237" t="s">
        <v>1034</v>
      </c>
      <c r="H237" t="s">
        <v>15</v>
      </c>
      <c r="I237" s="1">
        <v>1</v>
      </c>
      <c r="J237" s="2">
        <v>172.41</v>
      </c>
    </row>
    <row r="238" spans="2:10" x14ac:dyDescent="0.2">
      <c r="B238" t="s">
        <v>453</v>
      </c>
      <c r="C238" t="s">
        <v>65</v>
      </c>
      <c r="D238" t="s">
        <v>456</v>
      </c>
      <c r="E238" t="s">
        <v>63</v>
      </c>
      <c r="F238" t="s">
        <v>64</v>
      </c>
      <c r="G238" t="s">
        <v>1034</v>
      </c>
      <c r="H238" t="s">
        <v>15</v>
      </c>
      <c r="I238" s="1">
        <v>1</v>
      </c>
      <c r="J238" s="2">
        <v>172.41</v>
      </c>
    </row>
    <row r="239" spans="2:10" x14ac:dyDescent="0.2">
      <c r="B239" t="s">
        <v>453</v>
      </c>
      <c r="C239" t="s">
        <v>65</v>
      </c>
      <c r="D239" t="s">
        <v>456</v>
      </c>
      <c r="E239" t="s">
        <v>472</v>
      </c>
      <c r="F239" t="s">
        <v>473</v>
      </c>
      <c r="G239" t="s">
        <v>14</v>
      </c>
      <c r="H239" t="s">
        <v>200</v>
      </c>
      <c r="I239" s="1">
        <v>1</v>
      </c>
      <c r="J239" s="2">
        <v>517.24</v>
      </c>
    </row>
    <row r="240" spans="2:10" x14ac:dyDescent="0.2">
      <c r="B240" t="s">
        <v>453</v>
      </c>
      <c r="C240" t="s">
        <v>82</v>
      </c>
      <c r="D240" t="s">
        <v>456</v>
      </c>
      <c r="E240" t="s">
        <v>46</v>
      </c>
      <c r="F240" t="s">
        <v>47</v>
      </c>
      <c r="G240" t="s">
        <v>1034</v>
      </c>
      <c r="H240" t="s">
        <v>15</v>
      </c>
      <c r="I240" s="1">
        <v>1</v>
      </c>
      <c r="J240" s="2">
        <v>301.72000000000003</v>
      </c>
    </row>
    <row r="241" spans="2:10" x14ac:dyDescent="0.2">
      <c r="B241" t="s">
        <v>453</v>
      </c>
      <c r="C241" t="s">
        <v>82</v>
      </c>
      <c r="D241" t="s">
        <v>456</v>
      </c>
      <c r="E241" t="s">
        <v>474</v>
      </c>
      <c r="F241" t="s">
        <v>475</v>
      </c>
      <c r="G241" t="s">
        <v>43</v>
      </c>
      <c r="H241" t="s">
        <v>128</v>
      </c>
      <c r="I241" s="1">
        <v>1</v>
      </c>
      <c r="J241" s="2">
        <v>5172.41</v>
      </c>
    </row>
    <row r="242" spans="2:10" x14ac:dyDescent="0.2">
      <c r="B242" t="s">
        <v>453</v>
      </c>
      <c r="C242" t="s">
        <v>82</v>
      </c>
      <c r="D242" t="s">
        <v>456</v>
      </c>
      <c r="E242" t="s">
        <v>214</v>
      </c>
      <c r="F242" t="s">
        <v>215</v>
      </c>
      <c r="G242" t="s">
        <v>1034</v>
      </c>
      <c r="H242" t="s">
        <v>15</v>
      </c>
      <c r="I242" s="1">
        <v>2</v>
      </c>
      <c r="J242" s="2">
        <v>603.44000000000005</v>
      </c>
    </row>
    <row r="243" spans="2:10" x14ac:dyDescent="0.2">
      <c r="B243" t="s">
        <v>453</v>
      </c>
      <c r="C243" t="s">
        <v>82</v>
      </c>
      <c r="D243" t="s">
        <v>456</v>
      </c>
      <c r="E243" t="s">
        <v>255</v>
      </c>
      <c r="F243" t="s">
        <v>256</v>
      </c>
      <c r="G243" t="s">
        <v>1033</v>
      </c>
      <c r="H243" t="s">
        <v>30</v>
      </c>
      <c r="I243" s="1">
        <v>1</v>
      </c>
      <c r="J243" s="2">
        <v>517.24</v>
      </c>
    </row>
    <row r="244" spans="2:10" x14ac:dyDescent="0.2">
      <c r="B244" t="s">
        <v>453</v>
      </c>
      <c r="C244" t="s">
        <v>82</v>
      </c>
      <c r="D244" t="s">
        <v>456</v>
      </c>
      <c r="E244" t="s">
        <v>61</v>
      </c>
      <c r="F244" t="s">
        <v>62</v>
      </c>
      <c r="G244" t="s">
        <v>1034</v>
      </c>
      <c r="H244" t="s">
        <v>15</v>
      </c>
      <c r="I244" s="1">
        <v>1</v>
      </c>
      <c r="J244" s="2">
        <v>172.41</v>
      </c>
    </row>
    <row r="245" spans="2:10" x14ac:dyDescent="0.2">
      <c r="B245" t="s">
        <v>453</v>
      </c>
      <c r="C245" t="s">
        <v>82</v>
      </c>
      <c r="D245" t="s">
        <v>456</v>
      </c>
      <c r="E245" t="s">
        <v>63</v>
      </c>
      <c r="F245" t="s">
        <v>64</v>
      </c>
      <c r="G245" t="s">
        <v>1034</v>
      </c>
      <c r="H245" t="s">
        <v>15</v>
      </c>
      <c r="I245" s="1">
        <v>1</v>
      </c>
      <c r="J245" s="2">
        <v>172.41</v>
      </c>
    </row>
    <row r="246" spans="2:10" x14ac:dyDescent="0.2">
      <c r="B246" t="s">
        <v>453</v>
      </c>
      <c r="C246" t="s">
        <v>88</v>
      </c>
      <c r="D246" t="s">
        <v>456</v>
      </c>
      <c r="E246" t="s">
        <v>46</v>
      </c>
      <c r="F246" t="s">
        <v>47</v>
      </c>
      <c r="G246" t="s">
        <v>1034</v>
      </c>
      <c r="H246" t="s">
        <v>15</v>
      </c>
      <c r="I246" s="1">
        <v>1</v>
      </c>
      <c r="J246" s="2">
        <v>301.72000000000003</v>
      </c>
    </row>
    <row r="247" spans="2:10" x14ac:dyDescent="0.2">
      <c r="B247" t="s">
        <v>453</v>
      </c>
      <c r="C247" t="s">
        <v>88</v>
      </c>
      <c r="D247" t="s">
        <v>456</v>
      </c>
      <c r="E247" t="s">
        <v>212</v>
      </c>
      <c r="F247" t="s">
        <v>213</v>
      </c>
      <c r="G247" t="s">
        <v>14</v>
      </c>
      <c r="H247" t="s">
        <v>35</v>
      </c>
      <c r="I247" s="1">
        <v>1</v>
      </c>
      <c r="J247" s="2">
        <v>77.59</v>
      </c>
    </row>
    <row r="248" spans="2:10" x14ac:dyDescent="0.2">
      <c r="B248" t="s">
        <v>453</v>
      </c>
      <c r="C248" t="s">
        <v>88</v>
      </c>
      <c r="D248" t="s">
        <v>456</v>
      </c>
      <c r="E248" t="s">
        <v>149</v>
      </c>
      <c r="F248" t="s">
        <v>150</v>
      </c>
      <c r="G248" t="s">
        <v>43</v>
      </c>
      <c r="H248" t="s">
        <v>50</v>
      </c>
      <c r="I248" s="1">
        <v>1</v>
      </c>
      <c r="J248" s="2">
        <v>3017.24</v>
      </c>
    </row>
    <row r="249" spans="2:10" x14ac:dyDescent="0.2">
      <c r="B249" t="s">
        <v>453</v>
      </c>
      <c r="C249" t="s">
        <v>88</v>
      </c>
      <c r="D249" t="s">
        <v>456</v>
      </c>
      <c r="E249" t="s">
        <v>328</v>
      </c>
      <c r="F249" t="s">
        <v>329</v>
      </c>
      <c r="G249" t="s">
        <v>1033</v>
      </c>
      <c r="H249" t="s">
        <v>30</v>
      </c>
      <c r="I249" s="1">
        <v>1</v>
      </c>
      <c r="J249" s="2">
        <v>172.41</v>
      </c>
    </row>
    <row r="250" spans="2:10" x14ac:dyDescent="0.2">
      <c r="B250" t="s">
        <v>453</v>
      </c>
      <c r="C250" t="s">
        <v>88</v>
      </c>
      <c r="D250" t="s">
        <v>456</v>
      </c>
      <c r="E250" t="s">
        <v>12</v>
      </c>
      <c r="F250" t="s">
        <v>13</v>
      </c>
      <c r="G250" t="s">
        <v>1034</v>
      </c>
      <c r="H250" t="s">
        <v>15</v>
      </c>
      <c r="I250" s="1">
        <v>1</v>
      </c>
      <c r="J250" s="2">
        <v>1077.5899999999999</v>
      </c>
    </row>
    <row r="251" spans="2:10" x14ac:dyDescent="0.2">
      <c r="B251" t="s">
        <v>453</v>
      </c>
      <c r="C251" t="s">
        <v>88</v>
      </c>
      <c r="D251" t="s">
        <v>456</v>
      </c>
      <c r="E251" t="s">
        <v>36</v>
      </c>
      <c r="F251" t="s">
        <v>37</v>
      </c>
      <c r="G251" t="s">
        <v>1034</v>
      </c>
      <c r="H251" t="s">
        <v>15</v>
      </c>
      <c r="I251" s="1">
        <v>1</v>
      </c>
      <c r="J251" s="2">
        <v>301.72000000000003</v>
      </c>
    </row>
    <row r="252" spans="2:10" x14ac:dyDescent="0.2">
      <c r="B252" t="s">
        <v>453</v>
      </c>
      <c r="C252" t="s">
        <v>88</v>
      </c>
      <c r="D252" t="s">
        <v>456</v>
      </c>
      <c r="E252" t="s">
        <v>72</v>
      </c>
      <c r="F252" t="s">
        <v>73</v>
      </c>
      <c r="G252" t="s">
        <v>1034</v>
      </c>
      <c r="H252" t="s">
        <v>15</v>
      </c>
      <c r="I252" s="1">
        <v>1</v>
      </c>
      <c r="J252" s="2">
        <v>775.86</v>
      </c>
    </row>
    <row r="253" spans="2:10" x14ac:dyDescent="0.2">
      <c r="B253" t="s">
        <v>453</v>
      </c>
      <c r="C253" t="s">
        <v>88</v>
      </c>
      <c r="D253" t="s">
        <v>456</v>
      </c>
      <c r="E253" t="s">
        <v>406</v>
      </c>
      <c r="F253" t="s">
        <v>407</v>
      </c>
      <c r="G253" t="s">
        <v>14</v>
      </c>
      <c r="H253" t="s">
        <v>104</v>
      </c>
      <c r="I253" s="1">
        <v>4</v>
      </c>
      <c r="J253" s="2">
        <v>68.959999999999994</v>
      </c>
    </row>
    <row r="254" spans="2:10" x14ac:dyDescent="0.2">
      <c r="B254" t="s">
        <v>453</v>
      </c>
      <c r="C254" t="s">
        <v>88</v>
      </c>
      <c r="D254" t="s">
        <v>456</v>
      </c>
      <c r="E254" t="s">
        <v>63</v>
      </c>
      <c r="F254" t="s">
        <v>64</v>
      </c>
      <c r="G254" t="s">
        <v>1034</v>
      </c>
      <c r="H254" t="s">
        <v>15</v>
      </c>
      <c r="I254" s="1">
        <v>2</v>
      </c>
      <c r="J254" s="2">
        <v>344.82</v>
      </c>
    </row>
    <row r="255" spans="2:10" x14ac:dyDescent="0.2">
      <c r="B255" t="s">
        <v>453</v>
      </c>
      <c r="C255" t="s">
        <v>88</v>
      </c>
      <c r="D255" t="s">
        <v>456</v>
      </c>
      <c r="E255" t="s">
        <v>16</v>
      </c>
      <c r="F255" t="s">
        <v>17</v>
      </c>
      <c r="G255" t="s">
        <v>1034</v>
      </c>
      <c r="H255" t="s">
        <v>15</v>
      </c>
      <c r="I255" s="1">
        <v>1</v>
      </c>
      <c r="J255" s="2">
        <v>577.59</v>
      </c>
    </row>
    <row r="256" spans="2:10" x14ac:dyDescent="0.2">
      <c r="B256" t="s">
        <v>453</v>
      </c>
      <c r="C256" t="s">
        <v>88</v>
      </c>
      <c r="D256" t="s">
        <v>456</v>
      </c>
      <c r="E256" t="s">
        <v>476</v>
      </c>
      <c r="F256" t="s">
        <v>477</v>
      </c>
      <c r="G256" t="s">
        <v>1033</v>
      </c>
      <c r="H256" t="s">
        <v>30</v>
      </c>
      <c r="I256" s="1">
        <v>1</v>
      </c>
      <c r="J256" s="2">
        <v>2353.4499999999998</v>
      </c>
    </row>
    <row r="257" spans="2:10" x14ac:dyDescent="0.2">
      <c r="B257" t="s">
        <v>453</v>
      </c>
      <c r="C257" t="s">
        <v>117</v>
      </c>
      <c r="D257" t="s">
        <v>277</v>
      </c>
      <c r="E257" t="s">
        <v>478</v>
      </c>
      <c r="F257" t="s">
        <v>479</v>
      </c>
      <c r="G257" t="s">
        <v>1033</v>
      </c>
      <c r="H257" t="s">
        <v>30</v>
      </c>
      <c r="I257" s="1">
        <v>1</v>
      </c>
      <c r="J257" s="2">
        <v>750</v>
      </c>
    </row>
    <row r="258" spans="2:10" x14ac:dyDescent="0.2">
      <c r="B258" t="s">
        <v>453</v>
      </c>
      <c r="C258" t="s">
        <v>117</v>
      </c>
      <c r="D258" t="s">
        <v>277</v>
      </c>
      <c r="E258" t="s">
        <v>19</v>
      </c>
      <c r="F258" t="s">
        <v>20</v>
      </c>
      <c r="G258" t="s">
        <v>14</v>
      </c>
      <c r="H258" t="s">
        <v>21</v>
      </c>
      <c r="I258" s="1">
        <v>1</v>
      </c>
      <c r="J258" s="2">
        <v>431.04</v>
      </c>
    </row>
    <row r="259" spans="2:10" x14ac:dyDescent="0.2">
      <c r="B259" t="s">
        <v>453</v>
      </c>
      <c r="C259" t="s">
        <v>117</v>
      </c>
      <c r="D259" t="s">
        <v>277</v>
      </c>
      <c r="E259" t="s">
        <v>419</v>
      </c>
      <c r="F259" t="s">
        <v>420</v>
      </c>
      <c r="G259" t="s">
        <v>14</v>
      </c>
      <c r="H259" t="s">
        <v>35</v>
      </c>
      <c r="I259" s="1">
        <v>1</v>
      </c>
      <c r="J259" s="2">
        <v>77.59</v>
      </c>
    </row>
    <row r="260" spans="2:10" x14ac:dyDescent="0.2">
      <c r="B260" t="s">
        <v>453</v>
      </c>
      <c r="C260" t="s">
        <v>117</v>
      </c>
      <c r="D260" t="s">
        <v>277</v>
      </c>
      <c r="E260" t="s">
        <v>480</v>
      </c>
      <c r="F260" t="s">
        <v>481</v>
      </c>
      <c r="G260" t="s">
        <v>54</v>
      </c>
      <c r="H260" t="s">
        <v>471</v>
      </c>
      <c r="I260" s="1">
        <v>1</v>
      </c>
      <c r="J260" s="2">
        <v>465.51</v>
      </c>
    </row>
    <row r="261" spans="2:10" x14ac:dyDescent="0.2">
      <c r="B261" t="s">
        <v>453</v>
      </c>
      <c r="C261" t="s">
        <v>117</v>
      </c>
      <c r="D261" t="s">
        <v>277</v>
      </c>
      <c r="E261" t="s">
        <v>70</v>
      </c>
      <c r="F261" t="s">
        <v>71</v>
      </c>
      <c r="G261" t="s">
        <v>1033</v>
      </c>
      <c r="H261" t="s">
        <v>30</v>
      </c>
      <c r="I261" s="1">
        <v>1</v>
      </c>
      <c r="J261" s="2">
        <v>2112.0700000000002</v>
      </c>
    </row>
    <row r="262" spans="2:10" x14ac:dyDescent="0.2">
      <c r="B262" t="s">
        <v>453</v>
      </c>
      <c r="C262" t="s">
        <v>117</v>
      </c>
      <c r="D262" t="s">
        <v>277</v>
      </c>
      <c r="E262" t="s">
        <v>482</v>
      </c>
      <c r="F262" t="s">
        <v>483</v>
      </c>
      <c r="G262" t="s">
        <v>14</v>
      </c>
      <c r="H262" t="s">
        <v>27</v>
      </c>
      <c r="I262" s="1">
        <v>1</v>
      </c>
      <c r="J262" s="2">
        <v>379.31</v>
      </c>
    </row>
    <row r="263" spans="2:10" x14ac:dyDescent="0.2">
      <c r="B263" t="s">
        <v>453</v>
      </c>
      <c r="C263" t="s">
        <v>117</v>
      </c>
      <c r="D263" t="s">
        <v>277</v>
      </c>
      <c r="E263" t="s">
        <v>308</v>
      </c>
      <c r="F263" t="s">
        <v>309</v>
      </c>
      <c r="G263" t="s">
        <v>1033</v>
      </c>
      <c r="H263" t="s">
        <v>30</v>
      </c>
      <c r="I263" s="1">
        <v>1</v>
      </c>
      <c r="J263" s="2">
        <v>818.97</v>
      </c>
    </row>
    <row r="264" spans="2:10" x14ac:dyDescent="0.2">
      <c r="B264" t="s">
        <v>453</v>
      </c>
      <c r="C264" t="s">
        <v>117</v>
      </c>
      <c r="D264" t="s">
        <v>277</v>
      </c>
      <c r="E264" t="s">
        <v>120</v>
      </c>
      <c r="F264" t="s">
        <v>121</v>
      </c>
      <c r="G264" t="s">
        <v>1034</v>
      </c>
      <c r="H264" t="s">
        <v>15</v>
      </c>
      <c r="I264" s="1">
        <v>1</v>
      </c>
      <c r="J264" s="2">
        <v>301.72000000000003</v>
      </c>
    </row>
    <row r="265" spans="2:10" x14ac:dyDescent="0.2">
      <c r="B265" t="s">
        <v>453</v>
      </c>
      <c r="C265" t="s">
        <v>117</v>
      </c>
      <c r="D265" t="s">
        <v>277</v>
      </c>
      <c r="E265" t="s">
        <v>36</v>
      </c>
      <c r="F265" t="s">
        <v>37</v>
      </c>
      <c r="G265" t="s">
        <v>1034</v>
      </c>
      <c r="H265" t="s">
        <v>15</v>
      </c>
      <c r="I265" s="1">
        <v>3</v>
      </c>
      <c r="J265" s="2">
        <v>905.16000000000008</v>
      </c>
    </row>
    <row r="266" spans="2:10" x14ac:dyDescent="0.2">
      <c r="B266" t="s">
        <v>453</v>
      </c>
      <c r="C266" t="s">
        <v>117</v>
      </c>
      <c r="D266" t="s">
        <v>277</v>
      </c>
      <c r="E266" t="s">
        <v>72</v>
      </c>
      <c r="F266" t="s">
        <v>73</v>
      </c>
      <c r="G266" t="s">
        <v>1034</v>
      </c>
      <c r="H266" t="s">
        <v>15</v>
      </c>
      <c r="I266" s="1">
        <v>1</v>
      </c>
      <c r="J266" s="2">
        <v>775.86</v>
      </c>
    </row>
    <row r="267" spans="2:10" x14ac:dyDescent="0.2">
      <c r="B267" t="s">
        <v>453</v>
      </c>
      <c r="C267" t="s">
        <v>117</v>
      </c>
      <c r="D267" t="s">
        <v>277</v>
      </c>
      <c r="E267" t="s">
        <v>255</v>
      </c>
      <c r="F267" t="s">
        <v>256</v>
      </c>
      <c r="G267" t="s">
        <v>1033</v>
      </c>
      <c r="H267" t="s">
        <v>30</v>
      </c>
      <c r="I267" s="1">
        <v>1</v>
      </c>
      <c r="J267" s="2">
        <v>517.24</v>
      </c>
    </row>
    <row r="268" spans="2:10" x14ac:dyDescent="0.2">
      <c r="B268" t="s">
        <v>453</v>
      </c>
      <c r="C268" t="s">
        <v>117</v>
      </c>
      <c r="D268" t="s">
        <v>277</v>
      </c>
      <c r="E268" t="s">
        <v>56</v>
      </c>
      <c r="F268" t="s">
        <v>57</v>
      </c>
      <c r="G268" t="s">
        <v>1034</v>
      </c>
      <c r="H268" t="s">
        <v>15</v>
      </c>
      <c r="I268" s="1">
        <v>4</v>
      </c>
      <c r="J268" s="2">
        <v>1724.12</v>
      </c>
    </row>
    <row r="269" spans="2:10" x14ac:dyDescent="0.2">
      <c r="B269" t="s">
        <v>453</v>
      </c>
      <c r="C269" t="s">
        <v>117</v>
      </c>
      <c r="D269" t="s">
        <v>277</v>
      </c>
      <c r="E269" t="s">
        <v>195</v>
      </c>
      <c r="F269" t="s">
        <v>196</v>
      </c>
      <c r="G269" t="s">
        <v>1033</v>
      </c>
      <c r="H269" t="s">
        <v>30</v>
      </c>
      <c r="I269" s="1">
        <v>1</v>
      </c>
      <c r="J269" s="2">
        <v>2120.69</v>
      </c>
    </row>
    <row r="270" spans="2:10" x14ac:dyDescent="0.2">
      <c r="B270" t="s">
        <v>453</v>
      </c>
      <c r="C270" t="s">
        <v>117</v>
      </c>
      <c r="D270" t="s">
        <v>277</v>
      </c>
      <c r="E270" t="s">
        <v>484</v>
      </c>
      <c r="F270" t="s">
        <v>485</v>
      </c>
      <c r="G270" t="s">
        <v>1033</v>
      </c>
      <c r="H270" t="s">
        <v>30</v>
      </c>
      <c r="I270" s="1">
        <v>1</v>
      </c>
      <c r="J270" s="2">
        <v>2163.79</v>
      </c>
    </row>
    <row r="271" spans="2:10" x14ac:dyDescent="0.2">
      <c r="B271" t="s">
        <v>453</v>
      </c>
      <c r="C271" t="s">
        <v>129</v>
      </c>
      <c r="D271" t="s">
        <v>456</v>
      </c>
      <c r="E271" t="s">
        <v>486</v>
      </c>
      <c r="F271" t="s">
        <v>487</v>
      </c>
      <c r="G271" t="s">
        <v>1033</v>
      </c>
      <c r="H271" t="s">
        <v>30</v>
      </c>
      <c r="I271" s="1">
        <v>1</v>
      </c>
      <c r="J271" s="2">
        <v>258.62</v>
      </c>
    </row>
    <row r="272" spans="2:10" x14ac:dyDescent="0.2">
      <c r="B272" t="s">
        <v>453</v>
      </c>
      <c r="C272" t="s">
        <v>129</v>
      </c>
      <c r="D272" t="s">
        <v>456</v>
      </c>
      <c r="E272" t="s">
        <v>488</v>
      </c>
      <c r="F272" t="s">
        <v>489</v>
      </c>
      <c r="G272" t="s">
        <v>43</v>
      </c>
      <c r="H272" t="s">
        <v>128</v>
      </c>
      <c r="I272" s="1">
        <v>1</v>
      </c>
      <c r="J272" s="2">
        <v>5862.07</v>
      </c>
    </row>
    <row r="273" spans="2:10" x14ac:dyDescent="0.2">
      <c r="B273" t="s">
        <v>453</v>
      </c>
      <c r="C273" t="s">
        <v>129</v>
      </c>
      <c r="D273" t="s">
        <v>456</v>
      </c>
      <c r="E273" t="s">
        <v>36</v>
      </c>
      <c r="F273" t="s">
        <v>37</v>
      </c>
      <c r="G273" t="s">
        <v>1034</v>
      </c>
      <c r="H273" t="s">
        <v>15</v>
      </c>
      <c r="I273" s="1">
        <v>1</v>
      </c>
      <c r="J273" s="2">
        <v>301.72000000000003</v>
      </c>
    </row>
    <row r="274" spans="2:10" x14ac:dyDescent="0.2">
      <c r="B274" t="s">
        <v>453</v>
      </c>
      <c r="C274" t="s">
        <v>129</v>
      </c>
      <c r="D274" t="s">
        <v>456</v>
      </c>
      <c r="E274" t="s">
        <v>72</v>
      </c>
      <c r="F274" t="s">
        <v>73</v>
      </c>
      <c r="G274" t="s">
        <v>1034</v>
      </c>
      <c r="H274" t="s">
        <v>15</v>
      </c>
      <c r="I274" s="1">
        <v>1</v>
      </c>
      <c r="J274" s="2">
        <v>775.86</v>
      </c>
    </row>
    <row r="275" spans="2:10" x14ac:dyDescent="0.2">
      <c r="B275" t="s">
        <v>453</v>
      </c>
      <c r="C275" t="s">
        <v>129</v>
      </c>
      <c r="D275" t="s">
        <v>456</v>
      </c>
      <c r="E275" t="s">
        <v>255</v>
      </c>
      <c r="F275" t="s">
        <v>256</v>
      </c>
      <c r="G275" t="s">
        <v>1033</v>
      </c>
      <c r="H275" t="s">
        <v>30</v>
      </c>
      <c r="I275" s="1">
        <v>1</v>
      </c>
      <c r="J275" s="2">
        <v>517.24</v>
      </c>
    </row>
    <row r="276" spans="2:10" x14ac:dyDescent="0.2">
      <c r="B276" t="s">
        <v>453</v>
      </c>
      <c r="C276" t="s">
        <v>129</v>
      </c>
      <c r="D276" t="s">
        <v>456</v>
      </c>
      <c r="E276" t="s">
        <v>56</v>
      </c>
      <c r="F276" t="s">
        <v>57</v>
      </c>
      <c r="G276" t="s">
        <v>1034</v>
      </c>
      <c r="H276" t="s">
        <v>15</v>
      </c>
      <c r="I276" s="1">
        <v>1</v>
      </c>
      <c r="J276" s="2">
        <v>431.03</v>
      </c>
    </row>
    <row r="277" spans="2:10" x14ac:dyDescent="0.2">
      <c r="B277" t="s">
        <v>453</v>
      </c>
      <c r="C277" t="s">
        <v>129</v>
      </c>
      <c r="D277" t="s">
        <v>456</v>
      </c>
      <c r="E277" t="s">
        <v>61</v>
      </c>
      <c r="F277" t="s">
        <v>62</v>
      </c>
      <c r="G277" t="s">
        <v>1034</v>
      </c>
      <c r="H277" t="s">
        <v>15</v>
      </c>
      <c r="I277" s="1">
        <v>1</v>
      </c>
      <c r="J277" s="2">
        <v>172.41</v>
      </c>
    </row>
    <row r="278" spans="2:10" x14ac:dyDescent="0.2">
      <c r="B278" t="s">
        <v>453</v>
      </c>
      <c r="C278" t="s">
        <v>129</v>
      </c>
      <c r="D278" t="s">
        <v>456</v>
      </c>
      <c r="E278" t="s">
        <v>63</v>
      </c>
      <c r="F278" t="s">
        <v>64</v>
      </c>
      <c r="G278" t="s">
        <v>1034</v>
      </c>
      <c r="H278" t="s">
        <v>15</v>
      </c>
      <c r="I278" s="1">
        <v>1</v>
      </c>
      <c r="J278" s="2">
        <v>172.41</v>
      </c>
    </row>
    <row r="279" spans="2:10" x14ac:dyDescent="0.2">
      <c r="B279" t="s">
        <v>453</v>
      </c>
      <c r="C279" t="s">
        <v>129</v>
      </c>
      <c r="D279" t="s">
        <v>456</v>
      </c>
      <c r="E279" t="s">
        <v>79</v>
      </c>
      <c r="F279" t="s">
        <v>80</v>
      </c>
      <c r="G279" t="s">
        <v>43</v>
      </c>
      <c r="H279" t="s">
        <v>81</v>
      </c>
      <c r="I279" s="1">
        <v>1</v>
      </c>
      <c r="J279" s="2">
        <v>1810.34</v>
      </c>
    </row>
    <row r="280" spans="2:10" x14ac:dyDescent="0.2">
      <c r="B280" t="s">
        <v>531</v>
      </c>
      <c r="C280" t="s">
        <v>10</v>
      </c>
      <c r="D280" t="s">
        <v>532</v>
      </c>
      <c r="E280" t="s">
        <v>318</v>
      </c>
      <c r="F280" t="s">
        <v>319</v>
      </c>
      <c r="G280" t="s">
        <v>1033</v>
      </c>
      <c r="H280" t="s">
        <v>30</v>
      </c>
      <c r="I280" s="1">
        <v>1</v>
      </c>
      <c r="J280" s="2">
        <v>456.9</v>
      </c>
    </row>
    <row r="281" spans="2:10" x14ac:dyDescent="0.2">
      <c r="B281" t="s">
        <v>531</v>
      </c>
      <c r="C281" t="s">
        <v>10</v>
      </c>
      <c r="D281" t="s">
        <v>532</v>
      </c>
      <c r="E281" t="s">
        <v>238</v>
      </c>
      <c r="F281" t="s">
        <v>239</v>
      </c>
      <c r="G281" t="s">
        <v>1033</v>
      </c>
      <c r="H281" t="s">
        <v>30</v>
      </c>
      <c r="I281" s="1">
        <v>1</v>
      </c>
      <c r="J281" s="2">
        <v>396.55</v>
      </c>
    </row>
    <row r="282" spans="2:10" x14ac:dyDescent="0.2">
      <c r="B282" t="s">
        <v>531</v>
      </c>
      <c r="C282" t="s">
        <v>10</v>
      </c>
      <c r="D282" t="s">
        <v>532</v>
      </c>
      <c r="E282" t="s">
        <v>44</v>
      </c>
      <c r="F282" t="s">
        <v>45</v>
      </c>
      <c r="G282" t="s">
        <v>1033</v>
      </c>
      <c r="H282" t="s">
        <v>30</v>
      </c>
      <c r="I282" s="1">
        <v>1</v>
      </c>
      <c r="J282" s="2">
        <v>81.900000000000006</v>
      </c>
    </row>
    <row r="283" spans="2:10" x14ac:dyDescent="0.2">
      <c r="B283" t="s">
        <v>531</v>
      </c>
      <c r="C283" t="s">
        <v>10</v>
      </c>
      <c r="D283" t="s">
        <v>532</v>
      </c>
      <c r="E283" t="s">
        <v>533</v>
      </c>
      <c r="F283" t="s">
        <v>534</v>
      </c>
      <c r="G283" t="s">
        <v>14</v>
      </c>
      <c r="H283" t="s">
        <v>35</v>
      </c>
      <c r="I283" s="1">
        <v>1</v>
      </c>
      <c r="J283" s="2">
        <v>77.59</v>
      </c>
    </row>
    <row r="284" spans="2:10" x14ac:dyDescent="0.2">
      <c r="B284" t="s">
        <v>531</v>
      </c>
      <c r="C284" t="s">
        <v>10</v>
      </c>
      <c r="D284" t="s">
        <v>532</v>
      </c>
      <c r="E284" t="s">
        <v>120</v>
      </c>
      <c r="F284" t="s">
        <v>121</v>
      </c>
      <c r="G284" t="s">
        <v>1034</v>
      </c>
      <c r="H284" t="s">
        <v>15</v>
      </c>
      <c r="I284" s="1">
        <v>1</v>
      </c>
      <c r="J284" s="2">
        <v>301.72000000000003</v>
      </c>
    </row>
    <row r="285" spans="2:10" x14ac:dyDescent="0.2">
      <c r="B285" t="s">
        <v>531</v>
      </c>
      <c r="C285" t="s">
        <v>10</v>
      </c>
      <c r="D285" t="s">
        <v>532</v>
      </c>
      <c r="E285" t="s">
        <v>36</v>
      </c>
      <c r="F285" t="s">
        <v>37</v>
      </c>
      <c r="G285" t="s">
        <v>1034</v>
      </c>
      <c r="H285" t="s">
        <v>15</v>
      </c>
      <c r="I285" s="1">
        <v>2</v>
      </c>
      <c r="J285" s="2">
        <v>603.44000000000005</v>
      </c>
    </row>
    <row r="286" spans="2:10" x14ac:dyDescent="0.2">
      <c r="B286" t="s">
        <v>531</v>
      </c>
      <c r="C286" t="s">
        <v>10</v>
      </c>
      <c r="D286" t="s">
        <v>532</v>
      </c>
      <c r="E286" t="s">
        <v>22</v>
      </c>
      <c r="F286" t="s">
        <v>23</v>
      </c>
      <c r="G286" t="s">
        <v>14</v>
      </c>
      <c r="H286" t="s">
        <v>24</v>
      </c>
      <c r="I286" s="1">
        <v>1</v>
      </c>
      <c r="J286" s="2">
        <v>215.52</v>
      </c>
    </row>
    <row r="287" spans="2:10" x14ac:dyDescent="0.2">
      <c r="B287" t="s">
        <v>531</v>
      </c>
      <c r="C287" t="s">
        <v>10</v>
      </c>
      <c r="D287" t="s">
        <v>532</v>
      </c>
      <c r="E287" t="s">
        <v>521</v>
      </c>
      <c r="F287" t="s">
        <v>522</v>
      </c>
      <c r="G287" t="s">
        <v>14</v>
      </c>
      <c r="H287" t="s">
        <v>104</v>
      </c>
      <c r="I287" s="1">
        <v>1</v>
      </c>
      <c r="J287" s="2">
        <v>21.55</v>
      </c>
    </row>
    <row r="288" spans="2:10" x14ac:dyDescent="0.2">
      <c r="B288" t="s">
        <v>531</v>
      </c>
      <c r="C288" t="s">
        <v>10</v>
      </c>
      <c r="D288" t="s">
        <v>532</v>
      </c>
      <c r="E288" t="s">
        <v>406</v>
      </c>
      <c r="F288" t="s">
        <v>407</v>
      </c>
      <c r="G288" t="s">
        <v>14</v>
      </c>
      <c r="H288" t="s">
        <v>104</v>
      </c>
      <c r="I288" s="1">
        <v>2</v>
      </c>
      <c r="J288" s="2">
        <v>34.479999999999997</v>
      </c>
    </row>
    <row r="289" spans="2:10" x14ac:dyDescent="0.2">
      <c r="B289" t="s">
        <v>531</v>
      </c>
      <c r="C289" t="s">
        <v>10</v>
      </c>
      <c r="D289" t="s">
        <v>532</v>
      </c>
      <c r="E289" t="s">
        <v>28</v>
      </c>
      <c r="F289" t="s">
        <v>29</v>
      </c>
      <c r="G289" t="s">
        <v>1033</v>
      </c>
      <c r="H289" t="s">
        <v>30</v>
      </c>
      <c r="I289" s="1">
        <v>1</v>
      </c>
      <c r="J289" s="2">
        <v>155.16999999999999</v>
      </c>
    </row>
    <row r="290" spans="2:10" x14ac:dyDescent="0.2">
      <c r="B290" t="s">
        <v>531</v>
      </c>
      <c r="C290" t="s">
        <v>18</v>
      </c>
      <c r="D290" t="s">
        <v>532</v>
      </c>
      <c r="E290" t="s">
        <v>535</v>
      </c>
      <c r="F290" t="s">
        <v>536</v>
      </c>
      <c r="G290" t="s">
        <v>14</v>
      </c>
      <c r="H290" t="s">
        <v>60</v>
      </c>
      <c r="I290" s="1">
        <v>1</v>
      </c>
      <c r="J290" s="2">
        <v>327.58999999999997</v>
      </c>
    </row>
    <row r="291" spans="2:10" x14ac:dyDescent="0.2">
      <c r="B291" t="s">
        <v>531</v>
      </c>
      <c r="C291" t="s">
        <v>18</v>
      </c>
      <c r="D291" t="s">
        <v>532</v>
      </c>
      <c r="E291" t="s">
        <v>537</v>
      </c>
      <c r="F291" t="s">
        <v>538</v>
      </c>
      <c r="G291" t="s">
        <v>14</v>
      </c>
      <c r="H291" t="s">
        <v>60</v>
      </c>
      <c r="I291" s="1">
        <v>1</v>
      </c>
      <c r="J291" s="2">
        <v>327.58999999999997</v>
      </c>
    </row>
    <row r="292" spans="2:10" x14ac:dyDescent="0.2">
      <c r="B292" t="s">
        <v>531</v>
      </c>
      <c r="C292" t="s">
        <v>18</v>
      </c>
      <c r="D292" t="s">
        <v>532</v>
      </c>
      <c r="E292" t="s">
        <v>437</v>
      </c>
      <c r="F292" t="s">
        <v>438</v>
      </c>
      <c r="G292" t="s">
        <v>54</v>
      </c>
      <c r="H292" t="s">
        <v>439</v>
      </c>
      <c r="I292" s="1">
        <v>1</v>
      </c>
      <c r="J292" s="2">
        <v>301.72000000000003</v>
      </c>
    </row>
    <row r="293" spans="2:10" x14ac:dyDescent="0.2">
      <c r="B293" t="s">
        <v>531</v>
      </c>
      <c r="C293" t="s">
        <v>18</v>
      </c>
      <c r="D293" t="s">
        <v>532</v>
      </c>
      <c r="E293" t="s">
        <v>44</v>
      </c>
      <c r="F293" t="s">
        <v>45</v>
      </c>
      <c r="G293" t="s">
        <v>1033</v>
      </c>
      <c r="H293" t="s">
        <v>30</v>
      </c>
      <c r="I293" s="1">
        <v>2</v>
      </c>
      <c r="J293" s="2">
        <v>163.80000000000001</v>
      </c>
    </row>
    <row r="294" spans="2:10" x14ac:dyDescent="0.2">
      <c r="B294" t="s">
        <v>531</v>
      </c>
      <c r="C294" t="s">
        <v>18</v>
      </c>
      <c r="D294" t="s">
        <v>532</v>
      </c>
      <c r="E294" t="s">
        <v>19</v>
      </c>
      <c r="F294" t="s">
        <v>20</v>
      </c>
      <c r="G294" t="s">
        <v>14</v>
      </c>
      <c r="H294" t="s">
        <v>21</v>
      </c>
      <c r="I294" s="1">
        <v>1</v>
      </c>
      <c r="J294" s="2">
        <v>431.04</v>
      </c>
    </row>
    <row r="295" spans="2:10" x14ac:dyDescent="0.2">
      <c r="B295" t="s">
        <v>531</v>
      </c>
      <c r="C295" t="s">
        <v>18</v>
      </c>
      <c r="D295" t="s">
        <v>532</v>
      </c>
      <c r="E295" t="s">
        <v>539</v>
      </c>
      <c r="F295" t="s">
        <v>540</v>
      </c>
      <c r="G295" t="s">
        <v>54</v>
      </c>
      <c r="H295" t="s">
        <v>439</v>
      </c>
      <c r="I295" s="1">
        <v>1</v>
      </c>
      <c r="J295" s="2">
        <v>172.41</v>
      </c>
    </row>
    <row r="296" spans="2:10" x14ac:dyDescent="0.2">
      <c r="B296" t="s">
        <v>531</v>
      </c>
      <c r="C296" t="s">
        <v>18</v>
      </c>
      <c r="D296" t="s">
        <v>532</v>
      </c>
      <c r="E296" t="s">
        <v>374</v>
      </c>
      <c r="F296" t="s">
        <v>375</v>
      </c>
      <c r="G296" t="s">
        <v>54</v>
      </c>
      <c r="H296" t="s">
        <v>138</v>
      </c>
      <c r="I296" s="1">
        <v>1</v>
      </c>
      <c r="J296" s="2">
        <v>387.93</v>
      </c>
    </row>
    <row r="297" spans="2:10" x14ac:dyDescent="0.2">
      <c r="B297" t="s">
        <v>531</v>
      </c>
      <c r="C297" t="s">
        <v>18</v>
      </c>
      <c r="D297" t="s">
        <v>532</v>
      </c>
      <c r="E297" t="s">
        <v>541</v>
      </c>
      <c r="F297" t="s">
        <v>542</v>
      </c>
      <c r="G297" t="s">
        <v>43</v>
      </c>
      <c r="H297" t="s">
        <v>91</v>
      </c>
      <c r="I297" s="1">
        <v>1</v>
      </c>
      <c r="J297" s="2">
        <v>2155.17</v>
      </c>
    </row>
    <row r="298" spans="2:10" x14ac:dyDescent="0.2">
      <c r="B298" t="s">
        <v>531</v>
      </c>
      <c r="C298" t="s">
        <v>18</v>
      </c>
      <c r="D298" t="s">
        <v>532</v>
      </c>
      <c r="E298" t="s">
        <v>316</v>
      </c>
      <c r="F298" t="s">
        <v>317</v>
      </c>
      <c r="G298" t="s">
        <v>14</v>
      </c>
      <c r="H298" t="s">
        <v>27</v>
      </c>
      <c r="I298" s="1">
        <v>1</v>
      </c>
      <c r="J298" s="2">
        <v>413.79</v>
      </c>
    </row>
    <row r="299" spans="2:10" x14ac:dyDescent="0.2">
      <c r="B299" t="s">
        <v>531</v>
      </c>
      <c r="C299" t="s">
        <v>18</v>
      </c>
      <c r="D299" t="s">
        <v>532</v>
      </c>
      <c r="E299" t="s">
        <v>543</v>
      </c>
      <c r="F299" t="s">
        <v>544</v>
      </c>
      <c r="G299" t="s">
        <v>14</v>
      </c>
      <c r="H299" t="s">
        <v>27</v>
      </c>
      <c r="I299" s="1">
        <v>1</v>
      </c>
      <c r="J299" s="2">
        <v>413.79</v>
      </c>
    </row>
    <row r="300" spans="2:10" x14ac:dyDescent="0.2">
      <c r="B300" t="s">
        <v>531</v>
      </c>
      <c r="C300" t="s">
        <v>18</v>
      </c>
      <c r="D300" t="s">
        <v>532</v>
      </c>
      <c r="E300" t="s">
        <v>221</v>
      </c>
      <c r="F300" t="s">
        <v>222</v>
      </c>
      <c r="G300" t="s">
        <v>1034</v>
      </c>
      <c r="H300" t="s">
        <v>15</v>
      </c>
      <c r="I300" s="1">
        <v>1</v>
      </c>
      <c r="J300" s="2">
        <v>431.03</v>
      </c>
    </row>
    <row r="301" spans="2:10" x14ac:dyDescent="0.2">
      <c r="B301" t="s">
        <v>531</v>
      </c>
      <c r="C301" t="s">
        <v>18</v>
      </c>
      <c r="D301" t="s">
        <v>532</v>
      </c>
      <c r="E301" t="s">
        <v>545</v>
      </c>
      <c r="F301" t="s">
        <v>546</v>
      </c>
      <c r="G301" t="s">
        <v>284</v>
      </c>
      <c r="H301" t="s">
        <v>547</v>
      </c>
      <c r="I301" s="1">
        <v>1</v>
      </c>
      <c r="J301" s="2">
        <v>297.41000000000003</v>
      </c>
    </row>
    <row r="302" spans="2:10" x14ac:dyDescent="0.2">
      <c r="B302" t="s">
        <v>531</v>
      </c>
      <c r="C302" t="s">
        <v>18</v>
      </c>
      <c r="D302" t="s">
        <v>532</v>
      </c>
      <c r="E302" t="s">
        <v>548</v>
      </c>
      <c r="F302" t="s">
        <v>549</v>
      </c>
      <c r="G302" t="s">
        <v>54</v>
      </c>
      <c r="H302" t="s">
        <v>550</v>
      </c>
      <c r="I302" s="1">
        <v>1</v>
      </c>
      <c r="J302" s="2">
        <v>271.55</v>
      </c>
    </row>
    <row r="303" spans="2:10" x14ac:dyDescent="0.2">
      <c r="B303" t="s">
        <v>531</v>
      </c>
      <c r="C303" t="s">
        <v>18</v>
      </c>
      <c r="D303" t="s">
        <v>532</v>
      </c>
      <c r="E303" t="s">
        <v>120</v>
      </c>
      <c r="F303" t="s">
        <v>121</v>
      </c>
      <c r="G303" t="s">
        <v>1034</v>
      </c>
      <c r="H303" t="s">
        <v>15</v>
      </c>
      <c r="I303" s="1">
        <v>1</v>
      </c>
      <c r="J303" s="2">
        <v>301.72000000000003</v>
      </c>
    </row>
    <row r="304" spans="2:10" x14ac:dyDescent="0.2">
      <c r="B304" t="s">
        <v>531</v>
      </c>
      <c r="C304" t="s">
        <v>18</v>
      </c>
      <c r="D304" t="s">
        <v>532</v>
      </c>
      <c r="E304" t="s">
        <v>214</v>
      </c>
      <c r="F304" t="s">
        <v>215</v>
      </c>
      <c r="G304" t="s">
        <v>1034</v>
      </c>
      <c r="H304" t="s">
        <v>15</v>
      </c>
      <c r="I304" s="1">
        <v>2</v>
      </c>
      <c r="J304" s="2">
        <v>603.44000000000005</v>
      </c>
    </row>
    <row r="305" spans="2:10" x14ac:dyDescent="0.2">
      <c r="B305" t="s">
        <v>531</v>
      </c>
      <c r="C305" t="s">
        <v>18</v>
      </c>
      <c r="D305" t="s">
        <v>532</v>
      </c>
      <c r="E305" t="s">
        <v>336</v>
      </c>
      <c r="F305" t="s">
        <v>337</v>
      </c>
      <c r="G305" t="s">
        <v>1034</v>
      </c>
      <c r="H305" t="s">
        <v>15</v>
      </c>
      <c r="I305" s="1">
        <v>1</v>
      </c>
      <c r="J305" s="2">
        <v>387.93</v>
      </c>
    </row>
    <row r="306" spans="2:10" x14ac:dyDescent="0.2">
      <c r="B306" t="s">
        <v>531</v>
      </c>
      <c r="C306" t="s">
        <v>18</v>
      </c>
      <c r="D306" t="s">
        <v>532</v>
      </c>
      <c r="E306" t="s">
        <v>38</v>
      </c>
      <c r="F306" t="s">
        <v>39</v>
      </c>
      <c r="G306" t="s">
        <v>1034</v>
      </c>
      <c r="H306" t="s">
        <v>15</v>
      </c>
      <c r="I306" s="1">
        <v>1</v>
      </c>
      <c r="J306" s="2">
        <v>431.03</v>
      </c>
    </row>
    <row r="307" spans="2:10" x14ac:dyDescent="0.2">
      <c r="B307" t="s">
        <v>531</v>
      </c>
      <c r="C307" t="s">
        <v>18</v>
      </c>
      <c r="D307" t="s">
        <v>532</v>
      </c>
      <c r="E307" t="s">
        <v>551</v>
      </c>
      <c r="F307" t="s">
        <v>552</v>
      </c>
      <c r="G307" t="s">
        <v>54</v>
      </c>
      <c r="H307" t="s">
        <v>439</v>
      </c>
      <c r="I307" s="1">
        <v>1</v>
      </c>
      <c r="J307" s="2">
        <v>150.86000000000001</v>
      </c>
    </row>
    <row r="308" spans="2:10" x14ac:dyDescent="0.2">
      <c r="B308" t="s">
        <v>531</v>
      </c>
      <c r="C308" t="s">
        <v>18</v>
      </c>
      <c r="D308" t="s">
        <v>532</v>
      </c>
      <c r="E308" t="s">
        <v>521</v>
      </c>
      <c r="F308" t="s">
        <v>522</v>
      </c>
      <c r="G308" t="s">
        <v>14</v>
      </c>
      <c r="H308" t="s">
        <v>104</v>
      </c>
      <c r="I308" s="1">
        <v>2</v>
      </c>
      <c r="J308" s="2">
        <v>43.1</v>
      </c>
    </row>
    <row r="309" spans="2:10" x14ac:dyDescent="0.2">
      <c r="B309" t="s">
        <v>531</v>
      </c>
      <c r="C309" t="s">
        <v>18</v>
      </c>
      <c r="D309" t="s">
        <v>532</v>
      </c>
      <c r="E309" t="s">
        <v>193</v>
      </c>
      <c r="F309" t="s">
        <v>194</v>
      </c>
      <c r="G309" t="s">
        <v>1034</v>
      </c>
      <c r="H309" t="s">
        <v>15</v>
      </c>
      <c r="I309" s="1">
        <v>1</v>
      </c>
      <c r="J309" s="2">
        <v>1293.0999999999999</v>
      </c>
    </row>
    <row r="310" spans="2:10" x14ac:dyDescent="0.2">
      <c r="B310" t="s">
        <v>531</v>
      </c>
      <c r="C310" t="s">
        <v>18</v>
      </c>
      <c r="D310" t="s">
        <v>532</v>
      </c>
      <c r="E310" t="s">
        <v>416</v>
      </c>
      <c r="F310" t="s">
        <v>417</v>
      </c>
      <c r="G310" t="s">
        <v>1033</v>
      </c>
      <c r="H310" t="s">
        <v>30</v>
      </c>
      <c r="I310" s="1">
        <v>1</v>
      </c>
      <c r="J310" s="2">
        <v>2258.62</v>
      </c>
    </row>
    <row r="311" spans="2:10" x14ac:dyDescent="0.2">
      <c r="B311" t="s">
        <v>531</v>
      </c>
      <c r="C311" t="s">
        <v>18</v>
      </c>
      <c r="D311" t="s">
        <v>532</v>
      </c>
      <c r="E311" t="s">
        <v>28</v>
      </c>
      <c r="F311" t="s">
        <v>29</v>
      </c>
      <c r="G311" t="s">
        <v>1033</v>
      </c>
      <c r="H311" t="s">
        <v>30</v>
      </c>
      <c r="I311" s="1">
        <v>3</v>
      </c>
      <c r="J311" s="2">
        <v>465.51</v>
      </c>
    </row>
    <row r="312" spans="2:10" x14ac:dyDescent="0.2">
      <c r="B312" t="s">
        <v>531</v>
      </c>
      <c r="C312" t="s">
        <v>31</v>
      </c>
      <c r="D312" t="s">
        <v>532</v>
      </c>
      <c r="E312" t="s">
        <v>153</v>
      </c>
      <c r="F312" t="s">
        <v>154</v>
      </c>
      <c r="G312" t="s">
        <v>1034</v>
      </c>
      <c r="H312" t="s">
        <v>15</v>
      </c>
      <c r="I312" s="1">
        <v>1</v>
      </c>
      <c r="J312" s="2">
        <v>387.93</v>
      </c>
    </row>
    <row r="313" spans="2:10" x14ac:dyDescent="0.2">
      <c r="B313" t="s">
        <v>531</v>
      </c>
      <c r="C313" t="s">
        <v>40</v>
      </c>
      <c r="D313" t="s">
        <v>532</v>
      </c>
      <c r="E313" t="s">
        <v>253</v>
      </c>
      <c r="F313" t="s">
        <v>254</v>
      </c>
      <c r="G313" t="s">
        <v>1034</v>
      </c>
      <c r="H313" t="s">
        <v>15</v>
      </c>
      <c r="I313" s="1">
        <v>1</v>
      </c>
      <c r="J313" s="2">
        <v>775.86</v>
      </c>
    </row>
    <row r="314" spans="2:10" x14ac:dyDescent="0.2">
      <c r="B314" t="s">
        <v>531</v>
      </c>
      <c r="C314" t="s">
        <v>40</v>
      </c>
      <c r="D314" t="s">
        <v>532</v>
      </c>
      <c r="E314" t="s">
        <v>56</v>
      </c>
      <c r="F314" t="s">
        <v>57</v>
      </c>
      <c r="G314" t="s">
        <v>1034</v>
      </c>
      <c r="H314" t="s">
        <v>15</v>
      </c>
      <c r="I314" s="1">
        <v>2</v>
      </c>
      <c r="J314" s="2">
        <v>862.07</v>
      </c>
    </row>
    <row r="315" spans="2:10" x14ac:dyDescent="0.2">
      <c r="B315" t="s">
        <v>531</v>
      </c>
      <c r="C315" t="s">
        <v>51</v>
      </c>
      <c r="D315" t="s">
        <v>32</v>
      </c>
      <c r="E315" t="s">
        <v>553</v>
      </c>
      <c r="F315" t="s">
        <v>554</v>
      </c>
      <c r="G315" t="s">
        <v>1033</v>
      </c>
      <c r="H315" t="s">
        <v>30</v>
      </c>
      <c r="I315" s="1">
        <v>1</v>
      </c>
      <c r="J315" s="2">
        <v>1379.31</v>
      </c>
    </row>
    <row r="316" spans="2:10" x14ac:dyDescent="0.2">
      <c r="B316" t="s">
        <v>531</v>
      </c>
      <c r="C316" t="s">
        <v>51</v>
      </c>
      <c r="D316" t="s">
        <v>32</v>
      </c>
      <c r="E316" t="s">
        <v>16</v>
      </c>
      <c r="F316" t="s">
        <v>17</v>
      </c>
      <c r="G316" t="s">
        <v>1034</v>
      </c>
      <c r="H316" t="s">
        <v>15</v>
      </c>
      <c r="I316" s="1">
        <v>1</v>
      </c>
      <c r="J316" s="2">
        <v>577.59</v>
      </c>
    </row>
    <row r="317" spans="2:10" x14ac:dyDescent="0.2">
      <c r="B317" t="s">
        <v>531</v>
      </c>
      <c r="C317" t="s">
        <v>65</v>
      </c>
      <c r="D317" t="s">
        <v>32</v>
      </c>
      <c r="E317" t="s">
        <v>318</v>
      </c>
      <c r="F317" t="s">
        <v>319</v>
      </c>
      <c r="G317" t="s">
        <v>1033</v>
      </c>
      <c r="H317" t="s">
        <v>30</v>
      </c>
      <c r="I317" s="1">
        <v>1</v>
      </c>
      <c r="J317" s="2">
        <v>456.9</v>
      </c>
    </row>
    <row r="318" spans="2:10" x14ac:dyDescent="0.2">
      <c r="B318" t="s">
        <v>531</v>
      </c>
      <c r="C318" t="s">
        <v>82</v>
      </c>
      <c r="D318" t="s">
        <v>532</v>
      </c>
      <c r="E318" t="s">
        <v>44</v>
      </c>
      <c r="F318" t="s">
        <v>45</v>
      </c>
      <c r="G318" t="s">
        <v>1033</v>
      </c>
      <c r="H318" t="s">
        <v>30</v>
      </c>
      <c r="I318" s="1">
        <v>2</v>
      </c>
      <c r="J318" s="2">
        <v>163.80000000000001</v>
      </c>
    </row>
    <row r="319" spans="2:10" x14ac:dyDescent="0.2">
      <c r="B319" t="s">
        <v>531</v>
      </c>
      <c r="C319" t="s">
        <v>82</v>
      </c>
      <c r="D319" t="s">
        <v>532</v>
      </c>
      <c r="E319" t="s">
        <v>46</v>
      </c>
      <c r="F319" t="s">
        <v>47</v>
      </c>
      <c r="G319" t="s">
        <v>1034</v>
      </c>
      <c r="H319" t="s">
        <v>15</v>
      </c>
      <c r="I319" s="1">
        <v>1</v>
      </c>
      <c r="J319" s="2">
        <v>301.72000000000003</v>
      </c>
    </row>
    <row r="320" spans="2:10" x14ac:dyDescent="0.2">
      <c r="B320" t="s">
        <v>531</v>
      </c>
      <c r="C320" t="s">
        <v>82</v>
      </c>
      <c r="D320" t="s">
        <v>532</v>
      </c>
      <c r="E320" t="s">
        <v>33</v>
      </c>
      <c r="F320" t="s">
        <v>34</v>
      </c>
      <c r="G320" t="s">
        <v>14</v>
      </c>
      <c r="H320" t="s">
        <v>35</v>
      </c>
      <c r="I320" s="1">
        <v>1</v>
      </c>
      <c r="J320" s="2">
        <v>60.34</v>
      </c>
    </row>
    <row r="321" spans="2:10" x14ac:dyDescent="0.2">
      <c r="B321" t="s">
        <v>531</v>
      </c>
      <c r="C321" t="s">
        <v>82</v>
      </c>
      <c r="D321" t="s">
        <v>532</v>
      </c>
      <c r="E321" t="s">
        <v>555</v>
      </c>
      <c r="F321" t="s">
        <v>556</v>
      </c>
      <c r="G321" t="s">
        <v>1033</v>
      </c>
      <c r="H321" t="s">
        <v>30</v>
      </c>
      <c r="I321" s="1">
        <v>1</v>
      </c>
      <c r="J321" s="2">
        <v>1034.48</v>
      </c>
    </row>
    <row r="322" spans="2:10" x14ac:dyDescent="0.2">
      <c r="B322" t="s">
        <v>531</v>
      </c>
      <c r="C322" t="s">
        <v>82</v>
      </c>
      <c r="D322" t="s">
        <v>532</v>
      </c>
      <c r="E322" t="s">
        <v>221</v>
      </c>
      <c r="F322" t="s">
        <v>222</v>
      </c>
      <c r="G322" t="s">
        <v>1034</v>
      </c>
      <c r="H322" t="s">
        <v>15</v>
      </c>
      <c r="I322" s="1">
        <v>1</v>
      </c>
      <c r="J322" s="2">
        <v>431.03</v>
      </c>
    </row>
    <row r="323" spans="2:10" x14ac:dyDescent="0.2">
      <c r="B323" t="s">
        <v>531</v>
      </c>
      <c r="C323" t="s">
        <v>82</v>
      </c>
      <c r="D323" t="s">
        <v>532</v>
      </c>
      <c r="E323" t="s">
        <v>557</v>
      </c>
      <c r="F323" t="s">
        <v>558</v>
      </c>
      <c r="G323" t="s">
        <v>43</v>
      </c>
      <c r="H323" t="s">
        <v>403</v>
      </c>
      <c r="I323" s="1">
        <v>1</v>
      </c>
      <c r="J323" s="2">
        <v>159.47999999999999</v>
      </c>
    </row>
    <row r="324" spans="2:10" x14ac:dyDescent="0.2">
      <c r="B324" t="s">
        <v>531</v>
      </c>
      <c r="C324" t="s">
        <v>82</v>
      </c>
      <c r="D324" t="s">
        <v>532</v>
      </c>
      <c r="E324" t="s">
        <v>559</v>
      </c>
      <c r="F324" t="s">
        <v>560</v>
      </c>
      <c r="G324" t="s">
        <v>1033</v>
      </c>
      <c r="H324" t="s">
        <v>30</v>
      </c>
      <c r="I324" s="1">
        <v>1</v>
      </c>
      <c r="J324" s="2">
        <v>1706.9</v>
      </c>
    </row>
    <row r="325" spans="2:10" x14ac:dyDescent="0.2">
      <c r="B325" t="s">
        <v>531</v>
      </c>
      <c r="C325" t="s">
        <v>82</v>
      </c>
      <c r="D325" t="s">
        <v>532</v>
      </c>
      <c r="E325" t="s">
        <v>120</v>
      </c>
      <c r="F325" t="s">
        <v>121</v>
      </c>
      <c r="G325" t="s">
        <v>1034</v>
      </c>
      <c r="H325" t="s">
        <v>15</v>
      </c>
      <c r="I325" s="1">
        <v>1</v>
      </c>
      <c r="J325" s="2">
        <v>301.72000000000003</v>
      </c>
    </row>
    <row r="326" spans="2:10" x14ac:dyDescent="0.2">
      <c r="B326" t="s">
        <v>531</v>
      </c>
      <c r="C326" t="s">
        <v>82</v>
      </c>
      <c r="D326" t="s">
        <v>532</v>
      </c>
      <c r="E326" t="s">
        <v>122</v>
      </c>
      <c r="F326" t="s">
        <v>123</v>
      </c>
      <c r="G326" t="s">
        <v>1034</v>
      </c>
      <c r="H326" t="s">
        <v>15</v>
      </c>
      <c r="I326" s="1">
        <v>1</v>
      </c>
      <c r="J326" s="2">
        <v>387.93</v>
      </c>
    </row>
    <row r="327" spans="2:10" x14ac:dyDescent="0.2">
      <c r="B327" t="s">
        <v>531</v>
      </c>
      <c r="C327" t="s">
        <v>82</v>
      </c>
      <c r="D327" t="s">
        <v>532</v>
      </c>
      <c r="E327" t="s">
        <v>406</v>
      </c>
      <c r="F327" t="s">
        <v>407</v>
      </c>
      <c r="G327" t="s">
        <v>14</v>
      </c>
      <c r="H327" t="s">
        <v>104</v>
      </c>
      <c r="I327" s="1">
        <v>2</v>
      </c>
      <c r="J327" s="2">
        <v>34.479999999999997</v>
      </c>
    </row>
    <row r="328" spans="2:10" x14ac:dyDescent="0.2">
      <c r="B328" t="s">
        <v>531</v>
      </c>
      <c r="C328" t="s">
        <v>82</v>
      </c>
      <c r="D328" t="s">
        <v>532</v>
      </c>
      <c r="E328" t="s">
        <v>16</v>
      </c>
      <c r="F328" t="s">
        <v>17</v>
      </c>
      <c r="G328" t="s">
        <v>1034</v>
      </c>
      <c r="H328" t="s">
        <v>15</v>
      </c>
      <c r="I328" s="1">
        <v>1</v>
      </c>
      <c r="J328" s="2">
        <v>577.59</v>
      </c>
    </row>
    <row r="329" spans="2:10" x14ac:dyDescent="0.2">
      <c r="B329" t="s">
        <v>531</v>
      </c>
      <c r="C329" t="s">
        <v>82</v>
      </c>
      <c r="D329" t="s">
        <v>532</v>
      </c>
      <c r="E329" t="s">
        <v>561</v>
      </c>
      <c r="F329" t="s">
        <v>562</v>
      </c>
      <c r="G329" t="s">
        <v>43</v>
      </c>
      <c r="H329" t="s">
        <v>91</v>
      </c>
      <c r="I329" s="1">
        <v>1</v>
      </c>
      <c r="J329" s="2">
        <v>452.59</v>
      </c>
    </row>
    <row r="330" spans="2:10" x14ac:dyDescent="0.2">
      <c r="B330" t="s">
        <v>531</v>
      </c>
      <c r="C330" t="s">
        <v>88</v>
      </c>
      <c r="D330" t="s">
        <v>532</v>
      </c>
      <c r="E330" t="s">
        <v>563</v>
      </c>
      <c r="F330" t="s">
        <v>564</v>
      </c>
      <c r="G330" t="s">
        <v>54</v>
      </c>
      <c r="H330" t="s">
        <v>565</v>
      </c>
      <c r="I330" s="1">
        <v>1</v>
      </c>
      <c r="J330" s="2">
        <v>396.55</v>
      </c>
    </row>
    <row r="331" spans="2:10" x14ac:dyDescent="0.2">
      <c r="B331" t="s">
        <v>531</v>
      </c>
      <c r="C331" t="s">
        <v>88</v>
      </c>
      <c r="D331" t="s">
        <v>532</v>
      </c>
      <c r="E331" t="s">
        <v>566</v>
      </c>
      <c r="F331" t="s">
        <v>567</v>
      </c>
      <c r="G331" t="s">
        <v>14</v>
      </c>
      <c r="H331" t="s">
        <v>35</v>
      </c>
      <c r="I331" s="1">
        <v>1</v>
      </c>
      <c r="J331" s="2">
        <v>77.59</v>
      </c>
    </row>
    <row r="332" spans="2:10" x14ac:dyDescent="0.2">
      <c r="B332" t="s">
        <v>531</v>
      </c>
      <c r="C332" t="s">
        <v>88</v>
      </c>
      <c r="D332" t="s">
        <v>532</v>
      </c>
      <c r="E332" t="s">
        <v>399</v>
      </c>
      <c r="F332" t="s">
        <v>400</v>
      </c>
      <c r="G332" t="s">
        <v>1033</v>
      </c>
      <c r="H332" t="s">
        <v>30</v>
      </c>
      <c r="I332" s="1">
        <v>1</v>
      </c>
      <c r="J332" s="2">
        <v>818.97</v>
      </c>
    </row>
    <row r="333" spans="2:10" x14ac:dyDescent="0.2">
      <c r="B333" t="s">
        <v>531</v>
      </c>
      <c r="C333" t="s">
        <v>88</v>
      </c>
      <c r="D333" t="s">
        <v>532</v>
      </c>
      <c r="E333" t="s">
        <v>36</v>
      </c>
      <c r="F333" t="s">
        <v>37</v>
      </c>
      <c r="G333" t="s">
        <v>1034</v>
      </c>
      <c r="H333" t="s">
        <v>15</v>
      </c>
      <c r="I333" s="1">
        <v>1</v>
      </c>
      <c r="J333" s="2">
        <v>301.72000000000003</v>
      </c>
    </row>
    <row r="334" spans="2:10" x14ac:dyDescent="0.2">
      <c r="B334" t="s">
        <v>531</v>
      </c>
      <c r="C334" t="s">
        <v>88</v>
      </c>
      <c r="D334" t="s">
        <v>532</v>
      </c>
      <c r="E334" t="s">
        <v>72</v>
      </c>
      <c r="F334" t="s">
        <v>73</v>
      </c>
      <c r="G334" t="s">
        <v>1034</v>
      </c>
      <c r="H334" t="s">
        <v>15</v>
      </c>
      <c r="I334" s="1">
        <v>1</v>
      </c>
      <c r="J334" s="2">
        <v>775.86</v>
      </c>
    </row>
    <row r="335" spans="2:10" x14ac:dyDescent="0.2">
      <c r="B335" t="s">
        <v>531</v>
      </c>
      <c r="C335" t="s">
        <v>88</v>
      </c>
      <c r="D335" t="s">
        <v>532</v>
      </c>
      <c r="E335" t="s">
        <v>310</v>
      </c>
      <c r="F335" t="s">
        <v>311</v>
      </c>
      <c r="G335" t="s">
        <v>1033</v>
      </c>
      <c r="H335" t="s">
        <v>30</v>
      </c>
      <c r="I335" s="1">
        <v>1</v>
      </c>
      <c r="J335" s="2">
        <v>474.14</v>
      </c>
    </row>
    <row r="336" spans="2:10" x14ac:dyDescent="0.2">
      <c r="B336" t="s">
        <v>531</v>
      </c>
      <c r="C336" t="s">
        <v>88</v>
      </c>
      <c r="D336" t="s">
        <v>532</v>
      </c>
      <c r="E336" t="s">
        <v>568</v>
      </c>
      <c r="F336" t="s">
        <v>569</v>
      </c>
      <c r="G336" t="s">
        <v>1033</v>
      </c>
      <c r="H336" t="s">
        <v>30</v>
      </c>
      <c r="I336" s="1">
        <v>1</v>
      </c>
      <c r="J336" s="2">
        <v>517.24</v>
      </c>
    </row>
    <row r="337" spans="2:10" x14ac:dyDescent="0.2">
      <c r="B337" t="s">
        <v>531</v>
      </c>
      <c r="C337" t="s">
        <v>88</v>
      </c>
      <c r="D337" t="s">
        <v>532</v>
      </c>
      <c r="E337" t="s">
        <v>16</v>
      </c>
      <c r="F337" t="s">
        <v>17</v>
      </c>
      <c r="G337" t="s">
        <v>1034</v>
      </c>
      <c r="H337" t="s">
        <v>15</v>
      </c>
      <c r="I337" s="1">
        <v>1</v>
      </c>
      <c r="J337" s="2">
        <v>577.59</v>
      </c>
    </row>
    <row r="338" spans="2:10" x14ac:dyDescent="0.2">
      <c r="B338" t="s">
        <v>531</v>
      </c>
      <c r="C338" t="s">
        <v>117</v>
      </c>
      <c r="D338" t="s">
        <v>532</v>
      </c>
      <c r="E338" t="s">
        <v>44</v>
      </c>
      <c r="F338" t="s">
        <v>45</v>
      </c>
      <c r="G338" t="s">
        <v>1033</v>
      </c>
      <c r="H338" t="s">
        <v>30</v>
      </c>
      <c r="I338" s="1">
        <v>1</v>
      </c>
      <c r="J338" s="2">
        <v>81.900000000000006</v>
      </c>
    </row>
    <row r="339" spans="2:10" x14ac:dyDescent="0.2">
      <c r="B339" t="s">
        <v>531</v>
      </c>
      <c r="C339" t="s">
        <v>117</v>
      </c>
      <c r="D339" t="s">
        <v>532</v>
      </c>
      <c r="E339" t="s">
        <v>212</v>
      </c>
      <c r="F339" t="s">
        <v>213</v>
      </c>
      <c r="G339" t="s">
        <v>14</v>
      </c>
      <c r="H339" t="s">
        <v>35</v>
      </c>
      <c r="I339" s="1">
        <v>1</v>
      </c>
      <c r="J339" s="2">
        <v>77.59</v>
      </c>
    </row>
    <row r="340" spans="2:10" x14ac:dyDescent="0.2">
      <c r="B340" t="s">
        <v>531</v>
      </c>
      <c r="C340" t="s">
        <v>117</v>
      </c>
      <c r="D340" t="s">
        <v>532</v>
      </c>
      <c r="E340" t="s">
        <v>267</v>
      </c>
      <c r="F340" t="s">
        <v>268</v>
      </c>
      <c r="G340" t="s">
        <v>1034</v>
      </c>
      <c r="H340" t="s">
        <v>15</v>
      </c>
      <c r="I340" s="1">
        <v>1</v>
      </c>
      <c r="J340" s="2">
        <v>258.62</v>
      </c>
    </row>
    <row r="341" spans="2:10" x14ac:dyDescent="0.2">
      <c r="B341" t="s">
        <v>531</v>
      </c>
      <c r="C341" t="s">
        <v>117</v>
      </c>
      <c r="D341" t="s">
        <v>532</v>
      </c>
      <c r="E341" t="s">
        <v>56</v>
      </c>
      <c r="F341" t="s">
        <v>57</v>
      </c>
      <c r="G341" t="s">
        <v>1034</v>
      </c>
      <c r="H341" t="s">
        <v>15</v>
      </c>
      <c r="I341" s="1">
        <v>1</v>
      </c>
      <c r="J341" s="2">
        <v>431.03</v>
      </c>
    </row>
    <row r="342" spans="2:10" x14ac:dyDescent="0.2">
      <c r="B342" t="s">
        <v>531</v>
      </c>
      <c r="C342" t="s">
        <v>129</v>
      </c>
      <c r="D342" t="s">
        <v>532</v>
      </c>
      <c r="E342" t="s">
        <v>214</v>
      </c>
      <c r="F342" t="s">
        <v>215</v>
      </c>
      <c r="G342" t="s">
        <v>1034</v>
      </c>
      <c r="H342" t="s">
        <v>15</v>
      </c>
      <c r="I342" s="1">
        <v>1</v>
      </c>
      <c r="J342" s="2">
        <v>301.72000000000003</v>
      </c>
    </row>
    <row r="343" spans="2:10" x14ac:dyDescent="0.2">
      <c r="B343" t="s">
        <v>531</v>
      </c>
      <c r="C343" t="s">
        <v>129</v>
      </c>
      <c r="D343" t="s">
        <v>532</v>
      </c>
      <c r="E343" t="s">
        <v>22</v>
      </c>
      <c r="F343" t="s">
        <v>23</v>
      </c>
      <c r="G343" t="s">
        <v>14</v>
      </c>
      <c r="H343" t="s">
        <v>24</v>
      </c>
      <c r="I343" s="1">
        <v>2</v>
      </c>
      <c r="J343" s="2">
        <v>431.03</v>
      </c>
    </row>
    <row r="344" spans="2:10" x14ac:dyDescent="0.2">
      <c r="B344" t="s">
        <v>531</v>
      </c>
      <c r="C344" t="s">
        <v>129</v>
      </c>
      <c r="D344" t="s">
        <v>532</v>
      </c>
      <c r="E344" t="s">
        <v>273</v>
      </c>
      <c r="F344" t="s">
        <v>274</v>
      </c>
      <c r="G344" t="s">
        <v>1033</v>
      </c>
      <c r="H344" t="s">
        <v>30</v>
      </c>
      <c r="I344" s="1">
        <v>1</v>
      </c>
      <c r="J344" s="2">
        <v>1293.0999999999999</v>
      </c>
    </row>
    <row r="345" spans="2:10" x14ac:dyDescent="0.2">
      <c r="B345" t="s">
        <v>531</v>
      </c>
      <c r="C345" t="s">
        <v>129</v>
      </c>
      <c r="D345" t="s">
        <v>532</v>
      </c>
      <c r="E345" t="s">
        <v>406</v>
      </c>
      <c r="F345" t="s">
        <v>407</v>
      </c>
      <c r="G345" t="s">
        <v>14</v>
      </c>
      <c r="H345" t="s">
        <v>104</v>
      </c>
      <c r="I345" s="1">
        <v>5</v>
      </c>
      <c r="J345" s="2">
        <v>86.2</v>
      </c>
    </row>
    <row r="346" spans="2:10" x14ac:dyDescent="0.2">
      <c r="B346" t="s">
        <v>531</v>
      </c>
      <c r="C346" t="s">
        <v>129</v>
      </c>
      <c r="D346" t="s">
        <v>532</v>
      </c>
      <c r="E346" t="s">
        <v>570</v>
      </c>
      <c r="F346" t="s">
        <v>571</v>
      </c>
      <c r="G346" t="s">
        <v>43</v>
      </c>
      <c r="H346" t="s">
        <v>572</v>
      </c>
      <c r="I346" s="1">
        <v>1</v>
      </c>
      <c r="J346" s="2">
        <v>573.28</v>
      </c>
    </row>
    <row r="347" spans="2:10" x14ac:dyDescent="0.2">
      <c r="B347" t="s">
        <v>583</v>
      </c>
      <c r="C347" t="s">
        <v>10</v>
      </c>
      <c r="D347" t="s">
        <v>584</v>
      </c>
      <c r="E347" t="s">
        <v>419</v>
      </c>
      <c r="F347" t="s">
        <v>420</v>
      </c>
      <c r="G347" t="s">
        <v>14</v>
      </c>
      <c r="H347" t="s">
        <v>35</v>
      </c>
      <c r="I347" s="1">
        <v>1</v>
      </c>
      <c r="J347" s="2">
        <v>77.59</v>
      </c>
    </row>
    <row r="348" spans="2:10" x14ac:dyDescent="0.2">
      <c r="B348" t="s">
        <v>583</v>
      </c>
      <c r="C348" t="s">
        <v>10</v>
      </c>
      <c r="D348" t="s">
        <v>584</v>
      </c>
      <c r="E348" t="s">
        <v>70</v>
      </c>
      <c r="F348" t="s">
        <v>71</v>
      </c>
      <c r="G348" t="s">
        <v>1033</v>
      </c>
      <c r="H348" t="s">
        <v>30</v>
      </c>
      <c r="I348" s="1">
        <v>1</v>
      </c>
      <c r="J348" s="2">
        <v>2112.0700000000002</v>
      </c>
    </row>
    <row r="349" spans="2:10" x14ac:dyDescent="0.2">
      <c r="B349" t="s">
        <v>583</v>
      </c>
      <c r="C349" t="s">
        <v>10</v>
      </c>
      <c r="D349" t="s">
        <v>584</v>
      </c>
      <c r="E349" t="s">
        <v>22</v>
      </c>
      <c r="F349" t="s">
        <v>23</v>
      </c>
      <c r="G349" t="s">
        <v>14</v>
      </c>
      <c r="H349" t="s">
        <v>24</v>
      </c>
      <c r="I349" s="1">
        <v>1</v>
      </c>
      <c r="J349" s="2">
        <v>215.52</v>
      </c>
    </row>
    <row r="350" spans="2:10" x14ac:dyDescent="0.2">
      <c r="B350" t="s">
        <v>583</v>
      </c>
      <c r="C350" t="s">
        <v>10</v>
      </c>
      <c r="D350" t="s">
        <v>584</v>
      </c>
      <c r="E350" t="s">
        <v>63</v>
      </c>
      <c r="F350" t="s">
        <v>64</v>
      </c>
      <c r="G350" t="s">
        <v>1034</v>
      </c>
      <c r="H350" t="s">
        <v>15</v>
      </c>
      <c r="I350" s="1">
        <v>1</v>
      </c>
      <c r="J350" s="2">
        <v>172.41</v>
      </c>
    </row>
    <row r="351" spans="2:10" x14ac:dyDescent="0.2">
      <c r="B351" t="s">
        <v>583</v>
      </c>
      <c r="C351" t="s">
        <v>10</v>
      </c>
      <c r="D351" t="s">
        <v>584</v>
      </c>
      <c r="E351" t="s">
        <v>585</v>
      </c>
      <c r="F351" t="s">
        <v>586</v>
      </c>
      <c r="G351" t="s">
        <v>1034</v>
      </c>
      <c r="H351" t="s">
        <v>15</v>
      </c>
      <c r="I351" s="1">
        <v>1</v>
      </c>
      <c r="J351" s="2">
        <v>310.33999999999997</v>
      </c>
    </row>
    <row r="352" spans="2:10" x14ac:dyDescent="0.2">
      <c r="B352" t="s">
        <v>583</v>
      </c>
      <c r="C352" t="s">
        <v>18</v>
      </c>
      <c r="D352" t="s">
        <v>584</v>
      </c>
      <c r="E352" t="s">
        <v>302</v>
      </c>
      <c r="F352" t="s">
        <v>303</v>
      </c>
      <c r="G352" t="s">
        <v>1033</v>
      </c>
      <c r="H352" t="s">
        <v>30</v>
      </c>
      <c r="I352" s="1">
        <v>1</v>
      </c>
      <c r="J352" s="2">
        <v>474.14</v>
      </c>
    </row>
    <row r="353" spans="2:10" x14ac:dyDescent="0.2">
      <c r="B353" t="s">
        <v>583</v>
      </c>
      <c r="C353" t="s">
        <v>18</v>
      </c>
      <c r="D353" t="s">
        <v>584</v>
      </c>
      <c r="E353" t="s">
        <v>22</v>
      </c>
      <c r="F353" t="s">
        <v>23</v>
      </c>
      <c r="G353" t="s">
        <v>14</v>
      </c>
      <c r="H353" t="s">
        <v>24</v>
      </c>
      <c r="I353" s="1">
        <v>2</v>
      </c>
      <c r="J353" s="2">
        <v>431.04</v>
      </c>
    </row>
    <row r="354" spans="2:10" x14ac:dyDescent="0.2">
      <c r="B354" t="s">
        <v>583</v>
      </c>
      <c r="C354" t="s">
        <v>18</v>
      </c>
      <c r="D354" t="s">
        <v>584</v>
      </c>
      <c r="E354" t="s">
        <v>56</v>
      </c>
      <c r="F354" t="s">
        <v>57</v>
      </c>
      <c r="G354" t="s">
        <v>1034</v>
      </c>
      <c r="H354" t="s">
        <v>15</v>
      </c>
      <c r="I354" s="1">
        <v>1</v>
      </c>
      <c r="J354" s="2">
        <v>431.03</v>
      </c>
    </row>
    <row r="355" spans="2:10" x14ac:dyDescent="0.2">
      <c r="B355" t="s">
        <v>583</v>
      </c>
      <c r="C355" t="s">
        <v>18</v>
      </c>
      <c r="D355" t="s">
        <v>584</v>
      </c>
      <c r="E355" t="s">
        <v>28</v>
      </c>
      <c r="F355" t="s">
        <v>29</v>
      </c>
      <c r="G355" t="s">
        <v>1033</v>
      </c>
      <c r="H355" t="s">
        <v>30</v>
      </c>
      <c r="I355" s="1">
        <v>2</v>
      </c>
      <c r="J355" s="2">
        <v>310.33999999999997</v>
      </c>
    </row>
    <row r="356" spans="2:10" x14ac:dyDescent="0.2">
      <c r="B356" t="s">
        <v>583</v>
      </c>
      <c r="C356" t="s">
        <v>31</v>
      </c>
      <c r="D356" t="s">
        <v>584</v>
      </c>
      <c r="E356" t="s">
        <v>44</v>
      </c>
      <c r="F356" t="s">
        <v>45</v>
      </c>
      <c r="G356" t="s">
        <v>1033</v>
      </c>
      <c r="H356" t="s">
        <v>30</v>
      </c>
      <c r="I356" s="1">
        <v>1</v>
      </c>
      <c r="J356" s="2">
        <v>81.900000000000006</v>
      </c>
    </row>
    <row r="357" spans="2:10" x14ac:dyDescent="0.2">
      <c r="B357" t="s">
        <v>583</v>
      </c>
      <c r="C357" t="s">
        <v>31</v>
      </c>
      <c r="D357" t="s">
        <v>584</v>
      </c>
      <c r="E357" t="s">
        <v>399</v>
      </c>
      <c r="F357" t="s">
        <v>400</v>
      </c>
      <c r="G357" t="s">
        <v>1033</v>
      </c>
      <c r="H357" t="s">
        <v>30</v>
      </c>
      <c r="I357" s="1">
        <v>1</v>
      </c>
      <c r="J357" s="2">
        <v>818.97</v>
      </c>
    </row>
    <row r="358" spans="2:10" x14ac:dyDescent="0.2">
      <c r="B358" t="s">
        <v>583</v>
      </c>
      <c r="C358" t="s">
        <v>31</v>
      </c>
      <c r="D358" t="s">
        <v>584</v>
      </c>
      <c r="E358" t="s">
        <v>36</v>
      </c>
      <c r="F358" t="s">
        <v>37</v>
      </c>
      <c r="G358" t="s">
        <v>1034</v>
      </c>
      <c r="H358" t="s">
        <v>15</v>
      </c>
      <c r="I358" s="1">
        <v>1</v>
      </c>
      <c r="J358" s="2">
        <v>301.72000000000003</v>
      </c>
    </row>
    <row r="359" spans="2:10" x14ac:dyDescent="0.2">
      <c r="B359" t="s">
        <v>583</v>
      </c>
      <c r="C359" t="s">
        <v>40</v>
      </c>
      <c r="D359" t="s">
        <v>130</v>
      </c>
      <c r="E359" t="s">
        <v>167</v>
      </c>
      <c r="F359" t="s">
        <v>168</v>
      </c>
      <c r="G359" t="s">
        <v>1033</v>
      </c>
      <c r="H359" t="s">
        <v>30</v>
      </c>
      <c r="I359" s="1">
        <v>1</v>
      </c>
      <c r="J359" s="2">
        <v>1267.24</v>
      </c>
    </row>
    <row r="360" spans="2:10" x14ac:dyDescent="0.2">
      <c r="B360" t="s">
        <v>583</v>
      </c>
      <c r="C360" t="s">
        <v>40</v>
      </c>
      <c r="D360" t="s">
        <v>130</v>
      </c>
      <c r="E360" t="s">
        <v>401</v>
      </c>
      <c r="F360" t="s">
        <v>402</v>
      </c>
      <c r="G360" t="s">
        <v>43</v>
      </c>
      <c r="H360" t="s">
        <v>403</v>
      </c>
      <c r="I360" s="1">
        <v>1</v>
      </c>
      <c r="J360" s="2">
        <v>159.47999999999999</v>
      </c>
    </row>
    <row r="361" spans="2:10" x14ac:dyDescent="0.2">
      <c r="B361" t="s">
        <v>583</v>
      </c>
      <c r="C361" t="s">
        <v>40</v>
      </c>
      <c r="D361" t="s">
        <v>130</v>
      </c>
      <c r="E361" t="s">
        <v>36</v>
      </c>
      <c r="F361" t="s">
        <v>37</v>
      </c>
      <c r="G361" t="s">
        <v>1034</v>
      </c>
      <c r="H361" t="s">
        <v>15</v>
      </c>
      <c r="I361" s="1">
        <v>1</v>
      </c>
      <c r="J361" s="2">
        <v>301.72000000000003</v>
      </c>
    </row>
    <row r="362" spans="2:10" x14ac:dyDescent="0.2">
      <c r="B362" t="s">
        <v>583</v>
      </c>
      <c r="C362" t="s">
        <v>40</v>
      </c>
      <c r="D362" t="s">
        <v>130</v>
      </c>
      <c r="E362" t="s">
        <v>22</v>
      </c>
      <c r="F362" t="s">
        <v>23</v>
      </c>
      <c r="G362" t="s">
        <v>14</v>
      </c>
      <c r="H362" t="s">
        <v>24</v>
      </c>
      <c r="I362" s="1">
        <v>1</v>
      </c>
      <c r="J362" s="2">
        <v>215.52</v>
      </c>
    </row>
    <row r="363" spans="2:10" x14ac:dyDescent="0.2">
      <c r="B363" t="s">
        <v>583</v>
      </c>
      <c r="C363" t="s">
        <v>40</v>
      </c>
      <c r="D363" t="s">
        <v>130</v>
      </c>
      <c r="E363" t="s">
        <v>587</v>
      </c>
      <c r="F363" t="s">
        <v>588</v>
      </c>
      <c r="G363" t="s">
        <v>43</v>
      </c>
      <c r="H363" t="s">
        <v>589</v>
      </c>
      <c r="I363" s="1">
        <v>1</v>
      </c>
      <c r="J363" s="2">
        <v>1637.93</v>
      </c>
    </row>
    <row r="364" spans="2:10" x14ac:dyDescent="0.2">
      <c r="B364" t="s">
        <v>583</v>
      </c>
      <c r="C364" t="s">
        <v>51</v>
      </c>
      <c r="D364" t="s">
        <v>584</v>
      </c>
      <c r="E364" t="s">
        <v>118</v>
      </c>
      <c r="F364" t="s">
        <v>119</v>
      </c>
      <c r="G364" t="s">
        <v>14</v>
      </c>
      <c r="H364" t="s">
        <v>27</v>
      </c>
      <c r="I364" s="1">
        <v>1</v>
      </c>
      <c r="J364" s="2">
        <v>379.31</v>
      </c>
    </row>
    <row r="365" spans="2:10" x14ac:dyDescent="0.2">
      <c r="B365" t="s">
        <v>583</v>
      </c>
      <c r="C365" t="s">
        <v>51</v>
      </c>
      <c r="D365" t="s">
        <v>584</v>
      </c>
      <c r="E365" t="s">
        <v>482</v>
      </c>
      <c r="F365" t="s">
        <v>483</v>
      </c>
      <c r="G365" t="s">
        <v>14</v>
      </c>
      <c r="H365" t="s">
        <v>27</v>
      </c>
      <c r="I365" s="1">
        <v>1</v>
      </c>
      <c r="J365" s="2">
        <v>379.31</v>
      </c>
    </row>
    <row r="366" spans="2:10" x14ac:dyDescent="0.2">
      <c r="B366" t="s">
        <v>583</v>
      </c>
      <c r="C366" t="s">
        <v>51</v>
      </c>
      <c r="D366" t="s">
        <v>584</v>
      </c>
      <c r="E366" t="s">
        <v>36</v>
      </c>
      <c r="F366" t="s">
        <v>37</v>
      </c>
      <c r="G366" t="s">
        <v>1034</v>
      </c>
      <c r="H366" t="s">
        <v>15</v>
      </c>
      <c r="I366" s="1">
        <v>1</v>
      </c>
      <c r="J366" s="2">
        <v>301.72000000000003</v>
      </c>
    </row>
    <row r="367" spans="2:10" x14ac:dyDescent="0.2">
      <c r="B367" t="s">
        <v>583</v>
      </c>
      <c r="C367" t="s">
        <v>51</v>
      </c>
      <c r="D367" t="s">
        <v>584</v>
      </c>
      <c r="E367" t="s">
        <v>22</v>
      </c>
      <c r="F367" t="s">
        <v>23</v>
      </c>
      <c r="G367" t="s">
        <v>14</v>
      </c>
      <c r="H367" t="s">
        <v>24</v>
      </c>
      <c r="I367" s="1">
        <v>1</v>
      </c>
      <c r="J367" s="2">
        <v>215.52</v>
      </c>
    </row>
    <row r="368" spans="2:10" x14ac:dyDescent="0.2">
      <c r="B368" t="s">
        <v>583</v>
      </c>
      <c r="C368" t="s">
        <v>51</v>
      </c>
      <c r="D368" t="s">
        <v>584</v>
      </c>
      <c r="E368" t="s">
        <v>275</v>
      </c>
      <c r="F368" t="s">
        <v>276</v>
      </c>
      <c r="G368" t="s">
        <v>1033</v>
      </c>
      <c r="H368" t="s">
        <v>30</v>
      </c>
      <c r="I368" s="1">
        <v>1</v>
      </c>
      <c r="J368" s="2">
        <v>1551.72</v>
      </c>
    </row>
    <row r="369" spans="2:10" x14ac:dyDescent="0.2">
      <c r="B369" t="s">
        <v>583</v>
      </c>
      <c r="C369" t="s">
        <v>51</v>
      </c>
      <c r="D369" t="s">
        <v>584</v>
      </c>
      <c r="E369" t="s">
        <v>16</v>
      </c>
      <c r="F369" t="s">
        <v>17</v>
      </c>
      <c r="G369" t="s">
        <v>1034</v>
      </c>
      <c r="H369" t="s">
        <v>15</v>
      </c>
      <c r="I369" s="1">
        <v>1</v>
      </c>
      <c r="J369" s="2">
        <v>577.59</v>
      </c>
    </row>
    <row r="370" spans="2:10" x14ac:dyDescent="0.2">
      <c r="B370" t="s">
        <v>583</v>
      </c>
      <c r="C370" t="s">
        <v>51</v>
      </c>
      <c r="D370" t="s">
        <v>584</v>
      </c>
      <c r="E370" t="s">
        <v>28</v>
      </c>
      <c r="F370" t="s">
        <v>29</v>
      </c>
      <c r="G370" t="s">
        <v>1033</v>
      </c>
      <c r="H370" t="s">
        <v>30</v>
      </c>
      <c r="I370" s="1">
        <v>1</v>
      </c>
      <c r="J370" s="2">
        <v>155.16999999999999</v>
      </c>
    </row>
    <row r="371" spans="2:10" x14ac:dyDescent="0.2">
      <c r="B371" t="s">
        <v>583</v>
      </c>
      <c r="C371" t="s">
        <v>65</v>
      </c>
      <c r="D371" t="s">
        <v>130</v>
      </c>
      <c r="E371" t="s">
        <v>44</v>
      </c>
      <c r="F371" t="s">
        <v>45</v>
      </c>
      <c r="G371" t="s">
        <v>1033</v>
      </c>
      <c r="H371" t="s">
        <v>30</v>
      </c>
      <c r="I371" s="1">
        <v>1</v>
      </c>
      <c r="J371" s="2">
        <v>81.900000000000006</v>
      </c>
    </row>
    <row r="372" spans="2:10" x14ac:dyDescent="0.2">
      <c r="B372" t="s">
        <v>583</v>
      </c>
      <c r="C372" t="s">
        <v>65</v>
      </c>
      <c r="D372" t="s">
        <v>130</v>
      </c>
      <c r="E372" t="s">
        <v>590</v>
      </c>
      <c r="F372" t="s">
        <v>591</v>
      </c>
      <c r="G372" t="s">
        <v>14</v>
      </c>
      <c r="H372" t="s">
        <v>35</v>
      </c>
      <c r="I372" s="1">
        <v>1</v>
      </c>
      <c r="J372" s="2">
        <v>77.59</v>
      </c>
    </row>
    <row r="373" spans="2:10" x14ac:dyDescent="0.2">
      <c r="B373" t="s">
        <v>583</v>
      </c>
      <c r="C373" t="s">
        <v>65</v>
      </c>
      <c r="D373" t="s">
        <v>130</v>
      </c>
      <c r="E373" t="s">
        <v>397</v>
      </c>
      <c r="F373" t="s">
        <v>398</v>
      </c>
      <c r="G373" t="s">
        <v>14</v>
      </c>
      <c r="H373" t="s">
        <v>35</v>
      </c>
      <c r="I373" s="1">
        <v>1</v>
      </c>
      <c r="J373" s="2">
        <v>77.59</v>
      </c>
    </row>
    <row r="374" spans="2:10" x14ac:dyDescent="0.2">
      <c r="B374" t="s">
        <v>583</v>
      </c>
      <c r="C374" t="s">
        <v>65</v>
      </c>
      <c r="D374" t="s">
        <v>130</v>
      </c>
      <c r="E374" t="s">
        <v>36</v>
      </c>
      <c r="F374" t="s">
        <v>37</v>
      </c>
      <c r="G374" t="s">
        <v>1034</v>
      </c>
      <c r="H374" t="s">
        <v>15</v>
      </c>
      <c r="I374" s="1">
        <v>1</v>
      </c>
      <c r="J374" s="2">
        <v>301.72000000000003</v>
      </c>
    </row>
    <row r="375" spans="2:10" x14ac:dyDescent="0.2">
      <c r="B375" t="s">
        <v>583</v>
      </c>
      <c r="C375" t="s">
        <v>65</v>
      </c>
      <c r="D375" t="s">
        <v>130</v>
      </c>
      <c r="E375" t="s">
        <v>56</v>
      </c>
      <c r="F375" t="s">
        <v>57</v>
      </c>
      <c r="G375" t="s">
        <v>1034</v>
      </c>
      <c r="H375" t="s">
        <v>15</v>
      </c>
      <c r="I375" s="1">
        <v>1</v>
      </c>
      <c r="J375" s="2">
        <v>431.03</v>
      </c>
    </row>
    <row r="376" spans="2:10" x14ac:dyDescent="0.2">
      <c r="B376" t="s">
        <v>583</v>
      </c>
      <c r="C376" t="s">
        <v>82</v>
      </c>
      <c r="D376" t="s">
        <v>584</v>
      </c>
      <c r="E376" t="s">
        <v>44</v>
      </c>
      <c r="F376" t="s">
        <v>45</v>
      </c>
      <c r="G376" t="s">
        <v>1033</v>
      </c>
      <c r="H376" t="s">
        <v>30</v>
      </c>
      <c r="I376" s="1">
        <v>3</v>
      </c>
      <c r="J376" s="2">
        <v>245.7</v>
      </c>
    </row>
    <row r="377" spans="2:10" x14ac:dyDescent="0.2">
      <c r="B377" t="s">
        <v>583</v>
      </c>
      <c r="C377" t="s">
        <v>82</v>
      </c>
      <c r="D377" t="s">
        <v>584</v>
      </c>
      <c r="E377" t="s">
        <v>592</v>
      </c>
      <c r="F377" t="s">
        <v>593</v>
      </c>
      <c r="G377" t="s">
        <v>54</v>
      </c>
      <c r="H377" t="s">
        <v>138</v>
      </c>
      <c r="I377" s="1">
        <v>1</v>
      </c>
      <c r="J377" s="2">
        <v>387.93</v>
      </c>
    </row>
    <row r="378" spans="2:10" x14ac:dyDescent="0.2">
      <c r="B378" t="s">
        <v>583</v>
      </c>
      <c r="C378" t="s">
        <v>82</v>
      </c>
      <c r="D378" t="s">
        <v>584</v>
      </c>
      <c r="E378" t="s">
        <v>594</v>
      </c>
      <c r="F378" t="s">
        <v>595</v>
      </c>
      <c r="G378" t="s">
        <v>54</v>
      </c>
      <c r="H378" t="s">
        <v>138</v>
      </c>
      <c r="I378" s="1">
        <v>1</v>
      </c>
      <c r="J378" s="2">
        <v>301.72000000000003</v>
      </c>
    </row>
    <row r="379" spans="2:10" x14ac:dyDescent="0.2">
      <c r="B379" t="s">
        <v>583</v>
      </c>
      <c r="C379" t="s">
        <v>82</v>
      </c>
      <c r="D379" t="s">
        <v>584</v>
      </c>
      <c r="E379" t="s">
        <v>120</v>
      </c>
      <c r="F379" t="s">
        <v>121</v>
      </c>
      <c r="G379" t="s">
        <v>1034</v>
      </c>
      <c r="H379" t="s">
        <v>15</v>
      </c>
      <c r="I379" s="1">
        <v>2</v>
      </c>
      <c r="J379" s="2">
        <v>603.44000000000005</v>
      </c>
    </row>
    <row r="380" spans="2:10" x14ac:dyDescent="0.2">
      <c r="B380" t="s">
        <v>583</v>
      </c>
      <c r="C380" t="s">
        <v>82</v>
      </c>
      <c r="D380" t="s">
        <v>584</v>
      </c>
      <c r="E380" t="s">
        <v>521</v>
      </c>
      <c r="F380" t="s">
        <v>522</v>
      </c>
      <c r="G380" t="s">
        <v>14</v>
      </c>
      <c r="H380" t="s">
        <v>104</v>
      </c>
      <c r="I380" s="1">
        <v>4</v>
      </c>
      <c r="J380" s="2">
        <v>86.2</v>
      </c>
    </row>
    <row r="381" spans="2:10" x14ac:dyDescent="0.2">
      <c r="B381" t="s">
        <v>583</v>
      </c>
      <c r="C381" t="s">
        <v>82</v>
      </c>
      <c r="D381" t="s">
        <v>584</v>
      </c>
      <c r="E381" t="s">
        <v>406</v>
      </c>
      <c r="F381" t="s">
        <v>407</v>
      </c>
      <c r="G381" t="s">
        <v>14</v>
      </c>
      <c r="H381" t="s">
        <v>104</v>
      </c>
      <c r="I381" s="1">
        <v>5</v>
      </c>
      <c r="J381" s="2">
        <v>86.2</v>
      </c>
    </row>
    <row r="382" spans="2:10" x14ac:dyDescent="0.2">
      <c r="B382" t="s">
        <v>583</v>
      </c>
      <c r="C382" t="s">
        <v>88</v>
      </c>
      <c r="D382" t="s">
        <v>584</v>
      </c>
      <c r="E382" t="s">
        <v>44</v>
      </c>
      <c r="F382" t="s">
        <v>45</v>
      </c>
      <c r="G382" t="s">
        <v>1033</v>
      </c>
      <c r="H382" t="s">
        <v>30</v>
      </c>
      <c r="I382" s="1">
        <v>1</v>
      </c>
      <c r="J382" s="2">
        <v>81.900000000000006</v>
      </c>
    </row>
    <row r="383" spans="2:10" x14ac:dyDescent="0.2">
      <c r="B383" t="s">
        <v>583</v>
      </c>
      <c r="C383" t="s">
        <v>88</v>
      </c>
      <c r="D383" t="s">
        <v>584</v>
      </c>
      <c r="E383" t="s">
        <v>545</v>
      </c>
      <c r="F383" t="s">
        <v>546</v>
      </c>
      <c r="G383" t="s">
        <v>284</v>
      </c>
      <c r="H383" t="s">
        <v>547</v>
      </c>
      <c r="I383" s="1">
        <v>1</v>
      </c>
      <c r="J383" s="2">
        <v>297.41000000000003</v>
      </c>
    </row>
    <row r="384" spans="2:10" x14ac:dyDescent="0.2">
      <c r="B384" t="s">
        <v>583</v>
      </c>
      <c r="C384" t="s">
        <v>88</v>
      </c>
      <c r="D384" t="s">
        <v>584</v>
      </c>
      <c r="E384" t="s">
        <v>267</v>
      </c>
      <c r="F384" t="s">
        <v>268</v>
      </c>
      <c r="G384" t="s">
        <v>1034</v>
      </c>
      <c r="H384" t="s">
        <v>15</v>
      </c>
      <c r="I384" s="1">
        <v>1</v>
      </c>
      <c r="J384" s="2">
        <v>258.62</v>
      </c>
    </row>
    <row r="385" spans="2:10" x14ac:dyDescent="0.2">
      <c r="B385" t="s">
        <v>583</v>
      </c>
      <c r="C385" t="s">
        <v>88</v>
      </c>
      <c r="D385" t="s">
        <v>584</v>
      </c>
      <c r="E385" t="s">
        <v>122</v>
      </c>
      <c r="F385" t="s">
        <v>123</v>
      </c>
      <c r="G385" t="s">
        <v>1034</v>
      </c>
      <c r="H385" t="s">
        <v>15</v>
      </c>
      <c r="I385" s="1">
        <v>1</v>
      </c>
      <c r="J385" s="2">
        <v>387.93</v>
      </c>
    </row>
    <row r="386" spans="2:10" x14ac:dyDescent="0.2">
      <c r="B386" t="s">
        <v>583</v>
      </c>
      <c r="C386" t="s">
        <v>117</v>
      </c>
      <c r="D386" t="s">
        <v>584</v>
      </c>
      <c r="E386" t="s">
        <v>120</v>
      </c>
      <c r="F386" t="s">
        <v>121</v>
      </c>
      <c r="G386" t="s">
        <v>1034</v>
      </c>
      <c r="H386" t="s">
        <v>15</v>
      </c>
      <c r="I386" s="1">
        <v>2</v>
      </c>
      <c r="J386" s="2">
        <v>603.44000000000005</v>
      </c>
    </row>
    <row r="387" spans="2:10" x14ac:dyDescent="0.2">
      <c r="B387" t="s">
        <v>583</v>
      </c>
      <c r="C387" t="s">
        <v>117</v>
      </c>
      <c r="D387" t="s">
        <v>584</v>
      </c>
      <c r="E387" t="s">
        <v>122</v>
      </c>
      <c r="F387" t="s">
        <v>123</v>
      </c>
      <c r="G387" t="s">
        <v>1034</v>
      </c>
      <c r="H387" t="s">
        <v>15</v>
      </c>
      <c r="I387" s="1">
        <v>1</v>
      </c>
      <c r="J387" s="2">
        <v>387.93</v>
      </c>
    </row>
    <row r="388" spans="2:10" x14ac:dyDescent="0.2">
      <c r="B388" t="s">
        <v>583</v>
      </c>
      <c r="C388" t="s">
        <v>117</v>
      </c>
      <c r="D388" t="s">
        <v>584</v>
      </c>
      <c r="E388" t="s">
        <v>83</v>
      </c>
      <c r="F388" t="s">
        <v>84</v>
      </c>
      <c r="G388" t="s">
        <v>1034</v>
      </c>
      <c r="H388" t="s">
        <v>15</v>
      </c>
      <c r="I388" s="1">
        <v>1</v>
      </c>
      <c r="J388" s="2">
        <v>387.93</v>
      </c>
    </row>
    <row r="389" spans="2:10" x14ac:dyDescent="0.2">
      <c r="B389" t="s">
        <v>583</v>
      </c>
      <c r="C389" t="s">
        <v>117</v>
      </c>
      <c r="D389" t="s">
        <v>584</v>
      </c>
      <c r="E389" t="s">
        <v>596</v>
      </c>
      <c r="F389" t="s">
        <v>597</v>
      </c>
      <c r="G389" t="s">
        <v>43</v>
      </c>
      <c r="H389" t="s">
        <v>50</v>
      </c>
      <c r="I389" s="1">
        <v>1</v>
      </c>
      <c r="J389" s="2">
        <v>181.03</v>
      </c>
    </row>
    <row r="390" spans="2:10" x14ac:dyDescent="0.2">
      <c r="B390" t="s">
        <v>583</v>
      </c>
      <c r="C390" t="s">
        <v>117</v>
      </c>
      <c r="D390" t="s">
        <v>584</v>
      </c>
      <c r="E390" t="s">
        <v>63</v>
      </c>
      <c r="F390" t="s">
        <v>64</v>
      </c>
      <c r="G390" t="s">
        <v>1034</v>
      </c>
      <c r="H390" t="s">
        <v>15</v>
      </c>
      <c r="I390" s="1">
        <v>1</v>
      </c>
      <c r="J390" s="2">
        <v>172.41</v>
      </c>
    </row>
    <row r="391" spans="2:10" x14ac:dyDescent="0.2">
      <c r="B391" t="s">
        <v>583</v>
      </c>
      <c r="C391" t="s">
        <v>117</v>
      </c>
      <c r="D391" t="s">
        <v>584</v>
      </c>
      <c r="E391" t="s">
        <v>16</v>
      </c>
      <c r="F391" t="s">
        <v>17</v>
      </c>
      <c r="G391" t="s">
        <v>1034</v>
      </c>
      <c r="H391" t="s">
        <v>15</v>
      </c>
      <c r="I391" s="1">
        <v>1</v>
      </c>
      <c r="J391" s="2">
        <v>577.59</v>
      </c>
    </row>
    <row r="392" spans="2:10" x14ac:dyDescent="0.2">
      <c r="B392" t="s">
        <v>583</v>
      </c>
      <c r="C392" t="s">
        <v>117</v>
      </c>
      <c r="D392" t="s">
        <v>584</v>
      </c>
      <c r="E392" t="s">
        <v>110</v>
      </c>
      <c r="F392" t="s">
        <v>111</v>
      </c>
      <c r="G392" t="s">
        <v>14</v>
      </c>
      <c r="H392" t="s">
        <v>112</v>
      </c>
      <c r="I392" s="1">
        <v>1</v>
      </c>
      <c r="J392" s="2">
        <v>301.72000000000003</v>
      </c>
    </row>
    <row r="393" spans="2:10" x14ac:dyDescent="0.2">
      <c r="B393" t="s">
        <v>583</v>
      </c>
      <c r="C393" t="s">
        <v>129</v>
      </c>
      <c r="D393" t="s">
        <v>584</v>
      </c>
      <c r="E393" t="s">
        <v>44</v>
      </c>
      <c r="F393" t="s">
        <v>45</v>
      </c>
      <c r="G393" t="s">
        <v>1033</v>
      </c>
      <c r="H393" t="s">
        <v>30</v>
      </c>
      <c r="I393" s="1">
        <v>1</v>
      </c>
      <c r="J393" s="2">
        <v>81.900000000000006</v>
      </c>
    </row>
    <row r="394" spans="2:10" x14ac:dyDescent="0.2">
      <c r="B394" t="s">
        <v>583</v>
      </c>
      <c r="C394" t="s">
        <v>129</v>
      </c>
      <c r="D394" t="s">
        <v>584</v>
      </c>
      <c r="E394" t="s">
        <v>216</v>
      </c>
      <c r="F394" t="s">
        <v>217</v>
      </c>
      <c r="G394" t="s">
        <v>14</v>
      </c>
      <c r="H394" t="s">
        <v>104</v>
      </c>
      <c r="I394" s="1">
        <v>1</v>
      </c>
      <c r="J394" s="2">
        <v>17.239999999999998</v>
      </c>
    </row>
    <row r="395" spans="2:10" x14ac:dyDescent="0.2">
      <c r="B395" t="s">
        <v>583</v>
      </c>
      <c r="C395" t="s">
        <v>129</v>
      </c>
      <c r="D395" t="s">
        <v>584</v>
      </c>
      <c r="E395" t="s">
        <v>521</v>
      </c>
      <c r="F395" t="s">
        <v>522</v>
      </c>
      <c r="G395" t="s">
        <v>14</v>
      </c>
      <c r="H395" t="s">
        <v>104</v>
      </c>
      <c r="I395" s="1">
        <v>2</v>
      </c>
      <c r="J395" s="2">
        <v>43.1</v>
      </c>
    </row>
    <row r="396" spans="2:10" x14ac:dyDescent="0.2">
      <c r="B396" t="s">
        <v>583</v>
      </c>
      <c r="C396" t="s">
        <v>129</v>
      </c>
      <c r="D396" t="s">
        <v>584</v>
      </c>
      <c r="E396" t="s">
        <v>406</v>
      </c>
      <c r="F396" t="s">
        <v>407</v>
      </c>
      <c r="G396" t="s">
        <v>14</v>
      </c>
      <c r="H396" t="s">
        <v>104</v>
      </c>
      <c r="I396" s="1">
        <v>3</v>
      </c>
      <c r="J396" s="2">
        <v>51.72</v>
      </c>
    </row>
    <row r="397" spans="2:10" x14ac:dyDescent="0.2">
      <c r="B397" t="s">
        <v>615</v>
      </c>
      <c r="C397" t="s">
        <v>10</v>
      </c>
      <c r="D397" t="s">
        <v>616</v>
      </c>
      <c r="E397" t="s">
        <v>611</v>
      </c>
      <c r="F397" t="s">
        <v>612</v>
      </c>
      <c r="G397" t="s">
        <v>1033</v>
      </c>
      <c r="H397" t="s">
        <v>30</v>
      </c>
      <c r="I397" s="1">
        <v>1</v>
      </c>
      <c r="J397" s="2">
        <v>793.1</v>
      </c>
    </row>
    <row r="398" spans="2:10" x14ac:dyDescent="0.2">
      <c r="B398" t="s">
        <v>615</v>
      </c>
      <c r="C398" t="s">
        <v>10</v>
      </c>
      <c r="D398" t="s">
        <v>616</v>
      </c>
      <c r="E398" t="s">
        <v>617</v>
      </c>
      <c r="F398" t="s">
        <v>618</v>
      </c>
      <c r="G398" t="s">
        <v>1033</v>
      </c>
      <c r="H398" t="s">
        <v>30</v>
      </c>
      <c r="I398" s="1">
        <v>1</v>
      </c>
      <c r="J398" s="2">
        <v>73.28</v>
      </c>
    </row>
    <row r="399" spans="2:10" x14ac:dyDescent="0.2">
      <c r="B399" t="s">
        <v>615</v>
      </c>
      <c r="C399" t="s">
        <v>10</v>
      </c>
      <c r="D399" t="s">
        <v>616</v>
      </c>
      <c r="E399" t="s">
        <v>36</v>
      </c>
      <c r="F399" t="s">
        <v>37</v>
      </c>
      <c r="G399" t="s">
        <v>1034</v>
      </c>
      <c r="H399" t="s">
        <v>15</v>
      </c>
      <c r="I399" s="1">
        <v>1</v>
      </c>
      <c r="J399" s="2">
        <v>301.72000000000003</v>
      </c>
    </row>
    <row r="400" spans="2:10" x14ac:dyDescent="0.2">
      <c r="B400" t="s">
        <v>615</v>
      </c>
      <c r="C400" t="s">
        <v>10</v>
      </c>
      <c r="D400" t="s">
        <v>616</v>
      </c>
      <c r="E400" t="s">
        <v>122</v>
      </c>
      <c r="F400" t="s">
        <v>123</v>
      </c>
      <c r="G400" t="s">
        <v>1034</v>
      </c>
      <c r="H400" t="s">
        <v>15</v>
      </c>
      <c r="I400" s="1">
        <v>1</v>
      </c>
      <c r="J400" s="2">
        <v>387.93</v>
      </c>
    </row>
    <row r="401" spans="2:10" x14ac:dyDescent="0.2">
      <c r="B401" t="s">
        <v>615</v>
      </c>
      <c r="C401" t="s">
        <v>10</v>
      </c>
      <c r="D401" t="s">
        <v>616</v>
      </c>
      <c r="E401" t="s">
        <v>304</v>
      </c>
      <c r="F401" t="s">
        <v>305</v>
      </c>
      <c r="G401" t="s">
        <v>76</v>
      </c>
      <c r="H401" t="s">
        <v>60</v>
      </c>
      <c r="I401" s="1">
        <v>1</v>
      </c>
      <c r="J401" s="2">
        <v>344.83</v>
      </c>
    </row>
    <row r="402" spans="2:10" x14ac:dyDescent="0.2">
      <c r="B402" t="s">
        <v>615</v>
      </c>
      <c r="C402" t="s">
        <v>10</v>
      </c>
      <c r="D402" t="s">
        <v>616</v>
      </c>
      <c r="E402" t="s">
        <v>22</v>
      </c>
      <c r="F402" t="s">
        <v>23</v>
      </c>
      <c r="G402" t="s">
        <v>14</v>
      </c>
      <c r="H402" t="s">
        <v>24</v>
      </c>
      <c r="I402" s="1">
        <v>1</v>
      </c>
      <c r="J402" s="2">
        <v>215.52</v>
      </c>
    </row>
    <row r="403" spans="2:10" x14ac:dyDescent="0.2">
      <c r="B403" t="s">
        <v>615</v>
      </c>
      <c r="C403" t="s">
        <v>10</v>
      </c>
      <c r="D403" t="s">
        <v>616</v>
      </c>
      <c r="E403" t="s">
        <v>61</v>
      </c>
      <c r="F403" t="s">
        <v>62</v>
      </c>
      <c r="G403" t="s">
        <v>1034</v>
      </c>
      <c r="H403" t="s">
        <v>15</v>
      </c>
      <c r="I403" s="1">
        <v>2</v>
      </c>
      <c r="J403" s="2">
        <v>344.82</v>
      </c>
    </row>
    <row r="404" spans="2:10" x14ac:dyDescent="0.2">
      <c r="B404" t="s">
        <v>615</v>
      </c>
      <c r="C404" t="s">
        <v>10</v>
      </c>
      <c r="D404" t="s">
        <v>616</v>
      </c>
      <c r="E404" t="s">
        <v>63</v>
      </c>
      <c r="F404" t="s">
        <v>64</v>
      </c>
      <c r="G404" t="s">
        <v>1034</v>
      </c>
      <c r="H404" t="s">
        <v>15</v>
      </c>
      <c r="I404" s="1">
        <v>2</v>
      </c>
      <c r="J404" s="2">
        <v>344.82</v>
      </c>
    </row>
    <row r="405" spans="2:10" x14ac:dyDescent="0.2">
      <c r="B405" t="s">
        <v>615</v>
      </c>
      <c r="C405" t="s">
        <v>10</v>
      </c>
      <c r="D405" t="s">
        <v>616</v>
      </c>
      <c r="E405" t="s">
        <v>16</v>
      </c>
      <c r="F405" t="s">
        <v>17</v>
      </c>
      <c r="G405" t="s">
        <v>1034</v>
      </c>
      <c r="H405" t="s">
        <v>15</v>
      </c>
      <c r="I405" s="1">
        <v>1</v>
      </c>
      <c r="J405" s="2">
        <v>577.59</v>
      </c>
    </row>
    <row r="406" spans="2:10" x14ac:dyDescent="0.2">
      <c r="B406" t="s">
        <v>615</v>
      </c>
      <c r="C406" t="s">
        <v>18</v>
      </c>
      <c r="D406" t="s">
        <v>616</v>
      </c>
      <c r="E406" t="s">
        <v>619</v>
      </c>
      <c r="F406" t="s">
        <v>620</v>
      </c>
      <c r="G406" t="s">
        <v>54</v>
      </c>
      <c r="H406" t="s">
        <v>138</v>
      </c>
      <c r="I406" s="1">
        <v>1</v>
      </c>
      <c r="J406" s="2">
        <v>129.31</v>
      </c>
    </row>
    <row r="407" spans="2:10" x14ac:dyDescent="0.2">
      <c r="B407" t="s">
        <v>615</v>
      </c>
      <c r="C407" t="s">
        <v>18</v>
      </c>
      <c r="D407" t="s">
        <v>616</v>
      </c>
      <c r="E407" t="s">
        <v>399</v>
      </c>
      <c r="F407" t="s">
        <v>400</v>
      </c>
      <c r="G407" t="s">
        <v>1033</v>
      </c>
      <c r="H407" t="s">
        <v>30</v>
      </c>
      <c r="I407" s="1">
        <v>2</v>
      </c>
      <c r="J407" s="2">
        <v>1637.94</v>
      </c>
    </row>
    <row r="408" spans="2:10" x14ac:dyDescent="0.2">
      <c r="B408" t="s">
        <v>615</v>
      </c>
      <c r="C408" t="s">
        <v>18</v>
      </c>
      <c r="D408" t="s">
        <v>616</v>
      </c>
      <c r="E408" t="s">
        <v>70</v>
      </c>
      <c r="F408" t="s">
        <v>71</v>
      </c>
      <c r="G408" t="s">
        <v>1033</v>
      </c>
      <c r="H408" t="s">
        <v>30</v>
      </c>
      <c r="I408" s="1">
        <v>1</v>
      </c>
      <c r="J408" s="2">
        <v>2112.0700000000002</v>
      </c>
    </row>
    <row r="409" spans="2:10" x14ac:dyDescent="0.2">
      <c r="B409" t="s">
        <v>615</v>
      </c>
      <c r="C409" t="s">
        <v>18</v>
      </c>
      <c r="D409" t="s">
        <v>616</v>
      </c>
      <c r="E409" t="s">
        <v>298</v>
      </c>
      <c r="F409" t="s">
        <v>299</v>
      </c>
      <c r="G409" t="s">
        <v>14</v>
      </c>
      <c r="H409" t="s">
        <v>27</v>
      </c>
      <c r="I409" s="1">
        <v>1</v>
      </c>
      <c r="J409" s="2">
        <v>387.93</v>
      </c>
    </row>
    <row r="410" spans="2:10" x14ac:dyDescent="0.2">
      <c r="B410" t="s">
        <v>615</v>
      </c>
      <c r="C410" t="s">
        <v>18</v>
      </c>
      <c r="D410" t="s">
        <v>616</v>
      </c>
      <c r="E410" t="s">
        <v>543</v>
      </c>
      <c r="F410" t="s">
        <v>544</v>
      </c>
      <c r="G410" t="s">
        <v>14</v>
      </c>
      <c r="H410" t="s">
        <v>27</v>
      </c>
      <c r="I410" s="1">
        <v>1</v>
      </c>
      <c r="J410" s="2">
        <v>413.79</v>
      </c>
    </row>
    <row r="411" spans="2:10" x14ac:dyDescent="0.2">
      <c r="B411" t="s">
        <v>615</v>
      </c>
      <c r="C411" t="s">
        <v>18</v>
      </c>
      <c r="D411" t="s">
        <v>616</v>
      </c>
      <c r="E411" t="s">
        <v>267</v>
      </c>
      <c r="F411" t="s">
        <v>268</v>
      </c>
      <c r="G411" t="s">
        <v>1034</v>
      </c>
      <c r="H411" t="s">
        <v>15</v>
      </c>
      <c r="I411" s="1">
        <v>1</v>
      </c>
      <c r="J411" s="2">
        <v>258.62</v>
      </c>
    </row>
    <row r="412" spans="2:10" x14ac:dyDescent="0.2">
      <c r="B412" t="s">
        <v>615</v>
      </c>
      <c r="C412" t="s">
        <v>18</v>
      </c>
      <c r="D412" t="s">
        <v>616</v>
      </c>
      <c r="E412" t="s">
        <v>38</v>
      </c>
      <c r="F412" t="s">
        <v>39</v>
      </c>
      <c r="G412" t="s">
        <v>1034</v>
      </c>
      <c r="H412" t="s">
        <v>15</v>
      </c>
      <c r="I412" s="1">
        <v>1</v>
      </c>
      <c r="J412" s="2">
        <v>431.03</v>
      </c>
    </row>
    <row r="413" spans="2:10" x14ac:dyDescent="0.2">
      <c r="B413" t="s">
        <v>615</v>
      </c>
      <c r="C413" t="s">
        <v>18</v>
      </c>
      <c r="D413" t="s">
        <v>616</v>
      </c>
      <c r="E413" t="s">
        <v>63</v>
      </c>
      <c r="F413" t="s">
        <v>64</v>
      </c>
      <c r="G413" t="s">
        <v>1034</v>
      </c>
      <c r="H413" t="s">
        <v>15</v>
      </c>
      <c r="I413" s="1">
        <v>2</v>
      </c>
      <c r="J413" s="2">
        <v>344.82</v>
      </c>
    </row>
    <row r="414" spans="2:10" x14ac:dyDescent="0.2">
      <c r="B414" t="s">
        <v>615</v>
      </c>
      <c r="C414" t="s">
        <v>18</v>
      </c>
      <c r="D414" t="s">
        <v>616</v>
      </c>
      <c r="E414" t="s">
        <v>16</v>
      </c>
      <c r="F414" t="s">
        <v>17</v>
      </c>
      <c r="G414" t="s">
        <v>1034</v>
      </c>
      <c r="H414" t="s">
        <v>15</v>
      </c>
      <c r="I414" s="1">
        <v>1</v>
      </c>
      <c r="J414" s="2">
        <v>577.59</v>
      </c>
    </row>
    <row r="415" spans="2:10" x14ac:dyDescent="0.2">
      <c r="B415" t="s">
        <v>615</v>
      </c>
      <c r="C415" t="s">
        <v>31</v>
      </c>
      <c r="D415" t="s">
        <v>616</v>
      </c>
      <c r="E415" t="s">
        <v>621</v>
      </c>
      <c r="F415" t="s">
        <v>622</v>
      </c>
      <c r="G415" t="s">
        <v>14</v>
      </c>
      <c r="H415" t="s">
        <v>27</v>
      </c>
      <c r="I415" s="1">
        <v>1</v>
      </c>
      <c r="J415" s="2">
        <v>413.79</v>
      </c>
    </row>
    <row r="416" spans="2:10" x14ac:dyDescent="0.2">
      <c r="B416" t="s">
        <v>615</v>
      </c>
      <c r="C416" t="s">
        <v>31</v>
      </c>
      <c r="D416" t="s">
        <v>616</v>
      </c>
      <c r="E416" t="s">
        <v>267</v>
      </c>
      <c r="F416" t="s">
        <v>268</v>
      </c>
      <c r="G416" t="s">
        <v>1034</v>
      </c>
      <c r="H416" t="s">
        <v>15</v>
      </c>
      <c r="I416" s="1">
        <v>1</v>
      </c>
      <c r="J416" s="2">
        <v>258.62</v>
      </c>
    </row>
    <row r="417" spans="2:10" x14ac:dyDescent="0.2">
      <c r="B417" t="s">
        <v>615</v>
      </c>
      <c r="C417" t="s">
        <v>31</v>
      </c>
      <c r="D417" t="s">
        <v>616</v>
      </c>
      <c r="E417" t="s">
        <v>74</v>
      </c>
      <c r="F417" t="s">
        <v>75</v>
      </c>
      <c r="G417" t="s">
        <v>76</v>
      </c>
      <c r="H417" t="s">
        <v>60</v>
      </c>
      <c r="I417" s="1">
        <v>1</v>
      </c>
      <c r="J417" s="2">
        <v>344.83</v>
      </c>
    </row>
    <row r="418" spans="2:10" x14ac:dyDescent="0.2">
      <c r="B418" t="s">
        <v>615</v>
      </c>
      <c r="C418" t="s">
        <v>31</v>
      </c>
      <c r="D418" t="s">
        <v>616</v>
      </c>
      <c r="E418" t="s">
        <v>623</v>
      </c>
      <c r="F418" t="s">
        <v>624</v>
      </c>
      <c r="G418" t="s">
        <v>76</v>
      </c>
      <c r="H418" t="s">
        <v>60</v>
      </c>
      <c r="I418" s="1">
        <v>1</v>
      </c>
      <c r="J418" s="2">
        <v>344.83</v>
      </c>
    </row>
    <row r="419" spans="2:10" x14ac:dyDescent="0.2">
      <c r="B419" t="s">
        <v>615</v>
      </c>
      <c r="C419" t="s">
        <v>31</v>
      </c>
      <c r="D419" t="s">
        <v>616</v>
      </c>
      <c r="E419" t="s">
        <v>61</v>
      </c>
      <c r="F419" t="s">
        <v>62</v>
      </c>
      <c r="G419" t="s">
        <v>1034</v>
      </c>
      <c r="H419" t="s">
        <v>15</v>
      </c>
      <c r="I419" s="1">
        <v>1</v>
      </c>
      <c r="J419" s="2">
        <v>172.41</v>
      </c>
    </row>
    <row r="420" spans="2:10" x14ac:dyDescent="0.2">
      <c r="B420" t="s">
        <v>615</v>
      </c>
      <c r="C420" t="s">
        <v>40</v>
      </c>
      <c r="D420" t="s">
        <v>616</v>
      </c>
      <c r="E420" t="s">
        <v>97</v>
      </c>
      <c r="F420" t="s">
        <v>98</v>
      </c>
      <c r="G420" t="s">
        <v>1033</v>
      </c>
      <c r="H420" t="s">
        <v>30</v>
      </c>
      <c r="I420" s="1">
        <v>1</v>
      </c>
      <c r="J420" s="2">
        <v>2500</v>
      </c>
    </row>
    <row r="421" spans="2:10" x14ac:dyDescent="0.2">
      <c r="B421" t="s">
        <v>615</v>
      </c>
      <c r="C421" t="s">
        <v>40</v>
      </c>
      <c r="D421" t="s">
        <v>616</v>
      </c>
      <c r="E421" t="s">
        <v>625</v>
      </c>
      <c r="F421" t="s">
        <v>626</v>
      </c>
      <c r="G421" t="s">
        <v>54</v>
      </c>
      <c r="H421" t="s">
        <v>138</v>
      </c>
      <c r="I421" s="1">
        <v>1</v>
      </c>
      <c r="J421" s="2">
        <v>100</v>
      </c>
    </row>
    <row r="422" spans="2:10" x14ac:dyDescent="0.2">
      <c r="B422" t="s">
        <v>615</v>
      </c>
      <c r="C422" t="s">
        <v>40</v>
      </c>
      <c r="D422" t="s">
        <v>616</v>
      </c>
      <c r="E422" t="s">
        <v>61</v>
      </c>
      <c r="F422" t="s">
        <v>62</v>
      </c>
      <c r="G422" t="s">
        <v>1034</v>
      </c>
      <c r="H422" t="s">
        <v>15</v>
      </c>
      <c r="I422" s="1">
        <v>1</v>
      </c>
      <c r="J422" s="2">
        <v>172.41</v>
      </c>
    </row>
    <row r="423" spans="2:10" x14ac:dyDescent="0.2">
      <c r="B423" t="s">
        <v>615</v>
      </c>
      <c r="C423" t="s">
        <v>51</v>
      </c>
      <c r="D423" t="s">
        <v>616</v>
      </c>
      <c r="E423" t="s">
        <v>171</v>
      </c>
      <c r="F423" t="s">
        <v>172</v>
      </c>
      <c r="G423" t="s">
        <v>14</v>
      </c>
      <c r="H423" t="s">
        <v>35</v>
      </c>
      <c r="I423" s="1">
        <v>1</v>
      </c>
      <c r="J423" s="2">
        <v>77.59</v>
      </c>
    </row>
    <row r="424" spans="2:10" x14ac:dyDescent="0.2">
      <c r="B424" t="s">
        <v>615</v>
      </c>
      <c r="C424" t="s">
        <v>51</v>
      </c>
      <c r="D424" t="s">
        <v>616</v>
      </c>
      <c r="E424" t="s">
        <v>419</v>
      </c>
      <c r="F424" t="s">
        <v>420</v>
      </c>
      <c r="G424" t="s">
        <v>14</v>
      </c>
      <c r="H424" t="s">
        <v>35</v>
      </c>
      <c r="I424" s="1">
        <v>1</v>
      </c>
      <c r="J424" s="2">
        <v>77.59</v>
      </c>
    </row>
    <row r="425" spans="2:10" x14ac:dyDescent="0.2">
      <c r="B425" t="s">
        <v>615</v>
      </c>
      <c r="C425" t="s">
        <v>51</v>
      </c>
      <c r="D425" t="s">
        <v>616</v>
      </c>
      <c r="E425" t="s">
        <v>267</v>
      </c>
      <c r="F425" t="s">
        <v>268</v>
      </c>
      <c r="G425" t="s">
        <v>1034</v>
      </c>
      <c r="H425" t="s">
        <v>15</v>
      </c>
      <c r="I425" s="1">
        <v>1</v>
      </c>
      <c r="J425" s="2">
        <v>258.62</v>
      </c>
    </row>
    <row r="426" spans="2:10" x14ac:dyDescent="0.2">
      <c r="B426" t="s">
        <v>615</v>
      </c>
      <c r="C426" t="s">
        <v>51</v>
      </c>
      <c r="D426" t="s">
        <v>616</v>
      </c>
      <c r="E426" t="s">
        <v>344</v>
      </c>
      <c r="F426" t="s">
        <v>345</v>
      </c>
      <c r="G426" t="s">
        <v>1033</v>
      </c>
      <c r="H426" t="s">
        <v>30</v>
      </c>
      <c r="I426" s="1">
        <v>1</v>
      </c>
      <c r="J426" s="2">
        <v>2163.79</v>
      </c>
    </row>
    <row r="427" spans="2:10" x14ac:dyDescent="0.2">
      <c r="B427" t="s">
        <v>615</v>
      </c>
      <c r="C427" t="s">
        <v>65</v>
      </c>
      <c r="D427" t="s">
        <v>616</v>
      </c>
      <c r="E427" t="s">
        <v>267</v>
      </c>
      <c r="F427" t="s">
        <v>268</v>
      </c>
      <c r="G427" t="s">
        <v>1034</v>
      </c>
      <c r="H427" t="s">
        <v>15</v>
      </c>
      <c r="I427" s="1">
        <v>1</v>
      </c>
      <c r="J427" s="2">
        <v>258.62</v>
      </c>
    </row>
    <row r="428" spans="2:10" x14ac:dyDescent="0.2">
      <c r="B428" t="s">
        <v>615</v>
      </c>
      <c r="C428" t="s">
        <v>65</v>
      </c>
      <c r="D428" t="s">
        <v>616</v>
      </c>
      <c r="E428" t="s">
        <v>16</v>
      </c>
      <c r="F428" t="s">
        <v>17</v>
      </c>
      <c r="G428" t="s">
        <v>1034</v>
      </c>
      <c r="H428" t="s">
        <v>15</v>
      </c>
      <c r="I428" s="1">
        <v>1</v>
      </c>
      <c r="J428" s="2">
        <v>577.59</v>
      </c>
    </row>
    <row r="429" spans="2:10" x14ac:dyDescent="0.2">
      <c r="B429" t="s">
        <v>615</v>
      </c>
      <c r="C429" t="s">
        <v>82</v>
      </c>
      <c r="D429" t="s">
        <v>616</v>
      </c>
      <c r="E429" t="s">
        <v>627</v>
      </c>
      <c r="F429" t="s">
        <v>628</v>
      </c>
      <c r="G429" t="s">
        <v>1033</v>
      </c>
      <c r="H429" t="s">
        <v>30</v>
      </c>
      <c r="I429" s="1">
        <v>1</v>
      </c>
      <c r="J429" s="2">
        <v>344.83</v>
      </c>
    </row>
    <row r="430" spans="2:10" x14ac:dyDescent="0.2">
      <c r="B430" t="s">
        <v>615</v>
      </c>
      <c r="C430" t="s">
        <v>82</v>
      </c>
      <c r="D430" t="s">
        <v>616</v>
      </c>
      <c r="E430" t="s">
        <v>316</v>
      </c>
      <c r="F430" t="s">
        <v>317</v>
      </c>
      <c r="G430" t="s">
        <v>14</v>
      </c>
      <c r="H430" t="s">
        <v>27</v>
      </c>
      <c r="I430" s="1">
        <v>1</v>
      </c>
      <c r="J430" s="2">
        <v>413.79</v>
      </c>
    </row>
    <row r="431" spans="2:10" x14ac:dyDescent="0.2">
      <c r="B431" t="s">
        <v>615</v>
      </c>
      <c r="C431" t="s">
        <v>82</v>
      </c>
      <c r="D431" t="s">
        <v>616</v>
      </c>
      <c r="E431" t="s">
        <v>61</v>
      </c>
      <c r="F431" t="s">
        <v>62</v>
      </c>
      <c r="G431" t="s">
        <v>1034</v>
      </c>
      <c r="H431" t="s">
        <v>15</v>
      </c>
      <c r="I431" s="1">
        <v>1</v>
      </c>
      <c r="J431" s="2">
        <v>172.41</v>
      </c>
    </row>
    <row r="432" spans="2:10" x14ac:dyDescent="0.2">
      <c r="B432" t="s">
        <v>615</v>
      </c>
      <c r="C432" t="s">
        <v>82</v>
      </c>
      <c r="D432" t="s">
        <v>616</v>
      </c>
      <c r="E432" t="s">
        <v>63</v>
      </c>
      <c r="F432" t="s">
        <v>64</v>
      </c>
      <c r="G432" t="s">
        <v>1034</v>
      </c>
      <c r="H432" t="s">
        <v>15</v>
      </c>
      <c r="I432" s="1">
        <v>1</v>
      </c>
      <c r="J432" s="2">
        <v>172.41</v>
      </c>
    </row>
    <row r="433" spans="2:10" x14ac:dyDescent="0.2">
      <c r="B433" t="s">
        <v>615</v>
      </c>
      <c r="C433" t="s">
        <v>82</v>
      </c>
      <c r="D433" t="s">
        <v>616</v>
      </c>
      <c r="E433" t="s">
        <v>16</v>
      </c>
      <c r="F433" t="s">
        <v>17</v>
      </c>
      <c r="G433" t="s">
        <v>1034</v>
      </c>
      <c r="H433" t="s">
        <v>15</v>
      </c>
      <c r="I433" s="1">
        <v>1</v>
      </c>
      <c r="J433" s="2">
        <v>577.59</v>
      </c>
    </row>
    <row r="434" spans="2:10" x14ac:dyDescent="0.2">
      <c r="B434" t="s">
        <v>615</v>
      </c>
      <c r="C434" t="s">
        <v>88</v>
      </c>
      <c r="D434" t="s">
        <v>130</v>
      </c>
      <c r="E434" t="s">
        <v>623</v>
      </c>
      <c r="F434" t="s">
        <v>624</v>
      </c>
      <c r="G434" t="s">
        <v>76</v>
      </c>
      <c r="H434" t="s">
        <v>60</v>
      </c>
      <c r="I434" s="1">
        <v>1</v>
      </c>
      <c r="J434" s="2">
        <v>344.83</v>
      </c>
    </row>
    <row r="435" spans="2:10" x14ac:dyDescent="0.2">
      <c r="B435" t="s">
        <v>615</v>
      </c>
      <c r="C435" t="s">
        <v>117</v>
      </c>
      <c r="D435" t="s">
        <v>616</v>
      </c>
      <c r="E435" t="s">
        <v>167</v>
      </c>
      <c r="F435" t="s">
        <v>168</v>
      </c>
      <c r="G435" t="s">
        <v>1033</v>
      </c>
      <c r="H435" t="s">
        <v>30</v>
      </c>
      <c r="I435" s="1">
        <v>1</v>
      </c>
      <c r="J435" s="2">
        <v>1267.24</v>
      </c>
    </row>
    <row r="436" spans="2:10" x14ac:dyDescent="0.2">
      <c r="B436" t="s">
        <v>615</v>
      </c>
      <c r="C436" t="s">
        <v>117</v>
      </c>
      <c r="D436" t="s">
        <v>616</v>
      </c>
      <c r="E436" t="s">
        <v>70</v>
      </c>
      <c r="F436" t="s">
        <v>71</v>
      </c>
      <c r="G436" t="s">
        <v>1033</v>
      </c>
      <c r="H436" t="s">
        <v>30</v>
      </c>
      <c r="I436" s="1">
        <v>1</v>
      </c>
      <c r="J436" s="2">
        <v>2112.0700000000002</v>
      </c>
    </row>
    <row r="437" spans="2:10" x14ac:dyDescent="0.2">
      <c r="B437" t="s">
        <v>615</v>
      </c>
      <c r="C437" t="s">
        <v>117</v>
      </c>
      <c r="D437" t="s">
        <v>616</v>
      </c>
      <c r="E437" t="s">
        <v>629</v>
      </c>
      <c r="F437" t="s">
        <v>630</v>
      </c>
      <c r="G437" t="s">
        <v>43</v>
      </c>
      <c r="H437" t="s">
        <v>403</v>
      </c>
      <c r="I437" s="1">
        <v>1</v>
      </c>
      <c r="J437" s="2">
        <v>159.47999999999999</v>
      </c>
    </row>
    <row r="438" spans="2:10" x14ac:dyDescent="0.2">
      <c r="B438" t="s">
        <v>615</v>
      </c>
      <c r="C438" t="s">
        <v>117</v>
      </c>
      <c r="D438" t="s">
        <v>616</v>
      </c>
      <c r="E438" t="s">
        <v>525</v>
      </c>
      <c r="F438" t="s">
        <v>526</v>
      </c>
      <c r="G438" t="s">
        <v>43</v>
      </c>
      <c r="H438" t="s">
        <v>403</v>
      </c>
      <c r="I438" s="1">
        <v>1</v>
      </c>
      <c r="J438" s="2">
        <v>159.47999999999999</v>
      </c>
    </row>
    <row r="439" spans="2:10" x14ac:dyDescent="0.2">
      <c r="B439" t="s">
        <v>615</v>
      </c>
      <c r="C439" t="s">
        <v>117</v>
      </c>
      <c r="D439" t="s">
        <v>616</v>
      </c>
      <c r="E439" t="s">
        <v>56</v>
      </c>
      <c r="F439" t="s">
        <v>57</v>
      </c>
      <c r="G439" t="s">
        <v>1034</v>
      </c>
      <c r="H439" t="s">
        <v>15</v>
      </c>
      <c r="I439" s="1">
        <v>1</v>
      </c>
      <c r="J439" s="2">
        <v>431.03</v>
      </c>
    </row>
    <row r="440" spans="2:10" x14ac:dyDescent="0.2">
      <c r="B440" t="s">
        <v>615</v>
      </c>
      <c r="C440" t="s">
        <v>129</v>
      </c>
      <c r="D440" t="s">
        <v>616</v>
      </c>
      <c r="E440" t="s">
        <v>22</v>
      </c>
      <c r="F440" t="s">
        <v>23</v>
      </c>
      <c r="G440" t="s">
        <v>14</v>
      </c>
      <c r="H440" t="s">
        <v>24</v>
      </c>
      <c r="I440" s="1">
        <v>1</v>
      </c>
      <c r="J440" s="2">
        <v>215.52</v>
      </c>
    </row>
    <row r="441" spans="2:10" x14ac:dyDescent="0.2">
      <c r="B441" t="s">
        <v>615</v>
      </c>
      <c r="C441" t="s">
        <v>129</v>
      </c>
      <c r="D441" t="s">
        <v>616</v>
      </c>
      <c r="E441" t="s">
        <v>61</v>
      </c>
      <c r="F441" t="s">
        <v>62</v>
      </c>
      <c r="G441" t="s">
        <v>1034</v>
      </c>
      <c r="H441" t="s">
        <v>15</v>
      </c>
      <c r="I441" s="1">
        <v>2</v>
      </c>
      <c r="J441" s="2">
        <v>344.82</v>
      </c>
    </row>
    <row r="442" spans="2:10" x14ac:dyDescent="0.2">
      <c r="B442" t="s">
        <v>615</v>
      </c>
      <c r="C442" t="s">
        <v>129</v>
      </c>
      <c r="D442" t="s">
        <v>616</v>
      </c>
      <c r="E442" t="s">
        <v>16</v>
      </c>
      <c r="F442" t="s">
        <v>17</v>
      </c>
      <c r="G442" t="s">
        <v>1034</v>
      </c>
      <c r="H442" t="s">
        <v>15</v>
      </c>
      <c r="I442" s="1">
        <v>2</v>
      </c>
      <c r="J442" s="2">
        <v>1155.18</v>
      </c>
    </row>
    <row r="443" spans="2:10" x14ac:dyDescent="0.2">
      <c r="B443" t="s">
        <v>654</v>
      </c>
      <c r="C443" t="s">
        <v>10</v>
      </c>
      <c r="D443" t="s">
        <v>655</v>
      </c>
      <c r="E443" t="s">
        <v>44</v>
      </c>
      <c r="F443" t="s">
        <v>45</v>
      </c>
      <c r="G443" t="s">
        <v>1033</v>
      </c>
      <c r="H443" t="s">
        <v>30</v>
      </c>
      <c r="I443" s="1">
        <v>2</v>
      </c>
      <c r="J443" s="2">
        <v>163.80000000000001</v>
      </c>
    </row>
    <row r="444" spans="2:10" x14ac:dyDescent="0.2">
      <c r="B444" t="s">
        <v>654</v>
      </c>
      <c r="C444" t="s">
        <v>10</v>
      </c>
      <c r="D444" t="s">
        <v>655</v>
      </c>
      <c r="E444" t="s">
        <v>463</v>
      </c>
      <c r="F444" t="s">
        <v>464</v>
      </c>
      <c r="G444" t="s">
        <v>14</v>
      </c>
      <c r="H444" t="s">
        <v>35</v>
      </c>
      <c r="I444" s="1">
        <v>1</v>
      </c>
      <c r="J444" s="2">
        <v>77.59</v>
      </c>
    </row>
    <row r="445" spans="2:10" x14ac:dyDescent="0.2">
      <c r="B445" t="s">
        <v>654</v>
      </c>
      <c r="C445" t="s">
        <v>10</v>
      </c>
      <c r="D445" t="s">
        <v>655</v>
      </c>
      <c r="E445" t="s">
        <v>72</v>
      </c>
      <c r="F445" t="s">
        <v>73</v>
      </c>
      <c r="G445" t="s">
        <v>1034</v>
      </c>
      <c r="H445" t="s">
        <v>15</v>
      </c>
      <c r="I445" s="1">
        <v>1</v>
      </c>
      <c r="J445" s="2">
        <v>775.86</v>
      </c>
    </row>
    <row r="446" spans="2:10" x14ac:dyDescent="0.2">
      <c r="B446" t="s">
        <v>654</v>
      </c>
      <c r="C446" t="s">
        <v>10</v>
      </c>
      <c r="D446" t="s">
        <v>655</v>
      </c>
      <c r="E446" t="s">
        <v>656</v>
      </c>
      <c r="F446" t="s">
        <v>657</v>
      </c>
      <c r="G446" t="s">
        <v>43</v>
      </c>
      <c r="H446" t="s">
        <v>50</v>
      </c>
      <c r="I446" s="1">
        <v>1</v>
      </c>
      <c r="J446" s="2">
        <v>181.03</v>
      </c>
    </row>
    <row r="447" spans="2:10" x14ac:dyDescent="0.2">
      <c r="B447" t="s">
        <v>654</v>
      </c>
      <c r="C447" t="s">
        <v>18</v>
      </c>
      <c r="D447" t="s">
        <v>655</v>
      </c>
      <c r="E447" t="s">
        <v>658</v>
      </c>
      <c r="F447" t="s">
        <v>659</v>
      </c>
      <c r="G447" t="s">
        <v>14</v>
      </c>
      <c r="H447" t="s">
        <v>27</v>
      </c>
      <c r="I447" s="1">
        <v>1</v>
      </c>
      <c r="J447" s="2">
        <v>448.28</v>
      </c>
    </row>
    <row r="448" spans="2:10" x14ac:dyDescent="0.2">
      <c r="B448" t="s">
        <v>654</v>
      </c>
      <c r="C448" t="s">
        <v>18</v>
      </c>
      <c r="D448" t="s">
        <v>655</v>
      </c>
      <c r="E448" t="s">
        <v>660</v>
      </c>
      <c r="F448" t="s">
        <v>661</v>
      </c>
      <c r="G448" t="s">
        <v>14</v>
      </c>
      <c r="H448" t="s">
        <v>27</v>
      </c>
      <c r="I448" s="1">
        <v>1</v>
      </c>
      <c r="J448" s="2">
        <v>448.28</v>
      </c>
    </row>
    <row r="449" spans="2:10" x14ac:dyDescent="0.2">
      <c r="B449" t="s">
        <v>654</v>
      </c>
      <c r="C449" t="s">
        <v>18</v>
      </c>
      <c r="D449" t="s">
        <v>655</v>
      </c>
      <c r="E449" t="s">
        <v>44</v>
      </c>
      <c r="F449" t="s">
        <v>45</v>
      </c>
      <c r="G449" t="s">
        <v>1033</v>
      </c>
      <c r="H449" t="s">
        <v>30</v>
      </c>
      <c r="I449" s="1">
        <v>1</v>
      </c>
      <c r="J449" s="2">
        <v>81.900000000000006</v>
      </c>
    </row>
    <row r="450" spans="2:10" x14ac:dyDescent="0.2">
      <c r="B450" t="s">
        <v>654</v>
      </c>
      <c r="C450" t="s">
        <v>18</v>
      </c>
      <c r="D450" t="s">
        <v>655</v>
      </c>
      <c r="E450" t="s">
        <v>553</v>
      </c>
      <c r="F450" t="s">
        <v>554</v>
      </c>
      <c r="G450" t="s">
        <v>1033</v>
      </c>
      <c r="H450" t="s">
        <v>30</v>
      </c>
      <c r="I450" s="1">
        <v>1</v>
      </c>
      <c r="J450" s="2">
        <v>1379.31</v>
      </c>
    </row>
    <row r="451" spans="2:10" x14ac:dyDescent="0.2">
      <c r="B451" t="s">
        <v>654</v>
      </c>
      <c r="C451" t="s">
        <v>18</v>
      </c>
      <c r="D451" t="s">
        <v>655</v>
      </c>
      <c r="E451" t="s">
        <v>662</v>
      </c>
      <c r="F451" t="s">
        <v>663</v>
      </c>
      <c r="G451" t="s">
        <v>1033</v>
      </c>
      <c r="H451" t="s">
        <v>30</v>
      </c>
      <c r="I451" s="1">
        <v>1</v>
      </c>
      <c r="J451" s="2">
        <v>344.83</v>
      </c>
    </row>
    <row r="452" spans="2:10" x14ac:dyDescent="0.2">
      <c r="B452" t="s">
        <v>654</v>
      </c>
      <c r="C452" t="s">
        <v>18</v>
      </c>
      <c r="D452" t="s">
        <v>655</v>
      </c>
      <c r="E452" t="s">
        <v>419</v>
      </c>
      <c r="F452" t="s">
        <v>420</v>
      </c>
      <c r="G452" t="s">
        <v>14</v>
      </c>
      <c r="H452" t="s">
        <v>35</v>
      </c>
      <c r="I452" s="1">
        <v>1</v>
      </c>
      <c r="J452" s="2">
        <v>77.59</v>
      </c>
    </row>
    <row r="453" spans="2:10" x14ac:dyDescent="0.2">
      <c r="B453" t="s">
        <v>654</v>
      </c>
      <c r="C453" t="s">
        <v>18</v>
      </c>
      <c r="D453" t="s">
        <v>655</v>
      </c>
      <c r="E453" t="s">
        <v>97</v>
      </c>
      <c r="F453" t="s">
        <v>98</v>
      </c>
      <c r="G453" t="s">
        <v>1033</v>
      </c>
      <c r="H453" t="s">
        <v>30</v>
      </c>
      <c r="I453" s="1">
        <v>1</v>
      </c>
      <c r="J453" s="2">
        <v>2500</v>
      </c>
    </row>
    <row r="454" spans="2:10" x14ac:dyDescent="0.2">
      <c r="B454" t="s">
        <v>654</v>
      </c>
      <c r="C454" t="s">
        <v>18</v>
      </c>
      <c r="D454" t="s">
        <v>655</v>
      </c>
      <c r="E454" t="s">
        <v>316</v>
      </c>
      <c r="F454" t="s">
        <v>317</v>
      </c>
      <c r="G454" t="s">
        <v>14</v>
      </c>
      <c r="H454" t="s">
        <v>27</v>
      </c>
      <c r="I454" s="1">
        <v>1</v>
      </c>
      <c r="J454" s="2">
        <v>413.79</v>
      </c>
    </row>
    <row r="455" spans="2:10" x14ac:dyDescent="0.2">
      <c r="B455" t="s">
        <v>654</v>
      </c>
      <c r="C455" t="s">
        <v>18</v>
      </c>
      <c r="D455" t="s">
        <v>655</v>
      </c>
      <c r="E455" t="s">
        <v>122</v>
      </c>
      <c r="F455" t="s">
        <v>123</v>
      </c>
      <c r="G455" t="s">
        <v>1034</v>
      </c>
      <c r="H455" t="s">
        <v>15</v>
      </c>
      <c r="I455" s="1">
        <v>1</v>
      </c>
      <c r="J455" s="2">
        <v>387.93</v>
      </c>
    </row>
    <row r="456" spans="2:10" x14ac:dyDescent="0.2">
      <c r="B456" t="s">
        <v>654</v>
      </c>
      <c r="C456" t="s">
        <v>18</v>
      </c>
      <c r="D456" t="s">
        <v>655</v>
      </c>
      <c r="E456" t="s">
        <v>521</v>
      </c>
      <c r="F456" t="s">
        <v>522</v>
      </c>
      <c r="G456" t="s">
        <v>14</v>
      </c>
      <c r="H456" t="s">
        <v>104</v>
      </c>
      <c r="I456" s="1">
        <v>5</v>
      </c>
      <c r="J456" s="2">
        <v>107.75</v>
      </c>
    </row>
    <row r="457" spans="2:10" x14ac:dyDescent="0.2">
      <c r="B457" t="s">
        <v>654</v>
      </c>
      <c r="C457" t="s">
        <v>18</v>
      </c>
      <c r="D457" t="s">
        <v>655</v>
      </c>
      <c r="E457" t="s">
        <v>63</v>
      </c>
      <c r="F457" t="s">
        <v>64</v>
      </c>
      <c r="G457" t="s">
        <v>1034</v>
      </c>
      <c r="H457" t="s">
        <v>15</v>
      </c>
      <c r="I457" s="1">
        <v>1</v>
      </c>
      <c r="J457" s="2">
        <v>172.41</v>
      </c>
    </row>
    <row r="458" spans="2:10" x14ac:dyDescent="0.2">
      <c r="B458" t="s">
        <v>654</v>
      </c>
      <c r="C458" t="s">
        <v>18</v>
      </c>
      <c r="D458" t="s">
        <v>655</v>
      </c>
      <c r="E458" t="s">
        <v>16</v>
      </c>
      <c r="F458" t="s">
        <v>17</v>
      </c>
      <c r="G458" t="s">
        <v>1034</v>
      </c>
      <c r="H458" t="s">
        <v>15</v>
      </c>
      <c r="I458" s="1">
        <v>1</v>
      </c>
      <c r="J458" s="2">
        <v>577.59</v>
      </c>
    </row>
    <row r="459" spans="2:10" x14ac:dyDescent="0.2">
      <c r="B459" t="s">
        <v>654</v>
      </c>
      <c r="C459" t="s">
        <v>18</v>
      </c>
      <c r="D459" t="s">
        <v>655</v>
      </c>
      <c r="E459" t="s">
        <v>472</v>
      </c>
      <c r="F459" t="s">
        <v>473</v>
      </c>
      <c r="G459" t="s">
        <v>14</v>
      </c>
      <c r="H459" t="s">
        <v>200</v>
      </c>
      <c r="I459" s="1">
        <v>1</v>
      </c>
      <c r="J459" s="2">
        <v>517.24</v>
      </c>
    </row>
    <row r="460" spans="2:10" x14ac:dyDescent="0.2">
      <c r="B460" t="s">
        <v>654</v>
      </c>
      <c r="C460" t="s">
        <v>18</v>
      </c>
      <c r="D460" t="s">
        <v>655</v>
      </c>
      <c r="E460" t="s">
        <v>559</v>
      </c>
      <c r="F460" t="s">
        <v>664</v>
      </c>
      <c r="G460" t="s">
        <v>1033</v>
      </c>
      <c r="H460" t="s">
        <v>30</v>
      </c>
      <c r="I460" s="1">
        <v>1</v>
      </c>
      <c r="J460" s="2">
        <v>551.72</v>
      </c>
    </row>
    <row r="461" spans="2:10" x14ac:dyDescent="0.2">
      <c r="B461" t="s">
        <v>654</v>
      </c>
      <c r="C461" t="s">
        <v>40</v>
      </c>
      <c r="D461" t="s">
        <v>655</v>
      </c>
      <c r="E461" t="s">
        <v>41</v>
      </c>
      <c r="F461" t="s">
        <v>42</v>
      </c>
      <c r="G461" t="s">
        <v>1033</v>
      </c>
      <c r="H461" t="s">
        <v>30</v>
      </c>
      <c r="I461" s="1">
        <v>1</v>
      </c>
      <c r="J461" s="2">
        <v>34.479999999999997</v>
      </c>
    </row>
    <row r="462" spans="2:10" x14ac:dyDescent="0.2">
      <c r="B462" t="s">
        <v>654</v>
      </c>
      <c r="C462" t="s">
        <v>40</v>
      </c>
      <c r="D462" t="s">
        <v>655</v>
      </c>
      <c r="E462" t="s">
        <v>553</v>
      </c>
      <c r="F462" t="s">
        <v>554</v>
      </c>
      <c r="G462" t="s">
        <v>1033</v>
      </c>
      <c r="H462" t="s">
        <v>30</v>
      </c>
      <c r="I462" s="1">
        <v>1</v>
      </c>
      <c r="J462" s="2">
        <v>1379.31</v>
      </c>
    </row>
    <row r="463" spans="2:10" x14ac:dyDescent="0.2">
      <c r="B463" t="s">
        <v>654</v>
      </c>
      <c r="C463" t="s">
        <v>40</v>
      </c>
      <c r="D463" t="s">
        <v>655</v>
      </c>
      <c r="E463" t="s">
        <v>368</v>
      </c>
      <c r="F463" t="s">
        <v>369</v>
      </c>
      <c r="G463" t="s">
        <v>1033</v>
      </c>
      <c r="H463" t="s">
        <v>30</v>
      </c>
      <c r="I463" s="1">
        <v>1</v>
      </c>
      <c r="J463" s="2">
        <v>612.07000000000005</v>
      </c>
    </row>
    <row r="464" spans="2:10" x14ac:dyDescent="0.2">
      <c r="B464" t="s">
        <v>654</v>
      </c>
      <c r="C464" t="s">
        <v>40</v>
      </c>
      <c r="D464" t="s">
        <v>655</v>
      </c>
      <c r="E464" t="s">
        <v>605</v>
      </c>
      <c r="F464" t="s">
        <v>606</v>
      </c>
      <c r="G464" t="s">
        <v>1033</v>
      </c>
      <c r="H464" t="s">
        <v>30</v>
      </c>
      <c r="I464" s="1">
        <v>1</v>
      </c>
      <c r="J464" s="2">
        <v>465.52</v>
      </c>
    </row>
    <row r="465" spans="2:10" x14ac:dyDescent="0.2">
      <c r="B465" t="s">
        <v>654</v>
      </c>
      <c r="C465" t="s">
        <v>40</v>
      </c>
      <c r="D465" t="s">
        <v>655</v>
      </c>
      <c r="E465" t="s">
        <v>253</v>
      </c>
      <c r="F465" t="s">
        <v>254</v>
      </c>
      <c r="G465" t="s">
        <v>1034</v>
      </c>
      <c r="H465" t="s">
        <v>15</v>
      </c>
      <c r="I465" s="1">
        <v>1</v>
      </c>
      <c r="J465" s="2">
        <v>775.86</v>
      </c>
    </row>
    <row r="466" spans="2:10" x14ac:dyDescent="0.2">
      <c r="B466" t="s">
        <v>654</v>
      </c>
      <c r="C466" t="s">
        <v>40</v>
      </c>
      <c r="D466" t="s">
        <v>655</v>
      </c>
      <c r="E466" t="s">
        <v>72</v>
      </c>
      <c r="F466" t="s">
        <v>73</v>
      </c>
      <c r="G466" t="s">
        <v>1034</v>
      </c>
      <c r="H466" t="s">
        <v>15</v>
      </c>
      <c r="I466" s="1">
        <v>1</v>
      </c>
      <c r="J466" s="2">
        <v>775.86</v>
      </c>
    </row>
    <row r="467" spans="2:10" x14ac:dyDescent="0.2">
      <c r="B467" t="s">
        <v>654</v>
      </c>
      <c r="C467" t="s">
        <v>40</v>
      </c>
      <c r="D467" t="s">
        <v>655</v>
      </c>
      <c r="E467" t="s">
        <v>63</v>
      </c>
      <c r="F467" t="s">
        <v>64</v>
      </c>
      <c r="G467" t="s">
        <v>1034</v>
      </c>
      <c r="H467" t="s">
        <v>15</v>
      </c>
      <c r="I467" s="1">
        <v>1</v>
      </c>
      <c r="J467" s="2">
        <v>172.41</v>
      </c>
    </row>
    <row r="468" spans="2:10" x14ac:dyDescent="0.2">
      <c r="B468" t="s">
        <v>654</v>
      </c>
      <c r="C468" t="s">
        <v>40</v>
      </c>
      <c r="D468" t="s">
        <v>655</v>
      </c>
      <c r="E468" t="s">
        <v>348</v>
      </c>
      <c r="F468" t="s">
        <v>349</v>
      </c>
      <c r="G468" t="s">
        <v>1034</v>
      </c>
      <c r="H468" t="s">
        <v>15</v>
      </c>
      <c r="I468" s="1">
        <v>1</v>
      </c>
      <c r="J468" s="2">
        <v>241.38</v>
      </c>
    </row>
    <row r="469" spans="2:10" x14ac:dyDescent="0.2">
      <c r="B469" t="s">
        <v>654</v>
      </c>
      <c r="C469" t="s">
        <v>51</v>
      </c>
      <c r="D469" t="s">
        <v>655</v>
      </c>
      <c r="E469" t="s">
        <v>318</v>
      </c>
      <c r="F469" t="s">
        <v>319</v>
      </c>
      <c r="G469" t="s">
        <v>1033</v>
      </c>
      <c r="H469" t="s">
        <v>30</v>
      </c>
      <c r="I469" s="1">
        <v>1</v>
      </c>
      <c r="J469" s="2">
        <v>456.9</v>
      </c>
    </row>
    <row r="470" spans="2:10" x14ac:dyDescent="0.2">
      <c r="B470" t="s">
        <v>654</v>
      </c>
      <c r="C470" t="s">
        <v>51</v>
      </c>
      <c r="D470" t="s">
        <v>655</v>
      </c>
      <c r="E470" t="s">
        <v>19</v>
      </c>
      <c r="F470" t="s">
        <v>20</v>
      </c>
      <c r="G470" t="s">
        <v>14</v>
      </c>
      <c r="H470" t="s">
        <v>21</v>
      </c>
      <c r="I470" s="1">
        <v>1</v>
      </c>
      <c r="J470" s="2">
        <v>431.04</v>
      </c>
    </row>
    <row r="471" spans="2:10" x14ac:dyDescent="0.2">
      <c r="B471" t="s">
        <v>654</v>
      </c>
      <c r="C471" t="s">
        <v>51</v>
      </c>
      <c r="D471" t="s">
        <v>655</v>
      </c>
      <c r="E471" t="s">
        <v>173</v>
      </c>
      <c r="F471" t="s">
        <v>174</v>
      </c>
      <c r="G471" t="s">
        <v>14</v>
      </c>
      <c r="H471" t="s">
        <v>35</v>
      </c>
      <c r="I471" s="1">
        <v>1</v>
      </c>
      <c r="J471" s="2">
        <v>60.34</v>
      </c>
    </row>
    <row r="472" spans="2:10" x14ac:dyDescent="0.2">
      <c r="B472" t="s">
        <v>654</v>
      </c>
      <c r="C472" t="s">
        <v>51</v>
      </c>
      <c r="D472" t="s">
        <v>655</v>
      </c>
      <c r="E472" t="s">
        <v>16</v>
      </c>
      <c r="F472" t="s">
        <v>17</v>
      </c>
      <c r="G472" t="s">
        <v>1034</v>
      </c>
      <c r="H472" t="s">
        <v>15</v>
      </c>
      <c r="I472" s="1">
        <v>6</v>
      </c>
      <c r="J472" s="2">
        <v>3465.54</v>
      </c>
    </row>
    <row r="473" spans="2:10" x14ac:dyDescent="0.2">
      <c r="B473" t="s">
        <v>654</v>
      </c>
      <c r="C473" t="s">
        <v>65</v>
      </c>
      <c r="D473" t="s">
        <v>655</v>
      </c>
      <c r="E473" t="s">
        <v>44</v>
      </c>
      <c r="F473" t="s">
        <v>45</v>
      </c>
      <c r="G473" t="s">
        <v>1033</v>
      </c>
      <c r="H473" t="s">
        <v>30</v>
      </c>
      <c r="I473" s="1">
        <v>1</v>
      </c>
      <c r="J473" s="2">
        <v>81.900000000000006</v>
      </c>
    </row>
    <row r="474" spans="2:10" x14ac:dyDescent="0.2">
      <c r="B474" t="s">
        <v>654</v>
      </c>
      <c r="C474" t="s">
        <v>65</v>
      </c>
      <c r="D474" t="s">
        <v>655</v>
      </c>
      <c r="E474" t="s">
        <v>70</v>
      </c>
      <c r="F474" t="s">
        <v>71</v>
      </c>
      <c r="G474" t="s">
        <v>1033</v>
      </c>
      <c r="H474" t="s">
        <v>30</v>
      </c>
      <c r="I474" s="1">
        <v>1</v>
      </c>
      <c r="J474" s="2">
        <v>2112.0700000000002</v>
      </c>
    </row>
    <row r="475" spans="2:10" x14ac:dyDescent="0.2">
      <c r="B475" t="s">
        <v>654</v>
      </c>
      <c r="C475" t="s">
        <v>65</v>
      </c>
      <c r="D475" t="s">
        <v>655</v>
      </c>
      <c r="E475" t="s">
        <v>221</v>
      </c>
      <c r="F475" t="s">
        <v>222</v>
      </c>
      <c r="G475" t="s">
        <v>1034</v>
      </c>
      <c r="H475" t="s">
        <v>15</v>
      </c>
      <c r="I475" s="1">
        <v>2</v>
      </c>
      <c r="J475" s="2">
        <v>862.06</v>
      </c>
    </row>
    <row r="476" spans="2:10" x14ac:dyDescent="0.2">
      <c r="B476" t="s">
        <v>654</v>
      </c>
      <c r="C476" t="s">
        <v>65</v>
      </c>
      <c r="D476" t="s">
        <v>655</v>
      </c>
      <c r="E476" t="s">
        <v>336</v>
      </c>
      <c r="F476" t="s">
        <v>337</v>
      </c>
      <c r="G476" t="s">
        <v>1034</v>
      </c>
      <c r="H476" t="s">
        <v>15</v>
      </c>
      <c r="I476" s="1">
        <v>1</v>
      </c>
      <c r="J476" s="2">
        <v>387.93</v>
      </c>
    </row>
    <row r="477" spans="2:10" x14ac:dyDescent="0.2">
      <c r="B477" t="s">
        <v>654</v>
      </c>
      <c r="C477" t="s">
        <v>65</v>
      </c>
      <c r="D477" t="s">
        <v>655</v>
      </c>
      <c r="E477" t="s">
        <v>406</v>
      </c>
      <c r="F477" t="s">
        <v>407</v>
      </c>
      <c r="G477" t="s">
        <v>14</v>
      </c>
      <c r="H477" t="s">
        <v>104</v>
      </c>
      <c r="I477" s="1">
        <v>6</v>
      </c>
      <c r="J477" s="2">
        <v>103.44</v>
      </c>
    </row>
    <row r="478" spans="2:10" x14ac:dyDescent="0.2">
      <c r="B478" t="s">
        <v>654</v>
      </c>
      <c r="C478" t="s">
        <v>65</v>
      </c>
      <c r="D478" t="s">
        <v>655</v>
      </c>
      <c r="E478" t="s">
        <v>665</v>
      </c>
      <c r="F478" t="s">
        <v>666</v>
      </c>
      <c r="G478" t="s">
        <v>1033</v>
      </c>
      <c r="H478" t="s">
        <v>30</v>
      </c>
      <c r="I478" s="1">
        <v>1</v>
      </c>
      <c r="J478" s="2">
        <v>646.54999999999995</v>
      </c>
    </row>
    <row r="479" spans="2:10" x14ac:dyDescent="0.2">
      <c r="B479" t="s">
        <v>654</v>
      </c>
      <c r="C479" t="s">
        <v>65</v>
      </c>
      <c r="D479" t="s">
        <v>655</v>
      </c>
      <c r="E479" t="s">
        <v>28</v>
      </c>
      <c r="F479" t="s">
        <v>29</v>
      </c>
      <c r="G479" t="s">
        <v>1033</v>
      </c>
      <c r="H479" t="s">
        <v>30</v>
      </c>
      <c r="I479" s="1">
        <v>1</v>
      </c>
      <c r="J479" s="2">
        <v>155.16999999999999</v>
      </c>
    </row>
    <row r="480" spans="2:10" x14ac:dyDescent="0.2">
      <c r="B480" t="s">
        <v>654</v>
      </c>
      <c r="C480" t="s">
        <v>82</v>
      </c>
      <c r="D480" t="s">
        <v>655</v>
      </c>
      <c r="E480" t="s">
        <v>66</v>
      </c>
      <c r="F480" t="s">
        <v>67</v>
      </c>
      <c r="G480" t="s">
        <v>1033</v>
      </c>
      <c r="H480" t="s">
        <v>30</v>
      </c>
      <c r="I480" s="1">
        <v>1</v>
      </c>
      <c r="J480" s="2">
        <v>1681.03</v>
      </c>
    </row>
    <row r="481" spans="2:10" x14ac:dyDescent="0.2">
      <c r="B481" t="s">
        <v>654</v>
      </c>
      <c r="C481" t="s">
        <v>82</v>
      </c>
      <c r="D481" t="s">
        <v>655</v>
      </c>
      <c r="E481" t="s">
        <v>263</v>
      </c>
      <c r="F481" t="s">
        <v>264</v>
      </c>
      <c r="G481" t="s">
        <v>14</v>
      </c>
      <c r="H481" t="s">
        <v>35</v>
      </c>
      <c r="I481" s="1">
        <v>1</v>
      </c>
      <c r="J481" s="2">
        <v>77.59</v>
      </c>
    </row>
    <row r="482" spans="2:10" x14ac:dyDescent="0.2">
      <c r="B482" t="s">
        <v>654</v>
      </c>
      <c r="C482" t="s">
        <v>82</v>
      </c>
      <c r="D482" t="s">
        <v>655</v>
      </c>
      <c r="E482" t="s">
        <v>529</v>
      </c>
      <c r="F482" t="s">
        <v>530</v>
      </c>
      <c r="G482" t="s">
        <v>14</v>
      </c>
      <c r="H482" t="s">
        <v>35</v>
      </c>
      <c r="I482" s="1">
        <v>1</v>
      </c>
      <c r="J482" s="2">
        <v>77.59</v>
      </c>
    </row>
    <row r="483" spans="2:10" x14ac:dyDescent="0.2">
      <c r="B483" t="s">
        <v>654</v>
      </c>
      <c r="C483" t="s">
        <v>82</v>
      </c>
      <c r="D483" t="s">
        <v>655</v>
      </c>
      <c r="E483" t="s">
        <v>97</v>
      </c>
      <c r="F483" t="s">
        <v>98</v>
      </c>
      <c r="G483" t="s">
        <v>1033</v>
      </c>
      <c r="H483" t="s">
        <v>30</v>
      </c>
      <c r="I483" s="1">
        <v>1</v>
      </c>
      <c r="J483" s="2">
        <v>2500</v>
      </c>
    </row>
    <row r="484" spans="2:10" x14ac:dyDescent="0.2">
      <c r="B484" t="s">
        <v>654</v>
      </c>
      <c r="C484" t="s">
        <v>82</v>
      </c>
      <c r="D484" t="s">
        <v>655</v>
      </c>
      <c r="E484" t="s">
        <v>253</v>
      </c>
      <c r="F484" t="s">
        <v>254</v>
      </c>
      <c r="G484" t="s">
        <v>1034</v>
      </c>
      <c r="H484" t="s">
        <v>15</v>
      </c>
      <c r="I484" s="1">
        <v>1</v>
      </c>
      <c r="J484" s="2">
        <v>775.86</v>
      </c>
    </row>
    <row r="485" spans="2:10" x14ac:dyDescent="0.2">
      <c r="B485" t="s">
        <v>654</v>
      </c>
      <c r="C485" t="s">
        <v>82</v>
      </c>
      <c r="D485" t="s">
        <v>655</v>
      </c>
      <c r="E485" t="s">
        <v>72</v>
      </c>
      <c r="F485" t="s">
        <v>73</v>
      </c>
      <c r="G485" t="s">
        <v>1034</v>
      </c>
      <c r="H485" t="s">
        <v>15</v>
      </c>
      <c r="I485" s="1">
        <v>1</v>
      </c>
      <c r="J485" s="2">
        <v>775.86</v>
      </c>
    </row>
    <row r="486" spans="2:10" x14ac:dyDescent="0.2">
      <c r="B486" t="s">
        <v>654</v>
      </c>
      <c r="C486" t="s">
        <v>82</v>
      </c>
      <c r="D486" t="s">
        <v>655</v>
      </c>
      <c r="E486" t="s">
        <v>273</v>
      </c>
      <c r="F486" t="s">
        <v>274</v>
      </c>
      <c r="G486" t="s">
        <v>1033</v>
      </c>
      <c r="H486" t="s">
        <v>30</v>
      </c>
      <c r="I486" s="1">
        <v>1</v>
      </c>
      <c r="J486" s="2">
        <v>1293.0999999999999</v>
      </c>
    </row>
    <row r="487" spans="2:10" x14ac:dyDescent="0.2">
      <c r="B487" t="s">
        <v>654</v>
      </c>
      <c r="C487" t="s">
        <v>82</v>
      </c>
      <c r="D487" t="s">
        <v>655</v>
      </c>
      <c r="E487" t="s">
        <v>79</v>
      </c>
      <c r="F487" t="s">
        <v>80</v>
      </c>
      <c r="G487" t="s">
        <v>43</v>
      </c>
      <c r="H487" t="s">
        <v>81</v>
      </c>
      <c r="I487" s="1">
        <v>1</v>
      </c>
      <c r="J487" s="2">
        <v>1810.34</v>
      </c>
    </row>
    <row r="488" spans="2:10" x14ac:dyDescent="0.2">
      <c r="B488" t="s">
        <v>654</v>
      </c>
      <c r="C488" t="s">
        <v>117</v>
      </c>
      <c r="D488" t="s">
        <v>655</v>
      </c>
      <c r="E488" t="s">
        <v>44</v>
      </c>
      <c r="F488" t="s">
        <v>45</v>
      </c>
      <c r="G488" t="s">
        <v>1033</v>
      </c>
      <c r="H488" t="s">
        <v>30</v>
      </c>
      <c r="I488" s="1">
        <v>2</v>
      </c>
      <c r="J488" s="2">
        <v>163.80000000000001</v>
      </c>
    </row>
    <row r="489" spans="2:10" x14ac:dyDescent="0.2">
      <c r="B489" t="s">
        <v>654</v>
      </c>
      <c r="C489" t="s">
        <v>117</v>
      </c>
      <c r="D489" t="s">
        <v>655</v>
      </c>
      <c r="E489" t="s">
        <v>566</v>
      </c>
      <c r="F489" t="s">
        <v>567</v>
      </c>
      <c r="G489" t="s">
        <v>14</v>
      </c>
      <c r="H489" t="s">
        <v>35</v>
      </c>
      <c r="I489" s="1">
        <v>1</v>
      </c>
      <c r="J489" s="2">
        <v>77.59</v>
      </c>
    </row>
    <row r="490" spans="2:10" x14ac:dyDescent="0.2">
      <c r="B490" t="s">
        <v>654</v>
      </c>
      <c r="C490" t="s">
        <v>117</v>
      </c>
      <c r="D490" t="s">
        <v>655</v>
      </c>
      <c r="E490" t="s">
        <v>212</v>
      </c>
      <c r="F490" t="s">
        <v>213</v>
      </c>
      <c r="G490" t="s">
        <v>14</v>
      </c>
      <c r="H490" t="s">
        <v>35</v>
      </c>
      <c r="I490" s="1">
        <v>1</v>
      </c>
      <c r="J490" s="2">
        <v>77.59</v>
      </c>
    </row>
    <row r="491" spans="2:10" x14ac:dyDescent="0.2">
      <c r="B491" t="s">
        <v>654</v>
      </c>
      <c r="C491" t="s">
        <v>117</v>
      </c>
      <c r="D491" t="s">
        <v>655</v>
      </c>
      <c r="E491" t="s">
        <v>221</v>
      </c>
      <c r="F491" t="s">
        <v>222</v>
      </c>
      <c r="G491" t="s">
        <v>1034</v>
      </c>
      <c r="H491" t="s">
        <v>15</v>
      </c>
      <c r="I491" s="1">
        <v>1</v>
      </c>
      <c r="J491" s="2">
        <v>431.03</v>
      </c>
    </row>
    <row r="492" spans="2:10" x14ac:dyDescent="0.2">
      <c r="B492" t="s">
        <v>654</v>
      </c>
      <c r="C492" t="s">
        <v>117</v>
      </c>
      <c r="D492" t="s">
        <v>655</v>
      </c>
      <c r="E492" t="s">
        <v>667</v>
      </c>
      <c r="F492" t="s">
        <v>668</v>
      </c>
      <c r="G492" t="s">
        <v>1033</v>
      </c>
      <c r="H492" t="s">
        <v>30</v>
      </c>
      <c r="I492" s="1">
        <v>1</v>
      </c>
      <c r="J492" s="2">
        <v>310.33999999999997</v>
      </c>
    </row>
    <row r="493" spans="2:10" x14ac:dyDescent="0.2">
      <c r="B493" t="s">
        <v>654</v>
      </c>
      <c r="C493" t="s">
        <v>117</v>
      </c>
      <c r="D493" t="s">
        <v>655</v>
      </c>
      <c r="E493" t="s">
        <v>521</v>
      </c>
      <c r="F493" t="s">
        <v>522</v>
      </c>
      <c r="G493" t="s">
        <v>14</v>
      </c>
      <c r="H493" t="s">
        <v>104</v>
      </c>
      <c r="I493" s="1">
        <v>5</v>
      </c>
      <c r="J493" s="2">
        <v>107.75</v>
      </c>
    </row>
    <row r="494" spans="2:10" x14ac:dyDescent="0.2">
      <c r="B494" t="s">
        <v>654</v>
      </c>
      <c r="C494" t="s">
        <v>117</v>
      </c>
      <c r="D494" t="s">
        <v>655</v>
      </c>
      <c r="E494" t="s">
        <v>63</v>
      </c>
      <c r="F494" t="s">
        <v>64</v>
      </c>
      <c r="G494" t="s">
        <v>1034</v>
      </c>
      <c r="H494" t="s">
        <v>15</v>
      </c>
      <c r="I494" s="1">
        <v>1</v>
      </c>
      <c r="J494" s="2">
        <v>172.41</v>
      </c>
    </row>
    <row r="495" spans="2:10" x14ac:dyDescent="0.2">
      <c r="B495" t="s">
        <v>690</v>
      </c>
      <c r="C495" t="s">
        <v>10</v>
      </c>
      <c r="D495" t="s">
        <v>691</v>
      </c>
      <c r="E495" t="s">
        <v>611</v>
      </c>
      <c r="F495" t="s">
        <v>612</v>
      </c>
      <c r="G495" t="s">
        <v>1033</v>
      </c>
      <c r="H495" t="s">
        <v>30</v>
      </c>
      <c r="I495" s="1">
        <v>2</v>
      </c>
      <c r="J495" s="2">
        <v>1586.2</v>
      </c>
    </row>
    <row r="496" spans="2:10" x14ac:dyDescent="0.2">
      <c r="B496" t="s">
        <v>690</v>
      </c>
      <c r="C496" t="s">
        <v>10</v>
      </c>
      <c r="D496" t="s">
        <v>691</v>
      </c>
      <c r="E496" t="s">
        <v>61</v>
      </c>
      <c r="F496" t="s">
        <v>62</v>
      </c>
      <c r="G496" t="s">
        <v>1034</v>
      </c>
      <c r="H496" t="s">
        <v>15</v>
      </c>
      <c r="I496" s="1">
        <v>2</v>
      </c>
      <c r="J496" s="2">
        <v>344.82</v>
      </c>
    </row>
    <row r="497" spans="2:10" x14ac:dyDescent="0.2">
      <c r="B497" t="s">
        <v>690</v>
      </c>
      <c r="C497" t="s">
        <v>18</v>
      </c>
      <c r="D497" t="s">
        <v>691</v>
      </c>
      <c r="E497" t="s">
        <v>692</v>
      </c>
      <c r="F497" t="s">
        <v>693</v>
      </c>
      <c r="G497" t="s">
        <v>54</v>
      </c>
      <c r="H497" t="s">
        <v>694</v>
      </c>
      <c r="I497" s="1">
        <v>1</v>
      </c>
      <c r="J497" s="2">
        <v>688</v>
      </c>
    </row>
    <row r="498" spans="2:10" x14ac:dyDescent="0.2">
      <c r="B498" t="s">
        <v>690</v>
      </c>
      <c r="C498" t="s">
        <v>18</v>
      </c>
      <c r="D498" t="s">
        <v>691</v>
      </c>
      <c r="E498" t="s">
        <v>19</v>
      </c>
      <c r="F498" t="s">
        <v>20</v>
      </c>
      <c r="G498" t="s">
        <v>14</v>
      </c>
      <c r="H498" t="s">
        <v>21</v>
      </c>
      <c r="I498" s="1">
        <v>1</v>
      </c>
      <c r="J498" s="2">
        <v>431.04</v>
      </c>
    </row>
    <row r="499" spans="2:10" x14ac:dyDescent="0.2">
      <c r="B499" t="s">
        <v>690</v>
      </c>
      <c r="C499" t="s">
        <v>18</v>
      </c>
      <c r="D499" t="s">
        <v>691</v>
      </c>
      <c r="E499" t="s">
        <v>695</v>
      </c>
      <c r="F499" t="s">
        <v>696</v>
      </c>
      <c r="G499" t="s">
        <v>54</v>
      </c>
      <c r="H499" t="s">
        <v>138</v>
      </c>
      <c r="I499" s="1">
        <v>1</v>
      </c>
      <c r="J499" s="2">
        <v>489.22</v>
      </c>
    </row>
    <row r="500" spans="2:10" x14ac:dyDescent="0.2">
      <c r="B500" t="s">
        <v>690</v>
      </c>
      <c r="C500" t="s">
        <v>18</v>
      </c>
      <c r="D500" t="s">
        <v>691</v>
      </c>
      <c r="E500" t="s">
        <v>221</v>
      </c>
      <c r="F500" t="s">
        <v>222</v>
      </c>
      <c r="G500" t="s">
        <v>1034</v>
      </c>
      <c r="H500" t="s">
        <v>15</v>
      </c>
      <c r="I500" s="1">
        <v>1</v>
      </c>
      <c r="J500" s="2">
        <v>431.03</v>
      </c>
    </row>
    <row r="501" spans="2:10" x14ac:dyDescent="0.2">
      <c r="B501" t="s">
        <v>690</v>
      </c>
      <c r="C501" t="s">
        <v>18</v>
      </c>
      <c r="D501" t="s">
        <v>691</v>
      </c>
      <c r="E501" t="s">
        <v>295</v>
      </c>
      <c r="F501" t="s">
        <v>296</v>
      </c>
      <c r="G501" t="s">
        <v>43</v>
      </c>
      <c r="H501" t="s">
        <v>297</v>
      </c>
      <c r="I501" s="1">
        <v>1</v>
      </c>
      <c r="J501" s="2">
        <v>224.14</v>
      </c>
    </row>
    <row r="502" spans="2:10" x14ac:dyDescent="0.2">
      <c r="B502" t="s">
        <v>690</v>
      </c>
      <c r="C502" t="s">
        <v>18</v>
      </c>
      <c r="D502" t="s">
        <v>691</v>
      </c>
      <c r="E502" t="s">
        <v>573</v>
      </c>
      <c r="F502" t="s">
        <v>574</v>
      </c>
      <c r="G502" t="s">
        <v>1033</v>
      </c>
      <c r="H502" t="s">
        <v>30</v>
      </c>
      <c r="I502" s="1">
        <v>1</v>
      </c>
      <c r="J502" s="2">
        <v>775.86</v>
      </c>
    </row>
    <row r="503" spans="2:10" x14ac:dyDescent="0.2">
      <c r="B503" t="s">
        <v>690</v>
      </c>
      <c r="C503" t="s">
        <v>18</v>
      </c>
      <c r="D503" t="s">
        <v>691</v>
      </c>
      <c r="E503" t="s">
        <v>16</v>
      </c>
      <c r="F503" t="s">
        <v>17</v>
      </c>
      <c r="G503" t="s">
        <v>1034</v>
      </c>
      <c r="H503" t="s">
        <v>15</v>
      </c>
      <c r="I503" s="1">
        <v>2</v>
      </c>
      <c r="J503" s="2">
        <v>1155.18</v>
      </c>
    </row>
    <row r="504" spans="2:10" x14ac:dyDescent="0.2">
      <c r="B504" t="s">
        <v>690</v>
      </c>
      <c r="C504" t="s">
        <v>18</v>
      </c>
      <c r="D504" t="s">
        <v>691</v>
      </c>
      <c r="E504" t="s">
        <v>697</v>
      </c>
      <c r="F504" t="s">
        <v>698</v>
      </c>
      <c r="G504" t="s">
        <v>699</v>
      </c>
      <c r="H504" t="s">
        <v>700</v>
      </c>
      <c r="I504" s="1">
        <v>1</v>
      </c>
      <c r="J504" s="2">
        <v>103.45</v>
      </c>
    </row>
    <row r="505" spans="2:10" x14ac:dyDescent="0.2">
      <c r="B505" t="s">
        <v>690</v>
      </c>
      <c r="C505" t="s">
        <v>40</v>
      </c>
      <c r="D505" t="s">
        <v>691</v>
      </c>
      <c r="E505" t="s">
        <v>701</v>
      </c>
      <c r="F505" t="s">
        <v>702</v>
      </c>
      <c r="G505" t="s">
        <v>43</v>
      </c>
      <c r="H505" t="s">
        <v>50</v>
      </c>
      <c r="I505" s="1">
        <v>1</v>
      </c>
      <c r="J505" s="2">
        <v>4482.76</v>
      </c>
    </row>
    <row r="506" spans="2:10" x14ac:dyDescent="0.2">
      <c r="B506" t="s">
        <v>690</v>
      </c>
      <c r="C506" t="s">
        <v>40</v>
      </c>
      <c r="D506" t="s">
        <v>691</v>
      </c>
      <c r="E506" t="s">
        <v>644</v>
      </c>
      <c r="F506" t="s">
        <v>645</v>
      </c>
      <c r="G506" t="s">
        <v>1033</v>
      </c>
      <c r="H506" t="s">
        <v>30</v>
      </c>
      <c r="I506" s="1">
        <v>1</v>
      </c>
      <c r="J506" s="2">
        <v>431.03</v>
      </c>
    </row>
    <row r="507" spans="2:10" x14ac:dyDescent="0.2">
      <c r="B507" t="s">
        <v>690</v>
      </c>
      <c r="C507" t="s">
        <v>40</v>
      </c>
      <c r="D507" t="s">
        <v>691</v>
      </c>
      <c r="E507" t="s">
        <v>167</v>
      </c>
      <c r="F507" t="s">
        <v>168</v>
      </c>
      <c r="G507" t="s">
        <v>1033</v>
      </c>
      <c r="H507" t="s">
        <v>30</v>
      </c>
      <c r="I507" s="1">
        <v>1</v>
      </c>
      <c r="J507" s="2">
        <v>1267.24</v>
      </c>
    </row>
    <row r="508" spans="2:10" x14ac:dyDescent="0.2">
      <c r="B508" t="s">
        <v>690</v>
      </c>
      <c r="C508" t="s">
        <v>40</v>
      </c>
      <c r="D508" t="s">
        <v>691</v>
      </c>
      <c r="E508" t="s">
        <v>391</v>
      </c>
      <c r="F508" t="s">
        <v>392</v>
      </c>
      <c r="G508" t="s">
        <v>14</v>
      </c>
      <c r="H508" t="s">
        <v>87</v>
      </c>
      <c r="I508" s="1">
        <v>1</v>
      </c>
      <c r="J508" s="2">
        <v>482.76</v>
      </c>
    </row>
    <row r="509" spans="2:10" x14ac:dyDescent="0.2">
      <c r="B509" t="s">
        <v>690</v>
      </c>
      <c r="C509" t="s">
        <v>40</v>
      </c>
      <c r="D509" t="s">
        <v>691</v>
      </c>
      <c r="E509" t="s">
        <v>703</v>
      </c>
      <c r="F509" t="s">
        <v>704</v>
      </c>
      <c r="G509" t="s">
        <v>54</v>
      </c>
      <c r="H509" t="s">
        <v>471</v>
      </c>
      <c r="I509" s="1">
        <v>1</v>
      </c>
      <c r="J509" s="2">
        <v>982.76</v>
      </c>
    </row>
    <row r="510" spans="2:10" x14ac:dyDescent="0.2">
      <c r="B510" t="s">
        <v>690</v>
      </c>
      <c r="C510" t="s">
        <v>40</v>
      </c>
      <c r="D510" t="s">
        <v>691</v>
      </c>
      <c r="E510" t="s">
        <v>19</v>
      </c>
      <c r="F510" t="s">
        <v>20</v>
      </c>
      <c r="G510" t="s">
        <v>14</v>
      </c>
      <c r="H510" t="s">
        <v>21</v>
      </c>
      <c r="I510" s="1">
        <v>3</v>
      </c>
      <c r="J510" s="2">
        <v>1293.1199999999999</v>
      </c>
    </row>
    <row r="511" spans="2:10" x14ac:dyDescent="0.2">
      <c r="B511" t="s">
        <v>690</v>
      </c>
      <c r="C511" t="s">
        <v>40</v>
      </c>
      <c r="D511" t="s">
        <v>691</v>
      </c>
      <c r="E511" t="s">
        <v>553</v>
      </c>
      <c r="F511" t="s">
        <v>554</v>
      </c>
      <c r="G511" t="s">
        <v>1033</v>
      </c>
      <c r="H511" t="s">
        <v>30</v>
      </c>
      <c r="I511" s="1">
        <v>1</v>
      </c>
      <c r="J511" s="2">
        <v>1379.31</v>
      </c>
    </row>
    <row r="512" spans="2:10" x14ac:dyDescent="0.2">
      <c r="B512" t="s">
        <v>690</v>
      </c>
      <c r="C512" t="s">
        <v>40</v>
      </c>
      <c r="D512" t="s">
        <v>691</v>
      </c>
      <c r="E512" t="s">
        <v>171</v>
      </c>
      <c r="F512" t="s">
        <v>172</v>
      </c>
      <c r="G512" t="s">
        <v>14</v>
      </c>
      <c r="H512" t="s">
        <v>35</v>
      </c>
      <c r="I512" s="1">
        <v>1</v>
      </c>
      <c r="J512" s="2">
        <v>77.59</v>
      </c>
    </row>
    <row r="513" spans="2:10" x14ac:dyDescent="0.2">
      <c r="B513" t="s">
        <v>690</v>
      </c>
      <c r="C513" t="s">
        <v>40</v>
      </c>
      <c r="D513" t="s">
        <v>691</v>
      </c>
      <c r="E513" t="s">
        <v>579</v>
      </c>
      <c r="F513" t="s">
        <v>580</v>
      </c>
      <c r="G513" t="s">
        <v>1033</v>
      </c>
      <c r="H513" t="s">
        <v>30</v>
      </c>
      <c r="I513" s="1">
        <v>1</v>
      </c>
      <c r="J513" s="2">
        <v>77.59</v>
      </c>
    </row>
    <row r="514" spans="2:10" x14ac:dyDescent="0.2">
      <c r="B514" t="s">
        <v>690</v>
      </c>
      <c r="C514" t="s">
        <v>40</v>
      </c>
      <c r="D514" t="s">
        <v>691</v>
      </c>
      <c r="E514" t="s">
        <v>278</v>
      </c>
      <c r="F514" t="s">
        <v>279</v>
      </c>
      <c r="G514" t="s">
        <v>1033</v>
      </c>
      <c r="H514" t="s">
        <v>30</v>
      </c>
      <c r="I514" s="1">
        <v>1</v>
      </c>
      <c r="J514" s="2">
        <v>112.07</v>
      </c>
    </row>
    <row r="515" spans="2:10" x14ac:dyDescent="0.2">
      <c r="B515" t="s">
        <v>690</v>
      </c>
      <c r="C515" t="s">
        <v>40</v>
      </c>
      <c r="D515" t="s">
        <v>691</v>
      </c>
      <c r="E515" t="s">
        <v>95</v>
      </c>
      <c r="F515" t="s">
        <v>96</v>
      </c>
      <c r="G515" t="s">
        <v>1033</v>
      </c>
      <c r="H515" t="s">
        <v>30</v>
      </c>
      <c r="I515" s="1">
        <v>1</v>
      </c>
      <c r="J515" s="2">
        <v>1706.9</v>
      </c>
    </row>
    <row r="516" spans="2:10" x14ac:dyDescent="0.2">
      <c r="B516" t="s">
        <v>690</v>
      </c>
      <c r="C516" t="s">
        <v>40</v>
      </c>
      <c r="D516" t="s">
        <v>691</v>
      </c>
      <c r="E516" t="s">
        <v>99</v>
      </c>
      <c r="F516" t="s">
        <v>100</v>
      </c>
      <c r="G516" t="s">
        <v>43</v>
      </c>
      <c r="H516" t="s">
        <v>50</v>
      </c>
      <c r="I516" s="1">
        <v>1</v>
      </c>
      <c r="J516" s="2">
        <v>3275.86</v>
      </c>
    </row>
    <row r="517" spans="2:10" x14ac:dyDescent="0.2">
      <c r="B517" t="s">
        <v>690</v>
      </c>
      <c r="C517" t="s">
        <v>40</v>
      </c>
      <c r="D517" t="s">
        <v>691</v>
      </c>
      <c r="E517" t="s">
        <v>705</v>
      </c>
      <c r="F517" t="s">
        <v>706</v>
      </c>
      <c r="G517" t="s">
        <v>43</v>
      </c>
      <c r="H517" t="s">
        <v>94</v>
      </c>
      <c r="I517" s="1">
        <v>1</v>
      </c>
      <c r="J517" s="2">
        <v>603.45000000000005</v>
      </c>
    </row>
    <row r="518" spans="2:10" x14ac:dyDescent="0.2">
      <c r="B518" t="s">
        <v>690</v>
      </c>
      <c r="C518" t="s">
        <v>40</v>
      </c>
      <c r="D518" t="s">
        <v>691</v>
      </c>
      <c r="E518" t="s">
        <v>251</v>
      </c>
      <c r="F518" t="s">
        <v>252</v>
      </c>
      <c r="G518" t="s">
        <v>1033</v>
      </c>
      <c r="H518" t="s">
        <v>30</v>
      </c>
      <c r="I518" s="1">
        <v>1</v>
      </c>
      <c r="J518" s="2">
        <v>1500</v>
      </c>
    </row>
    <row r="519" spans="2:10" x14ac:dyDescent="0.2">
      <c r="B519" t="s">
        <v>690</v>
      </c>
      <c r="C519" t="s">
        <v>40</v>
      </c>
      <c r="D519" t="s">
        <v>691</v>
      </c>
      <c r="E519" t="s">
        <v>545</v>
      </c>
      <c r="F519" t="s">
        <v>546</v>
      </c>
      <c r="G519" t="s">
        <v>284</v>
      </c>
      <c r="H519" t="s">
        <v>547</v>
      </c>
      <c r="I519" s="1">
        <v>1</v>
      </c>
      <c r="J519" s="2">
        <v>297.41000000000003</v>
      </c>
    </row>
    <row r="520" spans="2:10" x14ac:dyDescent="0.2">
      <c r="B520" t="s">
        <v>690</v>
      </c>
      <c r="C520" t="s">
        <v>40</v>
      </c>
      <c r="D520" t="s">
        <v>691</v>
      </c>
      <c r="E520" t="s">
        <v>707</v>
      </c>
      <c r="F520" t="s">
        <v>708</v>
      </c>
      <c r="G520" t="s">
        <v>54</v>
      </c>
      <c r="H520" t="s">
        <v>709</v>
      </c>
      <c r="I520" s="1">
        <v>1</v>
      </c>
      <c r="J520" s="2">
        <v>431.03</v>
      </c>
    </row>
    <row r="521" spans="2:10" x14ac:dyDescent="0.2">
      <c r="B521" t="s">
        <v>690</v>
      </c>
      <c r="C521" t="s">
        <v>40</v>
      </c>
      <c r="D521" t="s">
        <v>691</v>
      </c>
      <c r="E521" t="s">
        <v>72</v>
      </c>
      <c r="F521" t="s">
        <v>73</v>
      </c>
      <c r="G521" t="s">
        <v>1034</v>
      </c>
      <c r="H521" t="s">
        <v>15</v>
      </c>
      <c r="I521" s="1">
        <v>1</v>
      </c>
      <c r="J521" s="2">
        <v>775.86</v>
      </c>
    </row>
    <row r="522" spans="2:10" x14ac:dyDescent="0.2">
      <c r="B522" t="s">
        <v>690</v>
      </c>
      <c r="C522" t="s">
        <v>40</v>
      </c>
      <c r="D522" t="s">
        <v>691</v>
      </c>
      <c r="E522" t="s">
        <v>336</v>
      </c>
      <c r="F522" t="s">
        <v>337</v>
      </c>
      <c r="G522" t="s">
        <v>1034</v>
      </c>
      <c r="H522" t="s">
        <v>15</v>
      </c>
      <c r="I522" s="1">
        <v>1</v>
      </c>
      <c r="J522" s="2">
        <v>387.93</v>
      </c>
    </row>
    <row r="523" spans="2:10" x14ac:dyDescent="0.2">
      <c r="B523" t="s">
        <v>690</v>
      </c>
      <c r="C523" t="s">
        <v>40</v>
      </c>
      <c r="D523" t="s">
        <v>691</v>
      </c>
      <c r="E523" t="s">
        <v>22</v>
      </c>
      <c r="F523" t="s">
        <v>23</v>
      </c>
      <c r="G523" t="s">
        <v>14</v>
      </c>
      <c r="H523" t="s">
        <v>24</v>
      </c>
      <c r="I523" s="1">
        <v>5</v>
      </c>
      <c r="J523" s="2">
        <v>1077.5999999999999</v>
      </c>
    </row>
    <row r="524" spans="2:10" x14ac:dyDescent="0.2">
      <c r="B524" t="s">
        <v>690</v>
      </c>
      <c r="C524" t="s">
        <v>40</v>
      </c>
      <c r="D524" t="s">
        <v>691</v>
      </c>
      <c r="E524" t="s">
        <v>157</v>
      </c>
      <c r="F524" t="s">
        <v>158</v>
      </c>
      <c r="G524" t="s">
        <v>14</v>
      </c>
      <c r="H524" t="s">
        <v>87</v>
      </c>
      <c r="I524" s="1">
        <v>2</v>
      </c>
      <c r="J524" s="2">
        <v>568.97</v>
      </c>
    </row>
    <row r="525" spans="2:10" x14ac:dyDescent="0.2">
      <c r="B525" t="s">
        <v>690</v>
      </c>
      <c r="C525" t="s">
        <v>40</v>
      </c>
      <c r="D525" t="s">
        <v>691</v>
      </c>
      <c r="E525" t="s">
        <v>159</v>
      </c>
      <c r="F525" t="s">
        <v>160</v>
      </c>
      <c r="G525" t="s">
        <v>14</v>
      </c>
      <c r="H525" t="s">
        <v>87</v>
      </c>
      <c r="I525" s="1">
        <v>2</v>
      </c>
      <c r="J525" s="2">
        <v>568.97</v>
      </c>
    </row>
    <row r="526" spans="2:10" x14ac:dyDescent="0.2">
      <c r="B526" t="s">
        <v>690</v>
      </c>
      <c r="C526" t="s">
        <v>40</v>
      </c>
      <c r="D526" t="s">
        <v>691</v>
      </c>
      <c r="E526" t="s">
        <v>38</v>
      </c>
      <c r="F526" t="s">
        <v>39</v>
      </c>
      <c r="G526" t="s">
        <v>1034</v>
      </c>
      <c r="H526" t="s">
        <v>15</v>
      </c>
      <c r="I526" s="1">
        <v>1</v>
      </c>
      <c r="J526" s="2">
        <v>431.03</v>
      </c>
    </row>
    <row r="527" spans="2:10" x14ac:dyDescent="0.2">
      <c r="B527" t="s">
        <v>690</v>
      </c>
      <c r="C527" t="s">
        <v>40</v>
      </c>
      <c r="D527" t="s">
        <v>691</v>
      </c>
      <c r="E527" t="s">
        <v>710</v>
      </c>
      <c r="F527" t="s">
        <v>711</v>
      </c>
      <c r="G527" t="s">
        <v>284</v>
      </c>
      <c r="H527" t="s">
        <v>712</v>
      </c>
      <c r="I527" s="1">
        <v>1</v>
      </c>
      <c r="J527" s="2">
        <v>310.33999999999997</v>
      </c>
    </row>
    <row r="528" spans="2:10" x14ac:dyDescent="0.2">
      <c r="B528" t="s">
        <v>690</v>
      </c>
      <c r="C528" t="s">
        <v>40</v>
      </c>
      <c r="D528" t="s">
        <v>691</v>
      </c>
      <c r="E528" t="s">
        <v>273</v>
      </c>
      <c r="F528" t="s">
        <v>274</v>
      </c>
      <c r="G528" t="s">
        <v>1033</v>
      </c>
      <c r="H528" t="s">
        <v>30</v>
      </c>
      <c r="I528" s="1">
        <v>1</v>
      </c>
      <c r="J528" s="2">
        <v>1293.0999999999999</v>
      </c>
    </row>
    <row r="529" spans="2:10" x14ac:dyDescent="0.2">
      <c r="B529" t="s">
        <v>690</v>
      </c>
      <c r="C529" t="s">
        <v>40</v>
      </c>
      <c r="D529" t="s">
        <v>691</v>
      </c>
      <c r="E529" t="s">
        <v>713</v>
      </c>
      <c r="F529" t="s">
        <v>714</v>
      </c>
      <c r="G529" t="s">
        <v>14</v>
      </c>
      <c r="H529" t="s">
        <v>94</v>
      </c>
      <c r="I529" s="1">
        <v>1</v>
      </c>
      <c r="J529" s="2">
        <v>387.93</v>
      </c>
    </row>
    <row r="530" spans="2:10" x14ac:dyDescent="0.2">
      <c r="B530" t="s">
        <v>690</v>
      </c>
      <c r="C530" t="s">
        <v>40</v>
      </c>
      <c r="D530" t="s">
        <v>691</v>
      </c>
      <c r="E530" t="s">
        <v>163</v>
      </c>
      <c r="F530" t="s">
        <v>164</v>
      </c>
      <c r="G530" t="s">
        <v>1034</v>
      </c>
      <c r="H530" t="s">
        <v>15</v>
      </c>
      <c r="I530" s="1">
        <v>1</v>
      </c>
      <c r="J530" s="2">
        <v>431.03</v>
      </c>
    </row>
    <row r="531" spans="2:10" x14ac:dyDescent="0.2">
      <c r="B531" t="s">
        <v>690</v>
      </c>
      <c r="C531" t="s">
        <v>40</v>
      </c>
      <c r="D531" t="s">
        <v>691</v>
      </c>
      <c r="E531" t="s">
        <v>61</v>
      </c>
      <c r="F531" t="s">
        <v>62</v>
      </c>
      <c r="G531" t="s">
        <v>1034</v>
      </c>
      <c r="H531" t="s">
        <v>15</v>
      </c>
      <c r="I531" s="1">
        <v>5</v>
      </c>
      <c r="J531" s="2">
        <v>862.05</v>
      </c>
    </row>
    <row r="532" spans="2:10" x14ac:dyDescent="0.2">
      <c r="B532" t="s">
        <v>690</v>
      </c>
      <c r="C532" t="s">
        <v>40</v>
      </c>
      <c r="D532" t="s">
        <v>691</v>
      </c>
      <c r="E532" t="s">
        <v>63</v>
      </c>
      <c r="F532" t="s">
        <v>64</v>
      </c>
      <c r="G532" t="s">
        <v>1034</v>
      </c>
      <c r="H532" t="s">
        <v>15</v>
      </c>
      <c r="I532" s="1">
        <v>4</v>
      </c>
      <c r="J532" s="2">
        <v>689.64</v>
      </c>
    </row>
    <row r="533" spans="2:10" x14ac:dyDescent="0.2">
      <c r="B533" t="s">
        <v>690</v>
      </c>
      <c r="C533" t="s">
        <v>40</v>
      </c>
      <c r="D533" t="s">
        <v>691</v>
      </c>
      <c r="E533" t="s">
        <v>715</v>
      </c>
      <c r="F533" t="s">
        <v>716</v>
      </c>
      <c r="G533" t="s">
        <v>43</v>
      </c>
      <c r="H533" t="s">
        <v>81</v>
      </c>
      <c r="I533" s="1">
        <v>1</v>
      </c>
      <c r="J533" s="2">
        <v>1637.93</v>
      </c>
    </row>
    <row r="534" spans="2:10" x14ac:dyDescent="0.2">
      <c r="B534" t="s">
        <v>690</v>
      </c>
      <c r="C534" t="s">
        <v>40</v>
      </c>
      <c r="D534" t="s">
        <v>691</v>
      </c>
      <c r="E534" t="s">
        <v>717</v>
      </c>
      <c r="F534" t="s">
        <v>718</v>
      </c>
      <c r="G534" t="s">
        <v>43</v>
      </c>
      <c r="H534" t="s">
        <v>91</v>
      </c>
      <c r="I534" s="1">
        <v>1</v>
      </c>
      <c r="J534" s="2">
        <v>1810.34</v>
      </c>
    </row>
    <row r="535" spans="2:10" x14ac:dyDescent="0.2">
      <c r="B535" t="s">
        <v>690</v>
      </c>
      <c r="C535" t="s">
        <v>40</v>
      </c>
      <c r="D535" t="s">
        <v>691</v>
      </c>
      <c r="E535" t="s">
        <v>461</v>
      </c>
      <c r="F535" t="s">
        <v>462</v>
      </c>
      <c r="G535" t="s">
        <v>43</v>
      </c>
      <c r="H535" t="s">
        <v>50</v>
      </c>
      <c r="I535" s="1">
        <v>1</v>
      </c>
      <c r="J535" s="2">
        <v>3879.31</v>
      </c>
    </row>
    <row r="536" spans="2:10" x14ac:dyDescent="0.2">
      <c r="B536" t="s">
        <v>690</v>
      </c>
      <c r="C536" t="s">
        <v>40</v>
      </c>
      <c r="D536" t="s">
        <v>691</v>
      </c>
      <c r="E536" t="s">
        <v>28</v>
      </c>
      <c r="F536" t="s">
        <v>29</v>
      </c>
      <c r="G536" t="s">
        <v>1033</v>
      </c>
      <c r="H536" t="s">
        <v>30</v>
      </c>
      <c r="I536" s="1">
        <v>2</v>
      </c>
      <c r="J536" s="2">
        <v>310.33999999999997</v>
      </c>
    </row>
    <row r="537" spans="2:10" x14ac:dyDescent="0.2">
      <c r="B537" t="s">
        <v>690</v>
      </c>
      <c r="C537" t="s">
        <v>51</v>
      </c>
      <c r="D537" t="s">
        <v>691</v>
      </c>
      <c r="E537" t="s">
        <v>19</v>
      </c>
      <c r="F537" t="s">
        <v>20</v>
      </c>
      <c r="G537" t="s">
        <v>14</v>
      </c>
      <c r="H537" t="s">
        <v>21</v>
      </c>
      <c r="I537" s="1">
        <v>1</v>
      </c>
      <c r="J537" s="2">
        <v>431.04</v>
      </c>
    </row>
    <row r="538" spans="2:10" x14ac:dyDescent="0.2">
      <c r="B538" t="s">
        <v>690</v>
      </c>
      <c r="C538" t="s">
        <v>51</v>
      </c>
      <c r="D538" t="s">
        <v>691</v>
      </c>
      <c r="E538" t="s">
        <v>72</v>
      </c>
      <c r="F538" t="s">
        <v>73</v>
      </c>
      <c r="G538" t="s">
        <v>1034</v>
      </c>
      <c r="H538" t="s">
        <v>15</v>
      </c>
      <c r="I538" s="1">
        <v>1</v>
      </c>
      <c r="J538" s="2">
        <v>775.86</v>
      </c>
    </row>
    <row r="539" spans="2:10" x14ac:dyDescent="0.2">
      <c r="B539" t="s">
        <v>690</v>
      </c>
      <c r="C539" t="s">
        <v>51</v>
      </c>
      <c r="D539" t="s">
        <v>691</v>
      </c>
      <c r="E539" t="s">
        <v>63</v>
      </c>
      <c r="F539" t="s">
        <v>64</v>
      </c>
      <c r="G539" t="s">
        <v>1034</v>
      </c>
      <c r="H539" t="s">
        <v>15</v>
      </c>
      <c r="I539" s="1">
        <v>1</v>
      </c>
      <c r="J539" s="2">
        <v>172.41</v>
      </c>
    </row>
    <row r="540" spans="2:10" x14ac:dyDescent="0.2">
      <c r="B540" t="s">
        <v>690</v>
      </c>
      <c r="C540" t="s">
        <v>51</v>
      </c>
      <c r="D540" t="s">
        <v>691</v>
      </c>
      <c r="E540" t="s">
        <v>16</v>
      </c>
      <c r="F540" t="s">
        <v>17</v>
      </c>
      <c r="G540" t="s">
        <v>1034</v>
      </c>
      <c r="H540" t="s">
        <v>15</v>
      </c>
      <c r="I540" s="1">
        <v>2</v>
      </c>
      <c r="J540" s="2">
        <v>1155.18</v>
      </c>
    </row>
    <row r="541" spans="2:10" x14ac:dyDescent="0.2">
      <c r="B541" t="s">
        <v>690</v>
      </c>
      <c r="C541" t="s">
        <v>65</v>
      </c>
      <c r="D541" t="s">
        <v>691</v>
      </c>
      <c r="E541" t="s">
        <v>36</v>
      </c>
      <c r="F541" t="s">
        <v>37</v>
      </c>
      <c r="G541" t="s">
        <v>1034</v>
      </c>
      <c r="H541" t="s">
        <v>15</v>
      </c>
      <c r="I541" s="1">
        <v>1</v>
      </c>
      <c r="J541" s="2">
        <v>301.72000000000003</v>
      </c>
    </row>
    <row r="542" spans="2:10" x14ac:dyDescent="0.2">
      <c r="B542" t="s">
        <v>690</v>
      </c>
      <c r="C542" t="s">
        <v>65</v>
      </c>
      <c r="D542" t="s">
        <v>691</v>
      </c>
      <c r="E542" t="s">
        <v>16</v>
      </c>
      <c r="F542" t="s">
        <v>17</v>
      </c>
      <c r="G542" t="s">
        <v>1034</v>
      </c>
      <c r="H542" t="s">
        <v>15</v>
      </c>
      <c r="I542" s="1">
        <v>2</v>
      </c>
      <c r="J542" s="2">
        <v>1155.18</v>
      </c>
    </row>
    <row r="543" spans="2:10" x14ac:dyDescent="0.2">
      <c r="B543" t="s">
        <v>690</v>
      </c>
      <c r="C543" t="s">
        <v>82</v>
      </c>
      <c r="D543" t="s">
        <v>691</v>
      </c>
      <c r="E543" t="s">
        <v>46</v>
      </c>
      <c r="F543" t="s">
        <v>47</v>
      </c>
      <c r="G543" t="s">
        <v>1034</v>
      </c>
      <c r="H543" t="s">
        <v>15</v>
      </c>
      <c r="I543" s="1">
        <v>1</v>
      </c>
      <c r="J543" s="2">
        <v>301.72000000000003</v>
      </c>
    </row>
    <row r="544" spans="2:10" x14ac:dyDescent="0.2">
      <c r="B544" t="s">
        <v>690</v>
      </c>
      <c r="C544" t="s">
        <v>82</v>
      </c>
      <c r="D544" t="s">
        <v>691</v>
      </c>
      <c r="E544" t="s">
        <v>149</v>
      </c>
      <c r="F544" t="s">
        <v>150</v>
      </c>
      <c r="G544" t="s">
        <v>43</v>
      </c>
      <c r="H544" t="s">
        <v>50</v>
      </c>
      <c r="I544" s="1">
        <v>1</v>
      </c>
      <c r="J544" s="2">
        <v>3017.24</v>
      </c>
    </row>
    <row r="545" spans="2:10" x14ac:dyDescent="0.2">
      <c r="B545" t="s">
        <v>690</v>
      </c>
      <c r="C545" t="s">
        <v>82</v>
      </c>
      <c r="D545" t="s">
        <v>691</v>
      </c>
      <c r="E545" t="s">
        <v>120</v>
      </c>
      <c r="F545" t="s">
        <v>121</v>
      </c>
      <c r="G545" t="s">
        <v>1034</v>
      </c>
      <c r="H545" t="s">
        <v>15</v>
      </c>
      <c r="I545" s="1">
        <v>1</v>
      </c>
      <c r="J545" s="2">
        <v>301.72000000000003</v>
      </c>
    </row>
    <row r="546" spans="2:10" x14ac:dyDescent="0.2">
      <c r="B546" t="s">
        <v>690</v>
      </c>
      <c r="C546" t="s">
        <v>82</v>
      </c>
      <c r="D546" t="s">
        <v>691</v>
      </c>
      <c r="E546" t="s">
        <v>36</v>
      </c>
      <c r="F546" t="s">
        <v>37</v>
      </c>
      <c r="G546" t="s">
        <v>1034</v>
      </c>
      <c r="H546" t="s">
        <v>15</v>
      </c>
      <c r="I546" s="1">
        <v>2</v>
      </c>
      <c r="J546" s="2">
        <v>603.44000000000005</v>
      </c>
    </row>
    <row r="547" spans="2:10" x14ac:dyDescent="0.2">
      <c r="B547" t="s">
        <v>690</v>
      </c>
      <c r="C547" t="s">
        <v>82</v>
      </c>
      <c r="D547" t="s">
        <v>691</v>
      </c>
      <c r="E547" t="s">
        <v>72</v>
      </c>
      <c r="F547" t="s">
        <v>73</v>
      </c>
      <c r="G547" t="s">
        <v>1034</v>
      </c>
      <c r="H547" t="s">
        <v>15</v>
      </c>
      <c r="I547" s="1">
        <v>1</v>
      </c>
      <c r="J547" s="2">
        <v>775.86</v>
      </c>
    </row>
    <row r="548" spans="2:10" x14ac:dyDescent="0.2">
      <c r="B548" t="s">
        <v>690</v>
      </c>
      <c r="C548" t="s">
        <v>82</v>
      </c>
      <c r="D548" t="s">
        <v>691</v>
      </c>
      <c r="E548" t="s">
        <v>273</v>
      </c>
      <c r="F548" t="s">
        <v>274</v>
      </c>
      <c r="G548" t="s">
        <v>1033</v>
      </c>
      <c r="H548" t="s">
        <v>30</v>
      </c>
      <c r="I548" s="1">
        <v>1</v>
      </c>
      <c r="J548" s="2">
        <v>1293.0999999999999</v>
      </c>
    </row>
    <row r="549" spans="2:10" x14ac:dyDescent="0.2">
      <c r="B549" t="s">
        <v>690</v>
      </c>
      <c r="C549" t="s">
        <v>82</v>
      </c>
      <c r="D549" t="s">
        <v>691</v>
      </c>
      <c r="E549" t="s">
        <v>56</v>
      </c>
      <c r="F549" t="s">
        <v>57</v>
      </c>
      <c r="G549" t="s">
        <v>1034</v>
      </c>
      <c r="H549" t="s">
        <v>15</v>
      </c>
      <c r="I549" s="1">
        <v>1</v>
      </c>
      <c r="J549" s="2">
        <v>431.03</v>
      </c>
    </row>
    <row r="550" spans="2:10" x14ac:dyDescent="0.2">
      <c r="B550" t="s">
        <v>690</v>
      </c>
      <c r="C550" t="s">
        <v>82</v>
      </c>
      <c r="D550" t="s">
        <v>691</v>
      </c>
      <c r="E550" t="s">
        <v>16</v>
      </c>
      <c r="F550" t="s">
        <v>17</v>
      </c>
      <c r="G550" t="s">
        <v>1034</v>
      </c>
      <c r="H550" t="s">
        <v>15</v>
      </c>
      <c r="I550" s="1">
        <v>1</v>
      </c>
      <c r="J550" s="2">
        <v>577.59</v>
      </c>
    </row>
    <row r="551" spans="2:10" x14ac:dyDescent="0.2">
      <c r="B551" t="s">
        <v>690</v>
      </c>
      <c r="C551" t="s">
        <v>82</v>
      </c>
      <c r="D551" t="s">
        <v>691</v>
      </c>
      <c r="E551" t="s">
        <v>193</v>
      </c>
      <c r="F551" t="s">
        <v>194</v>
      </c>
      <c r="G551" t="s">
        <v>1034</v>
      </c>
      <c r="H551" t="s">
        <v>15</v>
      </c>
      <c r="I551" s="1">
        <v>1</v>
      </c>
      <c r="J551" s="2">
        <v>1293.0999999999999</v>
      </c>
    </row>
    <row r="552" spans="2:10" x14ac:dyDescent="0.2">
      <c r="B552" t="s">
        <v>690</v>
      </c>
      <c r="C552" t="s">
        <v>82</v>
      </c>
      <c r="D552" t="s">
        <v>691</v>
      </c>
      <c r="E552" t="s">
        <v>719</v>
      </c>
      <c r="F552" t="s">
        <v>720</v>
      </c>
      <c r="G552" t="s">
        <v>1033</v>
      </c>
      <c r="H552" t="s">
        <v>30</v>
      </c>
      <c r="I552" s="1">
        <v>1</v>
      </c>
      <c r="J552" s="2">
        <v>818.97</v>
      </c>
    </row>
    <row r="553" spans="2:10" x14ac:dyDescent="0.2">
      <c r="B553" t="s">
        <v>690</v>
      </c>
      <c r="C553" t="s">
        <v>82</v>
      </c>
      <c r="D553" t="s">
        <v>691</v>
      </c>
      <c r="E553" t="s">
        <v>721</v>
      </c>
      <c r="F553" t="s">
        <v>722</v>
      </c>
      <c r="G553" t="s">
        <v>699</v>
      </c>
      <c r="H553" t="s">
        <v>723</v>
      </c>
      <c r="I553" s="1">
        <v>1</v>
      </c>
      <c r="J553" s="2">
        <v>103.45</v>
      </c>
    </row>
    <row r="554" spans="2:10" x14ac:dyDescent="0.2">
      <c r="B554" t="s">
        <v>690</v>
      </c>
      <c r="C554" t="s">
        <v>88</v>
      </c>
      <c r="D554" t="s">
        <v>691</v>
      </c>
      <c r="E554" t="s">
        <v>22</v>
      </c>
      <c r="F554" t="s">
        <v>23</v>
      </c>
      <c r="G554" t="s">
        <v>14</v>
      </c>
      <c r="H554" t="s">
        <v>24</v>
      </c>
      <c r="I554" s="1">
        <v>1</v>
      </c>
      <c r="J554" s="2">
        <v>215.52</v>
      </c>
    </row>
    <row r="555" spans="2:10" x14ac:dyDescent="0.2">
      <c r="B555" t="s">
        <v>690</v>
      </c>
      <c r="C555" t="s">
        <v>117</v>
      </c>
      <c r="D555" t="s">
        <v>691</v>
      </c>
      <c r="E555" t="s">
        <v>44</v>
      </c>
      <c r="F555" t="s">
        <v>45</v>
      </c>
      <c r="G555" t="s">
        <v>1033</v>
      </c>
      <c r="H555" t="s">
        <v>30</v>
      </c>
      <c r="I555" s="1">
        <v>1</v>
      </c>
      <c r="J555" s="2">
        <v>81.900000000000006</v>
      </c>
    </row>
    <row r="556" spans="2:10" x14ac:dyDescent="0.2">
      <c r="B556" t="s">
        <v>690</v>
      </c>
      <c r="C556" t="s">
        <v>117</v>
      </c>
      <c r="D556" t="s">
        <v>691</v>
      </c>
      <c r="E556" t="s">
        <v>97</v>
      </c>
      <c r="F556" t="s">
        <v>98</v>
      </c>
      <c r="G556" t="s">
        <v>1033</v>
      </c>
      <c r="H556" t="s">
        <v>30</v>
      </c>
      <c r="I556" s="1">
        <v>1</v>
      </c>
      <c r="J556" s="2">
        <v>2500</v>
      </c>
    </row>
    <row r="557" spans="2:10" x14ac:dyDescent="0.2">
      <c r="B557" t="s">
        <v>690</v>
      </c>
      <c r="C557" t="s">
        <v>117</v>
      </c>
      <c r="D557" t="s">
        <v>691</v>
      </c>
      <c r="E557" t="s">
        <v>12</v>
      </c>
      <c r="F557" t="s">
        <v>13</v>
      </c>
      <c r="G557" t="s">
        <v>1034</v>
      </c>
      <c r="H557" t="s">
        <v>15</v>
      </c>
      <c r="I557" s="1">
        <v>1</v>
      </c>
      <c r="J557" s="2">
        <v>1077.5899999999999</v>
      </c>
    </row>
    <row r="558" spans="2:10" x14ac:dyDescent="0.2">
      <c r="B558" t="s">
        <v>690</v>
      </c>
      <c r="C558" t="s">
        <v>117</v>
      </c>
      <c r="D558" t="s">
        <v>691</v>
      </c>
      <c r="E558" t="s">
        <v>85</v>
      </c>
      <c r="F558" t="s">
        <v>86</v>
      </c>
      <c r="G558" t="s">
        <v>14</v>
      </c>
      <c r="H558" t="s">
        <v>87</v>
      </c>
      <c r="I558" s="1">
        <v>1</v>
      </c>
      <c r="J558" s="2">
        <v>301.72000000000003</v>
      </c>
    </row>
    <row r="559" spans="2:10" x14ac:dyDescent="0.2">
      <c r="B559" t="s">
        <v>690</v>
      </c>
      <c r="C559" t="s">
        <v>117</v>
      </c>
      <c r="D559" t="s">
        <v>691</v>
      </c>
      <c r="E559" t="s">
        <v>22</v>
      </c>
      <c r="F559" t="s">
        <v>23</v>
      </c>
      <c r="G559" t="s">
        <v>14</v>
      </c>
      <c r="H559" t="s">
        <v>24</v>
      </c>
      <c r="I559" s="1">
        <v>1</v>
      </c>
      <c r="J559" s="2">
        <v>215.52</v>
      </c>
    </row>
    <row r="560" spans="2:10" x14ac:dyDescent="0.2">
      <c r="B560" t="s">
        <v>690</v>
      </c>
      <c r="C560" t="s">
        <v>117</v>
      </c>
      <c r="D560" t="s">
        <v>691</v>
      </c>
      <c r="E560" t="s">
        <v>442</v>
      </c>
      <c r="F560" t="s">
        <v>443</v>
      </c>
      <c r="G560" t="s">
        <v>1033</v>
      </c>
      <c r="H560" t="s">
        <v>30</v>
      </c>
      <c r="I560" s="1">
        <v>1</v>
      </c>
      <c r="J560" s="2">
        <v>2500</v>
      </c>
    </row>
    <row r="561" spans="2:10" x14ac:dyDescent="0.2">
      <c r="B561" t="s">
        <v>690</v>
      </c>
      <c r="C561" t="s">
        <v>117</v>
      </c>
      <c r="D561" t="s">
        <v>691</v>
      </c>
      <c r="E561" t="s">
        <v>63</v>
      </c>
      <c r="F561" t="s">
        <v>64</v>
      </c>
      <c r="G561" t="s">
        <v>1034</v>
      </c>
      <c r="H561" t="s">
        <v>15</v>
      </c>
      <c r="I561" s="1">
        <v>1</v>
      </c>
      <c r="J561" s="2">
        <v>172.41</v>
      </c>
    </row>
    <row r="562" spans="2:10" x14ac:dyDescent="0.2">
      <c r="B562" t="s">
        <v>690</v>
      </c>
      <c r="C562" t="s">
        <v>117</v>
      </c>
      <c r="D562" t="s">
        <v>691</v>
      </c>
      <c r="E562" t="s">
        <v>28</v>
      </c>
      <c r="F562" t="s">
        <v>29</v>
      </c>
      <c r="G562" t="s">
        <v>1033</v>
      </c>
      <c r="H562" t="s">
        <v>30</v>
      </c>
      <c r="I562" s="1">
        <v>1</v>
      </c>
      <c r="J562" s="2">
        <v>155.16999999999999</v>
      </c>
    </row>
    <row r="563" spans="2:10" x14ac:dyDescent="0.2">
      <c r="B563" t="s">
        <v>740</v>
      </c>
      <c r="C563" t="s">
        <v>10</v>
      </c>
      <c r="D563" t="s">
        <v>130</v>
      </c>
      <c r="E563" t="s">
        <v>36</v>
      </c>
      <c r="F563" t="s">
        <v>37</v>
      </c>
      <c r="G563" t="s">
        <v>1034</v>
      </c>
      <c r="H563" t="s">
        <v>15</v>
      </c>
      <c r="I563" s="1">
        <v>2</v>
      </c>
      <c r="J563" s="2">
        <v>603.44000000000005</v>
      </c>
    </row>
    <row r="564" spans="2:10" x14ac:dyDescent="0.2">
      <c r="B564" t="s">
        <v>740</v>
      </c>
      <c r="C564" t="s">
        <v>10</v>
      </c>
      <c r="D564" t="s">
        <v>130</v>
      </c>
      <c r="E564" t="s">
        <v>521</v>
      </c>
      <c r="F564" t="s">
        <v>522</v>
      </c>
      <c r="G564" t="s">
        <v>14</v>
      </c>
      <c r="H564" t="s">
        <v>104</v>
      </c>
      <c r="I564" s="1">
        <v>4</v>
      </c>
      <c r="J564" s="2">
        <v>86.2</v>
      </c>
    </row>
    <row r="565" spans="2:10" x14ac:dyDescent="0.2">
      <c r="B565" t="s">
        <v>740</v>
      </c>
      <c r="C565" t="s">
        <v>10</v>
      </c>
      <c r="D565" t="s">
        <v>130</v>
      </c>
      <c r="E565" t="s">
        <v>16</v>
      </c>
      <c r="F565" t="s">
        <v>17</v>
      </c>
      <c r="G565" t="s">
        <v>1034</v>
      </c>
      <c r="H565" t="s">
        <v>15</v>
      </c>
      <c r="I565" s="1">
        <v>1</v>
      </c>
      <c r="J565" s="2">
        <v>577.59</v>
      </c>
    </row>
    <row r="566" spans="2:10" x14ac:dyDescent="0.2">
      <c r="B566" t="s">
        <v>740</v>
      </c>
      <c r="C566" t="s">
        <v>18</v>
      </c>
      <c r="D566" t="s">
        <v>741</v>
      </c>
      <c r="E566" t="s">
        <v>318</v>
      </c>
      <c r="F566" t="s">
        <v>319</v>
      </c>
      <c r="G566" t="s">
        <v>1033</v>
      </c>
      <c r="H566" t="s">
        <v>30</v>
      </c>
      <c r="I566" s="1">
        <v>2</v>
      </c>
      <c r="J566" s="2">
        <v>913.8</v>
      </c>
    </row>
    <row r="567" spans="2:10" x14ac:dyDescent="0.2">
      <c r="B567" t="s">
        <v>740</v>
      </c>
      <c r="C567" t="s">
        <v>18</v>
      </c>
      <c r="D567" t="s">
        <v>741</v>
      </c>
      <c r="E567" t="s">
        <v>46</v>
      </c>
      <c r="F567" t="s">
        <v>47</v>
      </c>
      <c r="G567" t="s">
        <v>1034</v>
      </c>
      <c r="H567" t="s">
        <v>15</v>
      </c>
      <c r="I567" s="1">
        <v>1</v>
      </c>
      <c r="J567" s="2">
        <v>301.72000000000003</v>
      </c>
    </row>
    <row r="568" spans="2:10" x14ac:dyDescent="0.2">
      <c r="B568" t="s">
        <v>740</v>
      </c>
      <c r="C568" t="s">
        <v>18</v>
      </c>
      <c r="D568" t="s">
        <v>741</v>
      </c>
      <c r="E568" t="s">
        <v>120</v>
      </c>
      <c r="F568" t="s">
        <v>121</v>
      </c>
      <c r="G568" t="s">
        <v>1034</v>
      </c>
      <c r="H568" t="s">
        <v>15</v>
      </c>
      <c r="I568" s="1">
        <v>1</v>
      </c>
      <c r="J568" s="2">
        <v>301.72000000000003</v>
      </c>
    </row>
    <row r="569" spans="2:10" x14ac:dyDescent="0.2">
      <c r="B569" t="s">
        <v>740</v>
      </c>
      <c r="C569" t="s">
        <v>18</v>
      </c>
      <c r="D569" t="s">
        <v>741</v>
      </c>
      <c r="E569" t="s">
        <v>214</v>
      </c>
      <c r="F569" t="s">
        <v>215</v>
      </c>
      <c r="G569" t="s">
        <v>1034</v>
      </c>
      <c r="H569" t="s">
        <v>15</v>
      </c>
      <c r="I569" s="1">
        <v>2</v>
      </c>
      <c r="J569" s="2">
        <v>603.44000000000005</v>
      </c>
    </row>
    <row r="570" spans="2:10" x14ac:dyDescent="0.2">
      <c r="B570" t="s">
        <v>740</v>
      </c>
      <c r="C570" t="s">
        <v>18</v>
      </c>
      <c r="D570" t="s">
        <v>741</v>
      </c>
      <c r="E570" t="s">
        <v>36</v>
      </c>
      <c r="F570" t="s">
        <v>37</v>
      </c>
      <c r="G570" t="s">
        <v>1034</v>
      </c>
      <c r="H570" t="s">
        <v>15</v>
      </c>
      <c r="I570" s="1">
        <v>1</v>
      </c>
      <c r="J570" s="2">
        <v>301.72000000000003</v>
      </c>
    </row>
    <row r="571" spans="2:10" x14ac:dyDescent="0.2">
      <c r="B571" t="s">
        <v>740</v>
      </c>
      <c r="C571" t="s">
        <v>18</v>
      </c>
      <c r="D571" t="s">
        <v>741</v>
      </c>
      <c r="E571" t="s">
        <v>223</v>
      </c>
      <c r="F571" t="s">
        <v>224</v>
      </c>
      <c r="G571" t="s">
        <v>43</v>
      </c>
      <c r="H571" t="s">
        <v>50</v>
      </c>
      <c r="I571" s="1">
        <v>1</v>
      </c>
      <c r="J571" s="2">
        <v>1637.93</v>
      </c>
    </row>
    <row r="572" spans="2:10" x14ac:dyDescent="0.2">
      <c r="B572" t="s">
        <v>740</v>
      </c>
      <c r="C572" t="s">
        <v>18</v>
      </c>
      <c r="D572" t="s">
        <v>741</v>
      </c>
      <c r="E572" t="s">
        <v>56</v>
      </c>
      <c r="F572" t="s">
        <v>57</v>
      </c>
      <c r="G572" t="s">
        <v>1034</v>
      </c>
      <c r="H572" t="s">
        <v>15</v>
      </c>
      <c r="I572" s="1">
        <v>1</v>
      </c>
      <c r="J572" s="2">
        <v>431.03</v>
      </c>
    </row>
    <row r="573" spans="2:10" x14ac:dyDescent="0.2">
      <c r="B573" t="s">
        <v>740</v>
      </c>
      <c r="C573" t="s">
        <v>18</v>
      </c>
      <c r="D573" t="s">
        <v>741</v>
      </c>
      <c r="E573" t="s">
        <v>63</v>
      </c>
      <c r="F573" t="s">
        <v>64</v>
      </c>
      <c r="G573" t="s">
        <v>1034</v>
      </c>
      <c r="H573" t="s">
        <v>15</v>
      </c>
      <c r="I573" s="1">
        <v>4</v>
      </c>
      <c r="J573" s="2">
        <v>689.64</v>
      </c>
    </row>
    <row r="574" spans="2:10" x14ac:dyDescent="0.2">
      <c r="B574" t="s">
        <v>740</v>
      </c>
      <c r="C574" t="s">
        <v>18</v>
      </c>
      <c r="D574" t="s">
        <v>741</v>
      </c>
      <c r="E574" t="s">
        <v>16</v>
      </c>
      <c r="F574" t="s">
        <v>17</v>
      </c>
      <c r="G574" t="s">
        <v>1034</v>
      </c>
      <c r="H574" t="s">
        <v>15</v>
      </c>
      <c r="I574" s="1">
        <v>1</v>
      </c>
      <c r="J574" s="2">
        <v>577.59</v>
      </c>
    </row>
    <row r="575" spans="2:10" x14ac:dyDescent="0.2">
      <c r="B575" t="s">
        <v>740</v>
      </c>
      <c r="C575" t="s">
        <v>18</v>
      </c>
      <c r="D575" t="s">
        <v>741</v>
      </c>
      <c r="E575" t="s">
        <v>79</v>
      </c>
      <c r="F575" t="s">
        <v>80</v>
      </c>
      <c r="G575" t="s">
        <v>43</v>
      </c>
      <c r="H575" t="s">
        <v>81</v>
      </c>
      <c r="I575" s="1">
        <v>1</v>
      </c>
      <c r="J575" s="2">
        <v>1810.34</v>
      </c>
    </row>
    <row r="576" spans="2:10" x14ac:dyDescent="0.2">
      <c r="B576" t="s">
        <v>740</v>
      </c>
      <c r="C576" t="s">
        <v>18</v>
      </c>
      <c r="D576" t="s">
        <v>741</v>
      </c>
      <c r="E576" t="s">
        <v>181</v>
      </c>
      <c r="F576" t="s">
        <v>182</v>
      </c>
      <c r="G576" t="s">
        <v>43</v>
      </c>
      <c r="H576" t="s">
        <v>81</v>
      </c>
      <c r="I576" s="1">
        <v>1</v>
      </c>
      <c r="J576" s="2">
        <v>1379.31</v>
      </c>
    </row>
    <row r="577" spans="2:10" x14ac:dyDescent="0.2">
      <c r="B577" t="s">
        <v>740</v>
      </c>
      <c r="C577" t="s">
        <v>31</v>
      </c>
      <c r="D577" t="s">
        <v>741</v>
      </c>
      <c r="E577" t="s">
        <v>19</v>
      </c>
      <c r="F577" t="s">
        <v>20</v>
      </c>
      <c r="G577" t="s">
        <v>14</v>
      </c>
      <c r="H577" t="s">
        <v>21</v>
      </c>
      <c r="I577" s="1">
        <v>1</v>
      </c>
      <c r="J577" s="2">
        <v>431.04</v>
      </c>
    </row>
    <row r="578" spans="2:10" x14ac:dyDescent="0.2">
      <c r="B578" t="s">
        <v>740</v>
      </c>
      <c r="C578" t="s">
        <v>40</v>
      </c>
      <c r="D578" t="s">
        <v>741</v>
      </c>
      <c r="E578" t="s">
        <v>399</v>
      </c>
      <c r="F578" t="s">
        <v>400</v>
      </c>
      <c r="G578" t="s">
        <v>1033</v>
      </c>
      <c r="H578" t="s">
        <v>30</v>
      </c>
      <c r="I578" s="1">
        <v>1</v>
      </c>
      <c r="J578" s="2">
        <v>818.97</v>
      </c>
    </row>
    <row r="579" spans="2:10" x14ac:dyDescent="0.2">
      <c r="B579" t="s">
        <v>740</v>
      </c>
      <c r="C579" t="s">
        <v>40</v>
      </c>
      <c r="D579" t="s">
        <v>741</v>
      </c>
      <c r="E579" t="s">
        <v>12</v>
      </c>
      <c r="F579" t="s">
        <v>13</v>
      </c>
      <c r="G579" t="s">
        <v>1034</v>
      </c>
      <c r="H579" t="s">
        <v>15</v>
      </c>
      <c r="I579" s="1">
        <v>1</v>
      </c>
      <c r="J579" s="2">
        <v>1077.5899999999999</v>
      </c>
    </row>
    <row r="580" spans="2:10" x14ac:dyDescent="0.2">
      <c r="B580" t="s">
        <v>740</v>
      </c>
      <c r="C580" t="s">
        <v>40</v>
      </c>
      <c r="D580" t="s">
        <v>741</v>
      </c>
      <c r="E580" t="s">
        <v>36</v>
      </c>
      <c r="F580" t="s">
        <v>37</v>
      </c>
      <c r="G580" t="s">
        <v>1034</v>
      </c>
      <c r="H580" t="s">
        <v>15</v>
      </c>
      <c r="I580" s="1">
        <v>1</v>
      </c>
      <c r="J580" s="2">
        <v>301.72000000000003</v>
      </c>
    </row>
    <row r="581" spans="2:10" x14ac:dyDescent="0.2">
      <c r="B581" t="s">
        <v>740</v>
      </c>
      <c r="C581" t="s">
        <v>40</v>
      </c>
      <c r="D581" t="s">
        <v>741</v>
      </c>
      <c r="E581" t="s">
        <v>72</v>
      </c>
      <c r="F581" t="s">
        <v>73</v>
      </c>
      <c r="G581" t="s">
        <v>1034</v>
      </c>
      <c r="H581" t="s">
        <v>15</v>
      </c>
      <c r="I581" s="1">
        <v>1</v>
      </c>
      <c r="J581" s="2">
        <v>775.86</v>
      </c>
    </row>
    <row r="582" spans="2:10" x14ac:dyDescent="0.2">
      <c r="B582" t="s">
        <v>740</v>
      </c>
      <c r="C582" t="s">
        <v>40</v>
      </c>
      <c r="D582" t="s">
        <v>741</v>
      </c>
      <c r="E582" t="s">
        <v>22</v>
      </c>
      <c r="F582" t="s">
        <v>23</v>
      </c>
      <c r="G582" t="s">
        <v>14</v>
      </c>
      <c r="H582" t="s">
        <v>24</v>
      </c>
      <c r="I582" s="1">
        <v>1</v>
      </c>
      <c r="J582" s="2">
        <v>215.52</v>
      </c>
    </row>
    <row r="583" spans="2:10" x14ac:dyDescent="0.2">
      <c r="B583" t="s">
        <v>740</v>
      </c>
      <c r="C583" t="s">
        <v>40</v>
      </c>
      <c r="D583" t="s">
        <v>741</v>
      </c>
      <c r="E583" t="s">
        <v>124</v>
      </c>
      <c r="F583" t="s">
        <v>125</v>
      </c>
      <c r="G583" t="s">
        <v>1034</v>
      </c>
      <c r="H583" t="s">
        <v>15</v>
      </c>
      <c r="I583" s="1">
        <v>1</v>
      </c>
      <c r="J583" s="2">
        <v>431.03</v>
      </c>
    </row>
    <row r="584" spans="2:10" x14ac:dyDescent="0.2">
      <c r="B584" t="s">
        <v>740</v>
      </c>
      <c r="C584" t="s">
        <v>40</v>
      </c>
      <c r="D584" t="s">
        <v>741</v>
      </c>
      <c r="E584" t="s">
        <v>61</v>
      </c>
      <c r="F584" t="s">
        <v>62</v>
      </c>
      <c r="G584" t="s">
        <v>1034</v>
      </c>
      <c r="H584" t="s">
        <v>15</v>
      </c>
      <c r="I584" s="1">
        <v>1</v>
      </c>
      <c r="J584" s="2">
        <v>172.41</v>
      </c>
    </row>
    <row r="585" spans="2:10" x14ac:dyDescent="0.2">
      <c r="B585" t="s">
        <v>740</v>
      </c>
      <c r="C585" t="s">
        <v>40</v>
      </c>
      <c r="D585" t="s">
        <v>741</v>
      </c>
      <c r="E585" t="s">
        <v>63</v>
      </c>
      <c r="F585" t="s">
        <v>64</v>
      </c>
      <c r="G585" t="s">
        <v>1034</v>
      </c>
      <c r="H585" t="s">
        <v>15</v>
      </c>
      <c r="I585" s="1">
        <v>1</v>
      </c>
      <c r="J585" s="2">
        <v>172.41</v>
      </c>
    </row>
    <row r="586" spans="2:10" x14ac:dyDescent="0.2">
      <c r="B586" t="s">
        <v>740</v>
      </c>
      <c r="C586" t="s">
        <v>40</v>
      </c>
      <c r="D586" t="s">
        <v>741</v>
      </c>
      <c r="E586" t="s">
        <v>16</v>
      </c>
      <c r="F586" t="s">
        <v>17</v>
      </c>
      <c r="G586" t="s">
        <v>1034</v>
      </c>
      <c r="H586" t="s">
        <v>15</v>
      </c>
      <c r="I586" s="1">
        <v>2</v>
      </c>
      <c r="J586" s="2">
        <v>1155.18</v>
      </c>
    </row>
    <row r="587" spans="2:10" x14ac:dyDescent="0.2">
      <c r="B587" t="s">
        <v>740</v>
      </c>
      <c r="C587" t="s">
        <v>51</v>
      </c>
      <c r="D587" t="s">
        <v>130</v>
      </c>
      <c r="E587" t="s">
        <v>457</v>
      </c>
      <c r="F587" t="s">
        <v>458</v>
      </c>
      <c r="G587" t="s">
        <v>14</v>
      </c>
      <c r="H587" t="s">
        <v>27</v>
      </c>
      <c r="I587" s="1">
        <v>1</v>
      </c>
      <c r="J587" s="2">
        <v>413.79</v>
      </c>
    </row>
    <row r="588" spans="2:10" x14ac:dyDescent="0.2">
      <c r="B588" t="s">
        <v>740</v>
      </c>
      <c r="C588" t="s">
        <v>51</v>
      </c>
      <c r="D588" t="s">
        <v>130</v>
      </c>
      <c r="E588" t="s">
        <v>505</v>
      </c>
      <c r="F588" t="s">
        <v>506</v>
      </c>
      <c r="G588" t="s">
        <v>1033</v>
      </c>
      <c r="H588" t="s">
        <v>30</v>
      </c>
      <c r="I588" s="1">
        <v>1</v>
      </c>
      <c r="J588" s="2">
        <v>775.86</v>
      </c>
    </row>
    <row r="589" spans="2:10" x14ac:dyDescent="0.2">
      <c r="B589" t="s">
        <v>740</v>
      </c>
      <c r="C589" t="s">
        <v>51</v>
      </c>
      <c r="D589" t="s">
        <v>130</v>
      </c>
      <c r="E589" t="s">
        <v>153</v>
      </c>
      <c r="F589" t="s">
        <v>154</v>
      </c>
      <c r="G589" t="s">
        <v>1034</v>
      </c>
      <c r="H589" t="s">
        <v>15</v>
      </c>
      <c r="I589" s="1">
        <v>1</v>
      </c>
      <c r="J589" s="2">
        <v>387.93</v>
      </c>
    </row>
    <row r="590" spans="2:10" x14ac:dyDescent="0.2">
      <c r="B590" t="s">
        <v>740</v>
      </c>
      <c r="C590" t="s">
        <v>51</v>
      </c>
      <c r="D590" t="s">
        <v>130</v>
      </c>
      <c r="E590" t="s">
        <v>22</v>
      </c>
      <c r="F590" t="s">
        <v>23</v>
      </c>
      <c r="G590" t="s">
        <v>14</v>
      </c>
      <c r="H590" t="s">
        <v>24</v>
      </c>
      <c r="I590" s="1">
        <v>1</v>
      </c>
      <c r="J590" s="2">
        <v>215.52</v>
      </c>
    </row>
    <row r="591" spans="2:10" x14ac:dyDescent="0.2">
      <c r="B591" t="s">
        <v>740</v>
      </c>
      <c r="C591" t="s">
        <v>51</v>
      </c>
      <c r="D591" t="s">
        <v>130</v>
      </c>
      <c r="E591" t="s">
        <v>742</v>
      </c>
      <c r="F591" t="s">
        <v>743</v>
      </c>
      <c r="G591" t="s">
        <v>1033</v>
      </c>
      <c r="H591" t="s">
        <v>30</v>
      </c>
      <c r="I591" s="1">
        <v>1</v>
      </c>
      <c r="J591" s="2">
        <v>2672.41</v>
      </c>
    </row>
    <row r="592" spans="2:10" x14ac:dyDescent="0.2">
      <c r="B592" t="s">
        <v>740</v>
      </c>
      <c r="C592" t="s">
        <v>65</v>
      </c>
      <c r="D592" t="s">
        <v>741</v>
      </c>
      <c r="E592" t="s">
        <v>744</v>
      </c>
      <c r="F592" t="s">
        <v>745</v>
      </c>
      <c r="G592" t="s">
        <v>54</v>
      </c>
      <c r="H592" t="s">
        <v>138</v>
      </c>
      <c r="I592" s="1">
        <v>1</v>
      </c>
      <c r="J592" s="2">
        <v>344.83</v>
      </c>
    </row>
    <row r="593" spans="2:10" x14ac:dyDescent="0.2">
      <c r="B593" t="s">
        <v>740</v>
      </c>
      <c r="C593" t="s">
        <v>65</v>
      </c>
      <c r="D593" t="s">
        <v>741</v>
      </c>
      <c r="E593" t="s">
        <v>99</v>
      </c>
      <c r="F593" t="s">
        <v>100</v>
      </c>
      <c r="G593" t="s">
        <v>43</v>
      </c>
      <c r="H593" t="s">
        <v>50</v>
      </c>
      <c r="I593" s="1">
        <v>1</v>
      </c>
      <c r="J593" s="2">
        <v>3275.86</v>
      </c>
    </row>
    <row r="594" spans="2:10" x14ac:dyDescent="0.2">
      <c r="B594" t="s">
        <v>740</v>
      </c>
      <c r="C594" t="s">
        <v>65</v>
      </c>
      <c r="D594" t="s">
        <v>741</v>
      </c>
      <c r="E594" t="s">
        <v>120</v>
      </c>
      <c r="F594" t="s">
        <v>121</v>
      </c>
      <c r="G594" t="s">
        <v>1034</v>
      </c>
      <c r="H594" t="s">
        <v>15</v>
      </c>
      <c r="I594" s="1">
        <v>1</v>
      </c>
      <c r="J594" s="2">
        <v>301.72000000000003</v>
      </c>
    </row>
    <row r="595" spans="2:10" x14ac:dyDescent="0.2">
      <c r="B595" t="s">
        <v>740</v>
      </c>
      <c r="C595" t="s">
        <v>65</v>
      </c>
      <c r="D595" t="s">
        <v>741</v>
      </c>
      <c r="E595" t="s">
        <v>36</v>
      </c>
      <c r="F595" t="s">
        <v>37</v>
      </c>
      <c r="G595" t="s">
        <v>1034</v>
      </c>
      <c r="H595" t="s">
        <v>15</v>
      </c>
      <c r="I595" s="1">
        <v>2</v>
      </c>
      <c r="J595" s="2">
        <v>603.44000000000005</v>
      </c>
    </row>
    <row r="596" spans="2:10" x14ac:dyDescent="0.2">
      <c r="B596" t="s">
        <v>740</v>
      </c>
      <c r="C596" t="s">
        <v>65</v>
      </c>
      <c r="D596" t="s">
        <v>741</v>
      </c>
      <c r="E596" t="s">
        <v>72</v>
      </c>
      <c r="F596" t="s">
        <v>73</v>
      </c>
      <c r="G596" t="s">
        <v>1034</v>
      </c>
      <c r="H596" t="s">
        <v>15</v>
      </c>
      <c r="I596" s="1">
        <v>1</v>
      </c>
      <c r="J596" s="2">
        <v>775.86</v>
      </c>
    </row>
    <row r="597" spans="2:10" x14ac:dyDescent="0.2">
      <c r="B597" t="s">
        <v>740</v>
      </c>
      <c r="C597" t="s">
        <v>65</v>
      </c>
      <c r="D597" t="s">
        <v>741</v>
      </c>
      <c r="E597" t="s">
        <v>656</v>
      </c>
      <c r="F597" t="s">
        <v>657</v>
      </c>
      <c r="G597" t="s">
        <v>43</v>
      </c>
      <c r="H597" t="s">
        <v>50</v>
      </c>
      <c r="I597" s="1">
        <v>1</v>
      </c>
      <c r="J597" s="2">
        <v>181.03</v>
      </c>
    </row>
    <row r="598" spans="2:10" x14ac:dyDescent="0.2">
      <c r="B598" t="s">
        <v>740</v>
      </c>
      <c r="C598" t="s">
        <v>82</v>
      </c>
      <c r="D598" t="s">
        <v>741</v>
      </c>
      <c r="E598" t="s">
        <v>41</v>
      </c>
      <c r="F598" t="s">
        <v>42</v>
      </c>
      <c r="G598" t="s">
        <v>1033</v>
      </c>
      <c r="H598" t="s">
        <v>30</v>
      </c>
      <c r="I598" s="1">
        <v>1</v>
      </c>
      <c r="J598" s="2">
        <v>34.479999999999997</v>
      </c>
    </row>
    <row r="599" spans="2:10" x14ac:dyDescent="0.2">
      <c r="B599" t="s">
        <v>740</v>
      </c>
      <c r="C599" t="s">
        <v>82</v>
      </c>
      <c r="D599" t="s">
        <v>741</v>
      </c>
      <c r="E599" t="s">
        <v>391</v>
      </c>
      <c r="F599" t="s">
        <v>392</v>
      </c>
      <c r="G599" t="s">
        <v>14</v>
      </c>
      <c r="H599" t="s">
        <v>87</v>
      </c>
      <c r="I599" s="1">
        <v>1</v>
      </c>
      <c r="J599" s="2">
        <v>482.76</v>
      </c>
    </row>
    <row r="600" spans="2:10" x14ac:dyDescent="0.2">
      <c r="B600" t="s">
        <v>740</v>
      </c>
      <c r="C600" t="s">
        <v>82</v>
      </c>
      <c r="D600" t="s">
        <v>741</v>
      </c>
      <c r="E600" t="s">
        <v>36</v>
      </c>
      <c r="F600" t="s">
        <v>37</v>
      </c>
      <c r="G600" t="s">
        <v>1034</v>
      </c>
      <c r="H600" t="s">
        <v>15</v>
      </c>
      <c r="I600" s="1">
        <v>1</v>
      </c>
      <c r="J600" s="2">
        <v>301.72000000000003</v>
      </c>
    </row>
    <row r="601" spans="2:10" x14ac:dyDescent="0.2">
      <c r="B601" t="s">
        <v>740</v>
      </c>
      <c r="C601" t="s">
        <v>82</v>
      </c>
      <c r="D601" t="s">
        <v>741</v>
      </c>
      <c r="E601" t="s">
        <v>22</v>
      </c>
      <c r="F601" t="s">
        <v>23</v>
      </c>
      <c r="G601" t="s">
        <v>14</v>
      </c>
      <c r="H601" t="s">
        <v>24</v>
      </c>
      <c r="I601" s="1">
        <v>1</v>
      </c>
      <c r="J601" s="2">
        <v>215.52</v>
      </c>
    </row>
    <row r="602" spans="2:10" x14ac:dyDescent="0.2">
      <c r="B602" t="s">
        <v>740</v>
      </c>
      <c r="C602" t="s">
        <v>82</v>
      </c>
      <c r="D602" t="s">
        <v>741</v>
      </c>
      <c r="E602" t="s">
        <v>273</v>
      </c>
      <c r="F602" t="s">
        <v>274</v>
      </c>
      <c r="G602" t="s">
        <v>1033</v>
      </c>
      <c r="H602" t="s">
        <v>30</v>
      </c>
      <c r="I602" s="1">
        <v>1</v>
      </c>
      <c r="J602" s="2">
        <v>1293.0999999999999</v>
      </c>
    </row>
    <row r="603" spans="2:10" x14ac:dyDescent="0.2">
      <c r="B603" t="s">
        <v>740</v>
      </c>
      <c r="C603" t="s">
        <v>82</v>
      </c>
      <c r="D603" t="s">
        <v>741</v>
      </c>
      <c r="E603" t="s">
        <v>56</v>
      </c>
      <c r="F603" t="s">
        <v>57</v>
      </c>
      <c r="G603" t="s">
        <v>1034</v>
      </c>
      <c r="H603" t="s">
        <v>15</v>
      </c>
      <c r="I603" s="1">
        <v>2</v>
      </c>
      <c r="J603" s="2">
        <v>862.06</v>
      </c>
    </row>
    <row r="604" spans="2:10" x14ac:dyDescent="0.2">
      <c r="B604" t="s">
        <v>740</v>
      </c>
      <c r="C604" t="s">
        <v>82</v>
      </c>
      <c r="D604" t="s">
        <v>741</v>
      </c>
      <c r="E604" t="s">
        <v>61</v>
      </c>
      <c r="F604" t="s">
        <v>62</v>
      </c>
      <c r="G604" t="s">
        <v>1034</v>
      </c>
      <c r="H604" t="s">
        <v>15</v>
      </c>
      <c r="I604" s="1">
        <v>1</v>
      </c>
      <c r="J604" s="2">
        <v>172.41</v>
      </c>
    </row>
    <row r="605" spans="2:10" x14ac:dyDescent="0.2">
      <c r="B605" t="s">
        <v>740</v>
      </c>
      <c r="C605" t="s">
        <v>82</v>
      </c>
      <c r="D605" t="s">
        <v>741</v>
      </c>
      <c r="E605" t="s">
        <v>16</v>
      </c>
      <c r="F605" t="s">
        <v>17</v>
      </c>
      <c r="G605" t="s">
        <v>1034</v>
      </c>
      <c r="H605" t="s">
        <v>15</v>
      </c>
      <c r="I605" s="1">
        <v>3</v>
      </c>
      <c r="J605" s="2">
        <v>1732.77</v>
      </c>
    </row>
    <row r="606" spans="2:10" x14ac:dyDescent="0.2">
      <c r="B606" t="s">
        <v>740</v>
      </c>
      <c r="C606" t="s">
        <v>88</v>
      </c>
      <c r="D606" t="s">
        <v>741</v>
      </c>
      <c r="E606" t="s">
        <v>46</v>
      </c>
      <c r="F606" t="s">
        <v>47</v>
      </c>
      <c r="G606" t="s">
        <v>1034</v>
      </c>
      <c r="H606" t="s">
        <v>15</v>
      </c>
      <c r="I606" s="1">
        <v>1</v>
      </c>
      <c r="J606" s="2">
        <v>301.72000000000003</v>
      </c>
    </row>
    <row r="607" spans="2:10" x14ac:dyDescent="0.2">
      <c r="B607" t="s">
        <v>740</v>
      </c>
      <c r="C607" t="s">
        <v>88</v>
      </c>
      <c r="D607" t="s">
        <v>741</v>
      </c>
      <c r="E607" t="s">
        <v>70</v>
      </c>
      <c r="F607" t="s">
        <v>71</v>
      </c>
      <c r="G607" t="s">
        <v>1033</v>
      </c>
      <c r="H607" t="s">
        <v>30</v>
      </c>
      <c r="I607" s="1">
        <v>1</v>
      </c>
      <c r="J607" s="2">
        <v>2112.0700000000002</v>
      </c>
    </row>
    <row r="608" spans="2:10" x14ac:dyDescent="0.2">
      <c r="B608" t="s">
        <v>740</v>
      </c>
      <c r="C608" t="s">
        <v>88</v>
      </c>
      <c r="D608" t="s">
        <v>741</v>
      </c>
      <c r="E608" t="s">
        <v>505</v>
      </c>
      <c r="F608" t="s">
        <v>506</v>
      </c>
      <c r="G608" t="s">
        <v>1033</v>
      </c>
      <c r="H608" t="s">
        <v>30</v>
      </c>
      <c r="I608" s="1">
        <v>2</v>
      </c>
      <c r="J608" s="2">
        <v>1551.72</v>
      </c>
    </row>
    <row r="609" spans="2:10" x14ac:dyDescent="0.2">
      <c r="B609" t="s">
        <v>740</v>
      </c>
      <c r="C609" t="s">
        <v>88</v>
      </c>
      <c r="D609" t="s">
        <v>741</v>
      </c>
      <c r="E609" t="s">
        <v>120</v>
      </c>
      <c r="F609" t="s">
        <v>121</v>
      </c>
      <c r="G609" t="s">
        <v>1034</v>
      </c>
      <c r="H609" t="s">
        <v>15</v>
      </c>
      <c r="I609" s="1">
        <v>1</v>
      </c>
      <c r="J609" s="2">
        <v>301.72000000000003</v>
      </c>
    </row>
    <row r="610" spans="2:10" x14ac:dyDescent="0.2">
      <c r="B610" t="s">
        <v>740</v>
      </c>
      <c r="C610" t="s">
        <v>88</v>
      </c>
      <c r="D610" t="s">
        <v>741</v>
      </c>
      <c r="E610" t="s">
        <v>56</v>
      </c>
      <c r="F610" t="s">
        <v>57</v>
      </c>
      <c r="G610" t="s">
        <v>1034</v>
      </c>
      <c r="H610" t="s">
        <v>15</v>
      </c>
      <c r="I610" s="1">
        <v>1</v>
      </c>
      <c r="J610" s="2">
        <v>431.03</v>
      </c>
    </row>
    <row r="611" spans="2:10" x14ac:dyDescent="0.2">
      <c r="B611" t="s">
        <v>740</v>
      </c>
      <c r="C611" t="s">
        <v>88</v>
      </c>
      <c r="D611" t="s">
        <v>741</v>
      </c>
      <c r="E611" t="s">
        <v>16</v>
      </c>
      <c r="F611" t="s">
        <v>17</v>
      </c>
      <c r="G611" t="s">
        <v>1034</v>
      </c>
      <c r="H611" t="s">
        <v>15</v>
      </c>
      <c r="I611" s="1">
        <v>1</v>
      </c>
      <c r="J611" s="2">
        <v>577.59</v>
      </c>
    </row>
    <row r="612" spans="2:10" x14ac:dyDescent="0.2">
      <c r="B612" t="s">
        <v>740</v>
      </c>
      <c r="C612" t="s">
        <v>117</v>
      </c>
      <c r="D612" t="s">
        <v>741</v>
      </c>
      <c r="E612" t="s">
        <v>19</v>
      </c>
      <c r="F612" t="s">
        <v>20</v>
      </c>
      <c r="G612" t="s">
        <v>14</v>
      </c>
      <c r="H612" t="s">
        <v>21</v>
      </c>
      <c r="I612" s="1">
        <v>2</v>
      </c>
      <c r="J612" s="2">
        <v>862.08</v>
      </c>
    </row>
    <row r="613" spans="2:10" x14ac:dyDescent="0.2">
      <c r="B613" t="s">
        <v>740</v>
      </c>
      <c r="C613" t="s">
        <v>117</v>
      </c>
      <c r="D613" t="s">
        <v>741</v>
      </c>
      <c r="E613" t="s">
        <v>46</v>
      </c>
      <c r="F613" t="s">
        <v>47</v>
      </c>
      <c r="G613" t="s">
        <v>1034</v>
      </c>
      <c r="H613" t="s">
        <v>15</v>
      </c>
      <c r="I613" s="1">
        <v>1</v>
      </c>
      <c r="J613" s="2">
        <v>301.72000000000003</v>
      </c>
    </row>
    <row r="614" spans="2:10" x14ac:dyDescent="0.2">
      <c r="B614" t="s">
        <v>740</v>
      </c>
      <c r="C614" t="s">
        <v>117</v>
      </c>
      <c r="D614" t="s">
        <v>741</v>
      </c>
      <c r="E614" t="s">
        <v>308</v>
      </c>
      <c r="F614" t="s">
        <v>309</v>
      </c>
      <c r="G614" t="s">
        <v>1033</v>
      </c>
      <c r="H614" t="s">
        <v>30</v>
      </c>
      <c r="I614" s="1">
        <v>1</v>
      </c>
      <c r="J614" s="2">
        <v>818.97</v>
      </c>
    </row>
    <row r="615" spans="2:10" x14ac:dyDescent="0.2">
      <c r="B615" t="s">
        <v>740</v>
      </c>
      <c r="C615" t="s">
        <v>117</v>
      </c>
      <c r="D615" t="s">
        <v>741</v>
      </c>
      <c r="E615" t="s">
        <v>613</v>
      </c>
      <c r="F615" t="s">
        <v>614</v>
      </c>
      <c r="G615" t="s">
        <v>1034</v>
      </c>
      <c r="H615" t="s">
        <v>15</v>
      </c>
      <c r="I615" s="1">
        <v>1</v>
      </c>
      <c r="J615" s="2">
        <v>431.03</v>
      </c>
    </row>
    <row r="616" spans="2:10" x14ac:dyDescent="0.2">
      <c r="B616" t="s">
        <v>740</v>
      </c>
      <c r="C616" t="s">
        <v>117</v>
      </c>
      <c r="D616" t="s">
        <v>741</v>
      </c>
      <c r="E616" t="s">
        <v>12</v>
      </c>
      <c r="F616" t="s">
        <v>13</v>
      </c>
      <c r="G616" t="s">
        <v>1034</v>
      </c>
      <c r="H616" t="s">
        <v>15</v>
      </c>
      <c r="I616" s="1">
        <v>1</v>
      </c>
      <c r="J616" s="2">
        <v>1077.5899999999999</v>
      </c>
    </row>
    <row r="617" spans="2:10" x14ac:dyDescent="0.2">
      <c r="B617" t="s">
        <v>740</v>
      </c>
      <c r="C617" t="s">
        <v>117</v>
      </c>
      <c r="D617" t="s">
        <v>741</v>
      </c>
      <c r="E617" t="s">
        <v>267</v>
      </c>
      <c r="F617" t="s">
        <v>268</v>
      </c>
      <c r="G617" t="s">
        <v>1034</v>
      </c>
      <c r="H617" t="s">
        <v>15</v>
      </c>
      <c r="I617" s="1">
        <v>1</v>
      </c>
      <c r="J617" s="2">
        <v>258.62</v>
      </c>
    </row>
    <row r="618" spans="2:10" x14ac:dyDescent="0.2">
      <c r="B618" t="s">
        <v>740</v>
      </c>
      <c r="C618" t="s">
        <v>117</v>
      </c>
      <c r="D618" t="s">
        <v>741</v>
      </c>
      <c r="E618" t="s">
        <v>72</v>
      </c>
      <c r="F618" t="s">
        <v>73</v>
      </c>
      <c r="G618" t="s">
        <v>1034</v>
      </c>
      <c r="H618" t="s">
        <v>15</v>
      </c>
      <c r="I618" s="1">
        <v>2</v>
      </c>
      <c r="J618" s="2">
        <v>1551.72</v>
      </c>
    </row>
    <row r="619" spans="2:10" x14ac:dyDescent="0.2">
      <c r="B619" t="s">
        <v>740</v>
      </c>
      <c r="C619" t="s">
        <v>117</v>
      </c>
      <c r="D619" t="s">
        <v>741</v>
      </c>
      <c r="E619" t="s">
        <v>122</v>
      </c>
      <c r="F619" t="s">
        <v>123</v>
      </c>
      <c r="G619" t="s">
        <v>1034</v>
      </c>
      <c r="H619" t="s">
        <v>15</v>
      </c>
      <c r="I619" s="1">
        <v>1</v>
      </c>
      <c r="J619" s="2">
        <v>387.93</v>
      </c>
    </row>
    <row r="620" spans="2:10" x14ac:dyDescent="0.2">
      <c r="B620" t="s">
        <v>740</v>
      </c>
      <c r="C620" t="s">
        <v>117</v>
      </c>
      <c r="D620" t="s">
        <v>741</v>
      </c>
      <c r="E620" t="s">
        <v>623</v>
      </c>
      <c r="F620" t="s">
        <v>624</v>
      </c>
      <c r="G620" t="s">
        <v>76</v>
      </c>
      <c r="H620" t="s">
        <v>60</v>
      </c>
      <c r="I620" s="1">
        <v>1</v>
      </c>
      <c r="J620" s="2">
        <v>344.83</v>
      </c>
    </row>
    <row r="621" spans="2:10" x14ac:dyDescent="0.2">
      <c r="B621" t="s">
        <v>740</v>
      </c>
      <c r="C621" t="s">
        <v>117</v>
      </c>
      <c r="D621" t="s">
        <v>741</v>
      </c>
      <c r="E621" t="s">
        <v>216</v>
      </c>
      <c r="F621" t="s">
        <v>217</v>
      </c>
      <c r="G621" t="s">
        <v>14</v>
      </c>
      <c r="H621" t="s">
        <v>104</v>
      </c>
      <c r="I621" s="1">
        <v>5</v>
      </c>
      <c r="J621" s="2">
        <v>86.2</v>
      </c>
    </row>
    <row r="622" spans="2:10" x14ac:dyDescent="0.2">
      <c r="B622" t="s">
        <v>740</v>
      </c>
      <c r="C622" t="s">
        <v>117</v>
      </c>
      <c r="D622" t="s">
        <v>741</v>
      </c>
      <c r="E622" t="s">
        <v>22</v>
      </c>
      <c r="F622" t="s">
        <v>23</v>
      </c>
      <c r="G622" t="s">
        <v>14</v>
      </c>
      <c r="H622" t="s">
        <v>24</v>
      </c>
      <c r="I622" s="1">
        <v>3</v>
      </c>
      <c r="J622" s="2">
        <v>646.54999999999995</v>
      </c>
    </row>
    <row r="623" spans="2:10" x14ac:dyDescent="0.2">
      <c r="B623" t="s">
        <v>740</v>
      </c>
      <c r="C623" t="s">
        <v>117</v>
      </c>
      <c r="D623" t="s">
        <v>741</v>
      </c>
      <c r="E623" t="s">
        <v>521</v>
      </c>
      <c r="F623" t="s">
        <v>522</v>
      </c>
      <c r="G623" t="s">
        <v>14</v>
      </c>
      <c r="H623" t="s">
        <v>104</v>
      </c>
      <c r="I623" s="1">
        <v>4</v>
      </c>
      <c r="J623" s="2">
        <v>86.2</v>
      </c>
    </row>
    <row r="624" spans="2:10" x14ac:dyDescent="0.2">
      <c r="B624" t="s">
        <v>740</v>
      </c>
      <c r="C624" t="s">
        <v>117</v>
      </c>
      <c r="D624" t="s">
        <v>741</v>
      </c>
      <c r="E624" t="s">
        <v>406</v>
      </c>
      <c r="F624" t="s">
        <v>407</v>
      </c>
      <c r="G624" t="s">
        <v>14</v>
      </c>
      <c r="H624" t="s">
        <v>104</v>
      </c>
      <c r="I624" s="1">
        <v>2</v>
      </c>
      <c r="J624" s="2">
        <v>34.479999999999997</v>
      </c>
    </row>
    <row r="625" spans="2:10" x14ac:dyDescent="0.2">
      <c r="B625" t="s">
        <v>740</v>
      </c>
      <c r="C625" t="s">
        <v>117</v>
      </c>
      <c r="D625" t="s">
        <v>741</v>
      </c>
      <c r="E625" t="s">
        <v>61</v>
      </c>
      <c r="F625" t="s">
        <v>62</v>
      </c>
      <c r="G625" t="s">
        <v>1034</v>
      </c>
      <c r="H625" t="s">
        <v>15</v>
      </c>
      <c r="I625" s="1">
        <v>2</v>
      </c>
      <c r="J625" s="2">
        <v>344.82</v>
      </c>
    </row>
    <row r="626" spans="2:10" x14ac:dyDescent="0.2">
      <c r="B626" t="s">
        <v>740</v>
      </c>
      <c r="C626" t="s">
        <v>117</v>
      </c>
      <c r="D626" t="s">
        <v>741</v>
      </c>
      <c r="E626" t="s">
        <v>63</v>
      </c>
      <c r="F626" t="s">
        <v>64</v>
      </c>
      <c r="G626" t="s">
        <v>1034</v>
      </c>
      <c r="H626" t="s">
        <v>15</v>
      </c>
      <c r="I626" s="1">
        <v>2</v>
      </c>
      <c r="J626" s="2">
        <v>344.82</v>
      </c>
    </row>
    <row r="627" spans="2:10" x14ac:dyDescent="0.2">
      <c r="B627" t="s">
        <v>740</v>
      </c>
      <c r="C627" t="s">
        <v>117</v>
      </c>
      <c r="D627" t="s">
        <v>741</v>
      </c>
      <c r="E627" t="s">
        <v>16</v>
      </c>
      <c r="F627" t="s">
        <v>17</v>
      </c>
      <c r="G627" t="s">
        <v>1034</v>
      </c>
      <c r="H627" t="s">
        <v>15</v>
      </c>
      <c r="I627" s="1">
        <v>1</v>
      </c>
      <c r="J627" s="2">
        <v>577.59</v>
      </c>
    </row>
    <row r="628" spans="2:10" x14ac:dyDescent="0.2">
      <c r="B628" t="s">
        <v>740</v>
      </c>
      <c r="C628" t="s">
        <v>117</v>
      </c>
      <c r="D628" t="s">
        <v>741</v>
      </c>
      <c r="E628" t="s">
        <v>372</v>
      </c>
      <c r="F628" t="s">
        <v>373</v>
      </c>
      <c r="G628" t="s">
        <v>1033</v>
      </c>
      <c r="H628" t="s">
        <v>30</v>
      </c>
      <c r="I628" s="1">
        <v>1</v>
      </c>
      <c r="J628" s="2">
        <v>2465.52</v>
      </c>
    </row>
    <row r="629" spans="2:10" x14ac:dyDescent="0.2">
      <c r="B629" t="s">
        <v>740</v>
      </c>
      <c r="C629" t="s">
        <v>129</v>
      </c>
      <c r="D629" t="s">
        <v>741</v>
      </c>
      <c r="E629" t="s">
        <v>467</v>
      </c>
      <c r="F629" t="s">
        <v>468</v>
      </c>
      <c r="G629" t="s">
        <v>1033</v>
      </c>
      <c r="H629" t="s">
        <v>30</v>
      </c>
      <c r="I629" s="1">
        <v>1</v>
      </c>
      <c r="J629" s="2">
        <v>775.86</v>
      </c>
    </row>
    <row r="630" spans="2:10" x14ac:dyDescent="0.2">
      <c r="B630" t="s">
        <v>740</v>
      </c>
      <c r="C630" t="s">
        <v>129</v>
      </c>
      <c r="D630" t="s">
        <v>741</v>
      </c>
      <c r="E630" t="s">
        <v>36</v>
      </c>
      <c r="F630" t="s">
        <v>37</v>
      </c>
      <c r="G630" t="s">
        <v>1034</v>
      </c>
      <c r="H630" t="s">
        <v>15</v>
      </c>
      <c r="I630" s="1">
        <v>3</v>
      </c>
      <c r="J630" s="2">
        <v>905.16000000000008</v>
      </c>
    </row>
    <row r="631" spans="2:10" x14ac:dyDescent="0.2">
      <c r="B631" t="s">
        <v>740</v>
      </c>
      <c r="C631" t="s">
        <v>129</v>
      </c>
      <c r="D631" t="s">
        <v>741</v>
      </c>
      <c r="E631" t="s">
        <v>273</v>
      </c>
      <c r="F631" t="s">
        <v>274</v>
      </c>
      <c r="G631" t="s">
        <v>1033</v>
      </c>
      <c r="H631" t="s">
        <v>30</v>
      </c>
      <c r="I631" s="1">
        <v>1</v>
      </c>
      <c r="J631" s="2">
        <v>1293.0999999999999</v>
      </c>
    </row>
    <row r="632" spans="2:10" x14ac:dyDescent="0.2">
      <c r="B632" t="s">
        <v>740</v>
      </c>
      <c r="C632" t="s">
        <v>129</v>
      </c>
      <c r="D632" t="s">
        <v>741</v>
      </c>
      <c r="E632" t="s">
        <v>61</v>
      </c>
      <c r="F632" t="s">
        <v>62</v>
      </c>
      <c r="G632" t="s">
        <v>1034</v>
      </c>
      <c r="H632" t="s">
        <v>15</v>
      </c>
      <c r="I632" s="1">
        <v>2</v>
      </c>
      <c r="J632" s="2">
        <v>344.82</v>
      </c>
    </row>
    <row r="633" spans="2:10" x14ac:dyDescent="0.2">
      <c r="B633" t="s">
        <v>740</v>
      </c>
      <c r="C633" t="s">
        <v>129</v>
      </c>
      <c r="D633" t="s">
        <v>741</v>
      </c>
      <c r="E633" t="s">
        <v>63</v>
      </c>
      <c r="F633" t="s">
        <v>64</v>
      </c>
      <c r="G633" t="s">
        <v>1034</v>
      </c>
      <c r="H633" t="s">
        <v>15</v>
      </c>
      <c r="I633" s="1">
        <v>3</v>
      </c>
      <c r="J633" s="2">
        <v>517.23</v>
      </c>
    </row>
    <row r="634" spans="2:10" x14ac:dyDescent="0.2">
      <c r="B634" t="s">
        <v>740</v>
      </c>
      <c r="C634" t="s">
        <v>129</v>
      </c>
      <c r="D634" t="s">
        <v>741</v>
      </c>
      <c r="E634" t="s">
        <v>16</v>
      </c>
      <c r="F634" t="s">
        <v>17</v>
      </c>
      <c r="G634" t="s">
        <v>1034</v>
      </c>
      <c r="H634" t="s">
        <v>15</v>
      </c>
      <c r="I634" s="1">
        <v>2</v>
      </c>
      <c r="J634" s="2">
        <v>1155.18</v>
      </c>
    </row>
    <row r="635" spans="2:10" x14ac:dyDescent="0.2">
      <c r="B635" t="s">
        <v>740</v>
      </c>
      <c r="C635" t="s">
        <v>129</v>
      </c>
      <c r="D635" t="s">
        <v>741</v>
      </c>
      <c r="E635" t="s">
        <v>416</v>
      </c>
      <c r="F635" t="s">
        <v>417</v>
      </c>
      <c r="G635" t="s">
        <v>1033</v>
      </c>
      <c r="H635" t="s">
        <v>30</v>
      </c>
      <c r="I635" s="1">
        <v>1</v>
      </c>
      <c r="J635" s="2">
        <v>2258.62</v>
      </c>
    </row>
    <row r="636" spans="2:10" x14ac:dyDescent="0.2">
      <c r="B636" t="s">
        <v>740</v>
      </c>
      <c r="C636" t="s">
        <v>129</v>
      </c>
      <c r="D636" t="s">
        <v>741</v>
      </c>
      <c r="E636" t="s">
        <v>28</v>
      </c>
      <c r="F636" t="s">
        <v>29</v>
      </c>
      <c r="G636" t="s">
        <v>1033</v>
      </c>
      <c r="H636" t="s">
        <v>30</v>
      </c>
      <c r="I636" s="1">
        <v>1</v>
      </c>
      <c r="J636" s="2">
        <v>155.16999999999999</v>
      </c>
    </row>
    <row r="637" spans="2:10" x14ac:dyDescent="0.2">
      <c r="B637" t="s">
        <v>780</v>
      </c>
      <c r="C637" t="s">
        <v>10</v>
      </c>
      <c r="D637" t="s">
        <v>781</v>
      </c>
      <c r="E637" t="s">
        <v>44</v>
      </c>
      <c r="F637" t="s">
        <v>45</v>
      </c>
      <c r="G637" t="s">
        <v>1033</v>
      </c>
      <c r="H637" t="s">
        <v>30</v>
      </c>
      <c r="I637" s="1">
        <v>1</v>
      </c>
      <c r="J637" s="2">
        <v>81.900000000000006</v>
      </c>
    </row>
    <row r="638" spans="2:10" x14ac:dyDescent="0.2">
      <c r="B638" t="s">
        <v>780</v>
      </c>
      <c r="C638" t="s">
        <v>10</v>
      </c>
      <c r="D638" t="s">
        <v>781</v>
      </c>
      <c r="E638" t="s">
        <v>46</v>
      </c>
      <c r="F638" t="s">
        <v>47</v>
      </c>
      <c r="G638" t="s">
        <v>1034</v>
      </c>
      <c r="H638" t="s">
        <v>15</v>
      </c>
      <c r="I638" s="1">
        <v>1</v>
      </c>
      <c r="J638" s="2">
        <v>301.72000000000003</v>
      </c>
    </row>
    <row r="639" spans="2:10" x14ac:dyDescent="0.2">
      <c r="B639" t="s">
        <v>780</v>
      </c>
      <c r="C639" t="s">
        <v>10</v>
      </c>
      <c r="D639" t="s">
        <v>781</v>
      </c>
      <c r="E639" t="s">
        <v>149</v>
      </c>
      <c r="F639" t="s">
        <v>150</v>
      </c>
      <c r="G639" t="s">
        <v>43</v>
      </c>
      <c r="H639" t="s">
        <v>50</v>
      </c>
      <c r="I639" s="1">
        <v>1</v>
      </c>
      <c r="J639" s="2">
        <v>3017.24</v>
      </c>
    </row>
    <row r="640" spans="2:10" x14ac:dyDescent="0.2">
      <c r="B640" t="s">
        <v>780</v>
      </c>
      <c r="C640" t="s">
        <v>10</v>
      </c>
      <c r="D640" t="s">
        <v>781</v>
      </c>
      <c r="E640" t="s">
        <v>36</v>
      </c>
      <c r="F640" t="s">
        <v>37</v>
      </c>
      <c r="G640" t="s">
        <v>1034</v>
      </c>
      <c r="H640" t="s">
        <v>15</v>
      </c>
      <c r="I640" s="1">
        <v>1</v>
      </c>
      <c r="J640" s="2">
        <v>301.72000000000003</v>
      </c>
    </row>
    <row r="641" spans="2:10" x14ac:dyDescent="0.2">
      <c r="B641" t="s">
        <v>780</v>
      </c>
      <c r="C641" t="s">
        <v>10</v>
      </c>
      <c r="D641" t="s">
        <v>781</v>
      </c>
      <c r="E641" t="s">
        <v>72</v>
      </c>
      <c r="F641" t="s">
        <v>73</v>
      </c>
      <c r="G641" t="s">
        <v>1034</v>
      </c>
      <c r="H641" t="s">
        <v>15</v>
      </c>
      <c r="I641" s="1">
        <v>1</v>
      </c>
      <c r="J641" s="2">
        <v>775.86</v>
      </c>
    </row>
    <row r="642" spans="2:10" x14ac:dyDescent="0.2">
      <c r="B642" t="s">
        <v>780</v>
      </c>
      <c r="C642" t="s">
        <v>10</v>
      </c>
      <c r="D642" t="s">
        <v>781</v>
      </c>
      <c r="E642" t="s">
        <v>406</v>
      </c>
      <c r="F642" t="s">
        <v>407</v>
      </c>
      <c r="G642" t="s">
        <v>14</v>
      </c>
      <c r="H642" t="s">
        <v>104</v>
      </c>
      <c r="I642" s="1">
        <v>5</v>
      </c>
      <c r="J642" s="2">
        <v>86.2</v>
      </c>
    </row>
    <row r="643" spans="2:10" x14ac:dyDescent="0.2">
      <c r="B643" t="s">
        <v>780</v>
      </c>
      <c r="C643" t="s">
        <v>10</v>
      </c>
      <c r="D643" t="s">
        <v>781</v>
      </c>
      <c r="E643" t="s">
        <v>163</v>
      </c>
      <c r="F643" t="s">
        <v>164</v>
      </c>
      <c r="G643" t="s">
        <v>1034</v>
      </c>
      <c r="H643" t="s">
        <v>15</v>
      </c>
      <c r="I643" s="1">
        <v>1</v>
      </c>
      <c r="J643" s="2">
        <v>431.03</v>
      </c>
    </row>
    <row r="644" spans="2:10" x14ac:dyDescent="0.2">
      <c r="B644" t="s">
        <v>780</v>
      </c>
      <c r="C644" t="s">
        <v>10</v>
      </c>
      <c r="D644" t="s">
        <v>781</v>
      </c>
      <c r="E644" t="s">
        <v>61</v>
      </c>
      <c r="F644" t="s">
        <v>62</v>
      </c>
      <c r="G644" t="s">
        <v>1034</v>
      </c>
      <c r="H644" t="s">
        <v>15</v>
      </c>
      <c r="I644" s="1">
        <v>1</v>
      </c>
      <c r="J644" s="2">
        <v>172.41</v>
      </c>
    </row>
    <row r="645" spans="2:10" x14ac:dyDescent="0.2">
      <c r="B645" t="s">
        <v>780</v>
      </c>
      <c r="C645" t="s">
        <v>10</v>
      </c>
      <c r="D645" t="s">
        <v>781</v>
      </c>
      <c r="E645" t="s">
        <v>408</v>
      </c>
      <c r="F645" t="s">
        <v>409</v>
      </c>
      <c r="G645" t="s">
        <v>43</v>
      </c>
      <c r="H645" t="s">
        <v>81</v>
      </c>
      <c r="I645" s="1">
        <v>1</v>
      </c>
      <c r="J645" s="2">
        <v>1465.52</v>
      </c>
    </row>
    <row r="646" spans="2:10" x14ac:dyDescent="0.2">
      <c r="B646" t="s">
        <v>780</v>
      </c>
      <c r="C646" t="s">
        <v>10</v>
      </c>
      <c r="D646" t="s">
        <v>781</v>
      </c>
      <c r="E646" t="s">
        <v>246</v>
      </c>
      <c r="F646" t="s">
        <v>247</v>
      </c>
      <c r="G646" t="s">
        <v>1033</v>
      </c>
      <c r="H646" t="s">
        <v>30</v>
      </c>
      <c r="I646" s="1">
        <v>1</v>
      </c>
      <c r="J646" s="2">
        <v>2008.62</v>
      </c>
    </row>
    <row r="647" spans="2:10" x14ac:dyDescent="0.2">
      <c r="B647" t="s">
        <v>780</v>
      </c>
      <c r="C647" t="s">
        <v>18</v>
      </c>
      <c r="D647" t="s">
        <v>781</v>
      </c>
      <c r="E647" t="s">
        <v>660</v>
      </c>
      <c r="F647" t="s">
        <v>661</v>
      </c>
      <c r="G647" t="s">
        <v>14</v>
      </c>
      <c r="H647" t="s">
        <v>27</v>
      </c>
      <c r="I647" s="1">
        <v>1</v>
      </c>
      <c r="J647" s="2">
        <v>448.28</v>
      </c>
    </row>
    <row r="648" spans="2:10" x14ac:dyDescent="0.2">
      <c r="B648" t="s">
        <v>780</v>
      </c>
      <c r="C648" t="s">
        <v>18</v>
      </c>
      <c r="D648" t="s">
        <v>781</v>
      </c>
      <c r="E648" t="s">
        <v>44</v>
      </c>
      <c r="F648" t="s">
        <v>45</v>
      </c>
      <c r="G648" t="s">
        <v>1033</v>
      </c>
      <c r="H648" t="s">
        <v>30</v>
      </c>
      <c r="I648" s="1">
        <v>1</v>
      </c>
      <c r="J648" s="2">
        <v>81.900000000000006</v>
      </c>
    </row>
    <row r="649" spans="2:10" x14ac:dyDescent="0.2">
      <c r="B649" t="s">
        <v>780</v>
      </c>
      <c r="C649" t="s">
        <v>18</v>
      </c>
      <c r="D649" t="s">
        <v>781</v>
      </c>
      <c r="E649" t="s">
        <v>782</v>
      </c>
      <c r="F649" t="s">
        <v>783</v>
      </c>
      <c r="G649" t="s">
        <v>54</v>
      </c>
      <c r="H649" t="s">
        <v>138</v>
      </c>
      <c r="I649" s="1">
        <v>1</v>
      </c>
      <c r="J649" s="2">
        <v>387.93</v>
      </c>
    </row>
    <row r="650" spans="2:10" x14ac:dyDescent="0.2">
      <c r="B650" t="s">
        <v>780</v>
      </c>
      <c r="C650" t="s">
        <v>18</v>
      </c>
      <c r="D650" t="s">
        <v>781</v>
      </c>
      <c r="E650" t="s">
        <v>70</v>
      </c>
      <c r="F650" t="s">
        <v>71</v>
      </c>
      <c r="G650" t="s">
        <v>1033</v>
      </c>
      <c r="H650" t="s">
        <v>30</v>
      </c>
      <c r="I650" s="1">
        <v>1</v>
      </c>
      <c r="J650" s="2">
        <v>2112.0700000000002</v>
      </c>
    </row>
    <row r="651" spans="2:10" x14ac:dyDescent="0.2">
      <c r="B651" t="s">
        <v>780</v>
      </c>
      <c r="C651" t="s">
        <v>18</v>
      </c>
      <c r="D651" t="s">
        <v>781</v>
      </c>
      <c r="E651" t="s">
        <v>242</v>
      </c>
      <c r="F651" t="s">
        <v>243</v>
      </c>
      <c r="G651" t="s">
        <v>14</v>
      </c>
      <c r="H651" t="s">
        <v>87</v>
      </c>
      <c r="I651" s="1">
        <v>1</v>
      </c>
      <c r="J651" s="2">
        <v>120.69</v>
      </c>
    </row>
    <row r="652" spans="2:10" x14ac:dyDescent="0.2">
      <c r="B652" t="s">
        <v>780</v>
      </c>
      <c r="C652" t="s">
        <v>18</v>
      </c>
      <c r="D652" t="s">
        <v>781</v>
      </c>
      <c r="E652" t="s">
        <v>221</v>
      </c>
      <c r="F652" t="s">
        <v>222</v>
      </c>
      <c r="G652" t="s">
        <v>1034</v>
      </c>
      <c r="H652" t="s">
        <v>15</v>
      </c>
      <c r="I652" s="1">
        <v>2</v>
      </c>
      <c r="J652" s="2">
        <v>862.06</v>
      </c>
    </row>
    <row r="653" spans="2:10" x14ac:dyDescent="0.2">
      <c r="B653" t="s">
        <v>780</v>
      </c>
      <c r="C653" t="s">
        <v>18</v>
      </c>
      <c r="D653" t="s">
        <v>781</v>
      </c>
      <c r="E653" t="s">
        <v>36</v>
      </c>
      <c r="F653" t="s">
        <v>37</v>
      </c>
      <c r="G653" t="s">
        <v>1034</v>
      </c>
      <c r="H653" t="s">
        <v>15</v>
      </c>
      <c r="I653" s="1">
        <v>2</v>
      </c>
      <c r="J653" s="2">
        <v>603.44000000000005</v>
      </c>
    </row>
    <row r="654" spans="2:10" x14ac:dyDescent="0.2">
      <c r="B654" t="s">
        <v>780</v>
      </c>
      <c r="C654" t="s">
        <v>18</v>
      </c>
      <c r="D654" t="s">
        <v>781</v>
      </c>
      <c r="E654" t="s">
        <v>56</v>
      </c>
      <c r="F654" t="s">
        <v>57</v>
      </c>
      <c r="G654" t="s">
        <v>1034</v>
      </c>
      <c r="H654" t="s">
        <v>15</v>
      </c>
      <c r="I654" s="1">
        <v>1</v>
      </c>
      <c r="J654" s="2">
        <v>431.03</v>
      </c>
    </row>
    <row r="655" spans="2:10" x14ac:dyDescent="0.2">
      <c r="B655" t="s">
        <v>780</v>
      </c>
      <c r="C655" t="s">
        <v>18</v>
      </c>
      <c r="D655" t="s">
        <v>781</v>
      </c>
      <c r="E655" t="s">
        <v>16</v>
      </c>
      <c r="F655" t="s">
        <v>17</v>
      </c>
      <c r="G655" t="s">
        <v>1034</v>
      </c>
      <c r="H655" t="s">
        <v>15</v>
      </c>
      <c r="I655" s="1">
        <v>1</v>
      </c>
      <c r="J655" s="2">
        <v>577.59</v>
      </c>
    </row>
    <row r="656" spans="2:10" x14ac:dyDescent="0.2">
      <c r="B656" t="s">
        <v>780</v>
      </c>
      <c r="C656" t="s">
        <v>18</v>
      </c>
      <c r="D656" t="s">
        <v>781</v>
      </c>
      <c r="E656" t="s">
        <v>28</v>
      </c>
      <c r="F656" t="s">
        <v>29</v>
      </c>
      <c r="G656" t="s">
        <v>1033</v>
      </c>
      <c r="H656" t="s">
        <v>30</v>
      </c>
      <c r="I656" s="1">
        <v>1</v>
      </c>
      <c r="J656" s="2">
        <v>155.16999999999999</v>
      </c>
    </row>
    <row r="657" spans="2:10" x14ac:dyDescent="0.2">
      <c r="B657" t="s">
        <v>780</v>
      </c>
      <c r="C657" t="s">
        <v>31</v>
      </c>
      <c r="D657" t="s">
        <v>781</v>
      </c>
      <c r="E657" t="s">
        <v>784</v>
      </c>
      <c r="F657" t="s">
        <v>785</v>
      </c>
      <c r="G657" t="s">
        <v>14</v>
      </c>
      <c r="H657" t="s">
        <v>60</v>
      </c>
      <c r="I657" s="1">
        <v>1</v>
      </c>
      <c r="J657" s="2">
        <v>284.48</v>
      </c>
    </row>
    <row r="658" spans="2:10" x14ac:dyDescent="0.2">
      <c r="B658" t="s">
        <v>780</v>
      </c>
      <c r="C658" t="s">
        <v>31</v>
      </c>
      <c r="D658" t="s">
        <v>781</v>
      </c>
      <c r="E658" t="s">
        <v>44</v>
      </c>
      <c r="F658" t="s">
        <v>45</v>
      </c>
      <c r="G658" t="s">
        <v>1033</v>
      </c>
      <c r="H658" t="s">
        <v>30</v>
      </c>
      <c r="I658" s="1">
        <v>3</v>
      </c>
      <c r="J658" s="2">
        <v>245.70000000000002</v>
      </c>
    </row>
    <row r="659" spans="2:10" x14ac:dyDescent="0.2">
      <c r="B659" t="s">
        <v>780</v>
      </c>
      <c r="C659" t="s">
        <v>31</v>
      </c>
      <c r="D659" t="s">
        <v>781</v>
      </c>
      <c r="E659" t="s">
        <v>399</v>
      </c>
      <c r="F659" t="s">
        <v>400</v>
      </c>
      <c r="G659" t="s">
        <v>1033</v>
      </c>
      <c r="H659" t="s">
        <v>30</v>
      </c>
      <c r="I659" s="1">
        <v>1</v>
      </c>
      <c r="J659" s="2">
        <v>818.97</v>
      </c>
    </row>
    <row r="660" spans="2:10" x14ac:dyDescent="0.2">
      <c r="B660" t="s">
        <v>780</v>
      </c>
      <c r="C660" t="s">
        <v>31</v>
      </c>
      <c r="D660" t="s">
        <v>781</v>
      </c>
      <c r="E660" t="s">
        <v>406</v>
      </c>
      <c r="F660" t="s">
        <v>407</v>
      </c>
      <c r="G660" t="s">
        <v>14</v>
      </c>
      <c r="H660" t="s">
        <v>104</v>
      </c>
      <c r="I660" s="1">
        <v>5</v>
      </c>
      <c r="J660" s="2">
        <v>86.2</v>
      </c>
    </row>
    <row r="661" spans="2:10" x14ac:dyDescent="0.2">
      <c r="B661" t="s">
        <v>780</v>
      </c>
      <c r="C661" t="s">
        <v>31</v>
      </c>
      <c r="D661" t="s">
        <v>781</v>
      </c>
      <c r="E661" t="s">
        <v>163</v>
      </c>
      <c r="F661" t="s">
        <v>164</v>
      </c>
      <c r="G661" t="s">
        <v>1034</v>
      </c>
      <c r="H661" t="s">
        <v>15</v>
      </c>
      <c r="I661" s="1">
        <v>1</v>
      </c>
      <c r="J661" s="2">
        <v>431.03</v>
      </c>
    </row>
    <row r="662" spans="2:10" x14ac:dyDescent="0.2">
      <c r="B662" t="s">
        <v>780</v>
      </c>
      <c r="C662" t="s">
        <v>31</v>
      </c>
      <c r="D662" t="s">
        <v>781</v>
      </c>
      <c r="E662" t="s">
        <v>63</v>
      </c>
      <c r="F662" t="s">
        <v>64</v>
      </c>
      <c r="G662" t="s">
        <v>1034</v>
      </c>
      <c r="H662" t="s">
        <v>15</v>
      </c>
      <c r="I662" s="1">
        <v>1</v>
      </c>
      <c r="J662" s="2">
        <v>172.41</v>
      </c>
    </row>
    <row r="663" spans="2:10" x14ac:dyDescent="0.2">
      <c r="B663" t="s">
        <v>780</v>
      </c>
      <c r="C663" t="s">
        <v>40</v>
      </c>
      <c r="D663" t="s">
        <v>32</v>
      </c>
      <c r="E663" t="s">
        <v>16</v>
      </c>
      <c r="F663" t="s">
        <v>17</v>
      </c>
      <c r="G663" t="s">
        <v>1034</v>
      </c>
      <c r="H663" t="s">
        <v>15</v>
      </c>
      <c r="I663" s="1">
        <v>1</v>
      </c>
      <c r="J663" s="2">
        <v>577.59</v>
      </c>
    </row>
    <row r="664" spans="2:10" x14ac:dyDescent="0.2">
      <c r="B664" t="s">
        <v>780</v>
      </c>
      <c r="C664" t="s">
        <v>51</v>
      </c>
      <c r="D664" t="s">
        <v>781</v>
      </c>
      <c r="E664" t="s">
        <v>44</v>
      </c>
      <c r="F664" t="s">
        <v>45</v>
      </c>
      <c r="G664" t="s">
        <v>1033</v>
      </c>
      <c r="H664" t="s">
        <v>30</v>
      </c>
      <c r="I664" s="1">
        <v>2</v>
      </c>
      <c r="J664" s="2">
        <v>163.80000000000001</v>
      </c>
    </row>
    <row r="665" spans="2:10" x14ac:dyDescent="0.2">
      <c r="B665" t="s">
        <v>780</v>
      </c>
      <c r="C665" t="s">
        <v>51</v>
      </c>
      <c r="D665" t="s">
        <v>781</v>
      </c>
      <c r="E665" t="s">
        <v>214</v>
      </c>
      <c r="F665" t="s">
        <v>215</v>
      </c>
      <c r="G665" t="s">
        <v>1034</v>
      </c>
      <c r="H665" t="s">
        <v>15</v>
      </c>
      <c r="I665" s="1">
        <v>2</v>
      </c>
      <c r="J665" s="2">
        <v>603.44000000000005</v>
      </c>
    </row>
    <row r="666" spans="2:10" x14ac:dyDescent="0.2">
      <c r="B666" t="s">
        <v>780</v>
      </c>
      <c r="C666" t="s">
        <v>51</v>
      </c>
      <c r="D666" t="s">
        <v>781</v>
      </c>
      <c r="E666" t="s">
        <v>786</v>
      </c>
      <c r="F666" t="s">
        <v>787</v>
      </c>
      <c r="G666" t="s">
        <v>43</v>
      </c>
      <c r="H666" t="s">
        <v>383</v>
      </c>
      <c r="I666" s="1">
        <v>1</v>
      </c>
      <c r="J666" s="2">
        <v>301.72000000000003</v>
      </c>
    </row>
    <row r="667" spans="2:10" x14ac:dyDescent="0.2">
      <c r="B667" t="s">
        <v>780</v>
      </c>
      <c r="C667" t="s">
        <v>51</v>
      </c>
      <c r="D667" t="s">
        <v>781</v>
      </c>
      <c r="E667" t="s">
        <v>191</v>
      </c>
      <c r="F667" t="s">
        <v>192</v>
      </c>
      <c r="G667" t="s">
        <v>43</v>
      </c>
      <c r="H667" t="s">
        <v>50</v>
      </c>
      <c r="I667" s="1">
        <v>1</v>
      </c>
      <c r="J667" s="2">
        <v>3534.48</v>
      </c>
    </row>
    <row r="668" spans="2:10" x14ac:dyDescent="0.2">
      <c r="B668" t="s">
        <v>780</v>
      </c>
      <c r="C668" t="s">
        <v>51</v>
      </c>
      <c r="D668" t="s">
        <v>781</v>
      </c>
      <c r="E668" t="s">
        <v>406</v>
      </c>
      <c r="F668" t="s">
        <v>407</v>
      </c>
      <c r="G668" t="s">
        <v>14</v>
      </c>
      <c r="H668" t="s">
        <v>104</v>
      </c>
      <c r="I668" s="1">
        <v>5</v>
      </c>
      <c r="J668" s="2">
        <v>86.2</v>
      </c>
    </row>
    <row r="669" spans="2:10" x14ac:dyDescent="0.2">
      <c r="B669" t="s">
        <v>780</v>
      </c>
      <c r="C669" t="s">
        <v>51</v>
      </c>
      <c r="D669" t="s">
        <v>781</v>
      </c>
      <c r="E669" t="s">
        <v>163</v>
      </c>
      <c r="F669" t="s">
        <v>164</v>
      </c>
      <c r="G669" t="s">
        <v>1034</v>
      </c>
      <c r="H669" t="s">
        <v>15</v>
      </c>
      <c r="I669" s="1">
        <v>1</v>
      </c>
      <c r="J669" s="2">
        <v>431.03</v>
      </c>
    </row>
    <row r="670" spans="2:10" x14ac:dyDescent="0.2">
      <c r="B670" t="s">
        <v>780</v>
      </c>
      <c r="C670" t="s">
        <v>51</v>
      </c>
      <c r="D670" t="s">
        <v>781</v>
      </c>
      <c r="E670" t="s">
        <v>61</v>
      </c>
      <c r="F670" t="s">
        <v>62</v>
      </c>
      <c r="G670" t="s">
        <v>1034</v>
      </c>
      <c r="H670" t="s">
        <v>15</v>
      </c>
      <c r="I670" s="1">
        <v>2</v>
      </c>
      <c r="J670" s="2">
        <v>344.82</v>
      </c>
    </row>
    <row r="671" spans="2:10" x14ac:dyDescent="0.2">
      <c r="B671" t="s">
        <v>780</v>
      </c>
      <c r="C671" t="s">
        <v>65</v>
      </c>
      <c r="D671" t="s">
        <v>781</v>
      </c>
      <c r="E671" t="s">
        <v>36</v>
      </c>
      <c r="F671" t="s">
        <v>37</v>
      </c>
      <c r="G671" t="s">
        <v>1034</v>
      </c>
      <c r="H671" t="s">
        <v>15</v>
      </c>
      <c r="I671" s="1">
        <v>1</v>
      </c>
      <c r="J671" s="2">
        <v>301.72000000000003</v>
      </c>
    </row>
    <row r="672" spans="2:10" x14ac:dyDescent="0.2">
      <c r="B672" t="s">
        <v>780</v>
      </c>
      <c r="C672" t="s">
        <v>65</v>
      </c>
      <c r="D672" t="s">
        <v>781</v>
      </c>
      <c r="E672" t="s">
        <v>56</v>
      </c>
      <c r="F672" t="s">
        <v>57</v>
      </c>
      <c r="G672" t="s">
        <v>1034</v>
      </c>
      <c r="H672" t="s">
        <v>15</v>
      </c>
      <c r="I672" s="1">
        <v>1</v>
      </c>
      <c r="J672" s="2">
        <v>431.03</v>
      </c>
    </row>
    <row r="673" spans="2:10" x14ac:dyDescent="0.2">
      <c r="B673" t="s">
        <v>780</v>
      </c>
      <c r="C673" t="s">
        <v>65</v>
      </c>
      <c r="D673" t="s">
        <v>781</v>
      </c>
      <c r="E673" t="s">
        <v>16</v>
      </c>
      <c r="F673" t="s">
        <v>17</v>
      </c>
      <c r="G673" t="s">
        <v>1034</v>
      </c>
      <c r="H673" t="s">
        <v>15</v>
      </c>
      <c r="I673" s="1">
        <v>1</v>
      </c>
      <c r="J673" s="2">
        <v>577.59</v>
      </c>
    </row>
    <row r="674" spans="2:10" x14ac:dyDescent="0.2">
      <c r="B674" t="s">
        <v>780</v>
      </c>
      <c r="C674" t="s">
        <v>82</v>
      </c>
      <c r="D674" t="s">
        <v>781</v>
      </c>
      <c r="E674" t="s">
        <v>44</v>
      </c>
      <c r="F674" t="s">
        <v>45</v>
      </c>
      <c r="G674" t="s">
        <v>1033</v>
      </c>
      <c r="H674" t="s">
        <v>30</v>
      </c>
      <c r="I674" s="1">
        <v>2</v>
      </c>
      <c r="J674" s="2">
        <v>163.80000000000001</v>
      </c>
    </row>
    <row r="675" spans="2:10" x14ac:dyDescent="0.2">
      <c r="B675" t="s">
        <v>780</v>
      </c>
      <c r="C675" t="s">
        <v>82</v>
      </c>
      <c r="D675" t="s">
        <v>781</v>
      </c>
      <c r="E675" t="s">
        <v>19</v>
      </c>
      <c r="F675" t="s">
        <v>20</v>
      </c>
      <c r="G675" t="s">
        <v>14</v>
      </c>
      <c r="H675" t="s">
        <v>21</v>
      </c>
      <c r="I675" s="1">
        <v>1</v>
      </c>
      <c r="J675" s="2">
        <v>431.04</v>
      </c>
    </row>
    <row r="676" spans="2:10" x14ac:dyDescent="0.2">
      <c r="B676" t="s">
        <v>780</v>
      </c>
      <c r="C676" t="s">
        <v>82</v>
      </c>
      <c r="D676" t="s">
        <v>781</v>
      </c>
      <c r="E676" t="s">
        <v>221</v>
      </c>
      <c r="F676" t="s">
        <v>222</v>
      </c>
      <c r="G676" t="s">
        <v>1034</v>
      </c>
      <c r="H676" t="s">
        <v>15</v>
      </c>
      <c r="I676" s="1">
        <v>1</v>
      </c>
      <c r="J676" s="2">
        <v>431.03</v>
      </c>
    </row>
    <row r="677" spans="2:10" x14ac:dyDescent="0.2">
      <c r="B677" t="s">
        <v>780</v>
      </c>
      <c r="C677" t="s">
        <v>82</v>
      </c>
      <c r="D677" t="s">
        <v>781</v>
      </c>
      <c r="E677" t="s">
        <v>36</v>
      </c>
      <c r="F677" t="s">
        <v>37</v>
      </c>
      <c r="G677" t="s">
        <v>1034</v>
      </c>
      <c r="H677" t="s">
        <v>15</v>
      </c>
      <c r="I677" s="1">
        <v>1</v>
      </c>
      <c r="J677" s="2">
        <v>301.72000000000003</v>
      </c>
    </row>
    <row r="678" spans="2:10" x14ac:dyDescent="0.2">
      <c r="B678" t="s">
        <v>780</v>
      </c>
      <c r="C678" t="s">
        <v>82</v>
      </c>
      <c r="D678" t="s">
        <v>781</v>
      </c>
      <c r="E678" t="s">
        <v>786</v>
      </c>
      <c r="F678" t="s">
        <v>787</v>
      </c>
      <c r="G678" t="s">
        <v>43</v>
      </c>
      <c r="H678" t="s">
        <v>383</v>
      </c>
      <c r="I678" s="1">
        <v>1</v>
      </c>
      <c r="J678" s="2">
        <v>301.72000000000003</v>
      </c>
    </row>
    <row r="679" spans="2:10" x14ac:dyDescent="0.2">
      <c r="B679" t="s">
        <v>780</v>
      </c>
      <c r="C679" t="s">
        <v>82</v>
      </c>
      <c r="D679" t="s">
        <v>781</v>
      </c>
      <c r="E679" t="s">
        <v>56</v>
      </c>
      <c r="F679" t="s">
        <v>57</v>
      </c>
      <c r="G679" t="s">
        <v>1034</v>
      </c>
      <c r="H679" t="s">
        <v>15</v>
      </c>
      <c r="I679" s="1">
        <v>1</v>
      </c>
      <c r="J679" s="2">
        <v>431.03</v>
      </c>
    </row>
    <row r="680" spans="2:10" x14ac:dyDescent="0.2">
      <c r="B680" t="s">
        <v>780</v>
      </c>
      <c r="C680" t="s">
        <v>82</v>
      </c>
      <c r="D680" t="s">
        <v>781</v>
      </c>
      <c r="E680" t="s">
        <v>521</v>
      </c>
      <c r="F680" t="s">
        <v>522</v>
      </c>
      <c r="G680" t="s">
        <v>14</v>
      </c>
      <c r="H680" t="s">
        <v>104</v>
      </c>
      <c r="I680" s="1">
        <v>2</v>
      </c>
      <c r="J680" s="2">
        <v>43.1</v>
      </c>
    </row>
    <row r="681" spans="2:10" x14ac:dyDescent="0.2">
      <c r="B681" t="s">
        <v>780</v>
      </c>
      <c r="C681" t="s">
        <v>82</v>
      </c>
      <c r="D681" t="s">
        <v>781</v>
      </c>
      <c r="E681" t="s">
        <v>406</v>
      </c>
      <c r="F681" t="s">
        <v>407</v>
      </c>
      <c r="G681" t="s">
        <v>14</v>
      </c>
      <c r="H681" t="s">
        <v>104</v>
      </c>
      <c r="I681" s="1">
        <v>5</v>
      </c>
      <c r="J681" s="2">
        <v>86.2</v>
      </c>
    </row>
    <row r="682" spans="2:10" x14ac:dyDescent="0.2">
      <c r="B682" t="s">
        <v>780</v>
      </c>
      <c r="C682" t="s">
        <v>82</v>
      </c>
      <c r="D682" t="s">
        <v>781</v>
      </c>
      <c r="E682" t="s">
        <v>28</v>
      </c>
      <c r="F682" t="s">
        <v>29</v>
      </c>
      <c r="G682" t="s">
        <v>1033</v>
      </c>
      <c r="H682" t="s">
        <v>30</v>
      </c>
      <c r="I682" s="1">
        <v>1</v>
      </c>
      <c r="J682" s="2">
        <v>155.16999999999999</v>
      </c>
    </row>
    <row r="683" spans="2:10" x14ac:dyDescent="0.2">
      <c r="B683" t="s">
        <v>780</v>
      </c>
      <c r="C683" t="s">
        <v>88</v>
      </c>
      <c r="D683" t="s">
        <v>781</v>
      </c>
      <c r="E683" t="s">
        <v>44</v>
      </c>
      <c r="F683" t="s">
        <v>45</v>
      </c>
      <c r="G683" t="s">
        <v>1033</v>
      </c>
      <c r="H683" t="s">
        <v>30</v>
      </c>
      <c r="I683" s="1">
        <v>4</v>
      </c>
      <c r="J683" s="2">
        <v>327.60000000000002</v>
      </c>
    </row>
    <row r="684" spans="2:10" x14ac:dyDescent="0.2">
      <c r="B684" t="s">
        <v>780</v>
      </c>
      <c r="C684" t="s">
        <v>88</v>
      </c>
      <c r="D684" t="s">
        <v>781</v>
      </c>
      <c r="E684" t="s">
        <v>788</v>
      </c>
      <c r="F684" t="s">
        <v>789</v>
      </c>
      <c r="G684" t="s">
        <v>43</v>
      </c>
      <c r="H684" t="s">
        <v>91</v>
      </c>
      <c r="I684" s="1">
        <v>1</v>
      </c>
      <c r="J684" s="2">
        <v>706.9</v>
      </c>
    </row>
    <row r="685" spans="2:10" x14ac:dyDescent="0.2">
      <c r="B685" t="s">
        <v>780</v>
      </c>
      <c r="C685" t="s">
        <v>88</v>
      </c>
      <c r="D685" t="s">
        <v>781</v>
      </c>
      <c r="E685" t="s">
        <v>316</v>
      </c>
      <c r="F685" t="s">
        <v>317</v>
      </c>
      <c r="G685" t="s">
        <v>14</v>
      </c>
      <c r="H685" t="s">
        <v>27</v>
      </c>
      <c r="I685" s="1">
        <v>1</v>
      </c>
      <c r="J685" s="2">
        <v>413.79</v>
      </c>
    </row>
    <row r="686" spans="2:10" x14ac:dyDescent="0.2">
      <c r="B686" t="s">
        <v>780</v>
      </c>
      <c r="C686" t="s">
        <v>88</v>
      </c>
      <c r="D686" t="s">
        <v>781</v>
      </c>
      <c r="E686" t="s">
        <v>605</v>
      </c>
      <c r="F686" t="s">
        <v>606</v>
      </c>
      <c r="G686" t="s">
        <v>1033</v>
      </c>
      <c r="H686" t="s">
        <v>30</v>
      </c>
      <c r="I686" s="1">
        <v>1</v>
      </c>
      <c r="J686" s="2">
        <v>465.52</v>
      </c>
    </row>
    <row r="687" spans="2:10" x14ac:dyDescent="0.2">
      <c r="B687" t="s">
        <v>780</v>
      </c>
      <c r="C687" t="s">
        <v>88</v>
      </c>
      <c r="D687" t="s">
        <v>781</v>
      </c>
      <c r="E687" t="s">
        <v>83</v>
      </c>
      <c r="F687" t="s">
        <v>84</v>
      </c>
      <c r="G687" t="s">
        <v>1034</v>
      </c>
      <c r="H687" t="s">
        <v>15</v>
      </c>
      <c r="I687" s="1">
        <v>1</v>
      </c>
      <c r="J687" s="2">
        <v>387.93</v>
      </c>
    </row>
    <row r="688" spans="2:10" x14ac:dyDescent="0.2">
      <c r="B688" t="s">
        <v>780</v>
      </c>
      <c r="C688" t="s">
        <v>88</v>
      </c>
      <c r="D688" t="s">
        <v>781</v>
      </c>
      <c r="E688" t="s">
        <v>74</v>
      </c>
      <c r="F688" t="s">
        <v>75</v>
      </c>
      <c r="G688" t="s">
        <v>76</v>
      </c>
      <c r="H688" t="s">
        <v>60</v>
      </c>
      <c r="I688" s="1">
        <v>1</v>
      </c>
      <c r="J688" s="2">
        <v>344.83</v>
      </c>
    </row>
    <row r="689" spans="2:10" x14ac:dyDescent="0.2">
      <c r="B689" t="s">
        <v>780</v>
      </c>
      <c r="C689" t="s">
        <v>88</v>
      </c>
      <c r="D689" t="s">
        <v>781</v>
      </c>
      <c r="E689" t="s">
        <v>56</v>
      </c>
      <c r="F689" t="s">
        <v>57</v>
      </c>
      <c r="G689" t="s">
        <v>1034</v>
      </c>
      <c r="H689" t="s">
        <v>15</v>
      </c>
      <c r="I689" s="1">
        <v>1</v>
      </c>
      <c r="J689" s="2">
        <v>431.03</v>
      </c>
    </row>
    <row r="690" spans="2:10" x14ac:dyDescent="0.2">
      <c r="B690" t="s">
        <v>780</v>
      </c>
      <c r="C690" t="s">
        <v>88</v>
      </c>
      <c r="D690" t="s">
        <v>781</v>
      </c>
      <c r="E690" t="s">
        <v>63</v>
      </c>
      <c r="F690" t="s">
        <v>64</v>
      </c>
      <c r="G690" t="s">
        <v>1034</v>
      </c>
      <c r="H690" t="s">
        <v>15</v>
      </c>
      <c r="I690" s="1">
        <v>1</v>
      </c>
      <c r="J690" s="2">
        <v>172.41</v>
      </c>
    </row>
    <row r="691" spans="2:10" x14ac:dyDescent="0.2">
      <c r="B691" t="s">
        <v>780</v>
      </c>
      <c r="C691" t="s">
        <v>88</v>
      </c>
      <c r="D691" t="s">
        <v>781</v>
      </c>
      <c r="E691" t="s">
        <v>28</v>
      </c>
      <c r="F691" t="s">
        <v>29</v>
      </c>
      <c r="G691" t="s">
        <v>1033</v>
      </c>
      <c r="H691" t="s">
        <v>30</v>
      </c>
      <c r="I691" s="1">
        <v>1</v>
      </c>
      <c r="J691" s="2">
        <v>155.16999999999999</v>
      </c>
    </row>
    <row r="692" spans="2:10" x14ac:dyDescent="0.2">
      <c r="B692" t="s">
        <v>780</v>
      </c>
      <c r="C692" t="s">
        <v>117</v>
      </c>
      <c r="D692" t="s">
        <v>781</v>
      </c>
      <c r="E692" t="s">
        <v>41</v>
      </c>
      <c r="F692" t="s">
        <v>42</v>
      </c>
      <c r="G692" t="s">
        <v>1033</v>
      </c>
      <c r="H692" t="s">
        <v>30</v>
      </c>
      <c r="I692" s="1">
        <v>1</v>
      </c>
      <c r="J692" s="2">
        <v>34.479999999999997</v>
      </c>
    </row>
    <row r="693" spans="2:10" x14ac:dyDescent="0.2">
      <c r="B693" t="s">
        <v>780</v>
      </c>
      <c r="C693" t="s">
        <v>117</v>
      </c>
      <c r="D693" t="s">
        <v>781</v>
      </c>
      <c r="E693" t="s">
        <v>44</v>
      </c>
      <c r="F693" t="s">
        <v>45</v>
      </c>
      <c r="G693" t="s">
        <v>1033</v>
      </c>
      <c r="H693" t="s">
        <v>30</v>
      </c>
      <c r="I693" s="1">
        <v>3</v>
      </c>
      <c r="J693" s="2">
        <v>245.70000000000002</v>
      </c>
    </row>
    <row r="694" spans="2:10" x14ac:dyDescent="0.2">
      <c r="B694" t="s">
        <v>780</v>
      </c>
      <c r="C694" t="s">
        <v>117</v>
      </c>
      <c r="D694" t="s">
        <v>781</v>
      </c>
      <c r="E694" t="s">
        <v>675</v>
      </c>
      <c r="F694" t="s">
        <v>676</v>
      </c>
      <c r="G694" t="s">
        <v>1033</v>
      </c>
      <c r="H694" t="s">
        <v>30</v>
      </c>
      <c r="I694" s="1">
        <v>1</v>
      </c>
      <c r="J694" s="2">
        <v>1508.62</v>
      </c>
    </row>
    <row r="695" spans="2:10" x14ac:dyDescent="0.2">
      <c r="B695" t="s">
        <v>780</v>
      </c>
      <c r="C695" t="s">
        <v>117</v>
      </c>
      <c r="D695" t="s">
        <v>781</v>
      </c>
      <c r="E695" t="s">
        <v>19</v>
      </c>
      <c r="F695" t="s">
        <v>20</v>
      </c>
      <c r="G695" t="s">
        <v>14</v>
      </c>
      <c r="H695" t="s">
        <v>21</v>
      </c>
      <c r="I695" s="1">
        <v>1</v>
      </c>
      <c r="J695" s="2">
        <v>431.04</v>
      </c>
    </row>
    <row r="696" spans="2:10" x14ac:dyDescent="0.2">
      <c r="B696" t="s">
        <v>780</v>
      </c>
      <c r="C696" t="s">
        <v>117</v>
      </c>
      <c r="D696" t="s">
        <v>781</v>
      </c>
      <c r="E696" t="s">
        <v>33</v>
      </c>
      <c r="F696" t="s">
        <v>34</v>
      </c>
      <c r="G696" t="s">
        <v>14</v>
      </c>
      <c r="H696" t="s">
        <v>35</v>
      </c>
      <c r="I696" s="1">
        <v>1</v>
      </c>
      <c r="J696" s="2">
        <v>60.34</v>
      </c>
    </row>
    <row r="697" spans="2:10" x14ac:dyDescent="0.2">
      <c r="B697" t="s">
        <v>780</v>
      </c>
      <c r="C697" t="s">
        <v>117</v>
      </c>
      <c r="D697" t="s">
        <v>781</v>
      </c>
      <c r="E697" t="s">
        <v>590</v>
      </c>
      <c r="F697" t="s">
        <v>591</v>
      </c>
      <c r="G697" t="s">
        <v>14</v>
      </c>
      <c r="H697" t="s">
        <v>35</v>
      </c>
      <c r="I697" s="1">
        <v>1</v>
      </c>
      <c r="J697" s="2">
        <v>77.59</v>
      </c>
    </row>
    <row r="698" spans="2:10" x14ac:dyDescent="0.2">
      <c r="B698" t="s">
        <v>780</v>
      </c>
      <c r="C698" t="s">
        <v>117</v>
      </c>
      <c r="D698" t="s">
        <v>781</v>
      </c>
      <c r="E698" t="s">
        <v>278</v>
      </c>
      <c r="F698" t="s">
        <v>279</v>
      </c>
      <c r="G698" t="s">
        <v>1033</v>
      </c>
      <c r="H698" t="s">
        <v>30</v>
      </c>
      <c r="I698" s="1">
        <v>1</v>
      </c>
      <c r="J698" s="2">
        <v>112.07</v>
      </c>
    </row>
    <row r="699" spans="2:10" x14ac:dyDescent="0.2">
      <c r="B699" t="s">
        <v>780</v>
      </c>
      <c r="C699" t="s">
        <v>117</v>
      </c>
      <c r="D699" t="s">
        <v>781</v>
      </c>
      <c r="E699" t="s">
        <v>399</v>
      </c>
      <c r="F699" t="s">
        <v>400</v>
      </c>
      <c r="G699" t="s">
        <v>1033</v>
      </c>
      <c r="H699" t="s">
        <v>30</v>
      </c>
      <c r="I699" s="1">
        <v>1</v>
      </c>
      <c r="J699" s="2">
        <v>818.97</v>
      </c>
    </row>
    <row r="700" spans="2:10" x14ac:dyDescent="0.2">
      <c r="B700" t="s">
        <v>780</v>
      </c>
      <c r="C700" t="s">
        <v>117</v>
      </c>
      <c r="D700" t="s">
        <v>781</v>
      </c>
      <c r="E700" t="s">
        <v>70</v>
      </c>
      <c r="F700" t="s">
        <v>71</v>
      </c>
      <c r="G700" t="s">
        <v>1033</v>
      </c>
      <c r="H700" t="s">
        <v>30</v>
      </c>
      <c r="I700" s="1">
        <v>1</v>
      </c>
      <c r="J700" s="2">
        <v>2112.0700000000002</v>
      </c>
    </row>
    <row r="701" spans="2:10" x14ac:dyDescent="0.2">
      <c r="B701" t="s">
        <v>780</v>
      </c>
      <c r="C701" t="s">
        <v>117</v>
      </c>
      <c r="D701" t="s">
        <v>781</v>
      </c>
      <c r="E701" t="s">
        <v>242</v>
      </c>
      <c r="F701" t="s">
        <v>243</v>
      </c>
      <c r="G701" t="s">
        <v>14</v>
      </c>
      <c r="H701" t="s">
        <v>87</v>
      </c>
      <c r="I701" s="1">
        <v>1</v>
      </c>
      <c r="J701" s="2">
        <v>120.69</v>
      </c>
    </row>
    <row r="702" spans="2:10" x14ac:dyDescent="0.2">
      <c r="B702" t="s">
        <v>780</v>
      </c>
      <c r="C702" t="s">
        <v>117</v>
      </c>
      <c r="D702" t="s">
        <v>781</v>
      </c>
      <c r="E702" t="s">
        <v>505</v>
      </c>
      <c r="F702" t="s">
        <v>506</v>
      </c>
      <c r="G702" t="s">
        <v>1033</v>
      </c>
      <c r="H702" t="s">
        <v>30</v>
      </c>
      <c r="I702" s="1">
        <v>1</v>
      </c>
      <c r="J702" s="2">
        <v>775.86</v>
      </c>
    </row>
    <row r="703" spans="2:10" x14ac:dyDescent="0.2">
      <c r="B703" t="s">
        <v>780</v>
      </c>
      <c r="C703" t="s">
        <v>117</v>
      </c>
      <c r="D703" t="s">
        <v>781</v>
      </c>
      <c r="E703" t="s">
        <v>214</v>
      </c>
      <c r="F703" t="s">
        <v>215</v>
      </c>
      <c r="G703" t="s">
        <v>1034</v>
      </c>
      <c r="H703" t="s">
        <v>15</v>
      </c>
      <c r="I703" s="1">
        <v>1</v>
      </c>
      <c r="J703" s="2">
        <v>301.72000000000003</v>
      </c>
    </row>
    <row r="704" spans="2:10" x14ac:dyDescent="0.2">
      <c r="B704" t="s">
        <v>780</v>
      </c>
      <c r="C704" t="s">
        <v>117</v>
      </c>
      <c r="D704" t="s">
        <v>781</v>
      </c>
      <c r="E704" t="s">
        <v>36</v>
      </c>
      <c r="F704" t="s">
        <v>37</v>
      </c>
      <c r="G704" t="s">
        <v>1034</v>
      </c>
      <c r="H704" t="s">
        <v>15</v>
      </c>
      <c r="I704" s="1">
        <v>2</v>
      </c>
      <c r="J704" s="2">
        <v>603.44000000000005</v>
      </c>
    </row>
    <row r="705" spans="2:10" x14ac:dyDescent="0.2">
      <c r="B705" t="s">
        <v>780</v>
      </c>
      <c r="C705" t="s">
        <v>117</v>
      </c>
      <c r="D705" t="s">
        <v>781</v>
      </c>
      <c r="E705" t="s">
        <v>285</v>
      </c>
      <c r="F705" t="s">
        <v>286</v>
      </c>
      <c r="G705" t="s">
        <v>1033</v>
      </c>
      <c r="H705" t="s">
        <v>30</v>
      </c>
      <c r="I705" s="1">
        <v>1</v>
      </c>
      <c r="J705" s="2">
        <v>1034.48</v>
      </c>
    </row>
    <row r="706" spans="2:10" x14ac:dyDescent="0.2">
      <c r="B706" t="s">
        <v>780</v>
      </c>
      <c r="C706" t="s">
        <v>117</v>
      </c>
      <c r="D706" t="s">
        <v>781</v>
      </c>
      <c r="E706" t="s">
        <v>790</v>
      </c>
      <c r="F706" t="s">
        <v>791</v>
      </c>
      <c r="G706" t="s">
        <v>54</v>
      </c>
      <c r="H706" t="s">
        <v>792</v>
      </c>
      <c r="I706" s="1">
        <v>1</v>
      </c>
      <c r="J706" s="2">
        <v>86.21</v>
      </c>
    </row>
    <row r="707" spans="2:10" x14ac:dyDescent="0.2">
      <c r="B707" t="s">
        <v>780</v>
      </c>
      <c r="C707" t="s">
        <v>117</v>
      </c>
      <c r="D707" t="s">
        <v>781</v>
      </c>
      <c r="E707" t="s">
        <v>16</v>
      </c>
      <c r="F707" t="s">
        <v>17</v>
      </c>
      <c r="G707" t="s">
        <v>1034</v>
      </c>
      <c r="H707" t="s">
        <v>15</v>
      </c>
      <c r="I707" s="1">
        <v>1</v>
      </c>
      <c r="J707" s="2">
        <v>577.59</v>
      </c>
    </row>
    <row r="708" spans="2:10" x14ac:dyDescent="0.2">
      <c r="B708" t="s">
        <v>780</v>
      </c>
      <c r="C708" t="s">
        <v>129</v>
      </c>
      <c r="D708" t="s">
        <v>781</v>
      </c>
      <c r="E708" t="s">
        <v>44</v>
      </c>
      <c r="F708" t="s">
        <v>45</v>
      </c>
      <c r="G708" t="s">
        <v>1033</v>
      </c>
      <c r="H708" t="s">
        <v>30</v>
      </c>
      <c r="I708" s="1">
        <v>1</v>
      </c>
      <c r="J708" s="2">
        <v>81.900000000000006</v>
      </c>
    </row>
    <row r="709" spans="2:10" x14ac:dyDescent="0.2">
      <c r="B709" t="s">
        <v>780</v>
      </c>
      <c r="C709" t="s">
        <v>129</v>
      </c>
      <c r="D709" t="s">
        <v>781</v>
      </c>
      <c r="E709" t="s">
        <v>19</v>
      </c>
      <c r="F709" t="s">
        <v>20</v>
      </c>
      <c r="G709" t="s">
        <v>14</v>
      </c>
      <c r="H709" t="s">
        <v>21</v>
      </c>
      <c r="I709" s="1">
        <v>1</v>
      </c>
      <c r="J709" s="2">
        <v>431.04</v>
      </c>
    </row>
    <row r="710" spans="2:10" x14ac:dyDescent="0.2">
      <c r="B710" t="s">
        <v>780</v>
      </c>
      <c r="C710" t="s">
        <v>129</v>
      </c>
      <c r="D710" t="s">
        <v>781</v>
      </c>
      <c r="E710" t="s">
        <v>36</v>
      </c>
      <c r="F710" t="s">
        <v>37</v>
      </c>
      <c r="G710" t="s">
        <v>1034</v>
      </c>
      <c r="H710" t="s">
        <v>15</v>
      </c>
      <c r="I710" s="1">
        <v>1</v>
      </c>
      <c r="J710" s="2">
        <v>301.72000000000003</v>
      </c>
    </row>
    <row r="711" spans="2:10" x14ac:dyDescent="0.2">
      <c r="B711" t="s">
        <v>780</v>
      </c>
      <c r="C711" t="s">
        <v>129</v>
      </c>
      <c r="D711" t="s">
        <v>781</v>
      </c>
      <c r="E711" t="s">
        <v>105</v>
      </c>
      <c r="F711" t="s">
        <v>106</v>
      </c>
      <c r="G711" t="s">
        <v>107</v>
      </c>
      <c r="H711" t="s">
        <v>50</v>
      </c>
      <c r="I711" s="1">
        <v>1</v>
      </c>
      <c r="J711" s="2">
        <v>2586.21</v>
      </c>
    </row>
    <row r="712" spans="2:10" x14ac:dyDescent="0.2">
      <c r="B712" t="s">
        <v>780</v>
      </c>
      <c r="C712" t="s">
        <v>129</v>
      </c>
      <c r="D712" t="s">
        <v>781</v>
      </c>
      <c r="E712" t="s">
        <v>793</v>
      </c>
      <c r="F712" t="s">
        <v>794</v>
      </c>
      <c r="G712" t="s">
        <v>54</v>
      </c>
      <c r="H712" t="s">
        <v>795</v>
      </c>
      <c r="I712" s="1">
        <v>1</v>
      </c>
      <c r="J712" s="2">
        <v>172.41</v>
      </c>
    </row>
    <row r="713" spans="2:10" x14ac:dyDescent="0.2">
      <c r="B713" t="s">
        <v>780</v>
      </c>
      <c r="C713" t="s">
        <v>129</v>
      </c>
      <c r="D713" t="s">
        <v>781</v>
      </c>
      <c r="E713" t="s">
        <v>406</v>
      </c>
      <c r="F713" t="s">
        <v>407</v>
      </c>
      <c r="G713" t="s">
        <v>14</v>
      </c>
      <c r="H713" t="s">
        <v>104</v>
      </c>
      <c r="I713" s="1">
        <v>1</v>
      </c>
      <c r="J713" s="2">
        <v>17.239999999999998</v>
      </c>
    </row>
    <row r="714" spans="2:10" x14ac:dyDescent="0.2">
      <c r="B714" t="s">
        <v>780</v>
      </c>
      <c r="C714" t="s">
        <v>129</v>
      </c>
      <c r="D714" t="s">
        <v>781</v>
      </c>
      <c r="E714" t="s">
        <v>61</v>
      </c>
      <c r="F714" t="s">
        <v>62</v>
      </c>
      <c r="G714" t="s">
        <v>1034</v>
      </c>
      <c r="H714" t="s">
        <v>15</v>
      </c>
      <c r="I714" s="1">
        <v>1</v>
      </c>
      <c r="J714" s="2">
        <v>172.41</v>
      </c>
    </row>
    <row r="715" spans="2:10" x14ac:dyDescent="0.2">
      <c r="B715" t="s">
        <v>780</v>
      </c>
      <c r="C715" t="s">
        <v>129</v>
      </c>
      <c r="D715" t="s">
        <v>781</v>
      </c>
      <c r="E715" t="s">
        <v>63</v>
      </c>
      <c r="F715" t="s">
        <v>64</v>
      </c>
      <c r="G715" t="s">
        <v>1034</v>
      </c>
      <c r="H715" t="s">
        <v>15</v>
      </c>
      <c r="I715" s="1">
        <v>1</v>
      </c>
      <c r="J715" s="2">
        <v>172.41</v>
      </c>
    </row>
    <row r="716" spans="2:10" x14ac:dyDescent="0.2">
      <c r="B716" t="s">
        <v>780</v>
      </c>
      <c r="C716" t="s">
        <v>129</v>
      </c>
      <c r="D716" t="s">
        <v>781</v>
      </c>
      <c r="E716" t="s">
        <v>796</v>
      </c>
      <c r="F716" t="s">
        <v>797</v>
      </c>
      <c r="G716" t="s">
        <v>54</v>
      </c>
      <c r="H716" t="s">
        <v>565</v>
      </c>
      <c r="I716" s="1">
        <v>1</v>
      </c>
      <c r="J716" s="2">
        <v>258.62</v>
      </c>
    </row>
    <row r="717" spans="2:10" x14ac:dyDescent="0.2">
      <c r="B717" t="s">
        <v>824</v>
      </c>
      <c r="C717" t="s">
        <v>10</v>
      </c>
      <c r="D717" t="s">
        <v>825</v>
      </c>
      <c r="E717" t="s">
        <v>826</v>
      </c>
      <c r="F717" t="s">
        <v>827</v>
      </c>
      <c r="G717" t="s">
        <v>1033</v>
      </c>
      <c r="H717" t="s">
        <v>30</v>
      </c>
      <c r="I717" s="1">
        <v>1</v>
      </c>
      <c r="J717" s="2">
        <v>521.54999999999995</v>
      </c>
    </row>
    <row r="718" spans="2:10" x14ac:dyDescent="0.2">
      <c r="B718" t="s">
        <v>824</v>
      </c>
      <c r="C718" t="s">
        <v>10</v>
      </c>
      <c r="D718" t="s">
        <v>825</v>
      </c>
      <c r="E718" t="s">
        <v>19</v>
      </c>
      <c r="F718" t="s">
        <v>20</v>
      </c>
      <c r="G718" t="s">
        <v>14</v>
      </c>
      <c r="H718" t="s">
        <v>21</v>
      </c>
      <c r="I718" s="1">
        <v>1</v>
      </c>
      <c r="J718" s="2">
        <v>431.04</v>
      </c>
    </row>
    <row r="719" spans="2:10" x14ac:dyDescent="0.2">
      <c r="B719" t="s">
        <v>824</v>
      </c>
      <c r="C719" t="s">
        <v>10</v>
      </c>
      <c r="D719" t="s">
        <v>825</v>
      </c>
      <c r="E719" t="s">
        <v>46</v>
      </c>
      <c r="F719" t="s">
        <v>47</v>
      </c>
      <c r="G719" t="s">
        <v>1034</v>
      </c>
      <c r="H719" t="s">
        <v>15</v>
      </c>
      <c r="I719" s="1">
        <v>1</v>
      </c>
      <c r="J719" s="2">
        <v>301.72000000000003</v>
      </c>
    </row>
    <row r="720" spans="2:10" x14ac:dyDescent="0.2">
      <c r="B720" t="s">
        <v>824</v>
      </c>
      <c r="C720" t="s">
        <v>10</v>
      </c>
      <c r="D720" t="s">
        <v>825</v>
      </c>
      <c r="E720" t="s">
        <v>287</v>
      </c>
      <c r="F720" t="s">
        <v>288</v>
      </c>
      <c r="G720" t="s">
        <v>14</v>
      </c>
      <c r="H720" t="s">
        <v>35</v>
      </c>
      <c r="I720" s="1">
        <v>1</v>
      </c>
      <c r="J720" s="2">
        <v>60.34</v>
      </c>
    </row>
    <row r="721" spans="2:10" x14ac:dyDescent="0.2">
      <c r="B721" t="s">
        <v>824</v>
      </c>
      <c r="C721" t="s">
        <v>10</v>
      </c>
      <c r="D721" t="s">
        <v>825</v>
      </c>
      <c r="E721" t="s">
        <v>828</v>
      </c>
      <c r="F721" t="s">
        <v>829</v>
      </c>
      <c r="G721" t="s">
        <v>1033</v>
      </c>
      <c r="H721" t="s">
        <v>30</v>
      </c>
      <c r="I721" s="1">
        <v>1</v>
      </c>
      <c r="J721" s="2">
        <v>474.14</v>
      </c>
    </row>
    <row r="722" spans="2:10" x14ac:dyDescent="0.2">
      <c r="B722" t="s">
        <v>824</v>
      </c>
      <c r="C722" t="s">
        <v>10</v>
      </c>
      <c r="D722" t="s">
        <v>825</v>
      </c>
      <c r="E722" t="s">
        <v>830</v>
      </c>
      <c r="F722" t="s">
        <v>831</v>
      </c>
      <c r="G722" t="s">
        <v>43</v>
      </c>
      <c r="H722" t="s">
        <v>55</v>
      </c>
      <c r="I722" s="1">
        <v>1</v>
      </c>
      <c r="J722" s="2">
        <v>1896.55</v>
      </c>
    </row>
    <row r="723" spans="2:10" x14ac:dyDescent="0.2">
      <c r="B723" t="s">
        <v>824</v>
      </c>
      <c r="C723" t="s">
        <v>10</v>
      </c>
      <c r="D723" t="s">
        <v>825</v>
      </c>
      <c r="E723" t="s">
        <v>97</v>
      </c>
      <c r="F723" t="s">
        <v>98</v>
      </c>
      <c r="G723" t="s">
        <v>1033</v>
      </c>
      <c r="H723" t="s">
        <v>30</v>
      </c>
      <c r="I723" s="1">
        <v>1</v>
      </c>
      <c r="J723" s="2">
        <v>2500</v>
      </c>
    </row>
    <row r="724" spans="2:10" x14ac:dyDescent="0.2">
      <c r="B724" t="s">
        <v>824</v>
      </c>
      <c r="C724" t="s">
        <v>10</v>
      </c>
      <c r="D724" t="s">
        <v>825</v>
      </c>
      <c r="E724" t="s">
        <v>832</v>
      </c>
      <c r="F724" t="s">
        <v>833</v>
      </c>
      <c r="G724" t="s">
        <v>14</v>
      </c>
      <c r="H724" t="s">
        <v>87</v>
      </c>
      <c r="I724" s="1">
        <v>1</v>
      </c>
      <c r="J724" s="2">
        <v>120.69</v>
      </c>
    </row>
    <row r="725" spans="2:10" x14ac:dyDescent="0.2">
      <c r="B725" t="s">
        <v>824</v>
      </c>
      <c r="C725" t="s">
        <v>10</v>
      </c>
      <c r="D725" t="s">
        <v>825</v>
      </c>
      <c r="E725" t="s">
        <v>731</v>
      </c>
      <c r="F725" t="s">
        <v>732</v>
      </c>
      <c r="G725" t="s">
        <v>14</v>
      </c>
      <c r="H725" t="s">
        <v>27</v>
      </c>
      <c r="I725" s="1">
        <v>1</v>
      </c>
      <c r="J725" s="2">
        <v>413.79</v>
      </c>
    </row>
    <row r="726" spans="2:10" x14ac:dyDescent="0.2">
      <c r="B726" t="s">
        <v>824</v>
      </c>
      <c r="C726" t="s">
        <v>10</v>
      </c>
      <c r="D726" t="s">
        <v>825</v>
      </c>
      <c r="E726" t="s">
        <v>221</v>
      </c>
      <c r="F726" t="s">
        <v>222</v>
      </c>
      <c r="G726" t="s">
        <v>1034</v>
      </c>
      <c r="H726" t="s">
        <v>15</v>
      </c>
      <c r="I726" s="1">
        <v>1</v>
      </c>
      <c r="J726" s="2">
        <v>431.03</v>
      </c>
    </row>
    <row r="727" spans="2:10" x14ac:dyDescent="0.2">
      <c r="B727" t="s">
        <v>824</v>
      </c>
      <c r="C727" t="s">
        <v>10</v>
      </c>
      <c r="D727" t="s">
        <v>825</v>
      </c>
      <c r="E727" t="s">
        <v>605</v>
      </c>
      <c r="F727" t="s">
        <v>606</v>
      </c>
      <c r="G727" t="s">
        <v>1033</v>
      </c>
      <c r="H727" t="s">
        <v>30</v>
      </c>
      <c r="I727" s="1">
        <v>1</v>
      </c>
      <c r="J727" s="2">
        <v>465.52</v>
      </c>
    </row>
    <row r="728" spans="2:10" x14ac:dyDescent="0.2">
      <c r="B728" t="s">
        <v>824</v>
      </c>
      <c r="C728" t="s">
        <v>10</v>
      </c>
      <c r="D728" t="s">
        <v>825</v>
      </c>
      <c r="E728" t="s">
        <v>72</v>
      </c>
      <c r="F728" t="s">
        <v>73</v>
      </c>
      <c r="G728" t="s">
        <v>1034</v>
      </c>
      <c r="H728" t="s">
        <v>15</v>
      </c>
      <c r="I728" s="1">
        <v>1</v>
      </c>
      <c r="J728" s="2">
        <v>775.86</v>
      </c>
    </row>
    <row r="729" spans="2:10" x14ac:dyDescent="0.2">
      <c r="B729" t="s">
        <v>824</v>
      </c>
      <c r="C729" t="s">
        <v>10</v>
      </c>
      <c r="D729" t="s">
        <v>825</v>
      </c>
      <c r="E729" t="s">
        <v>122</v>
      </c>
      <c r="F729" t="s">
        <v>123</v>
      </c>
      <c r="G729" t="s">
        <v>1034</v>
      </c>
      <c r="H729" t="s">
        <v>15</v>
      </c>
      <c r="I729" s="1">
        <v>1</v>
      </c>
      <c r="J729" s="2">
        <v>387.93</v>
      </c>
    </row>
    <row r="730" spans="2:10" x14ac:dyDescent="0.2">
      <c r="B730" t="s">
        <v>824</v>
      </c>
      <c r="C730" t="s">
        <v>10</v>
      </c>
      <c r="D730" t="s">
        <v>825</v>
      </c>
      <c r="E730" t="s">
        <v>179</v>
      </c>
      <c r="F730" t="s">
        <v>180</v>
      </c>
      <c r="G730" t="s">
        <v>76</v>
      </c>
      <c r="H730" t="s">
        <v>60</v>
      </c>
      <c r="I730" s="1">
        <v>1</v>
      </c>
      <c r="J730" s="2">
        <v>344.83</v>
      </c>
    </row>
    <row r="731" spans="2:10" x14ac:dyDescent="0.2">
      <c r="B731" t="s">
        <v>824</v>
      </c>
      <c r="C731" t="s">
        <v>10</v>
      </c>
      <c r="D731" t="s">
        <v>825</v>
      </c>
      <c r="E731" t="s">
        <v>22</v>
      </c>
      <c r="F731" t="s">
        <v>23</v>
      </c>
      <c r="G731" t="s">
        <v>14</v>
      </c>
      <c r="H731" t="s">
        <v>24</v>
      </c>
      <c r="I731" s="1">
        <v>1</v>
      </c>
      <c r="J731" s="2">
        <v>215.52</v>
      </c>
    </row>
    <row r="732" spans="2:10" x14ac:dyDescent="0.2">
      <c r="B732" t="s">
        <v>824</v>
      </c>
      <c r="C732" t="s">
        <v>10</v>
      </c>
      <c r="D732" t="s">
        <v>825</v>
      </c>
      <c r="E732" t="s">
        <v>834</v>
      </c>
      <c r="F732" t="s">
        <v>835</v>
      </c>
      <c r="G732" t="s">
        <v>284</v>
      </c>
      <c r="H732" t="s">
        <v>91</v>
      </c>
      <c r="I732" s="1">
        <v>1</v>
      </c>
      <c r="J732" s="2">
        <v>939.66</v>
      </c>
    </row>
    <row r="733" spans="2:10" x14ac:dyDescent="0.2">
      <c r="B733" t="s">
        <v>824</v>
      </c>
      <c r="C733" t="s">
        <v>10</v>
      </c>
      <c r="D733" t="s">
        <v>825</v>
      </c>
      <c r="E733" t="s">
        <v>38</v>
      </c>
      <c r="F733" t="s">
        <v>39</v>
      </c>
      <c r="G733" t="s">
        <v>1034</v>
      </c>
      <c r="H733" t="s">
        <v>15</v>
      </c>
      <c r="I733" s="1">
        <v>1</v>
      </c>
      <c r="J733" s="2">
        <v>431.03</v>
      </c>
    </row>
    <row r="734" spans="2:10" x14ac:dyDescent="0.2">
      <c r="B734" t="s">
        <v>824</v>
      </c>
      <c r="C734" t="s">
        <v>10</v>
      </c>
      <c r="D734" t="s">
        <v>825</v>
      </c>
      <c r="E734" t="s">
        <v>56</v>
      </c>
      <c r="F734" t="s">
        <v>57</v>
      </c>
      <c r="G734" t="s">
        <v>1034</v>
      </c>
      <c r="H734" t="s">
        <v>15</v>
      </c>
      <c r="I734" s="1">
        <v>3</v>
      </c>
      <c r="J734" s="2">
        <v>1293.0999999999999</v>
      </c>
    </row>
    <row r="735" spans="2:10" x14ac:dyDescent="0.2">
      <c r="B735" t="s">
        <v>824</v>
      </c>
      <c r="C735" t="s">
        <v>10</v>
      </c>
      <c r="D735" t="s">
        <v>825</v>
      </c>
      <c r="E735" t="s">
        <v>521</v>
      </c>
      <c r="F735" t="s">
        <v>522</v>
      </c>
      <c r="G735" t="s">
        <v>14</v>
      </c>
      <c r="H735" t="s">
        <v>104</v>
      </c>
      <c r="I735" s="1">
        <v>10</v>
      </c>
      <c r="J735" s="2">
        <v>215.5</v>
      </c>
    </row>
    <row r="736" spans="2:10" x14ac:dyDescent="0.2">
      <c r="B736" t="s">
        <v>824</v>
      </c>
      <c r="C736" t="s">
        <v>10</v>
      </c>
      <c r="D736" t="s">
        <v>825</v>
      </c>
      <c r="E736" t="s">
        <v>406</v>
      </c>
      <c r="F736" t="s">
        <v>407</v>
      </c>
      <c r="G736" t="s">
        <v>14</v>
      </c>
      <c r="H736" t="s">
        <v>104</v>
      </c>
      <c r="I736" s="1">
        <v>2</v>
      </c>
      <c r="J736" s="2">
        <v>34.479999999999997</v>
      </c>
    </row>
    <row r="737" spans="2:10" x14ac:dyDescent="0.2">
      <c r="B737" t="s">
        <v>824</v>
      </c>
      <c r="C737" t="s">
        <v>10</v>
      </c>
      <c r="D737" t="s">
        <v>825</v>
      </c>
      <c r="E737" t="s">
        <v>63</v>
      </c>
      <c r="F737" t="s">
        <v>64</v>
      </c>
      <c r="G737" t="s">
        <v>1034</v>
      </c>
      <c r="H737" t="s">
        <v>15</v>
      </c>
      <c r="I737" s="1">
        <v>1</v>
      </c>
      <c r="J737" s="2">
        <v>172.41</v>
      </c>
    </row>
    <row r="738" spans="2:10" x14ac:dyDescent="0.2">
      <c r="B738" t="s">
        <v>824</v>
      </c>
      <c r="C738" t="s">
        <v>10</v>
      </c>
      <c r="D738" t="s">
        <v>825</v>
      </c>
      <c r="E738" t="s">
        <v>115</v>
      </c>
      <c r="F738" t="s">
        <v>116</v>
      </c>
      <c r="G738" t="s">
        <v>1033</v>
      </c>
      <c r="H738" t="s">
        <v>30</v>
      </c>
      <c r="I738" s="1">
        <v>1</v>
      </c>
      <c r="J738" s="2">
        <v>2465.52</v>
      </c>
    </row>
    <row r="739" spans="2:10" x14ac:dyDescent="0.2">
      <c r="B739" t="s">
        <v>824</v>
      </c>
      <c r="C739" t="s">
        <v>18</v>
      </c>
      <c r="D739" t="s">
        <v>825</v>
      </c>
      <c r="E739" t="s">
        <v>221</v>
      </c>
      <c r="F739" t="s">
        <v>222</v>
      </c>
      <c r="G739" t="s">
        <v>1034</v>
      </c>
      <c r="H739" t="s">
        <v>15</v>
      </c>
      <c r="I739" s="1">
        <v>1</v>
      </c>
      <c r="J739" s="2">
        <v>431.03</v>
      </c>
    </row>
    <row r="740" spans="2:10" x14ac:dyDescent="0.2">
      <c r="B740" t="s">
        <v>824</v>
      </c>
      <c r="C740" t="s">
        <v>18</v>
      </c>
      <c r="D740" t="s">
        <v>825</v>
      </c>
      <c r="E740" t="s">
        <v>36</v>
      </c>
      <c r="F740" t="s">
        <v>37</v>
      </c>
      <c r="G740" t="s">
        <v>1034</v>
      </c>
      <c r="H740" t="s">
        <v>15</v>
      </c>
      <c r="I740" s="1">
        <v>1</v>
      </c>
      <c r="J740" s="2">
        <v>301.72000000000003</v>
      </c>
    </row>
    <row r="741" spans="2:10" x14ac:dyDescent="0.2">
      <c r="B741" t="s">
        <v>824</v>
      </c>
      <c r="C741" t="s">
        <v>18</v>
      </c>
      <c r="D741" t="s">
        <v>825</v>
      </c>
      <c r="E741" t="s">
        <v>83</v>
      </c>
      <c r="F741" t="s">
        <v>84</v>
      </c>
      <c r="G741" t="s">
        <v>1034</v>
      </c>
      <c r="H741" t="s">
        <v>15</v>
      </c>
      <c r="I741" s="1">
        <v>1</v>
      </c>
      <c r="J741" s="2">
        <v>387.93</v>
      </c>
    </row>
    <row r="742" spans="2:10" x14ac:dyDescent="0.2">
      <c r="B742" t="s">
        <v>824</v>
      </c>
      <c r="C742" t="s">
        <v>18</v>
      </c>
      <c r="D742" t="s">
        <v>825</v>
      </c>
      <c r="E742" t="s">
        <v>193</v>
      </c>
      <c r="F742" t="s">
        <v>194</v>
      </c>
      <c r="G742" t="s">
        <v>1034</v>
      </c>
      <c r="H742" t="s">
        <v>15</v>
      </c>
      <c r="I742" s="1">
        <v>2</v>
      </c>
      <c r="J742" s="2">
        <v>2586.1999999999998</v>
      </c>
    </row>
    <row r="743" spans="2:10" x14ac:dyDescent="0.2">
      <c r="B743" t="s">
        <v>824</v>
      </c>
      <c r="C743" t="s">
        <v>31</v>
      </c>
      <c r="D743" t="s">
        <v>825</v>
      </c>
      <c r="E743" t="s">
        <v>328</v>
      </c>
      <c r="F743" t="s">
        <v>329</v>
      </c>
      <c r="G743" t="s">
        <v>1033</v>
      </c>
      <c r="H743" t="s">
        <v>30</v>
      </c>
      <c r="I743" s="1">
        <v>1</v>
      </c>
      <c r="J743" s="2">
        <v>172.41</v>
      </c>
    </row>
    <row r="744" spans="2:10" x14ac:dyDescent="0.2">
      <c r="B744" t="s">
        <v>824</v>
      </c>
      <c r="C744" t="s">
        <v>31</v>
      </c>
      <c r="D744" t="s">
        <v>825</v>
      </c>
      <c r="E744" t="s">
        <v>253</v>
      </c>
      <c r="F744" t="s">
        <v>254</v>
      </c>
      <c r="G744" t="s">
        <v>1034</v>
      </c>
      <c r="H744" t="s">
        <v>15</v>
      </c>
      <c r="I744" s="1">
        <v>1</v>
      </c>
      <c r="J744" s="2">
        <v>775.86</v>
      </c>
    </row>
    <row r="745" spans="2:10" x14ac:dyDescent="0.2">
      <c r="B745" t="s">
        <v>824</v>
      </c>
      <c r="C745" t="s">
        <v>31</v>
      </c>
      <c r="D745" t="s">
        <v>825</v>
      </c>
      <c r="E745" t="s">
        <v>61</v>
      </c>
      <c r="F745" t="s">
        <v>62</v>
      </c>
      <c r="G745" t="s">
        <v>1034</v>
      </c>
      <c r="H745" t="s">
        <v>15</v>
      </c>
      <c r="I745" s="1">
        <v>2</v>
      </c>
      <c r="J745" s="2">
        <v>344.82</v>
      </c>
    </row>
    <row r="746" spans="2:10" x14ac:dyDescent="0.2">
      <c r="B746" t="s">
        <v>824</v>
      </c>
      <c r="C746" t="s">
        <v>40</v>
      </c>
      <c r="D746" t="s">
        <v>825</v>
      </c>
      <c r="E746" t="s">
        <v>44</v>
      </c>
      <c r="F746" t="s">
        <v>45</v>
      </c>
      <c r="G746" t="s">
        <v>1033</v>
      </c>
      <c r="H746" t="s">
        <v>30</v>
      </c>
      <c r="I746" s="1">
        <v>1</v>
      </c>
      <c r="J746" s="2">
        <v>81.900000000000006</v>
      </c>
    </row>
    <row r="747" spans="2:10" x14ac:dyDescent="0.2">
      <c r="B747" t="s">
        <v>824</v>
      </c>
      <c r="C747" t="s">
        <v>40</v>
      </c>
      <c r="D747" t="s">
        <v>825</v>
      </c>
      <c r="E747" t="s">
        <v>97</v>
      </c>
      <c r="F747" t="s">
        <v>98</v>
      </c>
      <c r="G747" t="s">
        <v>1033</v>
      </c>
      <c r="H747" t="s">
        <v>30</v>
      </c>
      <c r="I747" s="1">
        <v>1</v>
      </c>
      <c r="J747" s="2">
        <v>2500</v>
      </c>
    </row>
    <row r="748" spans="2:10" x14ac:dyDescent="0.2">
      <c r="B748" t="s">
        <v>824</v>
      </c>
      <c r="C748" t="s">
        <v>40</v>
      </c>
      <c r="D748" t="s">
        <v>825</v>
      </c>
      <c r="E748" t="s">
        <v>381</v>
      </c>
      <c r="F748" t="s">
        <v>382</v>
      </c>
      <c r="G748" t="s">
        <v>43</v>
      </c>
      <c r="H748" t="s">
        <v>383</v>
      </c>
      <c r="I748" s="1">
        <v>1</v>
      </c>
      <c r="J748" s="2">
        <v>301.72000000000003</v>
      </c>
    </row>
    <row r="749" spans="2:10" x14ac:dyDescent="0.2">
      <c r="B749" t="s">
        <v>824</v>
      </c>
      <c r="C749" t="s">
        <v>40</v>
      </c>
      <c r="D749" t="s">
        <v>825</v>
      </c>
      <c r="E749" t="s">
        <v>22</v>
      </c>
      <c r="F749" t="s">
        <v>23</v>
      </c>
      <c r="G749" t="s">
        <v>14</v>
      </c>
      <c r="H749" t="s">
        <v>24</v>
      </c>
      <c r="I749" s="1">
        <v>1</v>
      </c>
      <c r="J749" s="2">
        <v>215.52</v>
      </c>
    </row>
    <row r="750" spans="2:10" x14ac:dyDescent="0.2">
      <c r="B750" t="s">
        <v>824</v>
      </c>
      <c r="C750" t="s">
        <v>51</v>
      </c>
      <c r="D750" t="s">
        <v>825</v>
      </c>
      <c r="E750" t="s">
        <v>318</v>
      </c>
      <c r="F750" t="s">
        <v>319</v>
      </c>
      <c r="G750" t="s">
        <v>1033</v>
      </c>
      <c r="H750" t="s">
        <v>30</v>
      </c>
      <c r="I750" s="1">
        <v>1</v>
      </c>
      <c r="J750" s="2">
        <v>456.9</v>
      </c>
    </row>
    <row r="751" spans="2:10" x14ac:dyDescent="0.2">
      <c r="B751" t="s">
        <v>824</v>
      </c>
      <c r="C751" t="s">
        <v>51</v>
      </c>
      <c r="D751" t="s">
        <v>825</v>
      </c>
      <c r="E751" t="s">
        <v>316</v>
      </c>
      <c r="F751" t="s">
        <v>317</v>
      </c>
      <c r="G751" t="s">
        <v>14</v>
      </c>
      <c r="H751" t="s">
        <v>27</v>
      </c>
      <c r="I751" s="1">
        <v>1</v>
      </c>
      <c r="J751" s="2">
        <v>413.79</v>
      </c>
    </row>
    <row r="752" spans="2:10" x14ac:dyDescent="0.2">
      <c r="B752" t="s">
        <v>824</v>
      </c>
      <c r="C752" t="s">
        <v>51</v>
      </c>
      <c r="D752" t="s">
        <v>825</v>
      </c>
      <c r="E752" t="s">
        <v>836</v>
      </c>
      <c r="F752" t="s">
        <v>837</v>
      </c>
      <c r="G752" t="s">
        <v>14</v>
      </c>
      <c r="H752" t="s">
        <v>87</v>
      </c>
      <c r="I752" s="1">
        <v>1</v>
      </c>
      <c r="J752" s="2">
        <v>301.72000000000003</v>
      </c>
    </row>
    <row r="753" spans="2:10" x14ac:dyDescent="0.2">
      <c r="B753" t="s">
        <v>824</v>
      </c>
      <c r="C753" t="s">
        <v>51</v>
      </c>
      <c r="D753" t="s">
        <v>825</v>
      </c>
      <c r="E753" t="s">
        <v>22</v>
      </c>
      <c r="F753" t="s">
        <v>23</v>
      </c>
      <c r="G753" t="s">
        <v>14</v>
      </c>
      <c r="H753" t="s">
        <v>24</v>
      </c>
      <c r="I753" s="1">
        <v>4</v>
      </c>
      <c r="J753" s="2">
        <v>862.08</v>
      </c>
    </row>
    <row r="754" spans="2:10" x14ac:dyDescent="0.2">
      <c r="B754" t="s">
        <v>824</v>
      </c>
      <c r="C754" t="s">
        <v>65</v>
      </c>
      <c r="D754" t="s">
        <v>825</v>
      </c>
      <c r="E754" t="s">
        <v>838</v>
      </c>
      <c r="F754" t="s">
        <v>839</v>
      </c>
      <c r="G754" t="s">
        <v>14</v>
      </c>
      <c r="H754" t="s">
        <v>87</v>
      </c>
      <c r="I754" s="1">
        <v>1</v>
      </c>
      <c r="J754" s="2">
        <v>120.69</v>
      </c>
    </row>
    <row r="755" spans="2:10" x14ac:dyDescent="0.2">
      <c r="B755" t="s">
        <v>824</v>
      </c>
      <c r="C755" t="s">
        <v>65</v>
      </c>
      <c r="D755" t="s">
        <v>825</v>
      </c>
      <c r="E755" t="s">
        <v>72</v>
      </c>
      <c r="F755" t="s">
        <v>73</v>
      </c>
      <c r="G755" t="s">
        <v>1034</v>
      </c>
      <c r="H755" t="s">
        <v>15</v>
      </c>
      <c r="I755" s="1">
        <v>1</v>
      </c>
      <c r="J755" s="2">
        <v>775.86</v>
      </c>
    </row>
    <row r="756" spans="2:10" x14ac:dyDescent="0.2">
      <c r="B756" t="s">
        <v>824</v>
      </c>
      <c r="C756" t="s">
        <v>65</v>
      </c>
      <c r="D756" t="s">
        <v>825</v>
      </c>
      <c r="E756" t="s">
        <v>507</v>
      </c>
      <c r="F756" t="s">
        <v>508</v>
      </c>
      <c r="G756" t="s">
        <v>14</v>
      </c>
      <c r="H756" t="s">
        <v>509</v>
      </c>
      <c r="I756" s="1">
        <v>1</v>
      </c>
      <c r="J756" s="2">
        <v>775.86</v>
      </c>
    </row>
    <row r="757" spans="2:10" x14ac:dyDescent="0.2">
      <c r="B757" t="s">
        <v>824</v>
      </c>
      <c r="C757" t="s">
        <v>65</v>
      </c>
      <c r="D757" t="s">
        <v>825</v>
      </c>
      <c r="E757" t="s">
        <v>22</v>
      </c>
      <c r="F757" t="s">
        <v>23</v>
      </c>
      <c r="G757" t="s">
        <v>14</v>
      </c>
      <c r="H757" t="s">
        <v>24</v>
      </c>
      <c r="I757" s="1">
        <v>1</v>
      </c>
      <c r="J757" s="2">
        <v>215.52</v>
      </c>
    </row>
    <row r="758" spans="2:10" x14ac:dyDescent="0.2">
      <c r="B758" t="s">
        <v>824</v>
      </c>
      <c r="C758" t="s">
        <v>65</v>
      </c>
      <c r="D758" t="s">
        <v>825</v>
      </c>
      <c r="E758" t="s">
        <v>406</v>
      </c>
      <c r="F758" t="s">
        <v>407</v>
      </c>
      <c r="G758" t="s">
        <v>14</v>
      </c>
      <c r="H758" t="s">
        <v>104</v>
      </c>
      <c r="I758" s="1">
        <v>11</v>
      </c>
      <c r="J758" s="2">
        <v>189.64</v>
      </c>
    </row>
    <row r="759" spans="2:10" x14ac:dyDescent="0.2">
      <c r="B759" t="s">
        <v>824</v>
      </c>
      <c r="C759" t="s">
        <v>65</v>
      </c>
      <c r="D759" t="s">
        <v>825</v>
      </c>
      <c r="E759" t="s">
        <v>61</v>
      </c>
      <c r="F759" t="s">
        <v>62</v>
      </c>
      <c r="G759" t="s">
        <v>1034</v>
      </c>
      <c r="H759" t="s">
        <v>15</v>
      </c>
      <c r="I759" s="1">
        <v>1</v>
      </c>
      <c r="J759" s="2">
        <v>172.41</v>
      </c>
    </row>
    <row r="760" spans="2:10" x14ac:dyDescent="0.2">
      <c r="B760" t="s">
        <v>824</v>
      </c>
      <c r="C760" t="s">
        <v>82</v>
      </c>
      <c r="D760" t="s">
        <v>277</v>
      </c>
      <c r="E760" t="s">
        <v>221</v>
      </c>
      <c r="F760" t="s">
        <v>222</v>
      </c>
      <c r="G760" t="s">
        <v>1034</v>
      </c>
      <c r="H760" t="s">
        <v>15</v>
      </c>
      <c r="I760" s="1">
        <v>1</v>
      </c>
      <c r="J760" s="2">
        <v>431.03</v>
      </c>
    </row>
    <row r="761" spans="2:10" x14ac:dyDescent="0.2">
      <c r="B761" t="s">
        <v>824</v>
      </c>
      <c r="C761" t="s">
        <v>82</v>
      </c>
      <c r="D761" t="s">
        <v>277</v>
      </c>
      <c r="E761" t="s">
        <v>122</v>
      </c>
      <c r="F761" t="s">
        <v>123</v>
      </c>
      <c r="G761" t="s">
        <v>1034</v>
      </c>
      <c r="H761" t="s">
        <v>15</v>
      </c>
      <c r="I761" s="1">
        <v>1</v>
      </c>
      <c r="J761" s="2">
        <v>387.93</v>
      </c>
    </row>
    <row r="762" spans="2:10" x14ac:dyDescent="0.2">
      <c r="B762" t="s">
        <v>824</v>
      </c>
      <c r="C762" t="s">
        <v>82</v>
      </c>
      <c r="D762" t="s">
        <v>277</v>
      </c>
      <c r="E762" t="s">
        <v>38</v>
      </c>
      <c r="F762" t="s">
        <v>39</v>
      </c>
      <c r="G762" t="s">
        <v>1034</v>
      </c>
      <c r="H762" t="s">
        <v>15</v>
      </c>
      <c r="I762" s="1">
        <v>1</v>
      </c>
      <c r="J762" s="2">
        <v>431.03</v>
      </c>
    </row>
    <row r="763" spans="2:10" x14ac:dyDescent="0.2">
      <c r="B763" t="s">
        <v>824</v>
      </c>
      <c r="C763" t="s">
        <v>82</v>
      </c>
      <c r="D763" t="s">
        <v>277</v>
      </c>
      <c r="E763" t="s">
        <v>840</v>
      </c>
      <c r="F763" t="s">
        <v>841</v>
      </c>
      <c r="G763" t="s">
        <v>1033</v>
      </c>
      <c r="H763" t="s">
        <v>30</v>
      </c>
      <c r="I763" s="1">
        <v>1</v>
      </c>
      <c r="J763" s="2">
        <v>2982.76</v>
      </c>
    </row>
    <row r="764" spans="2:10" x14ac:dyDescent="0.2">
      <c r="B764" t="s">
        <v>824</v>
      </c>
      <c r="C764" t="s">
        <v>88</v>
      </c>
      <c r="D764" t="s">
        <v>825</v>
      </c>
      <c r="E764" t="s">
        <v>44</v>
      </c>
      <c r="F764" t="s">
        <v>45</v>
      </c>
      <c r="G764" t="s">
        <v>1033</v>
      </c>
      <c r="H764" t="s">
        <v>30</v>
      </c>
      <c r="I764" s="1">
        <v>1</v>
      </c>
      <c r="J764" s="2">
        <v>81.900000000000006</v>
      </c>
    </row>
    <row r="765" spans="2:10" x14ac:dyDescent="0.2">
      <c r="B765" t="s">
        <v>824</v>
      </c>
      <c r="C765" t="s">
        <v>88</v>
      </c>
      <c r="D765" t="s">
        <v>825</v>
      </c>
      <c r="E765" t="s">
        <v>46</v>
      </c>
      <c r="F765" t="s">
        <v>47</v>
      </c>
      <c r="G765" t="s">
        <v>1034</v>
      </c>
      <c r="H765" t="s">
        <v>15</v>
      </c>
      <c r="I765" s="1">
        <v>1</v>
      </c>
      <c r="J765" s="2">
        <v>301.72000000000003</v>
      </c>
    </row>
    <row r="766" spans="2:10" x14ac:dyDescent="0.2">
      <c r="B766" t="s">
        <v>824</v>
      </c>
      <c r="C766" t="s">
        <v>88</v>
      </c>
      <c r="D766" t="s">
        <v>825</v>
      </c>
      <c r="E766" t="s">
        <v>726</v>
      </c>
      <c r="F766" t="s">
        <v>727</v>
      </c>
      <c r="G766" t="s">
        <v>14</v>
      </c>
      <c r="H766" t="s">
        <v>35</v>
      </c>
      <c r="I766" s="1">
        <v>1</v>
      </c>
      <c r="J766" s="2">
        <v>77.59</v>
      </c>
    </row>
    <row r="767" spans="2:10" x14ac:dyDescent="0.2">
      <c r="B767" t="s">
        <v>824</v>
      </c>
      <c r="C767" t="s">
        <v>88</v>
      </c>
      <c r="D767" t="s">
        <v>825</v>
      </c>
      <c r="E767" t="s">
        <v>463</v>
      </c>
      <c r="F767" t="s">
        <v>464</v>
      </c>
      <c r="G767" t="s">
        <v>14</v>
      </c>
      <c r="H767" t="s">
        <v>35</v>
      </c>
      <c r="I767" s="1">
        <v>1</v>
      </c>
      <c r="J767" s="2">
        <v>77.59</v>
      </c>
    </row>
    <row r="768" spans="2:10" x14ac:dyDescent="0.2">
      <c r="B768" t="s">
        <v>824</v>
      </c>
      <c r="C768" t="s">
        <v>88</v>
      </c>
      <c r="D768" t="s">
        <v>825</v>
      </c>
      <c r="E768" t="s">
        <v>838</v>
      </c>
      <c r="F768" t="s">
        <v>839</v>
      </c>
      <c r="G768" t="s">
        <v>14</v>
      </c>
      <c r="H768" t="s">
        <v>87</v>
      </c>
      <c r="I768" s="1">
        <v>1</v>
      </c>
      <c r="J768" s="2">
        <v>120.69</v>
      </c>
    </row>
    <row r="769" spans="2:10" x14ac:dyDescent="0.2">
      <c r="B769" t="s">
        <v>824</v>
      </c>
      <c r="C769" t="s">
        <v>88</v>
      </c>
      <c r="D769" t="s">
        <v>825</v>
      </c>
      <c r="E769" t="s">
        <v>83</v>
      </c>
      <c r="F769" t="s">
        <v>84</v>
      </c>
      <c r="G769" t="s">
        <v>1034</v>
      </c>
      <c r="H769" t="s">
        <v>15</v>
      </c>
      <c r="I769" s="1">
        <v>1</v>
      </c>
      <c r="J769" s="2">
        <v>387.93</v>
      </c>
    </row>
    <row r="770" spans="2:10" x14ac:dyDescent="0.2">
      <c r="B770" t="s">
        <v>824</v>
      </c>
      <c r="C770" t="s">
        <v>88</v>
      </c>
      <c r="D770" t="s">
        <v>825</v>
      </c>
      <c r="E770" t="s">
        <v>836</v>
      </c>
      <c r="F770" t="s">
        <v>837</v>
      </c>
      <c r="G770" t="s">
        <v>14</v>
      </c>
      <c r="H770" t="s">
        <v>87</v>
      </c>
      <c r="I770" s="1">
        <v>1</v>
      </c>
      <c r="J770" s="2">
        <v>301.72000000000003</v>
      </c>
    </row>
    <row r="771" spans="2:10" x14ac:dyDescent="0.2">
      <c r="B771" t="s">
        <v>824</v>
      </c>
      <c r="C771" t="s">
        <v>88</v>
      </c>
      <c r="D771" t="s">
        <v>825</v>
      </c>
      <c r="E771" t="s">
        <v>157</v>
      </c>
      <c r="F771" t="s">
        <v>158</v>
      </c>
      <c r="G771" t="s">
        <v>14</v>
      </c>
      <c r="H771" t="s">
        <v>87</v>
      </c>
      <c r="I771" s="1">
        <v>1</v>
      </c>
      <c r="J771" s="2">
        <v>284.48</v>
      </c>
    </row>
    <row r="772" spans="2:10" x14ac:dyDescent="0.2">
      <c r="B772" t="s">
        <v>824</v>
      </c>
      <c r="C772" t="s">
        <v>88</v>
      </c>
      <c r="D772" t="s">
        <v>825</v>
      </c>
      <c r="E772" t="s">
        <v>56</v>
      </c>
      <c r="F772" t="s">
        <v>57</v>
      </c>
      <c r="G772" t="s">
        <v>1034</v>
      </c>
      <c r="H772" t="s">
        <v>15</v>
      </c>
      <c r="I772" s="1">
        <v>2</v>
      </c>
      <c r="J772" s="2">
        <v>862.06</v>
      </c>
    </row>
    <row r="773" spans="2:10" x14ac:dyDescent="0.2">
      <c r="B773" t="s">
        <v>824</v>
      </c>
      <c r="C773" t="s">
        <v>88</v>
      </c>
      <c r="D773" t="s">
        <v>825</v>
      </c>
      <c r="E773" t="s">
        <v>521</v>
      </c>
      <c r="F773" t="s">
        <v>522</v>
      </c>
      <c r="G773" t="s">
        <v>14</v>
      </c>
      <c r="H773" t="s">
        <v>104</v>
      </c>
      <c r="I773" s="1">
        <v>10</v>
      </c>
      <c r="J773" s="2">
        <v>215.5</v>
      </c>
    </row>
    <row r="774" spans="2:10" x14ac:dyDescent="0.2">
      <c r="B774" t="s">
        <v>824</v>
      </c>
      <c r="C774" t="s">
        <v>88</v>
      </c>
      <c r="D774" t="s">
        <v>825</v>
      </c>
      <c r="E774" t="s">
        <v>406</v>
      </c>
      <c r="F774" t="s">
        <v>407</v>
      </c>
      <c r="G774" t="s">
        <v>14</v>
      </c>
      <c r="H774" t="s">
        <v>104</v>
      </c>
      <c r="I774" s="1">
        <v>2</v>
      </c>
      <c r="J774" s="2">
        <v>34.479999999999997</v>
      </c>
    </row>
    <row r="775" spans="2:10" x14ac:dyDescent="0.2">
      <c r="B775" t="s">
        <v>824</v>
      </c>
      <c r="C775" t="s">
        <v>88</v>
      </c>
      <c r="D775" t="s">
        <v>825</v>
      </c>
      <c r="E775" t="s">
        <v>61</v>
      </c>
      <c r="F775" t="s">
        <v>62</v>
      </c>
      <c r="G775" t="s">
        <v>1034</v>
      </c>
      <c r="H775" t="s">
        <v>15</v>
      </c>
      <c r="I775" s="1">
        <v>1</v>
      </c>
      <c r="J775" s="2">
        <v>172.41</v>
      </c>
    </row>
    <row r="776" spans="2:10" x14ac:dyDescent="0.2">
      <c r="B776" t="s">
        <v>824</v>
      </c>
      <c r="C776" t="s">
        <v>88</v>
      </c>
      <c r="D776" t="s">
        <v>825</v>
      </c>
      <c r="E776" t="s">
        <v>28</v>
      </c>
      <c r="F776" t="s">
        <v>29</v>
      </c>
      <c r="G776" t="s">
        <v>1033</v>
      </c>
      <c r="H776" t="s">
        <v>30</v>
      </c>
      <c r="I776" s="1">
        <v>2</v>
      </c>
      <c r="J776" s="2">
        <v>310.33999999999997</v>
      </c>
    </row>
    <row r="777" spans="2:10" x14ac:dyDescent="0.2">
      <c r="B777" t="s">
        <v>824</v>
      </c>
      <c r="C777" t="s">
        <v>117</v>
      </c>
      <c r="D777" t="s">
        <v>825</v>
      </c>
      <c r="E777" t="s">
        <v>832</v>
      </c>
      <c r="F777" t="s">
        <v>833</v>
      </c>
      <c r="G777" t="s">
        <v>14</v>
      </c>
      <c r="H777" t="s">
        <v>87</v>
      </c>
      <c r="I777" s="1">
        <v>1</v>
      </c>
      <c r="J777" s="2">
        <v>120.69</v>
      </c>
    </row>
    <row r="778" spans="2:10" x14ac:dyDescent="0.2">
      <c r="B778" t="s">
        <v>824</v>
      </c>
      <c r="C778" t="s">
        <v>117</v>
      </c>
      <c r="D778" t="s">
        <v>825</v>
      </c>
      <c r="E778" t="s">
        <v>36</v>
      </c>
      <c r="F778" t="s">
        <v>37</v>
      </c>
      <c r="G778" t="s">
        <v>1034</v>
      </c>
      <c r="H778" t="s">
        <v>15</v>
      </c>
      <c r="I778" s="1">
        <v>1</v>
      </c>
      <c r="J778" s="2">
        <v>301.72000000000003</v>
      </c>
    </row>
    <row r="779" spans="2:10" x14ac:dyDescent="0.2">
      <c r="B779" t="s">
        <v>824</v>
      </c>
      <c r="C779" t="s">
        <v>117</v>
      </c>
      <c r="D779" t="s">
        <v>825</v>
      </c>
      <c r="E779" t="s">
        <v>56</v>
      </c>
      <c r="F779" t="s">
        <v>57</v>
      </c>
      <c r="G779" t="s">
        <v>1034</v>
      </c>
      <c r="H779" t="s">
        <v>15</v>
      </c>
      <c r="I779" s="1">
        <v>2</v>
      </c>
      <c r="J779" s="2">
        <v>862.06</v>
      </c>
    </row>
    <row r="780" spans="2:10" x14ac:dyDescent="0.2">
      <c r="B780" t="s">
        <v>824</v>
      </c>
      <c r="C780" t="s">
        <v>129</v>
      </c>
      <c r="D780" t="s">
        <v>825</v>
      </c>
      <c r="E780" t="s">
        <v>187</v>
      </c>
      <c r="F780" t="s">
        <v>188</v>
      </c>
      <c r="G780" t="s">
        <v>1033</v>
      </c>
      <c r="H780" t="s">
        <v>30</v>
      </c>
      <c r="I780" s="1">
        <v>1</v>
      </c>
      <c r="J780" s="2">
        <v>258.62</v>
      </c>
    </row>
    <row r="781" spans="2:10" x14ac:dyDescent="0.2">
      <c r="B781" t="s">
        <v>824</v>
      </c>
      <c r="C781" t="s">
        <v>129</v>
      </c>
      <c r="D781" t="s">
        <v>825</v>
      </c>
      <c r="E781" t="s">
        <v>842</v>
      </c>
      <c r="F781" t="s">
        <v>843</v>
      </c>
      <c r="G781" t="s">
        <v>54</v>
      </c>
      <c r="H781" t="s">
        <v>138</v>
      </c>
      <c r="I781" s="1">
        <v>1</v>
      </c>
      <c r="J781" s="2">
        <v>431.03</v>
      </c>
    </row>
    <row r="782" spans="2:10" x14ac:dyDescent="0.2">
      <c r="B782" t="s">
        <v>824</v>
      </c>
      <c r="C782" t="s">
        <v>129</v>
      </c>
      <c r="D782" t="s">
        <v>825</v>
      </c>
      <c r="E782" t="s">
        <v>122</v>
      </c>
      <c r="F782" t="s">
        <v>123</v>
      </c>
      <c r="G782" t="s">
        <v>1034</v>
      </c>
      <c r="H782" t="s">
        <v>15</v>
      </c>
      <c r="I782" s="1">
        <v>1</v>
      </c>
      <c r="J782" s="2">
        <v>387.93</v>
      </c>
    </row>
    <row r="783" spans="2:10" x14ac:dyDescent="0.2">
      <c r="B783" t="s">
        <v>866</v>
      </c>
      <c r="C783" t="s">
        <v>10</v>
      </c>
      <c r="D783" t="s">
        <v>226</v>
      </c>
      <c r="E783" t="s">
        <v>151</v>
      </c>
      <c r="F783" t="s">
        <v>152</v>
      </c>
      <c r="G783" t="s">
        <v>14</v>
      </c>
      <c r="H783" t="s">
        <v>27</v>
      </c>
      <c r="I783" s="1">
        <v>1</v>
      </c>
      <c r="J783" s="2">
        <v>379.31</v>
      </c>
    </row>
    <row r="784" spans="2:10" x14ac:dyDescent="0.2">
      <c r="B784" t="s">
        <v>866</v>
      </c>
      <c r="C784" t="s">
        <v>10</v>
      </c>
      <c r="D784" t="s">
        <v>226</v>
      </c>
      <c r="E784" t="s">
        <v>559</v>
      </c>
      <c r="F784" t="s">
        <v>560</v>
      </c>
      <c r="G784" t="s">
        <v>1033</v>
      </c>
      <c r="H784" t="s">
        <v>30</v>
      </c>
      <c r="I784" s="1">
        <v>1</v>
      </c>
      <c r="J784" s="2">
        <v>1706.9</v>
      </c>
    </row>
    <row r="785" spans="2:10" x14ac:dyDescent="0.2">
      <c r="B785" t="s">
        <v>866</v>
      </c>
      <c r="C785" t="s">
        <v>10</v>
      </c>
      <c r="D785" t="s">
        <v>226</v>
      </c>
      <c r="E785" t="s">
        <v>72</v>
      </c>
      <c r="F785" t="s">
        <v>73</v>
      </c>
      <c r="G785" t="s">
        <v>1034</v>
      </c>
      <c r="H785" t="s">
        <v>15</v>
      </c>
      <c r="I785" s="1">
        <v>2</v>
      </c>
      <c r="J785" s="2">
        <v>1551.72</v>
      </c>
    </row>
    <row r="786" spans="2:10" x14ac:dyDescent="0.2">
      <c r="B786" t="s">
        <v>866</v>
      </c>
      <c r="C786" t="s">
        <v>10</v>
      </c>
      <c r="D786" t="s">
        <v>226</v>
      </c>
      <c r="E786" t="s">
        <v>867</v>
      </c>
      <c r="F786" t="s">
        <v>868</v>
      </c>
      <c r="G786" t="s">
        <v>43</v>
      </c>
      <c r="H786" t="s">
        <v>50</v>
      </c>
      <c r="I786" s="1">
        <v>1</v>
      </c>
      <c r="J786" s="2">
        <v>1810.34</v>
      </c>
    </row>
    <row r="787" spans="2:10" x14ac:dyDescent="0.2">
      <c r="B787" t="s">
        <v>866</v>
      </c>
      <c r="C787" t="s">
        <v>10</v>
      </c>
      <c r="D787" t="s">
        <v>226</v>
      </c>
      <c r="E787" t="s">
        <v>56</v>
      </c>
      <c r="F787" t="s">
        <v>57</v>
      </c>
      <c r="G787" t="s">
        <v>1034</v>
      </c>
      <c r="H787" t="s">
        <v>15</v>
      </c>
      <c r="I787" s="1">
        <v>1</v>
      </c>
      <c r="J787" s="2">
        <v>431.03</v>
      </c>
    </row>
    <row r="788" spans="2:10" x14ac:dyDescent="0.2">
      <c r="B788" t="s">
        <v>866</v>
      </c>
      <c r="C788" t="s">
        <v>10</v>
      </c>
      <c r="D788" t="s">
        <v>226</v>
      </c>
      <c r="E788" t="s">
        <v>61</v>
      </c>
      <c r="F788" t="s">
        <v>62</v>
      </c>
      <c r="G788" t="s">
        <v>1034</v>
      </c>
      <c r="H788" t="s">
        <v>15</v>
      </c>
      <c r="I788" s="1">
        <v>3</v>
      </c>
      <c r="J788" s="2">
        <v>517.23</v>
      </c>
    </row>
    <row r="789" spans="2:10" x14ac:dyDescent="0.2">
      <c r="B789" t="s">
        <v>866</v>
      </c>
      <c r="C789" t="s">
        <v>18</v>
      </c>
      <c r="D789" t="s">
        <v>226</v>
      </c>
      <c r="E789" t="s">
        <v>72</v>
      </c>
      <c r="F789" t="s">
        <v>73</v>
      </c>
      <c r="G789" t="s">
        <v>1034</v>
      </c>
      <c r="H789" t="s">
        <v>15</v>
      </c>
      <c r="I789" s="1">
        <v>1</v>
      </c>
      <c r="J789" s="2">
        <v>775.86</v>
      </c>
    </row>
    <row r="790" spans="2:10" x14ac:dyDescent="0.2">
      <c r="B790" t="s">
        <v>866</v>
      </c>
      <c r="C790" t="s">
        <v>18</v>
      </c>
      <c r="D790" t="s">
        <v>226</v>
      </c>
      <c r="E790" t="s">
        <v>312</v>
      </c>
      <c r="F790" t="s">
        <v>313</v>
      </c>
      <c r="G790" t="s">
        <v>1033</v>
      </c>
      <c r="H790" t="s">
        <v>30</v>
      </c>
      <c r="I790" s="1">
        <v>1</v>
      </c>
      <c r="J790" s="2">
        <v>603.45000000000005</v>
      </c>
    </row>
    <row r="791" spans="2:10" x14ac:dyDescent="0.2">
      <c r="B791" t="s">
        <v>866</v>
      </c>
      <c r="C791" t="s">
        <v>18</v>
      </c>
      <c r="D791" t="s">
        <v>226</v>
      </c>
      <c r="E791" t="s">
        <v>61</v>
      </c>
      <c r="F791" t="s">
        <v>62</v>
      </c>
      <c r="G791" t="s">
        <v>1034</v>
      </c>
      <c r="H791" t="s">
        <v>15</v>
      </c>
      <c r="I791" s="1">
        <v>1</v>
      </c>
      <c r="J791" s="2">
        <v>172.41</v>
      </c>
    </row>
    <row r="792" spans="2:10" x14ac:dyDescent="0.2">
      <c r="B792" t="s">
        <v>866</v>
      </c>
      <c r="C792" t="s">
        <v>18</v>
      </c>
      <c r="D792" t="s">
        <v>226</v>
      </c>
      <c r="E792" t="s">
        <v>63</v>
      </c>
      <c r="F792" t="s">
        <v>64</v>
      </c>
      <c r="G792" t="s">
        <v>1034</v>
      </c>
      <c r="H792" t="s">
        <v>15</v>
      </c>
      <c r="I792" s="1">
        <v>1</v>
      </c>
      <c r="J792" s="2">
        <v>172.41</v>
      </c>
    </row>
    <row r="793" spans="2:10" x14ac:dyDescent="0.2">
      <c r="B793" t="s">
        <v>866</v>
      </c>
      <c r="C793" t="s">
        <v>18</v>
      </c>
      <c r="D793" t="s">
        <v>226</v>
      </c>
      <c r="E793" t="s">
        <v>28</v>
      </c>
      <c r="F793" t="s">
        <v>29</v>
      </c>
      <c r="G793" t="s">
        <v>1033</v>
      </c>
      <c r="H793" t="s">
        <v>30</v>
      </c>
      <c r="I793" s="1">
        <v>2</v>
      </c>
      <c r="J793" s="2">
        <v>310.33999999999997</v>
      </c>
    </row>
    <row r="794" spans="2:10" x14ac:dyDescent="0.2">
      <c r="B794" t="s">
        <v>866</v>
      </c>
      <c r="C794" t="s">
        <v>31</v>
      </c>
      <c r="D794" t="s">
        <v>226</v>
      </c>
      <c r="E794" t="s">
        <v>38</v>
      </c>
      <c r="F794" t="s">
        <v>39</v>
      </c>
      <c r="G794" t="s">
        <v>1034</v>
      </c>
      <c r="H794" t="s">
        <v>15</v>
      </c>
      <c r="I794" s="1">
        <v>1</v>
      </c>
      <c r="J794" s="2">
        <v>431.03</v>
      </c>
    </row>
    <row r="795" spans="2:10" x14ac:dyDescent="0.2">
      <c r="B795" t="s">
        <v>866</v>
      </c>
      <c r="C795" t="s">
        <v>31</v>
      </c>
      <c r="D795" t="s">
        <v>226</v>
      </c>
      <c r="E795" t="s">
        <v>28</v>
      </c>
      <c r="F795" t="s">
        <v>29</v>
      </c>
      <c r="G795" t="s">
        <v>1033</v>
      </c>
      <c r="H795" t="s">
        <v>30</v>
      </c>
      <c r="I795" s="1">
        <v>1</v>
      </c>
      <c r="J795" s="2">
        <v>155.16999999999999</v>
      </c>
    </row>
    <row r="796" spans="2:10" x14ac:dyDescent="0.2">
      <c r="B796" t="s">
        <v>866</v>
      </c>
      <c r="C796" t="s">
        <v>40</v>
      </c>
      <c r="D796" t="s">
        <v>226</v>
      </c>
      <c r="E796" t="s">
        <v>869</v>
      </c>
      <c r="F796" t="s">
        <v>870</v>
      </c>
      <c r="G796" t="s">
        <v>54</v>
      </c>
      <c r="H796" t="s">
        <v>138</v>
      </c>
      <c r="I796" s="1">
        <v>1</v>
      </c>
      <c r="J796" s="2">
        <v>431.03</v>
      </c>
    </row>
    <row r="797" spans="2:10" x14ac:dyDescent="0.2">
      <c r="B797" t="s">
        <v>866</v>
      </c>
      <c r="C797" t="s">
        <v>40</v>
      </c>
      <c r="D797" t="s">
        <v>226</v>
      </c>
      <c r="E797" t="s">
        <v>242</v>
      </c>
      <c r="F797" t="s">
        <v>243</v>
      </c>
      <c r="G797" t="s">
        <v>14</v>
      </c>
      <c r="H797" t="s">
        <v>87</v>
      </c>
      <c r="I797" s="1">
        <v>1</v>
      </c>
      <c r="J797" s="2">
        <v>120.69</v>
      </c>
    </row>
    <row r="798" spans="2:10" x14ac:dyDescent="0.2">
      <c r="B798" t="s">
        <v>866</v>
      </c>
      <c r="C798" t="s">
        <v>40</v>
      </c>
      <c r="D798" t="s">
        <v>226</v>
      </c>
      <c r="E798" t="s">
        <v>214</v>
      </c>
      <c r="F798" t="s">
        <v>215</v>
      </c>
      <c r="G798" t="s">
        <v>1034</v>
      </c>
      <c r="H798" t="s">
        <v>15</v>
      </c>
      <c r="I798" s="1">
        <v>1</v>
      </c>
      <c r="J798" s="2">
        <v>301.72000000000003</v>
      </c>
    </row>
    <row r="799" spans="2:10" x14ac:dyDescent="0.2">
      <c r="B799" t="s">
        <v>866</v>
      </c>
      <c r="C799" t="s">
        <v>40</v>
      </c>
      <c r="D799" t="s">
        <v>226</v>
      </c>
      <c r="E799" t="s">
        <v>336</v>
      </c>
      <c r="F799" t="s">
        <v>337</v>
      </c>
      <c r="G799" t="s">
        <v>1034</v>
      </c>
      <c r="H799" t="s">
        <v>15</v>
      </c>
      <c r="I799" s="1">
        <v>1</v>
      </c>
      <c r="J799" s="2">
        <v>387.93</v>
      </c>
    </row>
    <row r="800" spans="2:10" x14ac:dyDescent="0.2">
      <c r="B800" t="s">
        <v>866</v>
      </c>
      <c r="C800" t="s">
        <v>40</v>
      </c>
      <c r="D800" t="s">
        <v>226</v>
      </c>
      <c r="E800" t="s">
        <v>216</v>
      </c>
      <c r="F800" t="s">
        <v>217</v>
      </c>
      <c r="G800" t="s">
        <v>14</v>
      </c>
      <c r="H800" t="s">
        <v>104</v>
      </c>
      <c r="I800" s="1">
        <v>5</v>
      </c>
      <c r="J800" s="2">
        <v>86.2</v>
      </c>
    </row>
    <row r="801" spans="2:10" x14ac:dyDescent="0.2">
      <c r="B801" t="s">
        <v>866</v>
      </c>
      <c r="C801" t="s">
        <v>40</v>
      </c>
      <c r="D801" t="s">
        <v>226</v>
      </c>
      <c r="E801" t="s">
        <v>56</v>
      </c>
      <c r="F801" t="s">
        <v>57</v>
      </c>
      <c r="G801" t="s">
        <v>1034</v>
      </c>
      <c r="H801" t="s">
        <v>15</v>
      </c>
      <c r="I801" s="1">
        <v>2</v>
      </c>
      <c r="J801" s="2">
        <v>862.06</v>
      </c>
    </row>
    <row r="802" spans="2:10" x14ac:dyDescent="0.2">
      <c r="B802" t="s">
        <v>866</v>
      </c>
      <c r="C802" t="s">
        <v>40</v>
      </c>
      <c r="D802" t="s">
        <v>226</v>
      </c>
      <c r="E802" t="s">
        <v>521</v>
      </c>
      <c r="F802" t="s">
        <v>522</v>
      </c>
      <c r="G802" t="s">
        <v>14</v>
      </c>
      <c r="H802" t="s">
        <v>104</v>
      </c>
      <c r="I802" s="1">
        <v>2</v>
      </c>
      <c r="J802" s="2">
        <v>43.1</v>
      </c>
    </row>
    <row r="803" spans="2:10" x14ac:dyDescent="0.2">
      <c r="B803" t="s">
        <v>866</v>
      </c>
      <c r="C803" t="s">
        <v>40</v>
      </c>
      <c r="D803" t="s">
        <v>226</v>
      </c>
      <c r="E803" t="s">
        <v>61</v>
      </c>
      <c r="F803" t="s">
        <v>62</v>
      </c>
      <c r="G803" t="s">
        <v>1034</v>
      </c>
      <c r="H803" t="s">
        <v>15</v>
      </c>
      <c r="I803" s="1">
        <v>2</v>
      </c>
      <c r="J803" s="2">
        <v>344.82</v>
      </c>
    </row>
    <row r="804" spans="2:10" x14ac:dyDescent="0.2">
      <c r="B804" t="s">
        <v>866</v>
      </c>
      <c r="C804" t="s">
        <v>40</v>
      </c>
      <c r="D804" t="s">
        <v>226</v>
      </c>
      <c r="E804" t="s">
        <v>372</v>
      </c>
      <c r="F804" t="s">
        <v>373</v>
      </c>
      <c r="G804" t="s">
        <v>1033</v>
      </c>
      <c r="H804" t="s">
        <v>30</v>
      </c>
      <c r="I804" s="1">
        <v>1</v>
      </c>
      <c r="J804" s="2">
        <v>2465.52</v>
      </c>
    </row>
    <row r="805" spans="2:10" x14ac:dyDescent="0.2">
      <c r="B805" t="s">
        <v>866</v>
      </c>
      <c r="C805" t="s">
        <v>40</v>
      </c>
      <c r="D805" t="s">
        <v>226</v>
      </c>
      <c r="E805" t="s">
        <v>28</v>
      </c>
      <c r="F805" t="s">
        <v>29</v>
      </c>
      <c r="G805" t="s">
        <v>1033</v>
      </c>
      <c r="H805" t="s">
        <v>30</v>
      </c>
      <c r="I805" s="1">
        <v>2</v>
      </c>
      <c r="J805" s="2">
        <v>310.33999999999997</v>
      </c>
    </row>
    <row r="806" spans="2:10" x14ac:dyDescent="0.2">
      <c r="B806" t="s">
        <v>866</v>
      </c>
      <c r="C806" t="s">
        <v>51</v>
      </c>
      <c r="D806" t="s">
        <v>226</v>
      </c>
      <c r="E806" t="s">
        <v>391</v>
      </c>
      <c r="F806" t="s">
        <v>392</v>
      </c>
      <c r="G806" t="s">
        <v>14</v>
      </c>
      <c r="H806" t="s">
        <v>87</v>
      </c>
      <c r="I806" s="1">
        <v>1</v>
      </c>
      <c r="J806" s="2">
        <v>482.76</v>
      </c>
    </row>
    <row r="807" spans="2:10" x14ac:dyDescent="0.2">
      <c r="B807" t="s">
        <v>866</v>
      </c>
      <c r="C807" t="s">
        <v>51</v>
      </c>
      <c r="D807" t="s">
        <v>226</v>
      </c>
      <c r="E807" t="s">
        <v>44</v>
      </c>
      <c r="F807" t="s">
        <v>45</v>
      </c>
      <c r="G807" t="s">
        <v>1033</v>
      </c>
      <c r="H807" t="s">
        <v>30</v>
      </c>
      <c r="I807" s="1">
        <v>3</v>
      </c>
      <c r="J807" s="2">
        <v>245.70000000000002</v>
      </c>
    </row>
    <row r="808" spans="2:10" x14ac:dyDescent="0.2">
      <c r="B808" t="s">
        <v>866</v>
      </c>
      <c r="C808" t="s">
        <v>51</v>
      </c>
      <c r="D808" t="s">
        <v>226</v>
      </c>
      <c r="E808" t="s">
        <v>120</v>
      </c>
      <c r="F808" t="s">
        <v>121</v>
      </c>
      <c r="G808" t="s">
        <v>1034</v>
      </c>
      <c r="H808" t="s">
        <v>15</v>
      </c>
      <c r="I808" s="1">
        <v>1</v>
      </c>
      <c r="J808" s="2">
        <v>301.72000000000003</v>
      </c>
    </row>
    <row r="809" spans="2:10" x14ac:dyDescent="0.2">
      <c r="B809" t="s">
        <v>866</v>
      </c>
      <c r="C809" t="s">
        <v>51</v>
      </c>
      <c r="D809" t="s">
        <v>226</v>
      </c>
      <c r="E809" t="s">
        <v>253</v>
      </c>
      <c r="F809" t="s">
        <v>254</v>
      </c>
      <c r="G809" t="s">
        <v>1034</v>
      </c>
      <c r="H809" t="s">
        <v>15</v>
      </c>
      <c r="I809" s="1">
        <v>1</v>
      </c>
      <c r="J809" s="2">
        <v>775.86</v>
      </c>
    </row>
    <row r="810" spans="2:10" x14ac:dyDescent="0.2">
      <c r="B810" t="s">
        <v>866</v>
      </c>
      <c r="C810" t="s">
        <v>51</v>
      </c>
      <c r="D810" t="s">
        <v>226</v>
      </c>
      <c r="E810" t="s">
        <v>36</v>
      </c>
      <c r="F810" t="s">
        <v>37</v>
      </c>
      <c r="G810" t="s">
        <v>1034</v>
      </c>
      <c r="H810" t="s">
        <v>15</v>
      </c>
      <c r="I810" s="1">
        <v>1</v>
      </c>
      <c r="J810" s="2">
        <v>301.72000000000003</v>
      </c>
    </row>
    <row r="811" spans="2:10" x14ac:dyDescent="0.2">
      <c r="B811" t="s">
        <v>866</v>
      </c>
      <c r="C811" t="s">
        <v>51</v>
      </c>
      <c r="D811" t="s">
        <v>226</v>
      </c>
      <c r="E811" t="s">
        <v>72</v>
      </c>
      <c r="F811" t="s">
        <v>73</v>
      </c>
      <c r="G811" t="s">
        <v>1034</v>
      </c>
      <c r="H811" t="s">
        <v>15</v>
      </c>
      <c r="I811" s="1">
        <v>1</v>
      </c>
      <c r="J811" s="2">
        <v>775.86</v>
      </c>
    </row>
    <row r="812" spans="2:10" x14ac:dyDescent="0.2">
      <c r="B812" t="s">
        <v>866</v>
      </c>
      <c r="C812" t="s">
        <v>51</v>
      </c>
      <c r="D812" t="s">
        <v>226</v>
      </c>
      <c r="E812" t="s">
        <v>871</v>
      </c>
      <c r="F812" t="s">
        <v>872</v>
      </c>
      <c r="G812" t="s">
        <v>1033</v>
      </c>
      <c r="H812" t="s">
        <v>30</v>
      </c>
      <c r="I812" s="1">
        <v>1</v>
      </c>
      <c r="J812" s="2">
        <v>2327.59</v>
      </c>
    </row>
    <row r="813" spans="2:10" x14ac:dyDescent="0.2">
      <c r="B813" t="s">
        <v>866</v>
      </c>
      <c r="C813" t="s">
        <v>51</v>
      </c>
      <c r="D813" t="s">
        <v>226</v>
      </c>
      <c r="E813" t="s">
        <v>38</v>
      </c>
      <c r="F813" t="s">
        <v>39</v>
      </c>
      <c r="G813" t="s">
        <v>1034</v>
      </c>
      <c r="H813" t="s">
        <v>15</v>
      </c>
      <c r="I813" s="1">
        <v>1</v>
      </c>
      <c r="J813" s="2">
        <v>431.03</v>
      </c>
    </row>
    <row r="814" spans="2:10" x14ac:dyDescent="0.2">
      <c r="B814" t="s">
        <v>866</v>
      </c>
      <c r="C814" t="s">
        <v>51</v>
      </c>
      <c r="D814" t="s">
        <v>226</v>
      </c>
      <c r="E814" t="s">
        <v>873</v>
      </c>
      <c r="F814" t="s">
        <v>874</v>
      </c>
      <c r="G814" t="s">
        <v>43</v>
      </c>
      <c r="H814" t="s">
        <v>755</v>
      </c>
      <c r="I814" s="1">
        <v>1</v>
      </c>
      <c r="J814" s="2">
        <v>3448.28</v>
      </c>
    </row>
    <row r="815" spans="2:10" x14ac:dyDescent="0.2">
      <c r="B815" t="s">
        <v>866</v>
      </c>
      <c r="C815" t="s">
        <v>51</v>
      </c>
      <c r="D815" t="s">
        <v>226</v>
      </c>
      <c r="E815" t="s">
        <v>61</v>
      </c>
      <c r="F815" t="s">
        <v>62</v>
      </c>
      <c r="G815" t="s">
        <v>1034</v>
      </c>
      <c r="H815" t="s">
        <v>15</v>
      </c>
      <c r="I815" s="1">
        <v>1</v>
      </c>
      <c r="J815" s="2">
        <v>172.41</v>
      </c>
    </row>
    <row r="816" spans="2:10" x14ac:dyDescent="0.2">
      <c r="B816" t="s">
        <v>866</v>
      </c>
      <c r="C816" t="s">
        <v>51</v>
      </c>
      <c r="D816" t="s">
        <v>226</v>
      </c>
      <c r="E816" t="s">
        <v>16</v>
      </c>
      <c r="F816" t="s">
        <v>17</v>
      </c>
      <c r="G816" t="s">
        <v>1034</v>
      </c>
      <c r="H816" t="s">
        <v>15</v>
      </c>
      <c r="I816" s="1">
        <v>1</v>
      </c>
      <c r="J816" s="2">
        <v>577.59</v>
      </c>
    </row>
    <row r="817" spans="2:10" x14ac:dyDescent="0.2">
      <c r="B817" t="s">
        <v>866</v>
      </c>
      <c r="C817" t="s">
        <v>51</v>
      </c>
      <c r="D817" t="s">
        <v>226</v>
      </c>
      <c r="E817" t="s">
        <v>28</v>
      </c>
      <c r="F817" t="s">
        <v>29</v>
      </c>
      <c r="G817" t="s">
        <v>1033</v>
      </c>
      <c r="H817" t="s">
        <v>30</v>
      </c>
      <c r="I817" s="1">
        <v>1</v>
      </c>
      <c r="J817" s="2">
        <v>155.16999999999999</v>
      </c>
    </row>
    <row r="818" spans="2:10" x14ac:dyDescent="0.2">
      <c r="B818" t="s">
        <v>866</v>
      </c>
      <c r="C818" t="s">
        <v>65</v>
      </c>
      <c r="D818" t="s">
        <v>226</v>
      </c>
      <c r="E818" t="s">
        <v>318</v>
      </c>
      <c r="F818" t="s">
        <v>319</v>
      </c>
      <c r="G818" t="s">
        <v>1033</v>
      </c>
      <c r="H818" t="s">
        <v>30</v>
      </c>
      <c r="I818" s="1">
        <v>1</v>
      </c>
      <c r="J818" s="2">
        <v>456.9</v>
      </c>
    </row>
    <row r="819" spans="2:10" x14ac:dyDescent="0.2">
      <c r="B819" t="s">
        <v>866</v>
      </c>
      <c r="C819" t="s">
        <v>65</v>
      </c>
      <c r="D819" t="s">
        <v>226</v>
      </c>
      <c r="E819" t="s">
        <v>399</v>
      </c>
      <c r="F819" t="s">
        <v>400</v>
      </c>
      <c r="G819" t="s">
        <v>1033</v>
      </c>
      <c r="H819" t="s">
        <v>30</v>
      </c>
      <c r="I819" s="1">
        <v>1</v>
      </c>
      <c r="J819" s="2">
        <v>818.97</v>
      </c>
    </row>
    <row r="820" spans="2:10" x14ac:dyDescent="0.2">
      <c r="B820" t="s">
        <v>866</v>
      </c>
      <c r="C820" t="s">
        <v>65</v>
      </c>
      <c r="D820" t="s">
        <v>226</v>
      </c>
      <c r="E820" t="s">
        <v>72</v>
      </c>
      <c r="F820" t="s">
        <v>73</v>
      </c>
      <c r="G820" t="s">
        <v>1034</v>
      </c>
      <c r="H820" t="s">
        <v>15</v>
      </c>
      <c r="I820" s="1">
        <v>1</v>
      </c>
      <c r="J820" s="2">
        <v>775.86</v>
      </c>
    </row>
    <row r="821" spans="2:10" x14ac:dyDescent="0.2">
      <c r="B821" t="s">
        <v>866</v>
      </c>
      <c r="C821" t="s">
        <v>65</v>
      </c>
      <c r="D821" t="s">
        <v>226</v>
      </c>
      <c r="E821" t="s">
        <v>273</v>
      </c>
      <c r="F821" t="s">
        <v>274</v>
      </c>
      <c r="G821" t="s">
        <v>1033</v>
      </c>
      <c r="H821" t="s">
        <v>30</v>
      </c>
      <c r="I821" s="1">
        <v>1</v>
      </c>
      <c r="J821" s="2">
        <v>1293.0999999999999</v>
      </c>
    </row>
    <row r="822" spans="2:10" x14ac:dyDescent="0.2">
      <c r="B822" t="s">
        <v>866</v>
      </c>
      <c r="C822" t="s">
        <v>65</v>
      </c>
      <c r="D822" t="s">
        <v>226</v>
      </c>
      <c r="E822" t="s">
        <v>56</v>
      </c>
      <c r="F822" t="s">
        <v>57</v>
      </c>
      <c r="G822" t="s">
        <v>1034</v>
      </c>
      <c r="H822" t="s">
        <v>15</v>
      </c>
      <c r="I822" s="1">
        <v>2</v>
      </c>
      <c r="J822" s="2">
        <v>862.06</v>
      </c>
    </row>
    <row r="823" spans="2:10" x14ac:dyDescent="0.2">
      <c r="B823" t="s">
        <v>866</v>
      </c>
      <c r="C823" t="s">
        <v>65</v>
      </c>
      <c r="D823" t="s">
        <v>226</v>
      </c>
      <c r="E823" t="s">
        <v>28</v>
      </c>
      <c r="F823" t="s">
        <v>29</v>
      </c>
      <c r="G823" t="s">
        <v>1033</v>
      </c>
      <c r="H823" t="s">
        <v>30</v>
      </c>
      <c r="I823" s="1">
        <v>1</v>
      </c>
      <c r="J823" s="2">
        <v>155.16999999999999</v>
      </c>
    </row>
    <row r="824" spans="2:10" x14ac:dyDescent="0.2">
      <c r="B824" t="s">
        <v>866</v>
      </c>
      <c r="C824" t="s">
        <v>82</v>
      </c>
      <c r="D824" t="s">
        <v>130</v>
      </c>
      <c r="E824" t="s">
        <v>573</v>
      </c>
      <c r="F824" t="s">
        <v>574</v>
      </c>
      <c r="G824" t="s">
        <v>1033</v>
      </c>
      <c r="H824" t="s">
        <v>30</v>
      </c>
      <c r="I824" s="1">
        <v>1</v>
      </c>
      <c r="J824" s="2">
        <v>775.86</v>
      </c>
    </row>
    <row r="825" spans="2:10" x14ac:dyDescent="0.2">
      <c r="B825" t="s">
        <v>866</v>
      </c>
      <c r="C825" t="s">
        <v>82</v>
      </c>
      <c r="D825" t="s">
        <v>130</v>
      </c>
      <c r="E825" t="s">
        <v>214</v>
      </c>
      <c r="F825" t="s">
        <v>215</v>
      </c>
      <c r="G825" t="s">
        <v>1034</v>
      </c>
      <c r="H825" t="s">
        <v>15</v>
      </c>
      <c r="I825" s="1">
        <v>1</v>
      </c>
      <c r="J825" s="2">
        <v>301.72000000000003</v>
      </c>
    </row>
    <row r="826" spans="2:10" x14ac:dyDescent="0.2">
      <c r="B826" t="s">
        <v>866</v>
      </c>
      <c r="C826" t="s">
        <v>82</v>
      </c>
      <c r="D826" t="s">
        <v>130</v>
      </c>
      <c r="E826" t="s">
        <v>157</v>
      </c>
      <c r="F826" t="s">
        <v>158</v>
      </c>
      <c r="G826" t="s">
        <v>14</v>
      </c>
      <c r="H826" t="s">
        <v>87</v>
      </c>
      <c r="I826" s="1">
        <v>1</v>
      </c>
      <c r="J826" s="2">
        <v>284.48</v>
      </c>
    </row>
    <row r="827" spans="2:10" x14ac:dyDescent="0.2">
      <c r="B827" t="s">
        <v>866</v>
      </c>
      <c r="C827" t="s">
        <v>82</v>
      </c>
      <c r="D827" t="s">
        <v>130</v>
      </c>
      <c r="E827" t="s">
        <v>159</v>
      </c>
      <c r="F827" t="s">
        <v>160</v>
      </c>
      <c r="G827" t="s">
        <v>14</v>
      </c>
      <c r="H827" t="s">
        <v>87</v>
      </c>
      <c r="I827" s="1">
        <v>1</v>
      </c>
      <c r="J827" s="2">
        <v>284.48</v>
      </c>
    </row>
    <row r="828" spans="2:10" x14ac:dyDescent="0.2">
      <c r="B828" t="s">
        <v>866</v>
      </c>
      <c r="C828" t="s">
        <v>82</v>
      </c>
      <c r="D828" t="s">
        <v>130</v>
      </c>
      <c r="E828" t="s">
        <v>875</v>
      </c>
      <c r="F828" t="s">
        <v>876</v>
      </c>
      <c r="G828" t="s">
        <v>14</v>
      </c>
      <c r="H828" t="s">
        <v>60</v>
      </c>
      <c r="I828" s="1">
        <v>1</v>
      </c>
      <c r="J828" s="2">
        <v>310.35000000000002</v>
      </c>
    </row>
    <row r="829" spans="2:10" x14ac:dyDescent="0.2">
      <c r="B829" t="s">
        <v>866</v>
      </c>
      <c r="C829" t="s">
        <v>82</v>
      </c>
      <c r="D829" t="s">
        <v>130</v>
      </c>
      <c r="E829" t="s">
        <v>38</v>
      </c>
      <c r="F829" t="s">
        <v>39</v>
      </c>
      <c r="G829" t="s">
        <v>1034</v>
      </c>
      <c r="H829" t="s">
        <v>15</v>
      </c>
      <c r="I829" s="1">
        <v>1</v>
      </c>
      <c r="J829" s="2">
        <v>431.03</v>
      </c>
    </row>
    <row r="830" spans="2:10" x14ac:dyDescent="0.2">
      <c r="B830" t="s">
        <v>866</v>
      </c>
      <c r="C830" t="s">
        <v>82</v>
      </c>
      <c r="D830" t="s">
        <v>130</v>
      </c>
      <c r="E830" t="s">
        <v>56</v>
      </c>
      <c r="F830" t="s">
        <v>57</v>
      </c>
      <c r="G830" t="s">
        <v>1034</v>
      </c>
      <c r="H830" t="s">
        <v>15</v>
      </c>
      <c r="I830" s="1">
        <v>3</v>
      </c>
      <c r="J830" s="2">
        <v>1293.0999999999999</v>
      </c>
    </row>
    <row r="831" spans="2:10" x14ac:dyDescent="0.2">
      <c r="B831" t="s">
        <v>866</v>
      </c>
      <c r="C831" t="s">
        <v>82</v>
      </c>
      <c r="D831" t="s">
        <v>130</v>
      </c>
      <c r="E831" t="s">
        <v>521</v>
      </c>
      <c r="F831" t="s">
        <v>522</v>
      </c>
      <c r="G831" t="s">
        <v>14</v>
      </c>
      <c r="H831" t="s">
        <v>104</v>
      </c>
      <c r="I831" s="1">
        <v>2</v>
      </c>
      <c r="J831" s="2">
        <v>43.1</v>
      </c>
    </row>
    <row r="832" spans="2:10" x14ac:dyDescent="0.2">
      <c r="B832" t="s">
        <v>866</v>
      </c>
      <c r="C832" t="s">
        <v>82</v>
      </c>
      <c r="D832" t="s">
        <v>130</v>
      </c>
      <c r="E832" t="s">
        <v>406</v>
      </c>
      <c r="F832" t="s">
        <v>407</v>
      </c>
      <c r="G832" t="s">
        <v>14</v>
      </c>
      <c r="H832" t="s">
        <v>104</v>
      </c>
      <c r="I832" s="1">
        <v>2</v>
      </c>
      <c r="J832" s="2">
        <v>34.479999999999997</v>
      </c>
    </row>
    <row r="833" spans="2:10" x14ac:dyDescent="0.2">
      <c r="B833" t="s">
        <v>866</v>
      </c>
      <c r="C833" t="s">
        <v>88</v>
      </c>
      <c r="D833" t="s">
        <v>226</v>
      </c>
      <c r="E833" t="s">
        <v>44</v>
      </c>
      <c r="F833" t="s">
        <v>45</v>
      </c>
      <c r="G833" t="s">
        <v>1033</v>
      </c>
      <c r="H833" t="s">
        <v>30</v>
      </c>
      <c r="I833" s="1">
        <v>3</v>
      </c>
      <c r="J833" s="2">
        <v>245.70000000000002</v>
      </c>
    </row>
    <row r="834" spans="2:10" x14ac:dyDescent="0.2">
      <c r="B834" t="s">
        <v>866</v>
      </c>
      <c r="C834" t="s">
        <v>88</v>
      </c>
      <c r="D834" t="s">
        <v>226</v>
      </c>
      <c r="E834" t="s">
        <v>877</v>
      </c>
      <c r="F834" t="s">
        <v>878</v>
      </c>
      <c r="G834" t="s">
        <v>1033</v>
      </c>
      <c r="H834" t="s">
        <v>30</v>
      </c>
      <c r="I834" s="1">
        <v>1</v>
      </c>
      <c r="J834" s="2">
        <v>1551.72</v>
      </c>
    </row>
    <row r="835" spans="2:10" x14ac:dyDescent="0.2">
      <c r="B835" t="s">
        <v>866</v>
      </c>
      <c r="C835" t="s">
        <v>88</v>
      </c>
      <c r="D835" t="s">
        <v>226</v>
      </c>
      <c r="E835" t="s">
        <v>221</v>
      </c>
      <c r="F835" t="s">
        <v>222</v>
      </c>
      <c r="G835" t="s">
        <v>1034</v>
      </c>
      <c r="H835" t="s">
        <v>15</v>
      </c>
      <c r="I835" s="1">
        <v>1</v>
      </c>
      <c r="J835" s="2">
        <v>431.03</v>
      </c>
    </row>
    <row r="836" spans="2:10" x14ac:dyDescent="0.2">
      <c r="B836" t="s">
        <v>866</v>
      </c>
      <c r="C836" t="s">
        <v>88</v>
      </c>
      <c r="D836" t="s">
        <v>226</v>
      </c>
      <c r="E836" t="s">
        <v>120</v>
      </c>
      <c r="F836" t="s">
        <v>121</v>
      </c>
      <c r="G836" t="s">
        <v>1034</v>
      </c>
      <c r="H836" t="s">
        <v>15</v>
      </c>
      <c r="I836" s="1">
        <v>2</v>
      </c>
      <c r="J836" s="2">
        <v>603.44000000000005</v>
      </c>
    </row>
    <row r="837" spans="2:10" x14ac:dyDescent="0.2">
      <c r="B837" t="s">
        <v>866</v>
      </c>
      <c r="C837" t="s">
        <v>88</v>
      </c>
      <c r="D837" t="s">
        <v>226</v>
      </c>
      <c r="E837" t="s">
        <v>72</v>
      </c>
      <c r="F837" t="s">
        <v>73</v>
      </c>
      <c r="G837" t="s">
        <v>1034</v>
      </c>
      <c r="H837" t="s">
        <v>15</v>
      </c>
      <c r="I837" s="1">
        <v>1</v>
      </c>
      <c r="J837" s="2">
        <v>775.86</v>
      </c>
    </row>
    <row r="838" spans="2:10" x14ac:dyDescent="0.2">
      <c r="B838" t="s">
        <v>866</v>
      </c>
      <c r="C838" t="s">
        <v>88</v>
      </c>
      <c r="D838" t="s">
        <v>226</v>
      </c>
      <c r="E838" t="s">
        <v>38</v>
      </c>
      <c r="F838" t="s">
        <v>39</v>
      </c>
      <c r="G838" t="s">
        <v>1034</v>
      </c>
      <c r="H838" t="s">
        <v>15</v>
      </c>
      <c r="I838" s="1">
        <v>3</v>
      </c>
      <c r="J838" s="2">
        <v>1293.0899999999999</v>
      </c>
    </row>
    <row r="839" spans="2:10" x14ac:dyDescent="0.2">
      <c r="B839" t="s">
        <v>866</v>
      </c>
      <c r="C839" t="s">
        <v>88</v>
      </c>
      <c r="D839" t="s">
        <v>226</v>
      </c>
      <c r="E839" t="s">
        <v>56</v>
      </c>
      <c r="F839" t="s">
        <v>57</v>
      </c>
      <c r="G839" t="s">
        <v>1034</v>
      </c>
      <c r="H839" t="s">
        <v>15</v>
      </c>
      <c r="I839" s="1">
        <v>1</v>
      </c>
      <c r="J839" s="2">
        <v>431.03</v>
      </c>
    </row>
    <row r="840" spans="2:10" x14ac:dyDescent="0.2">
      <c r="B840" t="s">
        <v>866</v>
      </c>
      <c r="C840" t="s">
        <v>88</v>
      </c>
      <c r="D840" t="s">
        <v>226</v>
      </c>
      <c r="E840" t="s">
        <v>28</v>
      </c>
      <c r="F840" t="s">
        <v>29</v>
      </c>
      <c r="G840" t="s">
        <v>1033</v>
      </c>
      <c r="H840" t="s">
        <v>30</v>
      </c>
      <c r="I840" s="1">
        <v>1</v>
      </c>
      <c r="J840" s="2">
        <v>155.16999999999999</v>
      </c>
    </row>
    <row r="841" spans="2:10" x14ac:dyDescent="0.2">
      <c r="B841" t="s">
        <v>866</v>
      </c>
      <c r="C841" t="s">
        <v>117</v>
      </c>
      <c r="D841" t="s">
        <v>226</v>
      </c>
      <c r="E841" t="s">
        <v>66</v>
      </c>
      <c r="F841" t="s">
        <v>67</v>
      </c>
      <c r="G841" t="s">
        <v>1033</v>
      </c>
      <c r="H841" t="s">
        <v>30</v>
      </c>
      <c r="I841" s="1">
        <v>1</v>
      </c>
      <c r="J841" s="2">
        <v>1681.03</v>
      </c>
    </row>
    <row r="842" spans="2:10" x14ac:dyDescent="0.2">
      <c r="B842" t="s">
        <v>866</v>
      </c>
      <c r="C842" t="s">
        <v>117</v>
      </c>
      <c r="D842" t="s">
        <v>226</v>
      </c>
      <c r="E842" t="s">
        <v>44</v>
      </c>
      <c r="F842" t="s">
        <v>45</v>
      </c>
      <c r="G842" t="s">
        <v>1033</v>
      </c>
      <c r="H842" t="s">
        <v>30</v>
      </c>
      <c r="I842" s="1">
        <v>1</v>
      </c>
      <c r="J842" s="2">
        <v>81.900000000000006</v>
      </c>
    </row>
    <row r="843" spans="2:10" x14ac:dyDescent="0.2">
      <c r="B843" t="s">
        <v>866</v>
      </c>
      <c r="C843" t="s">
        <v>117</v>
      </c>
      <c r="D843" t="s">
        <v>226</v>
      </c>
      <c r="E843" t="s">
        <v>56</v>
      </c>
      <c r="F843" t="s">
        <v>57</v>
      </c>
      <c r="G843" t="s">
        <v>1034</v>
      </c>
      <c r="H843" t="s">
        <v>15</v>
      </c>
      <c r="I843" s="1">
        <v>2</v>
      </c>
      <c r="J843" s="2">
        <v>862.06</v>
      </c>
    </row>
    <row r="844" spans="2:10" x14ac:dyDescent="0.2">
      <c r="B844" t="s">
        <v>866</v>
      </c>
      <c r="C844" t="s">
        <v>117</v>
      </c>
      <c r="D844" t="s">
        <v>226</v>
      </c>
      <c r="E844" t="s">
        <v>61</v>
      </c>
      <c r="F844" t="s">
        <v>62</v>
      </c>
      <c r="G844" t="s">
        <v>1034</v>
      </c>
      <c r="H844" t="s">
        <v>15</v>
      </c>
      <c r="I844" s="1">
        <v>1</v>
      </c>
      <c r="J844" s="2">
        <v>172.41</v>
      </c>
    </row>
    <row r="845" spans="2:10" x14ac:dyDescent="0.2">
      <c r="B845" t="s">
        <v>866</v>
      </c>
      <c r="C845" t="s">
        <v>117</v>
      </c>
      <c r="D845" t="s">
        <v>226</v>
      </c>
      <c r="E845" t="s">
        <v>63</v>
      </c>
      <c r="F845" t="s">
        <v>64</v>
      </c>
      <c r="G845" t="s">
        <v>1034</v>
      </c>
      <c r="H845" t="s">
        <v>15</v>
      </c>
      <c r="I845" s="1">
        <v>1</v>
      </c>
      <c r="J845" s="2">
        <v>172.41</v>
      </c>
    </row>
    <row r="846" spans="2:10" x14ac:dyDescent="0.2">
      <c r="B846" t="s">
        <v>866</v>
      </c>
      <c r="C846" t="s">
        <v>117</v>
      </c>
      <c r="D846" t="s">
        <v>226</v>
      </c>
      <c r="E846" t="s">
        <v>879</v>
      </c>
      <c r="F846" t="s">
        <v>880</v>
      </c>
      <c r="G846" t="s">
        <v>43</v>
      </c>
      <c r="H846" t="s">
        <v>27</v>
      </c>
      <c r="I846" s="1">
        <v>1</v>
      </c>
      <c r="J846" s="2">
        <v>1120.69</v>
      </c>
    </row>
    <row r="847" spans="2:10" x14ac:dyDescent="0.2">
      <c r="B847" t="s">
        <v>866</v>
      </c>
      <c r="C847" t="s">
        <v>117</v>
      </c>
      <c r="D847" t="s">
        <v>226</v>
      </c>
      <c r="E847" t="s">
        <v>79</v>
      </c>
      <c r="F847" t="s">
        <v>80</v>
      </c>
      <c r="G847" t="s">
        <v>43</v>
      </c>
      <c r="H847" t="s">
        <v>81</v>
      </c>
      <c r="I847" s="1">
        <v>1</v>
      </c>
      <c r="J847" s="2">
        <v>1810.34</v>
      </c>
    </row>
    <row r="848" spans="2:10" x14ac:dyDescent="0.2">
      <c r="B848" t="s">
        <v>866</v>
      </c>
      <c r="C848" t="s">
        <v>117</v>
      </c>
      <c r="D848" t="s">
        <v>226</v>
      </c>
      <c r="E848" t="s">
        <v>881</v>
      </c>
      <c r="F848" t="s">
        <v>882</v>
      </c>
      <c r="G848" t="s">
        <v>43</v>
      </c>
      <c r="H848" t="s">
        <v>55</v>
      </c>
      <c r="I848" s="1">
        <v>1</v>
      </c>
      <c r="J848" s="2">
        <v>267.24</v>
      </c>
    </row>
    <row r="849" spans="2:10" x14ac:dyDescent="0.2">
      <c r="B849" t="s">
        <v>866</v>
      </c>
      <c r="C849" t="s">
        <v>129</v>
      </c>
      <c r="D849" t="s">
        <v>226</v>
      </c>
      <c r="E849" t="s">
        <v>318</v>
      </c>
      <c r="F849" t="s">
        <v>319</v>
      </c>
      <c r="G849" t="s">
        <v>1033</v>
      </c>
      <c r="H849" t="s">
        <v>30</v>
      </c>
      <c r="I849" s="1">
        <v>1</v>
      </c>
      <c r="J849" s="2">
        <v>456.9</v>
      </c>
    </row>
    <row r="850" spans="2:10" x14ac:dyDescent="0.2">
      <c r="B850" t="s">
        <v>866</v>
      </c>
      <c r="C850" t="s">
        <v>129</v>
      </c>
      <c r="D850" t="s">
        <v>226</v>
      </c>
      <c r="E850" t="s">
        <v>242</v>
      </c>
      <c r="F850" t="s">
        <v>243</v>
      </c>
      <c r="G850" t="s">
        <v>14</v>
      </c>
      <c r="H850" t="s">
        <v>87</v>
      </c>
      <c r="I850" s="1">
        <v>1</v>
      </c>
      <c r="J850" s="2">
        <v>120.69</v>
      </c>
    </row>
    <row r="851" spans="2:10" x14ac:dyDescent="0.2">
      <c r="B851" t="s">
        <v>866</v>
      </c>
      <c r="C851" t="s">
        <v>129</v>
      </c>
      <c r="D851" t="s">
        <v>226</v>
      </c>
      <c r="E851" t="s">
        <v>120</v>
      </c>
      <c r="F851" t="s">
        <v>121</v>
      </c>
      <c r="G851" t="s">
        <v>1034</v>
      </c>
      <c r="H851" t="s">
        <v>15</v>
      </c>
      <c r="I851" s="1">
        <v>1</v>
      </c>
      <c r="J851" s="2">
        <v>301.72000000000003</v>
      </c>
    </row>
    <row r="852" spans="2:10" x14ac:dyDescent="0.2">
      <c r="B852" t="s">
        <v>866</v>
      </c>
      <c r="C852" t="s">
        <v>129</v>
      </c>
      <c r="D852" t="s">
        <v>226</v>
      </c>
      <c r="E852" t="s">
        <v>61</v>
      </c>
      <c r="F852" t="s">
        <v>62</v>
      </c>
      <c r="G852" t="s">
        <v>1034</v>
      </c>
      <c r="H852" t="s">
        <v>15</v>
      </c>
      <c r="I852" s="1">
        <v>1</v>
      </c>
      <c r="J852" s="2">
        <v>172.41</v>
      </c>
    </row>
    <row r="853" spans="2:10" x14ac:dyDescent="0.2">
      <c r="B853" t="s">
        <v>907</v>
      </c>
      <c r="C853" t="s">
        <v>10</v>
      </c>
      <c r="D853" t="s">
        <v>908</v>
      </c>
      <c r="E853" t="s">
        <v>302</v>
      </c>
      <c r="F853" t="s">
        <v>303</v>
      </c>
      <c r="G853" t="s">
        <v>1033</v>
      </c>
      <c r="H853" t="s">
        <v>30</v>
      </c>
      <c r="I853" s="1">
        <v>1</v>
      </c>
      <c r="J853" s="2">
        <v>474.14</v>
      </c>
    </row>
    <row r="854" spans="2:10" x14ac:dyDescent="0.2">
      <c r="B854" t="s">
        <v>907</v>
      </c>
      <c r="C854" t="s">
        <v>10</v>
      </c>
      <c r="D854" t="s">
        <v>908</v>
      </c>
      <c r="E854" t="s">
        <v>19</v>
      </c>
      <c r="F854" t="s">
        <v>20</v>
      </c>
      <c r="G854" t="s">
        <v>14</v>
      </c>
      <c r="H854" t="s">
        <v>21</v>
      </c>
      <c r="I854" s="1">
        <v>2</v>
      </c>
      <c r="J854" s="2">
        <v>862.08</v>
      </c>
    </row>
    <row r="855" spans="2:10" x14ac:dyDescent="0.2">
      <c r="B855" t="s">
        <v>907</v>
      </c>
      <c r="C855" t="s">
        <v>10</v>
      </c>
      <c r="D855" t="s">
        <v>908</v>
      </c>
      <c r="E855" t="s">
        <v>399</v>
      </c>
      <c r="F855" t="s">
        <v>400</v>
      </c>
      <c r="G855" t="s">
        <v>1033</v>
      </c>
      <c r="H855" t="s">
        <v>30</v>
      </c>
      <c r="I855" s="1">
        <v>1</v>
      </c>
      <c r="J855" s="2">
        <v>818.97</v>
      </c>
    </row>
    <row r="856" spans="2:10" x14ac:dyDescent="0.2">
      <c r="B856" t="s">
        <v>907</v>
      </c>
      <c r="C856" t="s">
        <v>10</v>
      </c>
      <c r="D856" t="s">
        <v>908</v>
      </c>
      <c r="E856" t="s">
        <v>505</v>
      </c>
      <c r="F856" t="s">
        <v>506</v>
      </c>
      <c r="G856" t="s">
        <v>1033</v>
      </c>
      <c r="H856" t="s">
        <v>30</v>
      </c>
      <c r="I856" s="1">
        <v>1</v>
      </c>
      <c r="J856" s="2">
        <v>775.86</v>
      </c>
    </row>
    <row r="857" spans="2:10" x14ac:dyDescent="0.2">
      <c r="B857" t="s">
        <v>907</v>
      </c>
      <c r="C857" t="s">
        <v>10</v>
      </c>
      <c r="D857" t="s">
        <v>908</v>
      </c>
      <c r="E857" t="s">
        <v>58</v>
      </c>
      <c r="F857" t="s">
        <v>59</v>
      </c>
      <c r="G857" t="s">
        <v>14</v>
      </c>
      <c r="H857" t="s">
        <v>60</v>
      </c>
      <c r="I857" s="1">
        <v>1</v>
      </c>
      <c r="J857" s="2">
        <v>172.41</v>
      </c>
    </row>
    <row r="858" spans="2:10" x14ac:dyDescent="0.2">
      <c r="B858" t="s">
        <v>907</v>
      </c>
      <c r="C858" t="s">
        <v>10</v>
      </c>
      <c r="D858" t="s">
        <v>908</v>
      </c>
      <c r="E858" t="s">
        <v>61</v>
      </c>
      <c r="F858" t="s">
        <v>62</v>
      </c>
      <c r="G858" t="s">
        <v>1034</v>
      </c>
      <c r="H858" t="s">
        <v>15</v>
      </c>
      <c r="I858" s="1">
        <v>1</v>
      </c>
      <c r="J858" s="2">
        <v>172.41</v>
      </c>
    </row>
    <row r="859" spans="2:10" x14ac:dyDescent="0.2">
      <c r="B859" t="s">
        <v>907</v>
      </c>
      <c r="C859" t="s">
        <v>10</v>
      </c>
      <c r="D859" t="s">
        <v>908</v>
      </c>
      <c r="E859" t="s">
        <v>16</v>
      </c>
      <c r="F859" t="s">
        <v>17</v>
      </c>
      <c r="G859" t="s">
        <v>1034</v>
      </c>
      <c r="H859" t="s">
        <v>15</v>
      </c>
      <c r="I859" s="1">
        <v>3</v>
      </c>
      <c r="J859" s="2">
        <v>1732.77</v>
      </c>
    </row>
    <row r="860" spans="2:10" x14ac:dyDescent="0.2">
      <c r="B860" t="s">
        <v>907</v>
      </c>
      <c r="C860" t="s">
        <v>10</v>
      </c>
      <c r="D860" t="s">
        <v>908</v>
      </c>
      <c r="E860" t="s">
        <v>484</v>
      </c>
      <c r="F860" t="s">
        <v>485</v>
      </c>
      <c r="G860" t="s">
        <v>1033</v>
      </c>
      <c r="H860" t="s">
        <v>30</v>
      </c>
      <c r="I860" s="1">
        <v>1</v>
      </c>
      <c r="J860" s="2">
        <v>2163.79</v>
      </c>
    </row>
    <row r="861" spans="2:10" x14ac:dyDescent="0.2">
      <c r="B861" t="s">
        <v>907</v>
      </c>
      <c r="C861" t="s">
        <v>18</v>
      </c>
      <c r="D861" t="s">
        <v>908</v>
      </c>
      <c r="E861" t="s">
        <v>238</v>
      </c>
      <c r="F861" t="s">
        <v>239</v>
      </c>
      <c r="G861" t="s">
        <v>1033</v>
      </c>
      <c r="H861" t="s">
        <v>30</v>
      </c>
      <c r="I861" s="1">
        <v>1</v>
      </c>
      <c r="J861" s="2">
        <v>396.55</v>
      </c>
    </row>
    <row r="862" spans="2:10" x14ac:dyDescent="0.2">
      <c r="B862" t="s">
        <v>907</v>
      </c>
      <c r="C862" t="s">
        <v>18</v>
      </c>
      <c r="D862" t="s">
        <v>908</v>
      </c>
      <c r="E862" t="s">
        <v>44</v>
      </c>
      <c r="F862" t="s">
        <v>45</v>
      </c>
      <c r="G862" t="s">
        <v>1033</v>
      </c>
      <c r="H862" t="s">
        <v>30</v>
      </c>
      <c r="I862" s="1">
        <v>2</v>
      </c>
      <c r="J862" s="2">
        <v>163.80000000000001</v>
      </c>
    </row>
    <row r="863" spans="2:10" x14ac:dyDescent="0.2">
      <c r="B863" t="s">
        <v>907</v>
      </c>
      <c r="C863" t="s">
        <v>18</v>
      </c>
      <c r="D863" t="s">
        <v>908</v>
      </c>
      <c r="E863" t="s">
        <v>171</v>
      </c>
      <c r="F863" t="s">
        <v>172</v>
      </c>
      <c r="G863" t="s">
        <v>14</v>
      </c>
      <c r="H863" t="s">
        <v>35</v>
      </c>
      <c r="I863" s="1">
        <v>1</v>
      </c>
      <c r="J863" s="2">
        <v>77.59</v>
      </c>
    </row>
    <row r="864" spans="2:10" x14ac:dyDescent="0.2">
      <c r="B864" t="s">
        <v>907</v>
      </c>
      <c r="C864" t="s">
        <v>18</v>
      </c>
      <c r="D864" t="s">
        <v>908</v>
      </c>
      <c r="E864" t="s">
        <v>529</v>
      </c>
      <c r="F864" t="s">
        <v>530</v>
      </c>
      <c r="G864" t="s">
        <v>14</v>
      </c>
      <c r="H864" t="s">
        <v>35</v>
      </c>
      <c r="I864" s="1">
        <v>1</v>
      </c>
      <c r="J864" s="2">
        <v>77.59</v>
      </c>
    </row>
    <row r="865" spans="2:10" x14ac:dyDescent="0.2">
      <c r="B865" t="s">
        <v>907</v>
      </c>
      <c r="C865" t="s">
        <v>18</v>
      </c>
      <c r="D865" t="s">
        <v>908</v>
      </c>
      <c r="E865" t="s">
        <v>149</v>
      </c>
      <c r="F865" t="s">
        <v>150</v>
      </c>
      <c r="G865" t="s">
        <v>43</v>
      </c>
      <c r="H865" t="s">
        <v>50</v>
      </c>
      <c r="I865" s="1">
        <v>1</v>
      </c>
      <c r="J865" s="2">
        <v>3017.24</v>
      </c>
    </row>
    <row r="866" spans="2:10" x14ac:dyDescent="0.2">
      <c r="B866" t="s">
        <v>907</v>
      </c>
      <c r="C866" t="s">
        <v>18</v>
      </c>
      <c r="D866" t="s">
        <v>908</v>
      </c>
      <c r="E866" t="s">
        <v>498</v>
      </c>
      <c r="F866" t="s">
        <v>499</v>
      </c>
      <c r="G866" t="s">
        <v>1033</v>
      </c>
      <c r="H866" t="s">
        <v>30</v>
      </c>
      <c r="I866" s="1">
        <v>1</v>
      </c>
      <c r="J866" s="2">
        <v>2672.41</v>
      </c>
    </row>
    <row r="867" spans="2:10" x14ac:dyDescent="0.2">
      <c r="B867" t="s">
        <v>907</v>
      </c>
      <c r="C867" t="s">
        <v>18</v>
      </c>
      <c r="D867" t="s">
        <v>908</v>
      </c>
      <c r="E867" t="s">
        <v>120</v>
      </c>
      <c r="F867" t="s">
        <v>121</v>
      </c>
      <c r="G867" t="s">
        <v>1034</v>
      </c>
      <c r="H867" t="s">
        <v>15</v>
      </c>
      <c r="I867" s="1">
        <v>2</v>
      </c>
      <c r="J867" s="2">
        <v>603.44000000000005</v>
      </c>
    </row>
    <row r="868" spans="2:10" x14ac:dyDescent="0.2">
      <c r="B868" t="s">
        <v>907</v>
      </c>
      <c r="C868" t="s">
        <v>18</v>
      </c>
      <c r="D868" t="s">
        <v>908</v>
      </c>
      <c r="E868" t="s">
        <v>656</v>
      </c>
      <c r="F868" t="s">
        <v>657</v>
      </c>
      <c r="G868" t="s">
        <v>43</v>
      </c>
      <c r="H868" t="s">
        <v>50</v>
      </c>
      <c r="I868" s="1">
        <v>1</v>
      </c>
      <c r="J868" s="2">
        <v>181.03</v>
      </c>
    </row>
    <row r="869" spans="2:10" x14ac:dyDescent="0.2">
      <c r="B869" t="s">
        <v>907</v>
      </c>
      <c r="C869" t="s">
        <v>18</v>
      </c>
      <c r="D869" t="s">
        <v>908</v>
      </c>
      <c r="E869" t="s">
        <v>22</v>
      </c>
      <c r="F869" t="s">
        <v>23</v>
      </c>
      <c r="G869" t="s">
        <v>14</v>
      </c>
      <c r="H869" t="s">
        <v>24</v>
      </c>
      <c r="I869" s="1">
        <v>3</v>
      </c>
      <c r="J869" s="2">
        <v>646.56000000000006</v>
      </c>
    </row>
    <row r="870" spans="2:10" x14ac:dyDescent="0.2">
      <c r="B870" t="s">
        <v>907</v>
      </c>
      <c r="C870" t="s">
        <v>18</v>
      </c>
      <c r="D870" t="s">
        <v>908</v>
      </c>
      <c r="E870" t="s">
        <v>28</v>
      </c>
      <c r="F870" t="s">
        <v>29</v>
      </c>
      <c r="G870" t="s">
        <v>1033</v>
      </c>
      <c r="H870" t="s">
        <v>30</v>
      </c>
      <c r="I870" s="1">
        <v>1</v>
      </c>
      <c r="J870" s="2">
        <v>155.16999999999999</v>
      </c>
    </row>
    <row r="871" spans="2:10" x14ac:dyDescent="0.2">
      <c r="B871" t="s">
        <v>907</v>
      </c>
      <c r="C871" t="s">
        <v>31</v>
      </c>
      <c r="D871" t="s">
        <v>130</v>
      </c>
      <c r="E871" t="s">
        <v>22</v>
      </c>
      <c r="F871" t="s">
        <v>23</v>
      </c>
      <c r="G871" t="s">
        <v>14</v>
      </c>
      <c r="H871" t="s">
        <v>24</v>
      </c>
      <c r="I871" s="1">
        <v>1</v>
      </c>
      <c r="J871" s="2">
        <v>215.52</v>
      </c>
    </row>
    <row r="872" spans="2:10" x14ac:dyDescent="0.2">
      <c r="B872" t="s">
        <v>907</v>
      </c>
      <c r="C872" t="s">
        <v>31</v>
      </c>
      <c r="D872" t="s">
        <v>130</v>
      </c>
      <c r="E872" t="s">
        <v>871</v>
      </c>
      <c r="F872" t="s">
        <v>872</v>
      </c>
      <c r="G872" t="s">
        <v>1033</v>
      </c>
      <c r="H872" t="s">
        <v>30</v>
      </c>
      <c r="I872" s="1">
        <v>1</v>
      </c>
      <c r="J872" s="2">
        <v>2327.59</v>
      </c>
    </row>
    <row r="873" spans="2:10" x14ac:dyDescent="0.2">
      <c r="B873" t="s">
        <v>907</v>
      </c>
      <c r="C873" t="s">
        <v>40</v>
      </c>
      <c r="D873" t="s">
        <v>908</v>
      </c>
      <c r="E873" t="s">
        <v>356</v>
      </c>
      <c r="F873" t="s">
        <v>357</v>
      </c>
      <c r="G873" t="s">
        <v>1033</v>
      </c>
      <c r="H873" t="s">
        <v>30</v>
      </c>
      <c r="I873" s="1">
        <v>1</v>
      </c>
      <c r="J873" s="2">
        <v>2198.2800000000002</v>
      </c>
    </row>
    <row r="874" spans="2:10" x14ac:dyDescent="0.2">
      <c r="B874" t="s">
        <v>907</v>
      </c>
      <c r="C874" t="s">
        <v>40</v>
      </c>
      <c r="D874" t="s">
        <v>908</v>
      </c>
      <c r="E874" t="s">
        <v>308</v>
      </c>
      <c r="F874" t="s">
        <v>309</v>
      </c>
      <c r="G874" t="s">
        <v>1033</v>
      </c>
      <c r="H874" t="s">
        <v>30</v>
      </c>
      <c r="I874" s="1">
        <v>1</v>
      </c>
      <c r="J874" s="2">
        <v>818.97</v>
      </c>
    </row>
    <row r="875" spans="2:10" x14ac:dyDescent="0.2">
      <c r="B875" t="s">
        <v>907</v>
      </c>
      <c r="C875" t="s">
        <v>40</v>
      </c>
      <c r="D875" t="s">
        <v>908</v>
      </c>
      <c r="E875" t="s">
        <v>267</v>
      </c>
      <c r="F875" t="s">
        <v>268</v>
      </c>
      <c r="G875" t="s">
        <v>1034</v>
      </c>
      <c r="H875" t="s">
        <v>15</v>
      </c>
      <c r="I875" s="1">
        <v>1</v>
      </c>
      <c r="J875" s="2">
        <v>258.62</v>
      </c>
    </row>
    <row r="876" spans="2:10" x14ac:dyDescent="0.2">
      <c r="B876" t="s">
        <v>907</v>
      </c>
      <c r="C876" t="s">
        <v>40</v>
      </c>
      <c r="D876" t="s">
        <v>908</v>
      </c>
      <c r="E876" t="s">
        <v>336</v>
      </c>
      <c r="F876" t="s">
        <v>337</v>
      </c>
      <c r="G876" t="s">
        <v>1034</v>
      </c>
      <c r="H876" t="s">
        <v>15</v>
      </c>
      <c r="I876" s="1">
        <v>1</v>
      </c>
      <c r="J876" s="2">
        <v>387.93</v>
      </c>
    </row>
    <row r="877" spans="2:10" x14ac:dyDescent="0.2">
      <c r="B877" t="s">
        <v>907</v>
      </c>
      <c r="C877" t="s">
        <v>40</v>
      </c>
      <c r="D877" t="s">
        <v>908</v>
      </c>
      <c r="E877" t="s">
        <v>596</v>
      </c>
      <c r="F877" t="s">
        <v>597</v>
      </c>
      <c r="G877" t="s">
        <v>43</v>
      </c>
      <c r="H877" t="s">
        <v>50</v>
      </c>
      <c r="I877" s="1">
        <v>1</v>
      </c>
      <c r="J877" s="2">
        <v>181.03</v>
      </c>
    </row>
    <row r="878" spans="2:10" x14ac:dyDescent="0.2">
      <c r="B878" t="s">
        <v>907</v>
      </c>
      <c r="C878" t="s">
        <v>51</v>
      </c>
      <c r="D878" t="s">
        <v>908</v>
      </c>
      <c r="E878" t="s">
        <v>238</v>
      </c>
      <c r="F878" t="s">
        <v>239</v>
      </c>
      <c r="G878" t="s">
        <v>1033</v>
      </c>
      <c r="H878" t="s">
        <v>30</v>
      </c>
      <c r="I878" s="1">
        <v>1</v>
      </c>
      <c r="J878" s="2">
        <v>396.55</v>
      </c>
    </row>
    <row r="879" spans="2:10" x14ac:dyDescent="0.2">
      <c r="B879" t="s">
        <v>907</v>
      </c>
      <c r="C879" t="s">
        <v>51</v>
      </c>
      <c r="D879" t="s">
        <v>908</v>
      </c>
      <c r="E879" t="s">
        <v>214</v>
      </c>
      <c r="F879" t="s">
        <v>215</v>
      </c>
      <c r="G879" t="s">
        <v>1034</v>
      </c>
      <c r="H879" t="s">
        <v>15</v>
      </c>
      <c r="I879" s="1">
        <v>1</v>
      </c>
      <c r="J879" s="2">
        <v>301.72000000000003</v>
      </c>
    </row>
    <row r="880" spans="2:10" x14ac:dyDescent="0.2">
      <c r="B880" t="s">
        <v>907</v>
      </c>
      <c r="C880" t="s">
        <v>51</v>
      </c>
      <c r="D880" t="s">
        <v>908</v>
      </c>
      <c r="E880" t="s">
        <v>275</v>
      </c>
      <c r="F880" t="s">
        <v>276</v>
      </c>
      <c r="G880" t="s">
        <v>1033</v>
      </c>
      <c r="H880" t="s">
        <v>30</v>
      </c>
      <c r="I880" s="1">
        <v>1</v>
      </c>
      <c r="J880" s="2">
        <v>1551.72</v>
      </c>
    </row>
    <row r="881" spans="2:10" x14ac:dyDescent="0.2">
      <c r="B881" t="s">
        <v>907</v>
      </c>
      <c r="C881" t="s">
        <v>51</v>
      </c>
      <c r="D881" t="s">
        <v>908</v>
      </c>
      <c r="E881" t="s">
        <v>61</v>
      </c>
      <c r="F881" t="s">
        <v>62</v>
      </c>
      <c r="G881" t="s">
        <v>1034</v>
      </c>
      <c r="H881" t="s">
        <v>15</v>
      </c>
      <c r="I881" s="1">
        <v>2</v>
      </c>
      <c r="J881" s="2">
        <v>344.82</v>
      </c>
    </row>
    <row r="882" spans="2:10" x14ac:dyDescent="0.2">
      <c r="B882" t="s">
        <v>907</v>
      </c>
      <c r="C882" t="s">
        <v>65</v>
      </c>
      <c r="D882" t="s">
        <v>277</v>
      </c>
      <c r="E882" t="s">
        <v>122</v>
      </c>
      <c r="F882" t="s">
        <v>123</v>
      </c>
      <c r="G882" t="s">
        <v>1034</v>
      </c>
      <c r="H882" t="s">
        <v>15</v>
      </c>
      <c r="I882" s="1">
        <v>1</v>
      </c>
      <c r="J882" s="2">
        <v>387.93</v>
      </c>
    </row>
    <row r="883" spans="2:10" x14ac:dyDescent="0.2">
      <c r="B883" t="s">
        <v>907</v>
      </c>
      <c r="C883" t="s">
        <v>82</v>
      </c>
      <c r="D883" t="s">
        <v>908</v>
      </c>
      <c r="E883" t="s">
        <v>368</v>
      </c>
      <c r="F883" t="s">
        <v>369</v>
      </c>
      <c r="G883" t="s">
        <v>1033</v>
      </c>
      <c r="H883" t="s">
        <v>30</v>
      </c>
      <c r="I883" s="1">
        <v>1</v>
      </c>
      <c r="J883" s="2">
        <v>612.07000000000005</v>
      </c>
    </row>
    <row r="884" spans="2:10" x14ac:dyDescent="0.2">
      <c r="B884" t="s">
        <v>907</v>
      </c>
      <c r="C884" t="s">
        <v>82</v>
      </c>
      <c r="D884" t="s">
        <v>908</v>
      </c>
      <c r="E884" t="s">
        <v>214</v>
      </c>
      <c r="F884" t="s">
        <v>215</v>
      </c>
      <c r="G884" t="s">
        <v>1034</v>
      </c>
      <c r="H884" t="s">
        <v>15</v>
      </c>
      <c r="I884" s="1">
        <v>1</v>
      </c>
      <c r="J884" s="2">
        <v>301.72000000000003</v>
      </c>
    </row>
    <row r="885" spans="2:10" x14ac:dyDescent="0.2">
      <c r="B885" t="s">
        <v>907</v>
      </c>
      <c r="C885" t="s">
        <v>82</v>
      </c>
      <c r="D885" t="s">
        <v>908</v>
      </c>
      <c r="E885" t="s">
        <v>216</v>
      </c>
      <c r="F885" t="s">
        <v>217</v>
      </c>
      <c r="G885" t="s">
        <v>14</v>
      </c>
      <c r="H885" t="s">
        <v>104</v>
      </c>
      <c r="I885" s="1">
        <v>1</v>
      </c>
      <c r="J885" s="2">
        <v>17.239999999999998</v>
      </c>
    </row>
    <row r="886" spans="2:10" x14ac:dyDescent="0.2">
      <c r="B886" t="s">
        <v>907</v>
      </c>
      <c r="C886" t="s">
        <v>82</v>
      </c>
      <c r="D886" t="s">
        <v>908</v>
      </c>
      <c r="E886" t="s">
        <v>312</v>
      </c>
      <c r="F886" t="s">
        <v>313</v>
      </c>
      <c r="G886" t="s">
        <v>1033</v>
      </c>
      <c r="H886" t="s">
        <v>30</v>
      </c>
      <c r="I886" s="1">
        <v>1</v>
      </c>
      <c r="J886" s="2">
        <v>603.45000000000005</v>
      </c>
    </row>
    <row r="887" spans="2:10" x14ac:dyDescent="0.2">
      <c r="B887" t="s">
        <v>907</v>
      </c>
      <c r="C887" t="s">
        <v>82</v>
      </c>
      <c r="D887" t="s">
        <v>908</v>
      </c>
      <c r="E887" t="s">
        <v>370</v>
      </c>
      <c r="F887" t="s">
        <v>371</v>
      </c>
      <c r="G887" t="s">
        <v>1033</v>
      </c>
      <c r="H887" t="s">
        <v>30</v>
      </c>
      <c r="I887" s="1">
        <v>1</v>
      </c>
      <c r="J887" s="2">
        <v>1034.48</v>
      </c>
    </row>
    <row r="888" spans="2:10" x14ac:dyDescent="0.2">
      <c r="B888" t="s">
        <v>907</v>
      </c>
      <c r="C888" t="s">
        <v>88</v>
      </c>
      <c r="D888" t="s">
        <v>908</v>
      </c>
      <c r="E888" t="s">
        <v>611</v>
      </c>
      <c r="F888" t="s">
        <v>612</v>
      </c>
      <c r="G888" t="s">
        <v>1033</v>
      </c>
      <c r="H888" t="s">
        <v>30</v>
      </c>
      <c r="I888" s="1">
        <v>1</v>
      </c>
      <c r="J888" s="2">
        <v>793.1</v>
      </c>
    </row>
    <row r="889" spans="2:10" x14ac:dyDescent="0.2">
      <c r="B889" t="s">
        <v>907</v>
      </c>
      <c r="C889" t="s">
        <v>88</v>
      </c>
      <c r="D889" t="s">
        <v>908</v>
      </c>
      <c r="E889" t="s">
        <v>909</v>
      </c>
      <c r="F889" t="s">
        <v>910</v>
      </c>
      <c r="G889" t="s">
        <v>1033</v>
      </c>
      <c r="H889" t="s">
        <v>30</v>
      </c>
      <c r="I889" s="1">
        <v>1</v>
      </c>
      <c r="J889" s="2">
        <v>379.31</v>
      </c>
    </row>
    <row r="890" spans="2:10" x14ac:dyDescent="0.2">
      <c r="B890" t="s">
        <v>907</v>
      </c>
      <c r="C890" t="s">
        <v>88</v>
      </c>
      <c r="D890" t="s">
        <v>908</v>
      </c>
      <c r="E890" t="s">
        <v>70</v>
      </c>
      <c r="F890" t="s">
        <v>71</v>
      </c>
      <c r="G890" t="s">
        <v>1033</v>
      </c>
      <c r="H890" t="s">
        <v>30</v>
      </c>
      <c r="I890" s="1">
        <v>1</v>
      </c>
      <c r="J890" s="2">
        <v>2112.0700000000002</v>
      </c>
    </row>
    <row r="891" spans="2:10" x14ac:dyDescent="0.2">
      <c r="B891" t="s">
        <v>907</v>
      </c>
      <c r="C891" t="s">
        <v>88</v>
      </c>
      <c r="D891" t="s">
        <v>908</v>
      </c>
      <c r="E891" t="s">
        <v>203</v>
      </c>
      <c r="F891" t="s">
        <v>204</v>
      </c>
      <c r="G891" t="s">
        <v>43</v>
      </c>
      <c r="H891" t="s">
        <v>205</v>
      </c>
      <c r="I891" s="1">
        <v>1</v>
      </c>
      <c r="J891" s="2">
        <v>344.83</v>
      </c>
    </row>
    <row r="892" spans="2:10" x14ac:dyDescent="0.2">
      <c r="B892" t="s">
        <v>907</v>
      </c>
      <c r="C892" t="s">
        <v>88</v>
      </c>
      <c r="D892" t="s">
        <v>908</v>
      </c>
      <c r="E892" t="s">
        <v>36</v>
      </c>
      <c r="F892" t="s">
        <v>37</v>
      </c>
      <c r="G892" t="s">
        <v>1034</v>
      </c>
      <c r="H892" t="s">
        <v>15</v>
      </c>
      <c r="I892" s="1">
        <v>1</v>
      </c>
      <c r="J892" s="2">
        <v>301.72000000000003</v>
      </c>
    </row>
    <row r="893" spans="2:10" x14ac:dyDescent="0.2">
      <c r="B893" t="s">
        <v>907</v>
      </c>
      <c r="C893" t="s">
        <v>88</v>
      </c>
      <c r="D893" t="s">
        <v>908</v>
      </c>
      <c r="E893" t="s">
        <v>101</v>
      </c>
      <c r="F893" t="s">
        <v>102</v>
      </c>
      <c r="G893" t="s">
        <v>103</v>
      </c>
      <c r="H893" t="s">
        <v>104</v>
      </c>
      <c r="I893" s="1">
        <v>4</v>
      </c>
      <c r="J893" s="2">
        <v>0.04</v>
      </c>
    </row>
    <row r="894" spans="2:10" x14ac:dyDescent="0.2">
      <c r="B894" t="s">
        <v>907</v>
      </c>
      <c r="C894" t="s">
        <v>88</v>
      </c>
      <c r="D894" t="s">
        <v>908</v>
      </c>
      <c r="E894" t="s">
        <v>22</v>
      </c>
      <c r="F894" t="s">
        <v>23</v>
      </c>
      <c r="G894" t="s">
        <v>14</v>
      </c>
      <c r="H894" t="s">
        <v>24</v>
      </c>
      <c r="I894" s="1">
        <v>1</v>
      </c>
      <c r="J894" s="2">
        <v>215.52</v>
      </c>
    </row>
    <row r="895" spans="2:10" x14ac:dyDescent="0.2">
      <c r="B895" t="s">
        <v>907</v>
      </c>
      <c r="C895" t="s">
        <v>88</v>
      </c>
      <c r="D895" t="s">
        <v>908</v>
      </c>
      <c r="E895" t="s">
        <v>38</v>
      </c>
      <c r="F895" t="s">
        <v>39</v>
      </c>
      <c r="G895" t="s">
        <v>1034</v>
      </c>
      <c r="H895" t="s">
        <v>15</v>
      </c>
      <c r="I895" s="1">
        <v>1</v>
      </c>
      <c r="J895" s="2">
        <v>431.03</v>
      </c>
    </row>
    <row r="896" spans="2:10" x14ac:dyDescent="0.2">
      <c r="B896" t="s">
        <v>907</v>
      </c>
      <c r="C896" t="s">
        <v>88</v>
      </c>
      <c r="D896" t="s">
        <v>908</v>
      </c>
      <c r="E896" t="s">
        <v>56</v>
      </c>
      <c r="F896" t="s">
        <v>57</v>
      </c>
      <c r="G896" t="s">
        <v>1034</v>
      </c>
      <c r="H896" t="s">
        <v>15</v>
      </c>
      <c r="I896" s="1">
        <v>1</v>
      </c>
      <c r="J896" s="2">
        <v>431.03</v>
      </c>
    </row>
    <row r="897" spans="2:10" x14ac:dyDescent="0.2">
      <c r="B897" t="s">
        <v>907</v>
      </c>
      <c r="C897" t="s">
        <v>88</v>
      </c>
      <c r="D897" t="s">
        <v>908</v>
      </c>
      <c r="E897" t="s">
        <v>63</v>
      </c>
      <c r="F897" t="s">
        <v>64</v>
      </c>
      <c r="G897" t="s">
        <v>1034</v>
      </c>
      <c r="H897" t="s">
        <v>15</v>
      </c>
      <c r="I897" s="1">
        <v>1</v>
      </c>
      <c r="J897" s="2">
        <v>172.41</v>
      </c>
    </row>
    <row r="898" spans="2:10" x14ac:dyDescent="0.2">
      <c r="B898" t="s">
        <v>907</v>
      </c>
      <c r="C898" t="s">
        <v>88</v>
      </c>
      <c r="D898" t="s">
        <v>908</v>
      </c>
      <c r="E898" t="s">
        <v>408</v>
      </c>
      <c r="F898" t="s">
        <v>409</v>
      </c>
      <c r="G898" t="s">
        <v>43</v>
      </c>
      <c r="H898" t="s">
        <v>81</v>
      </c>
      <c r="I898" s="1">
        <v>1</v>
      </c>
      <c r="J898" s="2">
        <v>1465.52</v>
      </c>
    </row>
    <row r="899" spans="2:10" x14ac:dyDescent="0.2">
      <c r="B899" t="s">
        <v>907</v>
      </c>
      <c r="C899" t="s">
        <v>88</v>
      </c>
      <c r="D899" t="s">
        <v>908</v>
      </c>
      <c r="E899" t="s">
        <v>911</v>
      </c>
      <c r="F899" t="s">
        <v>912</v>
      </c>
      <c r="G899" t="s">
        <v>43</v>
      </c>
      <c r="H899" t="s">
        <v>81</v>
      </c>
      <c r="I899" s="1">
        <v>1</v>
      </c>
      <c r="J899" s="2">
        <v>1637.93</v>
      </c>
    </row>
    <row r="900" spans="2:10" x14ac:dyDescent="0.2">
      <c r="B900" t="s">
        <v>907</v>
      </c>
      <c r="C900" t="s">
        <v>88</v>
      </c>
      <c r="D900" t="s">
        <v>908</v>
      </c>
      <c r="E900" t="s">
        <v>28</v>
      </c>
      <c r="F900" t="s">
        <v>29</v>
      </c>
      <c r="G900" t="s">
        <v>1033</v>
      </c>
      <c r="H900" t="s">
        <v>30</v>
      </c>
      <c r="I900" s="1">
        <v>1</v>
      </c>
      <c r="J900" s="2">
        <v>155.16999999999999</v>
      </c>
    </row>
    <row r="901" spans="2:10" x14ac:dyDescent="0.2">
      <c r="B901" t="s">
        <v>907</v>
      </c>
      <c r="C901" t="s">
        <v>117</v>
      </c>
      <c r="D901" t="s">
        <v>908</v>
      </c>
      <c r="E901" t="s">
        <v>318</v>
      </c>
      <c r="F901" t="s">
        <v>319</v>
      </c>
      <c r="G901" t="s">
        <v>1033</v>
      </c>
      <c r="H901" t="s">
        <v>30</v>
      </c>
      <c r="I901" s="1">
        <v>1</v>
      </c>
      <c r="J901" s="2">
        <v>456.9</v>
      </c>
    </row>
    <row r="902" spans="2:10" x14ac:dyDescent="0.2">
      <c r="B902" t="s">
        <v>907</v>
      </c>
      <c r="C902" t="s">
        <v>117</v>
      </c>
      <c r="D902" t="s">
        <v>908</v>
      </c>
      <c r="E902" t="s">
        <v>120</v>
      </c>
      <c r="F902" t="s">
        <v>121</v>
      </c>
      <c r="G902" t="s">
        <v>1034</v>
      </c>
      <c r="H902" t="s">
        <v>15</v>
      </c>
      <c r="I902" s="1">
        <v>1</v>
      </c>
      <c r="J902" s="2">
        <v>301.72000000000003</v>
      </c>
    </row>
    <row r="903" spans="2:10" x14ac:dyDescent="0.2">
      <c r="B903" t="s">
        <v>907</v>
      </c>
      <c r="C903" t="s">
        <v>117</v>
      </c>
      <c r="D903" t="s">
        <v>908</v>
      </c>
      <c r="E903" t="s">
        <v>312</v>
      </c>
      <c r="F903" t="s">
        <v>313</v>
      </c>
      <c r="G903" t="s">
        <v>1033</v>
      </c>
      <c r="H903" t="s">
        <v>30</v>
      </c>
      <c r="I903" s="1">
        <v>1</v>
      </c>
      <c r="J903" s="2">
        <v>603.45000000000005</v>
      </c>
    </row>
    <row r="904" spans="2:10" x14ac:dyDescent="0.2">
      <c r="B904" t="s">
        <v>907</v>
      </c>
      <c r="C904" t="s">
        <v>117</v>
      </c>
      <c r="D904" t="s">
        <v>908</v>
      </c>
      <c r="E904" t="s">
        <v>913</v>
      </c>
      <c r="F904" t="s">
        <v>914</v>
      </c>
      <c r="G904" t="s">
        <v>43</v>
      </c>
      <c r="H904" t="s">
        <v>94</v>
      </c>
      <c r="I904" s="1">
        <v>1</v>
      </c>
      <c r="J904" s="2">
        <v>1991.38</v>
      </c>
    </row>
    <row r="905" spans="2:10" x14ac:dyDescent="0.2">
      <c r="B905" t="s">
        <v>907</v>
      </c>
      <c r="C905" t="s">
        <v>117</v>
      </c>
      <c r="D905" t="s">
        <v>908</v>
      </c>
      <c r="E905" t="s">
        <v>895</v>
      </c>
      <c r="F905" t="s">
        <v>896</v>
      </c>
      <c r="G905" t="s">
        <v>1033</v>
      </c>
      <c r="H905" t="s">
        <v>30</v>
      </c>
      <c r="I905" s="1">
        <v>1</v>
      </c>
      <c r="J905" s="2">
        <v>301.72000000000003</v>
      </c>
    </row>
    <row r="906" spans="2:10" x14ac:dyDescent="0.2">
      <c r="B906" t="s">
        <v>907</v>
      </c>
      <c r="C906" t="s">
        <v>117</v>
      </c>
      <c r="D906" t="s">
        <v>908</v>
      </c>
      <c r="E906" t="s">
        <v>61</v>
      </c>
      <c r="F906" t="s">
        <v>62</v>
      </c>
      <c r="G906" t="s">
        <v>1034</v>
      </c>
      <c r="H906" t="s">
        <v>15</v>
      </c>
      <c r="I906" s="1">
        <v>1</v>
      </c>
      <c r="J906" s="2">
        <v>172.41</v>
      </c>
    </row>
    <row r="907" spans="2:10" x14ac:dyDescent="0.2">
      <c r="B907" t="s">
        <v>907</v>
      </c>
      <c r="C907" t="s">
        <v>117</v>
      </c>
      <c r="D907" t="s">
        <v>908</v>
      </c>
      <c r="E907" t="s">
        <v>63</v>
      </c>
      <c r="F907" t="s">
        <v>64</v>
      </c>
      <c r="G907" t="s">
        <v>1034</v>
      </c>
      <c r="H907" t="s">
        <v>15</v>
      </c>
      <c r="I907" s="1">
        <v>1</v>
      </c>
      <c r="J907" s="2">
        <v>172.41</v>
      </c>
    </row>
    <row r="908" spans="2:10" x14ac:dyDescent="0.2">
      <c r="B908" t="s">
        <v>907</v>
      </c>
      <c r="C908" t="s">
        <v>117</v>
      </c>
      <c r="D908" t="s">
        <v>908</v>
      </c>
      <c r="E908" t="s">
        <v>28</v>
      </c>
      <c r="F908" t="s">
        <v>29</v>
      </c>
      <c r="G908" t="s">
        <v>1033</v>
      </c>
      <c r="H908" t="s">
        <v>30</v>
      </c>
      <c r="I908" s="1">
        <v>1</v>
      </c>
      <c r="J908" s="2">
        <v>155.16999999999999</v>
      </c>
    </row>
    <row r="909" spans="2:10" x14ac:dyDescent="0.2">
      <c r="B909" t="s">
        <v>907</v>
      </c>
      <c r="C909" t="s">
        <v>129</v>
      </c>
      <c r="D909" t="s">
        <v>908</v>
      </c>
      <c r="E909" t="s">
        <v>238</v>
      </c>
      <c r="F909" t="s">
        <v>239</v>
      </c>
      <c r="G909" t="s">
        <v>1033</v>
      </c>
      <c r="H909" t="s">
        <v>30</v>
      </c>
      <c r="I909" s="1">
        <v>1</v>
      </c>
      <c r="J909" s="2">
        <v>396.55</v>
      </c>
    </row>
    <row r="910" spans="2:10" x14ac:dyDescent="0.2">
      <c r="B910" t="s">
        <v>933</v>
      </c>
      <c r="C910" t="s">
        <v>10</v>
      </c>
      <c r="D910" t="s">
        <v>934</v>
      </c>
      <c r="E910" t="s">
        <v>19</v>
      </c>
      <c r="F910" t="s">
        <v>20</v>
      </c>
      <c r="G910" t="s">
        <v>14</v>
      </c>
      <c r="H910" t="s">
        <v>21</v>
      </c>
      <c r="I910" s="1">
        <v>1</v>
      </c>
      <c r="J910" s="2">
        <v>431.04</v>
      </c>
    </row>
    <row r="911" spans="2:10" x14ac:dyDescent="0.2">
      <c r="B911" t="s">
        <v>933</v>
      </c>
      <c r="C911" t="s">
        <v>10</v>
      </c>
      <c r="D911" t="s">
        <v>934</v>
      </c>
      <c r="E911" t="s">
        <v>187</v>
      </c>
      <c r="F911" t="s">
        <v>188</v>
      </c>
      <c r="G911" t="s">
        <v>1033</v>
      </c>
      <c r="H911" t="s">
        <v>30</v>
      </c>
      <c r="I911" s="1">
        <v>1</v>
      </c>
      <c r="J911" s="2">
        <v>258.62</v>
      </c>
    </row>
    <row r="912" spans="2:10" x14ac:dyDescent="0.2">
      <c r="B912" t="s">
        <v>933</v>
      </c>
      <c r="C912" t="s">
        <v>10</v>
      </c>
      <c r="D912" t="s">
        <v>934</v>
      </c>
      <c r="E912" t="s">
        <v>838</v>
      </c>
      <c r="F912" t="s">
        <v>839</v>
      </c>
      <c r="G912" t="s">
        <v>14</v>
      </c>
      <c r="H912" t="s">
        <v>87</v>
      </c>
      <c r="I912" s="1">
        <v>1</v>
      </c>
      <c r="J912" s="2">
        <v>120.69</v>
      </c>
    </row>
    <row r="913" spans="2:10" x14ac:dyDescent="0.2">
      <c r="B913" t="s">
        <v>933</v>
      </c>
      <c r="C913" t="s">
        <v>10</v>
      </c>
      <c r="D913" t="s">
        <v>934</v>
      </c>
      <c r="E913" t="s">
        <v>293</v>
      </c>
      <c r="F913" t="s">
        <v>294</v>
      </c>
      <c r="G913" t="s">
        <v>43</v>
      </c>
      <c r="H913" t="s">
        <v>128</v>
      </c>
      <c r="I913" s="1">
        <v>1</v>
      </c>
      <c r="J913" s="2">
        <v>5862.07</v>
      </c>
    </row>
    <row r="914" spans="2:10" x14ac:dyDescent="0.2">
      <c r="B914" t="s">
        <v>933</v>
      </c>
      <c r="C914" t="s">
        <v>10</v>
      </c>
      <c r="D914" t="s">
        <v>934</v>
      </c>
      <c r="E914" t="s">
        <v>12</v>
      </c>
      <c r="F914" t="s">
        <v>13</v>
      </c>
      <c r="G914" t="s">
        <v>1034</v>
      </c>
      <c r="H914" t="s">
        <v>15</v>
      </c>
      <c r="I914" s="1">
        <v>1</v>
      </c>
      <c r="J914" s="2">
        <v>1077.5899999999999</v>
      </c>
    </row>
    <row r="915" spans="2:10" x14ac:dyDescent="0.2">
      <c r="B915" t="s">
        <v>933</v>
      </c>
      <c r="C915" t="s">
        <v>10</v>
      </c>
      <c r="D915" t="s">
        <v>934</v>
      </c>
      <c r="E915" t="s">
        <v>36</v>
      </c>
      <c r="F915" t="s">
        <v>37</v>
      </c>
      <c r="G915" t="s">
        <v>1034</v>
      </c>
      <c r="H915" t="s">
        <v>15</v>
      </c>
      <c r="I915" s="1">
        <v>2</v>
      </c>
      <c r="J915" s="2">
        <v>603.44000000000005</v>
      </c>
    </row>
    <row r="916" spans="2:10" x14ac:dyDescent="0.2">
      <c r="B916" t="s">
        <v>933</v>
      </c>
      <c r="C916" t="s">
        <v>10</v>
      </c>
      <c r="D916" t="s">
        <v>934</v>
      </c>
      <c r="E916" t="s">
        <v>72</v>
      </c>
      <c r="F916" t="s">
        <v>73</v>
      </c>
      <c r="G916" t="s">
        <v>1034</v>
      </c>
      <c r="H916" t="s">
        <v>15</v>
      </c>
      <c r="I916" s="1">
        <v>1</v>
      </c>
      <c r="J916" s="2">
        <v>775.86</v>
      </c>
    </row>
    <row r="917" spans="2:10" x14ac:dyDescent="0.2">
      <c r="B917" t="s">
        <v>933</v>
      </c>
      <c r="C917" t="s">
        <v>10</v>
      </c>
      <c r="D917" t="s">
        <v>934</v>
      </c>
      <c r="E917" t="s">
        <v>623</v>
      </c>
      <c r="F917" t="s">
        <v>624</v>
      </c>
      <c r="G917" t="s">
        <v>76</v>
      </c>
      <c r="H917" t="s">
        <v>60</v>
      </c>
      <c r="I917" s="1">
        <v>1</v>
      </c>
      <c r="J917" s="2">
        <v>344.83</v>
      </c>
    </row>
    <row r="918" spans="2:10" x14ac:dyDescent="0.2">
      <c r="B918" t="s">
        <v>933</v>
      </c>
      <c r="C918" t="s">
        <v>10</v>
      </c>
      <c r="D918" t="s">
        <v>934</v>
      </c>
      <c r="E918" t="s">
        <v>223</v>
      </c>
      <c r="F918" t="s">
        <v>224</v>
      </c>
      <c r="G918" t="s">
        <v>43</v>
      </c>
      <c r="H918" t="s">
        <v>50</v>
      </c>
      <c r="I918" s="1">
        <v>1</v>
      </c>
      <c r="J918" s="2">
        <v>1637.93</v>
      </c>
    </row>
    <row r="919" spans="2:10" x14ac:dyDescent="0.2">
      <c r="B919" t="s">
        <v>933</v>
      </c>
      <c r="C919" t="s">
        <v>10</v>
      </c>
      <c r="D919" t="s">
        <v>934</v>
      </c>
      <c r="E919" t="s">
        <v>310</v>
      </c>
      <c r="F919" t="s">
        <v>311</v>
      </c>
      <c r="G919" t="s">
        <v>1033</v>
      </c>
      <c r="H919" t="s">
        <v>30</v>
      </c>
      <c r="I919" s="1">
        <v>1</v>
      </c>
      <c r="J919" s="2">
        <v>474.14</v>
      </c>
    </row>
    <row r="920" spans="2:10" x14ac:dyDescent="0.2">
      <c r="B920" t="s">
        <v>933</v>
      </c>
      <c r="C920" t="s">
        <v>10</v>
      </c>
      <c r="D920" t="s">
        <v>934</v>
      </c>
      <c r="E920" t="s">
        <v>163</v>
      </c>
      <c r="F920" t="s">
        <v>164</v>
      </c>
      <c r="G920" t="s">
        <v>1034</v>
      </c>
      <c r="H920" t="s">
        <v>15</v>
      </c>
      <c r="I920" s="1">
        <v>1</v>
      </c>
      <c r="J920" s="2">
        <v>431.03</v>
      </c>
    </row>
    <row r="921" spans="2:10" x14ac:dyDescent="0.2">
      <c r="B921" t="s">
        <v>933</v>
      </c>
      <c r="C921" t="s">
        <v>10</v>
      </c>
      <c r="D921" t="s">
        <v>934</v>
      </c>
      <c r="E921" t="s">
        <v>16</v>
      </c>
      <c r="F921" t="s">
        <v>17</v>
      </c>
      <c r="G921" t="s">
        <v>1034</v>
      </c>
      <c r="H921" t="s">
        <v>15</v>
      </c>
      <c r="I921" s="1">
        <v>1</v>
      </c>
      <c r="J921" s="2">
        <v>577.59</v>
      </c>
    </row>
    <row r="922" spans="2:10" x14ac:dyDescent="0.2">
      <c r="B922" t="s">
        <v>933</v>
      </c>
      <c r="C922" t="s">
        <v>10</v>
      </c>
      <c r="D922" t="s">
        <v>934</v>
      </c>
      <c r="E922" t="s">
        <v>935</v>
      </c>
      <c r="F922" t="s">
        <v>936</v>
      </c>
      <c r="G922" t="s">
        <v>43</v>
      </c>
      <c r="H922" t="s">
        <v>572</v>
      </c>
      <c r="I922" s="1">
        <v>1</v>
      </c>
      <c r="J922" s="2">
        <v>456.9</v>
      </c>
    </row>
    <row r="923" spans="2:10" x14ac:dyDescent="0.2">
      <c r="B923" t="s">
        <v>933</v>
      </c>
      <c r="C923" t="s">
        <v>18</v>
      </c>
      <c r="D923" t="s">
        <v>277</v>
      </c>
      <c r="E923" t="s">
        <v>173</v>
      </c>
      <c r="F923" t="s">
        <v>174</v>
      </c>
      <c r="G923" t="s">
        <v>14</v>
      </c>
      <c r="H923" t="s">
        <v>35</v>
      </c>
      <c r="I923" s="1">
        <v>1</v>
      </c>
      <c r="J923" s="2">
        <v>60.34</v>
      </c>
    </row>
    <row r="924" spans="2:10" x14ac:dyDescent="0.2">
      <c r="B924" t="s">
        <v>933</v>
      </c>
      <c r="C924" t="s">
        <v>18</v>
      </c>
      <c r="D924" t="s">
        <v>277</v>
      </c>
      <c r="E924" t="s">
        <v>937</v>
      </c>
      <c r="F924" t="s">
        <v>938</v>
      </c>
      <c r="G924" t="s">
        <v>43</v>
      </c>
      <c r="H924" t="s">
        <v>403</v>
      </c>
      <c r="I924" s="1">
        <v>1</v>
      </c>
      <c r="J924" s="2">
        <v>159.47999999999999</v>
      </c>
    </row>
    <row r="925" spans="2:10" x14ac:dyDescent="0.2">
      <c r="B925" t="s">
        <v>933</v>
      </c>
      <c r="C925" t="s">
        <v>18</v>
      </c>
      <c r="D925" t="s">
        <v>277</v>
      </c>
      <c r="E925" t="s">
        <v>36</v>
      </c>
      <c r="F925" t="s">
        <v>37</v>
      </c>
      <c r="G925" t="s">
        <v>1034</v>
      </c>
      <c r="H925" t="s">
        <v>15</v>
      </c>
      <c r="I925" s="1">
        <v>1</v>
      </c>
      <c r="J925" s="2">
        <v>301.72000000000003</v>
      </c>
    </row>
    <row r="926" spans="2:10" x14ac:dyDescent="0.2">
      <c r="B926" t="s">
        <v>933</v>
      </c>
      <c r="C926" t="s">
        <v>18</v>
      </c>
      <c r="D926" t="s">
        <v>277</v>
      </c>
      <c r="E926" t="s">
        <v>153</v>
      </c>
      <c r="F926" t="s">
        <v>154</v>
      </c>
      <c r="G926" t="s">
        <v>1034</v>
      </c>
      <c r="H926" t="s">
        <v>15</v>
      </c>
      <c r="I926" s="1">
        <v>1</v>
      </c>
      <c r="J926" s="2">
        <v>387.93</v>
      </c>
    </row>
    <row r="927" spans="2:10" x14ac:dyDescent="0.2">
      <c r="B927" t="s">
        <v>933</v>
      </c>
      <c r="C927" t="s">
        <v>18</v>
      </c>
      <c r="D927" t="s">
        <v>277</v>
      </c>
      <c r="E927" t="s">
        <v>56</v>
      </c>
      <c r="F927" t="s">
        <v>57</v>
      </c>
      <c r="G927" t="s">
        <v>1034</v>
      </c>
      <c r="H927" t="s">
        <v>15</v>
      </c>
      <c r="I927" s="1">
        <v>1</v>
      </c>
      <c r="J927" s="2">
        <v>431.03</v>
      </c>
    </row>
    <row r="928" spans="2:10" x14ac:dyDescent="0.2">
      <c r="B928" t="s">
        <v>933</v>
      </c>
      <c r="C928" t="s">
        <v>18</v>
      </c>
      <c r="D928" t="s">
        <v>277</v>
      </c>
      <c r="E928" t="s">
        <v>63</v>
      </c>
      <c r="F928" t="s">
        <v>64</v>
      </c>
      <c r="G928" t="s">
        <v>1034</v>
      </c>
      <c r="H928" t="s">
        <v>15</v>
      </c>
      <c r="I928" s="1">
        <v>1</v>
      </c>
      <c r="J928" s="2">
        <v>172.41</v>
      </c>
    </row>
    <row r="929" spans="2:10" x14ac:dyDescent="0.2">
      <c r="B929" t="s">
        <v>933</v>
      </c>
      <c r="C929" t="s">
        <v>18</v>
      </c>
      <c r="D929" t="s">
        <v>277</v>
      </c>
      <c r="E929" t="s">
        <v>16</v>
      </c>
      <c r="F929" t="s">
        <v>17</v>
      </c>
      <c r="G929" t="s">
        <v>1034</v>
      </c>
      <c r="H929" t="s">
        <v>15</v>
      </c>
      <c r="I929" s="1">
        <v>1</v>
      </c>
      <c r="J929" s="2">
        <v>577.59</v>
      </c>
    </row>
    <row r="930" spans="2:10" x14ac:dyDescent="0.2">
      <c r="B930" t="s">
        <v>933</v>
      </c>
      <c r="C930" t="s">
        <v>31</v>
      </c>
      <c r="D930" t="s">
        <v>934</v>
      </c>
      <c r="E930" t="s">
        <v>167</v>
      </c>
      <c r="F930" t="s">
        <v>168</v>
      </c>
      <c r="G930" t="s">
        <v>1033</v>
      </c>
      <c r="H930" t="s">
        <v>30</v>
      </c>
      <c r="I930" s="1">
        <v>1</v>
      </c>
      <c r="J930" s="2">
        <v>1267.24</v>
      </c>
    </row>
    <row r="931" spans="2:10" x14ac:dyDescent="0.2">
      <c r="B931" t="s">
        <v>933</v>
      </c>
      <c r="C931" t="s">
        <v>31</v>
      </c>
      <c r="D931" t="s">
        <v>934</v>
      </c>
      <c r="E931" t="s">
        <v>19</v>
      </c>
      <c r="F931" t="s">
        <v>20</v>
      </c>
      <c r="G931" t="s">
        <v>14</v>
      </c>
      <c r="H931" t="s">
        <v>21</v>
      </c>
      <c r="I931" s="1">
        <v>1</v>
      </c>
      <c r="J931" s="2">
        <v>431.04</v>
      </c>
    </row>
    <row r="932" spans="2:10" x14ac:dyDescent="0.2">
      <c r="B932" t="s">
        <v>933</v>
      </c>
      <c r="C932" t="s">
        <v>31</v>
      </c>
      <c r="D932" t="s">
        <v>934</v>
      </c>
      <c r="E932" t="s">
        <v>70</v>
      </c>
      <c r="F932" t="s">
        <v>71</v>
      </c>
      <c r="G932" t="s">
        <v>1033</v>
      </c>
      <c r="H932" t="s">
        <v>30</v>
      </c>
      <c r="I932" s="1">
        <v>1</v>
      </c>
      <c r="J932" s="2">
        <v>2112.0700000000002</v>
      </c>
    </row>
    <row r="933" spans="2:10" x14ac:dyDescent="0.2">
      <c r="B933" t="s">
        <v>933</v>
      </c>
      <c r="C933" t="s">
        <v>31</v>
      </c>
      <c r="D933" t="s">
        <v>934</v>
      </c>
      <c r="E933" t="s">
        <v>36</v>
      </c>
      <c r="F933" t="s">
        <v>37</v>
      </c>
      <c r="G933" t="s">
        <v>1034</v>
      </c>
      <c r="H933" t="s">
        <v>15</v>
      </c>
      <c r="I933" s="1">
        <v>3</v>
      </c>
      <c r="J933" s="2">
        <v>905.16000000000008</v>
      </c>
    </row>
    <row r="934" spans="2:10" x14ac:dyDescent="0.2">
      <c r="B934" t="s">
        <v>933</v>
      </c>
      <c r="C934" t="s">
        <v>31</v>
      </c>
      <c r="D934" t="s">
        <v>934</v>
      </c>
      <c r="E934" t="s">
        <v>223</v>
      </c>
      <c r="F934" t="s">
        <v>224</v>
      </c>
      <c r="G934" t="s">
        <v>43</v>
      </c>
      <c r="H934" t="s">
        <v>50</v>
      </c>
      <c r="I934" s="1">
        <v>1</v>
      </c>
      <c r="J934" s="2">
        <v>1637.93</v>
      </c>
    </row>
    <row r="935" spans="2:10" x14ac:dyDescent="0.2">
      <c r="B935" t="s">
        <v>933</v>
      </c>
      <c r="C935" t="s">
        <v>31</v>
      </c>
      <c r="D935" t="s">
        <v>934</v>
      </c>
      <c r="E935" t="s">
        <v>231</v>
      </c>
      <c r="F935" t="s">
        <v>232</v>
      </c>
      <c r="G935" t="s">
        <v>43</v>
      </c>
      <c r="H935" t="s">
        <v>50</v>
      </c>
      <c r="I935" s="1">
        <v>1</v>
      </c>
      <c r="J935" s="2">
        <v>3017.24</v>
      </c>
    </row>
    <row r="936" spans="2:10" x14ac:dyDescent="0.2">
      <c r="B936" t="s">
        <v>933</v>
      </c>
      <c r="C936" t="s">
        <v>31</v>
      </c>
      <c r="D936" t="s">
        <v>934</v>
      </c>
      <c r="E936" t="s">
        <v>61</v>
      </c>
      <c r="F936" t="s">
        <v>62</v>
      </c>
      <c r="G936" t="s">
        <v>1034</v>
      </c>
      <c r="H936" t="s">
        <v>15</v>
      </c>
      <c r="I936" s="1">
        <v>1</v>
      </c>
      <c r="J936" s="2">
        <v>172.41</v>
      </c>
    </row>
    <row r="937" spans="2:10" x14ac:dyDescent="0.2">
      <c r="B937" t="s">
        <v>933</v>
      </c>
      <c r="C937" t="s">
        <v>31</v>
      </c>
      <c r="D937" t="s">
        <v>934</v>
      </c>
      <c r="E937" t="s">
        <v>16</v>
      </c>
      <c r="F937" t="s">
        <v>17</v>
      </c>
      <c r="G937" t="s">
        <v>1034</v>
      </c>
      <c r="H937" t="s">
        <v>15</v>
      </c>
      <c r="I937" s="1">
        <v>2</v>
      </c>
      <c r="J937" s="2">
        <v>1155.18</v>
      </c>
    </row>
    <row r="938" spans="2:10" x14ac:dyDescent="0.2">
      <c r="B938" t="s">
        <v>933</v>
      </c>
      <c r="C938" t="s">
        <v>31</v>
      </c>
      <c r="D938" t="s">
        <v>934</v>
      </c>
      <c r="E938" t="s">
        <v>193</v>
      </c>
      <c r="F938" t="s">
        <v>194</v>
      </c>
      <c r="G938" t="s">
        <v>1034</v>
      </c>
      <c r="H938" t="s">
        <v>15</v>
      </c>
      <c r="I938" s="1">
        <v>1</v>
      </c>
      <c r="J938" s="2">
        <v>1293.0999999999999</v>
      </c>
    </row>
    <row r="939" spans="2:10" x14ac:dyDescent="0.2">
      <c r="B939" t="s">
        <v>933</v>
      </c>
      <c r="C939" t="s">
        <v>40</v>
      </c>
      <c r="D939" t="s">
        <v>934</v>
      </c>
      <c r="E939" t="s">
        <v>798</v>
      </c>
      <c r="F939" t="s">
        <v>799</v>
      </c>
      <c r="G939" t="s">
        <v>14</v>
      </c>
      <c r="H939" t="s">
        <v>60</v>
      </c>
      <c r="I939" s="1">
        <v>1</v>
      </c>
      <c r="J939" s="2">
        <v>327.58999999999997</v>
      </c>
    </row>
    <row r="940" spans="2:10" x14ac:dyDescent="0.2">
      <c r="B940" t="s">
        <v>933</v>
      </c>
      <c r="C940" t="s">
        <v>40</v>
      </c>
      <c r="D940" t="s">
        <v>934</v>
      </c>
      <c r="E940" t="s">
        <v>72</v>
      </c>
      <c r="F940" t="s">
        <v>73</v>
      </c>
      <c r="G940" t="s">
        <v>1034</v>
      </c>
      <c r="H940" t="s">
        <v>15</v>
      </c>
      <c r="I940" s="1">
        <v>1</v>
      </c>
      <c r="J940" s="2">
        <v>775.86</v>
      </c>
    </row>
    <row r="941" spans="2:10" x14ac:dyDescent="0.2">
      <c r="B941" t="s">
        <v>933</v>
      </c>
      <c r="C941" t="s">
        <v>40</v>
      </c>
      <c r="D941" t="s">
        <v>934</v>
      </c>
      <c r="E941" t="s">
        <v>122</v>
      </c>
      <c r="F941" t="s">
        <v>123</v>
      </c>
      <c r="G941" t="s">
        <v>1034</v>
      </c>
      <c r="H941" t="s">
        <v>15</v>
      </c>
      <c r="I941" s="1">
        <v>1</v>
      </c>
      <c r="J941" s="2">
        <v>387.93</v>
      </c>
    </row>
    <row r="942" spans="2:10" x14ac:dyDescent="0.2">
      <c r="B942" t="s">
        <v>933</v>
      </c>
      <c r="C942" t="s">
        <v>40</v>
      </c>
      <c r="D942" t="s">
        <v>934</v>
      </c>
      <c r="E942" t="s">
        <v>74</v>
      </c>
      <c r="F942" t="s">
        <v>75</v>
      </c>
      <c r="G942" t="s">
        <v>76</v>
      </c>
      <c r="H942" t="s">
        <v>60</v>
      </c>
      <c r="I942" s="1">
        <v>1</v>
      </c>
      <c r="J942" s="2">
        <v>344.83</v>
      </c>
    </row>
    <row r="943" spans="2:10" x14ac:dyDescent="0.2">
      <c r="B943" t="s">
        <v>933</v>
      </c>
      <c r="C943" t="s">
        <v>40</v>
      </c>
      <c r="D943" t="s">
        <v>934</v>
      </c>
      <c r="E943" t="s">
        <v>22</v>
      </c>
      <c r="F943" t="s">
        <v>23</v>
      </c>
      <c r="G943" t="s">
        <v>14</v>
      </c>
      <c r="H943" t="s">
        <v>24</v>
      </c>
      <c r="I943" s="1">
        <v>1</v>
      </c>
      <c r="J943" s="2">
        <v>215.52</v>
      </c>
    </row>
    <row r="944" spans="2:10" x14ac:dyDescent="0.2">
      <c r="B944" t="s">
        <v>933</v>
      </c>
      <c r="C944" t="s">
        <v>40</v>
      </c>
      <c r="D944" t="s">
        <v>934</v>
      </c>
      <c r="E944" t="s">
        <v>157</v>
      </c>
      <c r="F944" t="s">
        <v>158</v>
      </c>
      <c r="G944" t="s">
        <v>14</v>
      </c>
      <c r="H944" t="s">
        <v>87</v>
      </c>
      <c r="I944" s="1">
        <v>1</v>
      </c>
      <c r="J944" s="2">
        <v>284.48</v>
      </c>
    </row>
    <row r="945" spans="2:10" x14ac:dyDescent="0.2">
      <c r="B945" t="s">
        <v>933</v>
      </c>
      <c r="C945" t="s">
        <v>40</v>
      </c>
      <c r="D945" t="s">
        <v>934</v>
      </c>
      <c r="E945" t="s">
        <v>38</v>
      </c>
      <c r="F945" t="s">
        <v>39</v>
      </c>
      <c r="G945" t="s">
        <v>1034</v>
      </c>
      <c r="H945" t="s">
        <v>15</v>
      </c>
      <c r="I945" s="1">
        <v>2</v>
      </c>
      <c r="J945" s="2">
        <v>862.06</v>
      </c>
    </row>
    <row r="946" spans="2:10" x14ac:dyDescent="0.2">
      <c r="B946" t="s">
        <v>933</v>
      </c>
      <c r="C946" t="s">
        <v>40</v>
      </c>
      <c r="D946" t="s">
        <v>934</v>
      </c>
      <c r="E946" t="s">
        <v>16</v>
      </c>
      <c r="F946" t="s">
        <v>17</v>
      </c>
      <c r="G946" t="s">
        <v>1034</v>
      </c>
      <c r="H946" t="s">
        <v>15</v>
      </c>
      <c r="I946" s="1">
        <v>3</v>
      </c>
      <c r="J946" s="2">
        <v>1732.77</v>
      </c>
    </row>
    <row r="947" spans="2:10" x14ac:dyDescent="0.2">
      <c r="B947" t="s">
        <v>933</v>
      </c>
      <c r="C947" t="s">
        <v>40</v>
      </c>
      <c r="D947" t="s">
        <v>934</v>
      </c>
      <c r="E947" t="s">
        <v>344</v>
      </c>
      <c r="F947" t="s">
        <v>345</v>
      </c>
      <c r="G947" t="s">
        <v>1033</v>
      </c>
      <c r="H947" t="s">
        <v>30</v>
      </c>
      <c r="I947" s="1">
        <v>1</v>
      </c>
      <c r="J947" s="2">
        <v>2163.79</v>
      </c>
    </row>
    <row r="948" spans="2:10" x14ac:dyDescent="0.2">
      <c r="B948" t="s">
        <v>933</v>
      </c>
      <c r="C948" t="s">
        <v>51</v>
      </c>
      <c r="D948" t="s">
        <v>934</v>
      </c>
      <c r="E948" t="s">
        <v>724</v>
      </c>
      <c r="F948" t="s">
        <v>725</v>
      </c>
      <c r="G948" t="s">
        <v>43</v>
      </c>
      <c r="H948" t="s">
        <v>50</v>
      </c>
      <c r="I948" s="1">
        <v>1</v>
      </c>
      <c r="J948" s="2">
        <v>1810.34</v>
      </c>
    </row>
    <row r="949" spans="2:10" x14ac:dyDescent="0.2">
      <c r="B949" t="s">
        <v>933</v>
      </c>
      <c r="C949" t="s">
        <v>51</v>
      </c>
      <c r="D949" t="s">
        <v>934</v>
      </c>
      <c r="E949" t="s">
        <v>251</v>
      </c>
      <c r="F949" t="s">
        <v>252</v>
      </c>
      <c r="G949" t="s">
        <v>1033</v>
      </c>
      <c r="H949" t="s">
        <v>30</v>
      </c>
      <c r="I949" s="1">
        <v>1</v>
      </c>
      <c r="J949" s="2">
        <v>1500</v>
      </c>
    </row>
    <row r="950" spans="2:10" x14ac:dyDescent="0.2">
      <c r="B950" t="s">
        <v>933</v>
      </c>
      <c r="C950" t="s">
        <v>51</v>
      </c>
      <c r="D950" t="s">
        <v>934</v>
      </c>
      <c r="E950" t="s">
        <v>72</v>
      </c>
      <c r="F950" t="s">
        <v>73</v>
      </c>
      <c r="G950" t="s">
        <v>1034</v>
      </c>
      <c r="H950" t="s">
        <v>15</v>
      </c>
      <c r="I950" s="1">
        <v>1</v>
      </c>
      <c r="J950" s="2">
        <v>775.86</v>
      </c>
    </row>
    <row r="951" spans="2:10" x14ac:dyDescent="0.2">
      <c r="B951" t="s">
        <v>933</v>
      </c>
      <c r="C951" t="s">
        <v>51</v>
      </c>
      <c r="D951" t="s">
        <v>934</v>
      </c>
      <c r="E951" t="s">
        <v>122</v>
      </c>
      <c r="F951" t="s">
        <v>123</v>
      </c>
      <c r="G951" t="s">
        <v>1034</v>
      </c>
      <c r="H951" t="s">
        <v>15</v>
      </c>
      <c r="I951" s="1">
        <v>1</v>
      </c>
      <c r="J951" s="2">
        <v>387.93</v>
      </c>
    </row>
    <row r="952" spans="2:10" x14ac:dyDescent="0.2">
      <c r="B952" t="s">
        <v>933</v>
      </c>
      <c r="C952" t="s">
        <v>51</v>
      </c>
      <c r="D952" t="s">
        <v>934</v>
      </c>
      <c r="E952" t="s">
        <v>312</v>
      </c>
      <c r="F952" t="s">
        <v>313</v>
      </c>
      <c r="G952" t="s">
        <v>1033</v>
      </c>
      <c r="H952" t="s">
        <v>30</v>
      </c>
      <c r="I952" s="1">
        <v>1</v>
      </c>
      <c r="J952" s="2">
        <v>603.45000000000005</v>
      </c>
    </row>
    <row r="953" spans="2:10" x14ac:dyDescent="0.2">
      <c r="B953" t="s">
        <v>933</v>
      </c>
      <c r="C953" t="s">
        <v>51</v>
      </c>
      <c r="D953" t="s">
        <v>934</v>
      </c>
      <c r="E953" t="s">
        <v>231</v>
      </c>
      <c r="F953" t="s">
        <v>232</v>
      </c>
      <c r="G953" t="s">
        <v>43</v>
      </c>
      <c r="H953" t="s">
        <v>50</v>
      </c>
      <c r="I953" s="1">
        <v>1</v>
      </c>
      <c r="J953" s="2">
        <v>3017.24</v>
      </c>
    </row>
    <row r="954" spans="2:10" x14ac:dyDescent="0.2">
      <c r="B954" t="s">
        <v>933</v>
      </c>
      <c r="C954" t="s">
        <v>51</v>
      </c>
      <c r="D954" t="s">
        <v>934</v>
      </c>
      <c r="E954" t="s">
        <v>16</v>
      </c>
      <c r="F954" t="s">
        <v>17</v>
      </c>
      <c r="G954" t="s">
        <v>1034</v>
      </c>
      <c r="H954" t="s">
        <v>15</v>
      </c>
      <c r="I954" s="1">
        <v>1</v>
      </c>
      <c r="J954" s="2">
        <v>577.59</v>
      </c>
    </row>
    <row r="955" spans="2:10" x14ac:dyDescent="0.2">
      <c r="B955" t="s">
        <v>933</v>
      </c>
      <c r="C955" t="s">
        <v>51</v>
      </c>
      <c r="D955" t="s">
        <v>934</v>
      </c>
      <c r="E955" t="s">
        <v>416</v>
      </c>
      <c r="F955" t="s">
        <v>417</v>
      </c>
      <c r="G955" t="s">
        <v>1033</v>
      </c>
      <c r="H955" t="s">
        <v>30</v>
      </c>
      <c r="I955" s="1">
        <v>1</v>
      </c>
      <c r="J955" s="2">
        <v>2258.62</v>
      </c>
    </row>
    <row r="956" spans="2:10" x14ac:dyDescent="0.2">
      <c r="B956" t="s">
        <v>933</v>
      </c>
      <c r="C956" t="s">
        <v>65</v>
      </c>
      <c r="D956" t="s">
        <v>934</v>
      </c>
      <c r="E956" t="s">
        <v>19</v>
      </c>
      <c r="F956" t="s">
        <v>20</v>
      </c>
      <c r="G956" t="s">
        <v>14</v>
      </c>
      <c r="H956" t="s">
        <v>21</v>
      </c>
      <c r="I956" s="1">
        <v>1</v>
      </c>
      <c r="J956" s="2">
        <v>431.04</v>
      </c>
    </row>
    <row r="957" spans="2:10" x14ac:dyDescent="0.2">
      <c r="B957" t="s">
        <v>933</v>
      </c>
      <c r="C957" t="s">
        <v>65</v>
      </c>
      <c r="D957" t="s">
        <v>934</v>
      </c>
      <c r="E957" t="s">
        <v>122</v>
      </c>
      <c r="F957" t="s">
        <v>123</v>
      </c>
      <c r="G957" t="s">
        <v>1034</v>
      </c>
      <c r="H957" t="s">
        <v>15</v>
      </c>
      <c r="I957" s="1">
        <v>1</v>
      </c>
      <c r="J957" s="2">
        <v>387.93</v>
      </c>
    </row>
    <row r="958" spans="2:10" x14ac:dyDescent="0.2">
      <c r="B958" t="s">
        <v>933</v>
      </c>
      <c r="C958" t="s">
        <v>65</v>
      </c>
      <c r="D958" t="s">
        <v>934</v>
      </c>
      <c r="E958" t="s">
        <v>38</v>
      </c>
      <c r="F958" t="s">
        <v>39</v>
      </c>
      <c r="G958" t="s">
        <v>1034</v>
      </c>
      <c r="H958" t="s">
        <v>15</v>
      </c>
      <c r="I958" s="1">
        <v>1</v>
      </c>
      <c r="J958" s="2">
        <v>431.03</v>
      </c>
    </row>
    <row r="959" spans="2:10" x14ac:dyDescent="0.2">
      <c r="B959" t="s">
        <v>933</v>
      </c>
      <c r="C959" t="s">
        <v>82</v>
      </c>
      <c r="D959" t="s">
        <v>934</v>
      </c>
      <c r="E959" t="s">
        <v>318</v>
      </c>
      <c r="F959" t="s">
        <v>319</v>
      </c>
      <c r="G959" t="s">
        <v>1033</v>
      </c>
      <c r="H959" t="s">
        <v>30</v>
      </c>
      <c r="I959" s="1">
        <v>1</v>
      </c>
      <c r="J959" s="2">
        <v>456.9</v>
      </c>
    </row>
    <row r="960" spans="2:10" x14ac:dyDescent="0.2">
      <c r="B960" t="s">
        <v>933</v>
      </c>
      <c r="C960" t="s">
        <v>82</v>
      </c>
      <c r="D960" t="s">
        <v>934</v>
      </c>
      <c r="E960" t="s">
        <v>44</v>
      </c>
      <c r="F960" t="s">
        <v>45</v>
      </c>
      <c r="G960" t="s">
        <v>1033</v>
      </c>
      <c r="H960" t="s">
        <v>30</v>
      </c>
      <c r="I960" s="1">
        <v>1</v>
      </c>
      <c r="J960" s="2">
        <v>81.900000000000006</v>
      </c>
    </row>
    <row r="961" spans="2:10" x14ac:dyDescent="0.2">
      <c r="B961" t="s">
        <v>933</v>
      </c>
      <c r="C961" t="s">
        <v>82</v>
      </c>
      <c r="D961" t="s">
        <v>934</v>
      </c>
      <c r="E961" t="s">
        <v>169</v>
      </c>
      <c r="F961" t="s">
        <v>170</v>
      </c>
      <c r="G961" t="s">
        <v>1033</v>
      </c>
      <c r="H961" t="s">
        <v>30</v>
      </c>
      <c r="I961" s="1">
        <v>1</v>
      </c>
      <c r="J961" s="2">
        <v>258.62</v>
      </c>
    </row>
    <row r="962" spans="2:10" x14ac:dyDescent="0.2">
      <c r="B962" t="s">
        <v>933</v>
      </c>
      <c r="C962" t="s">
        <v>82</v>
      </c>
      <c r="D962" t="s">
        <v>934</v>
      </c>
      <c r="E962" t="s">
        <v>573</v>
      </c>
      <c r="F962" t="s">
        <v>574</v>
      </c>
      <c r="G962" t="s">
        <v>1033</v>
      </c>
      <c r="H962" t="s">
        <v>30</v>
      </c>
      <c r="I962" s="1">
        <v>1</v>
      </c>
      <c r="J962" s="2">
        <v>775.86</v>
      </c>
    </row>
    <row r="963" spans="2:10" x14ac:dyDescent="0.2">
      <c r="B963" t="s">
        <v>933</v>
      </c>
      <c r="C963" t="s">
        <v>82</v>
      </c>
      <c r="D963" t="s">
        <v>934</v>
      </c>
      <c r="E963" t="s">
        <v>36</v>
      </c>
      <c r="F963" t="s">
        <v>37</v>
      </c>
      <c r="G963" t="s">
        <v>1034</v>
      </c>
      <c r="H963" t="s">
        <v>15</v>
      </c>
      <c r="I963" s="1">
        <v>1</v>
      </c>
      <c r="J963" s="2">
        <v>301.72000000000003</v>
      </c>
    </row>
    <row r="964" spans="2:10" x14ac:dyDescent="0.2">
      <c r="B964" t="s">
        <v>933</v>
      </c>
      <c r="C964" t="s">
        <v>82</v>
      </c>
      <c r="D964" t="s">
        <v>934</v>
      </c>
      <c r="E964" t="s">
        <v>101</v>
      </c>
      <c r="F964" t="s">
        <v>102</v>
      </c>
      <c r="G964" t="s">
        <v>103</v>
      </c>
      <c r="H964" t="s">
        <v>104</v>
      </c>
      <c r="I964" s="1">
        <v>7</v>
      </c>
      <c r="J964" s="2">
        <v>7.0000000000000007E-2</v>
      </c>
    </row>
    <row r="965" spans="2:10" x14ac:dyDescent="0.2">
      <c r="B965" t="s">
        <v>933</v>
      </c>
      <c r="C965" t="s">
        <v>82</v>
      </c>
      <c r="D965" t="s">
        <v>934</v>
      </c>
      <c r="E965" t="s">
        <v>336</v>
      </c>
      <c r="F965" t="s">
        <v>337</v>
      </c>
      <c r="G965" t="s">
        <v>1034</v>
      </c>
      <c r="H965" t="s">
        <v>15</v>
      </c>
      <c r="I965" s="1">
        <v>1</v>
      </c>
      <c r="J965" s="2">
        <v>387.93</v>
      </c>
    </row>
    <row r="966" spans="2:10" x14ac:dyDescent="0.2">
      <c r="B966" t="s">
        <v>933</v>
      </c>
      <c r="C966" t="s">
        <v>82</v>
      </c>
      <c r="D966" t="s">
        <v>934</v>
      </c>
      <c r="E966" t="s">
        <v>122</v>
      </c>
      <c r="F966" t="s">
        <v>123</v>
      </c>
      <c r="G966" t="s">
        <v>1034</v>
      </c>
      <c r="H966" t="s">
        <v>15</v>
      </c>
      <c r="I966" s="1">
        <v>1</v>
      </c>
      <c r="J966" s="2">
        <v>387.93</v>
      </c>
    </row>
    <row r="967" spans="2:10" x14ac:dyDescent="0.2">
      <c r="B967" t="s">
        <v>933</v>
      </c>
      <c r="C967" t="s">
        <v>82</v>
      </c>
      <c r="D967" t="s">
        <v>934</v>
      </c>
      <c r="E967" t="s">
        <v>153</v>
      </c>
      <c r="F967" t="s">
        <v>154</v>
      </c>
      <c r="G967" t="s">
        <v>1034</v>
      </c>
      <c r="H967" t="s">
        <v>15</v>
      </c>
      <c r="I967" s="1">
        <v>1</v>
      </c>
      <c r="J967" s="2">
        <v>387.93</v>
      </c>
    </row>
    <row r="968" spans="2:10" x14ac:dyDescent="0.2">
      <c r="B968" t="s">
        <v>933</v>
      </c>
      <c r="C968" t="s">
        <v>82</v>
      </c>
      <c r="D968" t="s">
        <v>934</v>
      </c>
      <c r="E968" t="s">
        <v>56</v>
      </c>
      <c r="F968" t="s">
        <v>57</v>
      </c>
      <c r="G968" t="s">
        <v>1034</v>
      </c>
      <c r="H968" t="s">
        <v>15</v>
      </c>
      <c r="I968" s="1">
        <v>3</v>
      </c>
      <c r="J968" s="2">
        <v>1293.0999999999999</v>
      </c>
    </row>
    <row r="969" spans="2:10" x14ac:dyDescent="0.2">
      <c r="B969" t="s">
        <v>933</v>
      </c>
      <c r="C969" t="s">
        <v>82</v>
      </c>
      <c r="D969" t="s">
        <v>934</v>
      </c>
      <c r="E969" t="s">
        <v>61</v>
      </c>
      <c r="F969" t="s">
        <v>62</v>
      </c>
      <c r="G969" t="s">
        <v>1034</v>
      </c>
      <c r="H969" t="s">
        <v>15</v>
      </c>
      <c r="I969" s="1">
        <v>1</v>
      </c>
      <c r="J969" s="2">
        <v>172.41</v>
      </c>
    </row>
    <row r="970" spans="2:10" x14ac:dyDescent="0.2">
      <c r="B970" t="s">
        <v>933</v>
      </c>
      <c r="C970" t="s">
        <v>82</v>
      </c>
      <c r="D970" t="s">
        <v>934</v>
      </c>
      <c r="E970" t="s">
        <v>63</v>
      </c>
      <c r="F970" t="s">
        <v>64</v>
      </c>
      <c r="G970" t="s">
        <v>1034</v>
      </c>
      <c r="H970" t="s">
        <v>15</v>
      </c>
      <c r="I970" s="1">
        <v>1</v>
      </c>
      <c r="J970" s="2">
        <v>172.41</v>
      </c>
    </row>
    <row r="971" spans="2:10" x14ac:dyDescent="0.2">
      <c r="B971" t="s">
        <v>933</v>
      </c>
      <c r="C971" t="s">
        <v>88</v>
      </c>
      <c r="D971" t="s">
        <v>277</v>
      </c>
      <c r="E971" t="s">
        <v>167</v>
      </c>
      <c r="F971" t="s">
        <v>168</v>
      </c>
      <c r="G971" t="s">
        <v>1033</v>
      </c>
      <c r="H971" t="s">
        <v>30</v>
      </c>
      <c r="I971" s="1">
        <v>1</v>
      </c>
      <c r="J971" s="2">
        <v>1267.24</v>
      </c>
    </row>
    <row r="972" spans="2:10" x14ac:dyDescent="0.2">
      <c r="B972" t="s">
        <v>933</v>
      </c>
      <c r="C972" t="s">
        <v>88</v>
      </c>
      <c r="D972" t="s">
        <v>277</v>
      </c>
      <c r="E972" t="s">
        <v>621</v>
      </c>
      <c r="F972" t="s">
        <v>622</v>
      </c>
      <c r="G972" t="s">
        <v>14</v>
      </c>
      <c r="H972" t="s">
        <v>27</v>
      </c>
      <c r="I972" s="1">
        <v>1</v>
      </c>
      <c r="J972" s="2">
        <v>413.79</v>
      </c>
    </row>
    <row r="973" spans="2:10" x14ac:dyDescent="0.2">
      <c r="B973" t="s">
        <v>933</v>
      </c>
      <c r="C973" t="s">
        <v>88</v>
      </c>
      <c r="D973" t="s">
        <v>277</v>
      </c>
      <c r="E973" t="s">
        <v>221</v>
      </c>
      <c r="F973" t="s">
        <v>222</v>
      </c>
      <c r="G973" t="s">
        <v>1034</v>
      </c>
      <c r="H973" t="s">
        <v>15</v>
      </c>
      <c r="I973" s="1">
        <v>1</v>
      </c>
      <c r="J973" s="2">
        <v>431.03</v>
      </c>
    </row>
    <row r="974" spans="2:10" x14ac:dyDescent="0.2">
      <c r="B974" t="s">
        <v>933</v>
      </c>
      <c r="C974" t="s">
        <v>88</v>
      </c>
      <c r="D974" t="s">
        <v>277</v>
      </c>
      <c r="E974" t="s">
        <v>573</v>
      </c>
      <c r="F974" t="s">
        <v>574</v>
      </c>
      <c r="G974" t="s">
        <v>1033</v>
      </c>
      <c r="H974" t="s">
        <v>30</v>
      </c>
      <c r="I974" s="1">
        <v>1</v>
      </c>
      <c r="J974" s="2">
        <v>775.86</v>
      </c>
    </row>
    <row r="975" spans="2:10" x14ac:dyDescent="0.2">
      <c r="B975" t="s">
        <v>933</v>
      </c>
      <c r="C975" t="s">
        <v>88</v>
      </c>
      <c r="D975" t="s">
        <v>277</v>
      </c>
      <c r="E975" t="s">
        <v>72</v>
      </c>
      <c r="F975" t="s">
        <v>73</v>
      </c>
      <c r="G975" t="s">
        <v>1034</v>
      </c>
      <c r="H975" t="s">
        <v>15</v>
      </c>
      <c r="I975" s="1">
        <v>1</v>
      </c>
      <c r="J975" s="2">
        <v>775.86</v>
      </c>
    </row>
    <row r="976" spans="2:10" x14ac:dyDescent="0.2">
      <c r="B976" t="s">
        <v>933</v>
      </c>
      <c r="C976" t="s">
        <v>88</v>
      </c>
      <c r="D976" t="s">
        <v>277</v>
      </c>
      <c r="E976" t="s">
        <v>285</v>
      </c>
      <c r="F976" t="s">
        <v>286</v>
      </c>
      <c r="G976" t="s">
        <v>1033</v>
      </c>
      <c r="H976" t="s">
        <v>30</v>
      </c>
      <c r="I976" s="1">
        <v>1</v>
      </c>
      <c r="J976" s="2">
        <v>1034.48</v>
      </c>
    </row>
    <row r="977" spans="2:10" x14ac:dyDescent="0.2">
      <c r="B977" t="s">
        <v>933</v>
      </c>
      <c r="C977" t="s">
        <v>88</v>
      </c>
      <c r="D977" t="s">
        <v>277</v>
      </c>
      <c r="E977" t="s">
        <v>22</v>
      </c>
      <c r="F977" t="s">
        <v>23</v>
      </c>
      <c r="G977" t="s">
        <v>14</v>
      </c>
      <c r="H977" t="s">
        <v>24</v>
      </c>
      <c r="I977" s="1">
        <v>1</v>
      </c>
      <c r="J977" s="2">
        <v>215.52</v>
      </c>
    </row>
    <row r="978" spans="2:10" x14ac:dyDescent="0.2">
      <c r="B978" t="s">
        <v>933</v>
      </c>
      <c r="C978" t="s">
        <v>88</v>
      </c>
      <c r="D978" t="s">
        <v>277</v>
      </c>
      <c r="E978" t="s">
        <v>56</v>
      </c>
      <c r="F978" t="s">
        <v>57</v>
      </c>
      <c r="G978" t="s">
        <v>1034</v>
      </c>
      <c r="H978" t="s">
        <v>15</v>
      </c>
      <c r="I978" s="1">
        <v>1</v>
      </c>
      <c r="J978" s="2">
        <v>431.03</v>
      </c>
    </row>
    <row r="979" spans="2:10" x14ac:dyDescent="0.2">
      <c r="B979" t="s">
        <v>933</v>
      </c>
      <c r="C979" t="s">
        <v>88</v>
      </c>
      <c r="D979" t="s">
        <v>277</v>
      </c>
      <c r="E979" t="s">
        <v>521</v>
      </c>
      <c r="F979" t="s">
        <v>522</v>
      </c>
      <c r="G979" t="s">
        <v>14</v>
      </c>
      <c r="H979" t="s">
        <v>104</v>
      </c>
      <c r="I979" s="1">
        <v>2</v>
      </c>
      <c r="J979" s="2">
        <v>43.1</v>
      </c>
    </row>
    <row r="980" spans="2:10" x14ac:dyDescent="0.2">
      <c r="B980" t="s">
        <v>933</v>
      </c>
      <c r="C980" t="s">
        <v>88</v>
      </c>
      <c r="D980" t="s">
        <v>277</v>
      </c>
      <c r="E980" t="s">
        <v>406</v>
      </c>
      <c r="F980" t="s">
        <v>407</v>
      </c>
      <c r="G980" t="s">
        <v>14</v>
      </c>
      <c r="H980" t="s">
        <v>104</v>
      </c>
      <c r="I980" s="1">
        <v>2</v>
      </c>
      <c r="J980" s="2">
        <v>34.479999999999997</v>
      </c>
    </row>
    <row r="981" spans="2:10" x14ac:dyDescent="0.2">
      <c r="B981" t="s">
        <v>933</v>
      </c>
      <c r="C981" t="s">
        <v>88</v>
      </c>
      <c r="D981" t="s">
        <v>277</v>
      </c>
      <c r="E981" t="s">
        <v>193</v>
      </c>
      <c r="F981" t="s">
        <v>194</v>
      </c>
      <c r="G981" t="s">
        <v>1034</v>
      </c>
      <c r="H981" t="s">
        <v>15</v>
      </c>
      <c r="I981" s="1">
        <v>1</v>
      </c>
      <c r="J981" s="2">
        <v>1293.0999999999999</v>
      </c>
    </row>
    <row r="982" spans="2:10" x14ac:dyDescent="0.2">
      <c r="B982" t="s">
        <v>933</v>
      </c>
      <c r="C982" t="s">
        <v>117</v>
      </c>
      <c r="D982" t="s">
        <v>934</v>
      </c>
      <c r="E982" t="s">
        <v>44</v>
      </c>
      <c r="F982" t="s">
        <v>45</v>
      </c>
      <c r="G982" t="s">
        <v>1033</v>
      </c>
      <c r="H982" t="s">
        <v>30</v>
      </c>
      <c r="I982" s="1">
        <v>1</v>
      </c>
      <c r="J982" s="2">
        <v>81.900000000000006</v>
      </c>
    </row>
    <row r="983" spans="2:10" x14ac:dyDescent="0.2">
      <c r="B983" t="s">
        <v>933</v>
      </c>
      <c r="C983" t="s">
        <v>117</v>
      </c>
      <c r="D983" t="s">
        <v>934</v>
      </c>
      <c r="E983" t="s">
        <v>19</v>
      </c>
      <c r="F983" t="s">
        <v>20</v>
      </c>
      <c r="G983" t="s">
        <v>14</v>
      </c>
      <c r="H983" t="s">
        <v>21</v>
      </c>
      <c r="I983" s="1">
        <v>1</v>
      </c>
      <c r="J983" s="2">
        <v>431.04</v>
      </c>
    </row>
    <row r="984" spans="2:10" x14ac:dyDescent="0.2">
      <c r="B984" t="s">
        <v>933</v>
      </c>
      <c r="C984" t="s">
        <v>117</v>
      </c>
      <c r="D984" t="s">
        <v>934</v>
      </c>
      <c r="E984" t="s">
        <v>36</v>
      </c>
      <c r="F984" t="s">
        <v>37</v>
      </c>
      <c r="G984" t="s">
        <v>1034</v>
      </c>
      <c r="H984" t="s">
        <v>15</v>
      </c>
      <c r="I984" s="1">
        <v>1</v>
      </c>
      <c r="J984" s="2">
        <v>301.72000000000003</v>
      </c>
    </row>
    <row r="985" spans="2:10" x14ac:dyDescent="0.2">
      <c r="B985" t="s">
        <v>933</v>
      </c>
      <c r="C985" t="s">
        <v>117</v>
      </c>
      <c r="D985" t="s">
        <v>934</v>
      </c>
      <c r="E985" t="s">
        <v>83</v>
      </c>
      <c r="F985" t="s">
        <v>84</v>
      </c>
      <c r="G985" t="s">
        <v>1034</v>
      </c>
      <c r="H985" t="s">
        <v>15</v>
      </c>
      <c r="I985" s="1">
        <v>1</v>
      </c>
      <c r="J985" s="2">
        <v>387.93</v>
      </c>
    </row>
    <row r="986" spans="2:10" x14ac:dyDescent="0.2">
      <c r="B986" t="s">
        <v>933</v>
      </c>
      <c r="C986" t="s">
        <v>117</v>
      </c>
      <c r="D986" t="s">
        <v>934</v>
      </c>
      <c r="E986" t="s">
        <v>444</v>
      </c>
      <c r="F986" t="s">
        <v>445</v>
      </c>
      <c r="G986" t="s">
        <v>14</v>
      </c>
      <c r="H986" t="s">
        <v>27</v>
      </c>
      <c r="I986" s="1">
        <v>1</v>
      </c>
      <c r="J986" s="2">
        <v>508.62</v>
      </c>
    </row>
    <row r="987" spans="2:10" x14ac:dyDescent="0.2">
      <c r="B987" t="s">
        <v>933</v>
      </c>
      <c r="C987" t="s">
        <v>117</v>
      </c>
      <c r="D987" t="s">
        <v>934</v>
      </c>
      <c r="E987" t="s">
        <v>22</v>
      </c>
      <c r="F987" t="s">
        <v>23</v>
      </c>
      <c r="G987" t="s">
        <v>14</v>
      </c>
      <c r="H987" t="s">
        <v>24</v>
      </c>
      <c r="I987" s="1">
        <v>1</v>
      </c>
      <c r="J987" s="2">
        <v>215.52</v>
      </c>
    </row>
    <row r="988" spans="2:10" x14ac:dyDescent="0.2">
      <c r="B988" t="s">
        <v>933</v>
      </c>
      <c r="C988" t="s">
        <v>117</v>
      </c>
      <c r="D988" t="s">
        <v>934</v>
      </c>
      <c r="E988" t="s">
        <v>38</v>
      </c>
      <c r="F988" t="s">
        <v>39</v>
      </c>
      <c r="G988" t="s">
        <v>1034</v>
      </c>
      <c r="H988" t="s">
        <v>15</v>
      </c>
      <c r="I988" s="1">
        <v>1</v>
      </c>
      <c r="J988" s="2">
        <v>431.03</v>
      </c>
    </row>
    <row r="989" spans="2:10" x14ac:dyDescent="0.2">
      <c r="B989" t="s">
        <v>933</v>
      </c>
      <c r="C989" t="s">
        <v>117</v>
      </c>
      <c r="D989" t="s">
        <v>934</v>
      </c>
      <c r="E989" t="s">
        <v>56</v>
      </c>
      <c r="F989" t="s">
        <v>57</v>
      </c>
      <c r="G989" t="s">
        <v>1034</v>
      </c>
      <c r="H989" t="s">
        <v>15</v>
      </c>
      <c r="I989" s="1">
        <v>3</v>
      </c>
      <c r="J989" s="2">
        <v>1293.0899999999999</v>
      </c>
    </row>
    <row r="990" spans="2:10" x14ac:dyDescent="0.2">
      <c r="B990" t="s">
        <v>933</v>
      </c>
      <c r="C990" t="s">
        <v>117</v>
      </c>
      <c r="D990" t="s">
        <v>934</v>
      </c>
      <c r="E990" t="s">
        <v>715</v>
      </c>
      <c r="F990" t="s">
        <v>716</v>
      </c>
      <c r="G990" t="s">
        <v>43</v>
      </c>
      <c r="H990" t="s">
        <v>81</v>
      </c>
      <c r="I990" s="1">
        <v>1</v>
      </c>
      <c r="J990" s="2">
        <v>1637.93</v>
      </c>
    </row>
    <row r="991" spans="2:10" x14ac:dyDescent="0.2">
      <c r="B991" t="s">
        <v>933</v>
      </c>
      <c r="C991" t="s">
        <v>117</v>
      </c>
      <c r="D991" t="s">
        <v>934</v>
      </c>
      <c r="E991" t="s">
        <v>110</v>
      </c>
      <c r="F991" t="s">
        <v>111</v>
      </c>
      <c r="G991" t="s">
        <v>14</v>
      </c>
      <c r="H991" t="s">
        <v>112</v>
      </c>
      <c r="I991" s="1">
        <v>1</v>
      </c>
      <c r="J991" s="2">
        <v>301.72000000000003</v>
      </c>
    </row>
    <row r="992" spans="2:10" x14ac:dyDescent="0.2">
      <c r="B992" t="s">
        <v>933</v>
      </c>
      <c r="C992" t="s">
        <v>129</v>
      </c>
      <c r="D992" t="s">
        <v>934</v>
      </c>
      <c r="E992" t="s">
        <v>46</v>
      </c>
      <c r="F992" t="s">
        <v>47</v>
      </c>
      <c r="G992" t="s">
        <v>1034</v>
      </c>
      <c r="H992" t="s">
        <v>15</v>
      </c>
      <c r="I992" s="1">
        <v>1</v>
      </c>
      <c r="J992" s="2">
        <v>301.72000000000003</v>
      </c>
    </row>
    <row r="993" spans="2:10" x14ac:dyDescent="0.2">
      <c r="B993" t="s">
        <v>933</v>
      </c>
      <c r="C993" t="s">
        <v>129</v>
      </c>
      <c r="D993" t="s">
        <v>934</v>
      </c>
      <c r="E993" t="s">
        <v>251</v>
      </c>
      <c r="F993" t="s">
        <v>252</v>
      </c>
      <c r="G993" t="s">
        <v>1033</v>
      </c>
      <c r="H993" t="s">
        <v>30</v>
      </c>
      <c r="I993" s="1">
        <v>1</v>
      </c>
      <c r="J993" s="2">
        <v>1500</v>
      </c>
    </row>
    <row r="994" spans="2:10" x14ac:dyDescent="0.2">
      <c r="B994" t="s">
        <v>933</v>
      </c>
      <c r="C994" t="s">
        <v>129</v>
      </c>
      <c r="D994" t="s">
        <v>934</v>
      </c>
      <c r="E994" t="s">
        <v>38</v>
      </c>
      <c r="F994" t="s">
        <v>39</v>
      </c>
      <c r="G994" t="s">
        <v>1034</v>
      </c>
      <c r="H994" t="s">
        <v>15</v>
      </c>
      <c r="I994" s="1">
        <v>1</v>
      </c>
      <c r="J994" s="2">
        <v>431.03</v>
      </c>
    </row>
    <row r="995" spans="2:10" x14ac:dyDescent="0.2">
      <c r="B995" t="s">
        <v>933</v>
      </c>
      <c r="C995" t="s">
        <v>129</v>
      </c>
      <c r="D995" t="s">
        <v>934</v>
      </c>
      <c r="E995" t="s">
        <v>774</v>
      </c>
      <c r="F995" t="s">
        <v>775</v>
      </c>
      <c r="G995" t="s">
        <v>1033</v>
      </c>
      <c r="H995" t="s">
        <v>30</v>
      </c>
      <c r="I995" s="1">
        <v>1</v>
      </c>
      <c r="J995" s="2">
        <v>853.45</v>
      </c>
    </row>
    <row r="996" spans="2:10" x14ac:dyDescent="0.2">
      <c r="B996" t="s">
        <v>955</v>
      </c>
      <c r="C996" t="s">
        <v>10</v>
      </c>
      <c r="D996" t="s">
        <v>956</v>
      </c>
      <c r="E996" t="s">
        <v>44</v>
      </c>
      <c r="F996" t="s">
        <v>45</v>
      </c>
      <c r="G996" t="s">
        <v>1033</v>
      </c>
      <c r="H996" t="s">
        <v>30</v>
      </c>
      <c r="I996" s="1">
        <v>2</v>
      </c>
      <c r="J996" s="2">
        <v>163.80000000000001</v>
      </c>
    </row>
    <row r="997" spans="2:10" x14ac:dyDescent="0.2">
      <c r="B997" t="s">
        <v>955</v>
      </c>
      <c r="C997" t="s">
        <v>10</v>
      </c>
      <c r="D997" t="s">
        <v>956</v>
      </c>
      <c r="E997" t="s">
        <v>46</v>
      </c>
      <c r="F997" t="s">
        <v>47</v>
      </c>
      <c r="G997" t="s">
        <v>1034</v>
      </c>
      <c r="H997" t="s">
        <v>15</v>
      </c>
      <c r="I997" s="1">
        <v>1</v>
      </c>
      <c r="J997" s="2">
        <v>301.72000000000003</v>
      </c>
    </row>
    <row r="998" spans="2:10" x14ac:dyDescent="0.2">
      <c r="B998" t="s">
        <v>955</v>
      </c>
      <c r="C998" t="s">
        <v>10</v>
      </c>
      <c r="D998" t="s">
        <v>956</v>
      </c>
      <c r="E998" t="s">
        <v>203</v>
      </c>
      <c r="F998" t="s">
        <v>204</v>
      </c>
      <c r="G998" t="s">
        <v>43</v>
      </c>
      <c r="H998" t="s">
        <v>205</v>
      </c>
      <c r="I998" s="1">
        <v>1</v>
      </c>
      <c r="J998" s="2">
        <v>344.83</v>
      </c>
    </row>
    <row r="999" spans="2:10" x14ac:dyDescent="0.2">
      <c r="B999" t="s">
        <v>955</v>
      </c>
      <c r="C999" t="s">
        <v>10</v>
      </c>
      <c r="D999" t="s">
        <v>956</v>
      </c>
      <c r="E999" t="s">
        <v>120</v>
      </c>
      <c r="F999" t="s">
        <v>121</v>
      </c>
      <c r="G999" t="s">
        <v>1034</v>
      </c>
      <c r="H999" t="s">
        <v>15</v>
      </c>
      <c r="I999" s="1">
        <v>1</v>
      </c>
      <c r="J999" s="2">
        <v>301.72000000000003</v>
      </c>
    </row>
    <row r="1000" spans="2:10" x14ac:dyDescent="0.2">
      <c r="B1000" t="s">
        <v>955</v>
      </c>
      <c r="C1000" t="s">
        <v>10</v>
      </c>
      <c r="D1000" t="s">
        <v>956</v>
      </c>
      <c r="E1000" t="s">
        <v>253</v>
      </c>
      <c r="F1000" t="s">
        <v>254</v>
      </c>
      <c r="G1000" t="s">
        <v>1034</v>
      </c>
      <c r="H1000" t="s">
        <v>15</v>
      </c>
      <c r="I1000" s="1">
        <v>1</v>
      </c>
      <c r="J1000" s="2">
        <v>775.86</v>
      </c>
    </row>
    <row r="1001" spans="2:10" x14ac:dyDescent="0.2">
      <c r="B1001" t="s">
        <v>955</v>
      </c>
      <c r="C1001" t="s">
        <v>10</v>
      </c>
      <c r="D1001" t="s">
        <v>956</v>
      </c>
      <c r="E1001" t="s">
        <v>72</v>
      </c>
      <c r="F1001" t="s">
        <v>73</v>
      </c>
      <c r="G1001" t="s">
        <v>1034</v>
      </c>
      <c r="H1001" t="s">
        <v>15</v>
      </c>
      <c r="I1001" s="1">
        <v>1</v>
      </c>
      <c r="J1001" s="2">
        <v>775.86</v>
      </c>
    </row>
    <row r="1002" spans="2:10" x14ac:dyDescent="0.2">
      <c r="B1002" t="s">
        <v>955</v>
      </c>
      <c r="C1002" t="s">
        <v>10</v>
      </c>
      <c r="D1002" t="s">
        <v>956</v>
      </c>
      <c r="E1002" t="s">
        <v>336</v>
      </c>
      <c r="F1002" t="s">
        <v>337</v>
      </c>
      <c r="G1002" t="s">
        <v>1034</v>
      </c>
      <c r="H1002" t="s">
        <v>15</v>
      </c>
      <c r="I1002" s="1">
        <v>1</v>
      </c>
      <c r="J1002" s="2">
        <v>387.93</v>
      </c>
    </row>
    <row r="1003" spans="2:10" x14ac:dyDescent="0.2">
      <c r="B1003" t="s">
        <v>955</v>
      </c>
      <c r="C1003" t="s">
        <v>10</v>
      </c>
      <c r="D1003" t="s">
        <v>956</v>
      </c>
      <c r="E1003" t="s">
        <v>442</v>
      </c>
      <c r="F1003" t="s">
        <v>443</v>
      </c>
      <c r="G1003" t="s">
        <v>1033</v>
      </c>
      <c r="H1003" t="s">
        <v>30</v>
      </c>
      <c r="I1003" s="1">
        <v>1</v>
      </c>
      <c r="J1003" s="2">
        <v>2500</v>
      </c>
    </row>
    <row r="1004" spans="2:10" x14ac:dyDescent="0.2">
      <c r="B1004" t="s">
        <v>955</v>
      </c>
      <c r="C1004" t="s">
        <v>10</v>
      </c>
      <c r="D1004" t="s">
        <v>956</v>
      </c>
      <c r="E1004" t="s">
        <v>312</v>
      </c>
      <c r="F1004" t="s">
        <v>313</v>
      </c>
      <c r="G1004" t="s">
        <v>1033</v>
      </c>
      <c r="H1004" t="s">
        <v>30</v>
      </c>
      <c r="I1004" s="1">
        <v>1</v>
      </c>
      <c r="J1004" s="2">
        <v>603.45000000000005</v>
      </c>
    </row>
    <row r="1005" spans="2:10" x14ac:dyDescent="0.2">
      <c r="B1005" t="s">
        <v>955</v>
      </c>
      <c r="C1005" t="s">
        <v>10</v>
      </c>
      <c r="D1005" t="s">
        <v>956</v>
      </c>
      <c r="E1005" t="s">
        <v>56</v>
      </c>
      <c r="F1005" t="s">
        <v>57</v>
      </c>
      <c r="G1005" t="s">
        <v>1034</v>
      </c>
      <c r="H1005" t="s">
        <v>15</v>
      </c>
      <c r="I1005" s="1">
        <v>1</v>
      </c>
      <c r="J1005" s="2">
        <v>431.03</v>
      </c>
    </row>
    <row r="1006" spans="2:10" x14ac:dyDescent="0.2">
      <c r="B1006" t="s">
        <v>955</v>
      </c>
      <c r="C1006" t="s">
        <v>10</v>
      </c>
      <c r="D1006" t="s">
        <v>956</v>
      </c>
      <c r="E1006" t="s">
        <v>61</v>
      </c>
      <c r="F1006" t="s">
        <v>62</v>
      </c>
      <c r="G1006" t="s">
        <v>1034</v>
      </c>
      <c r="H1006" t="s">
        <v>15</v>
      </c>
      <c r="I1006" s="1">
        <v>1</v>
      </c>
      <c r="J1006" s="2">
        <v>172.41</v>
      </c>
    </row>
    <row r="1007" spans="2:10" x14ac:dyDescent="0.2">
      <c r="B1007" t="s">
        <v>955</v>
      </c>
      <c r="C1007" t="s">
        <v>10</v>
      </c>
      <c r="D1007" t="s">
        <v>956</v>
      </c>
      <c r="E1007" t="s">
        <v>63</v>
      </c>
      <c r="F1007" t="s">
        <v>64</v>
      </c>
      <c r="G1007" t="s">
        <v>1034</v>
      </c>
      <c r="H1007" t="s">
        <v>15</v>
      </c>
      <c r="I1007" s="1">
        <v>1</v>
      </c>
      <c r="J1007" s="2">
        <v>172.41</v>
      </c>
    </row>
    <row r="1008" spans="2:10" x14ac:dyDescent="0.2">
      <c r="B1008" t="s">
        <v>955</v>
      </c>
      <c r="C1008" t="s">
        <v>10</v>
      </c>
      <c r="D1008" t="s">
        <v>956</v>
      </c>
      <c r="E1008" t="s">
        <v>372</v>
      </c>
      <c r="F1008" t="s">
        <v>373</v>
      </c>
      <c r="G1008" t="s">
        <v>1033</v>
      </c>
      <c r="H1008" t="s">
        <v>30</v>
      </c>
      <c r="I1008" s="1">
        <v>1</v>
      </c>
      <c r="J1008" s="2">
        <v>2465.52</v>
      </c>
    </row>
    <row r="1009" spans="2:10" x14ac:dyDescent="0.2">
      <c r="B1009" t="s">
        <v>955</v>
      </c>
      <c r="C1009" t="s">
        <v>18</v>
      </c>
      <c r="D1009" t="s">
        <v>956</v>
      </c>
      <c r="E1009" t="s">
        <v>701</v>
      </c>
      <c r="F1009" t="s">
        <v>702</v>
      </c>
      <c r="G1009" t="s">
        <v>43</v>
      </c>
      <c r="H1009" t="s">
        <v>50</v>
      </c>
      <c r="I1009" s="1">
        <v>1</v>
      </c>
      <c r="J1009" s="2">
        <v>4482.76</v>
      </c>
    </row>
    <row r="1010" spans="2:10" x14ac:dyDescent="0.2">
      <c r="B1010" t="s">
        <v>955</v>
      </c>
      <c r="C1010" t="s">
        <v>18</v>
      </c>
      <c r="D1010" t="s">
        <v>956</v>
      </c>
      <c r="E1010" t="s">
        <v>44</v>
      </c>
      <c r="F1010" t="s">
        <v>45</v>
      </c>
      <c r="G1010" t="s">
        <v>1033</v>
      </c>
      <c r="H1010" t="s">
        <v>30</v>
      </c>
      <c r="I1010" s="1">
        <v>1</v>
      </c>
      <c r="J1010" s="2">
        <v>81.900000000000006</v>
      </c>
    </row>
    <row r="1011" spans="2:10" x14ac:dyDescent="0.2">
      <c r="B1011" t="s">
        <v>955</v>
      </c>
      <c r="C1011" t="s">
        <v>18</v>
      </c>
      <c r="D1011" t="s">
        <v>956</v>
      </c>
      <c r="E1011" t="s">
        <v>97</v>
      </c>
      <c r="F1011" t="s">
        <v>98</v>
      </c>
      <c r="G1011" t="s">
        <v>1033</v>
      </c>
      <c r="H1011" t="s">
        <v>30</v>
      </c>
      <c r="I1011" s="1">
        <v>1</v>
      </c>
      <c r="J1011" s="2">
        <v>2500</v>
      </c>
    </row>
    <row r="1012" spans="2:10" x14ac:dyDescent="0.2">
      <c r="B1012" t="s">
        <v>955</v>
      </c>
      <c r="C1012" t="s">
        <v>18</v>
      </c>
      <c r="D1012" t="s">
        <v>956</v>
      </c>
      <c r="E1012" t="s">
        <v>957</v>
      </c>
      <c r="F1012" t="s">
        <v>958</v>
      </c>
      <c r="G1012" t="s">
        <v>43</v>
      </c>
      <c r="H1012" t="s">
        <v>735</v>
      </c>
      <c r="I1012" s="1">
        <v>1</v>
      </c>
      <c r="J1012" s="2">
        <v>2482.7600000000002</v>
      </c>
    </row>
    <row r="1013" spans="2:10" x14ac:dyDescent="0.2">
      <c r="B1013" t="s">
        <v>955</v>
      </c>
      <c r="C1013" t="s">
        <v>18</v>
      </c>
      <c r="D1013" t="s">
        <v>956</v>
      </c>
      <c r="E1013" t="s">
        <v>948</v>
      </c>
      <c r="F1013" t="s">
        <v>949</v>
      </c>
      <c r="G1013" t="s">
        <v>54</v>
      </c>
      <c r="H1013" t="s">
        <v>439</v>
      </c>
      <c r="I1013" s="1">
        <v>1</v>
      </c>
      <c r="J1013" s="2">
        <v>198.28</v>
      </c>
    </row>
    <row r="1014" spans="2:10" x14ac:dyDescent="0.2">
      <c r="B1014" t="s">
        <v>955</v>
      </c>
      <c r="C1014" t="s">
        <v>18</v>
      </c>
      <c r="D1014" t="s">
        <v>956</v>
      </c>
      <c r="E1014" t="s">
        <v>214</v>
      </c>
      <c r="F1014" t="s">
        <v>215</v>
      </c>
      <c r="G1014" t="s">
        <v>1034</v>
      </c>
      <c r="H1014" t="s">
        <v>15</v>
      </c>
      <c r="I1014" s="1">
        <v>1</v>
      </c>
      <c r="J1014" s="2">
        <v>301.72000000000003</v>
      </c>
    </row>
    <row r="1015" spans="2:10" x14ac:dyDescent="0.2">
      <c r="B1015" t="s">
        <v>955</v>
      </c>
      <c r="C1015" t="s">
        <v>18</v>
      </c>
      <c r="D1015" t="s">
        <v>956</v>
      </c>
      <c r="E1015" t="s">
        <v>959</v>
      </c>
      <c r="F1015" t="s">
        <v>960</v>
      </c>
      <c r="G1015" t="s">
        <v>14</v>
      </c>
      <c r="H1015" t="s">
        <v>509</v>
      </c>
      <c r="I1015" s="1">
        <v>1</v>
      </c>
      <c r="J1015" s="2">
        <v>784.48</v>
      </c>
    </row>
    <row r="1016" spans="2:10" x14ac:dyDescent="0.2">
      <c r="B1016" t="s">
        <v>955</v>
      </c>
      <c r="C1016" t="s">
        <v>18</v>
      </c>
      <c r="D1016" t="s">
        <v>956</v>
      </c>
      <c r="E1016" t="s">
        <v>122</v>
      </c>
      <c r="F1016" t="s">
        <v>123</v>
      </c>
      <c r="G1016" t="s">
        <v>1034</v>
      </c>
      <c r="H1016" t="s">
        <v>15</v>
      </c>
      <c r="I1016" s="1">
        <v>1</v>
      </c>
      <c r="J1016" s="2">
        <v>387.93</v>
      </c>
    </row>
    <row r="1017" spans="2:10" x14ac:dyDescent="0.2">
      <c r="B1017" t="s">
        <v>955</v>
      </c>
      <c r="C1017" t="s">
        <v>18</v>
      </c>
      <c r="D1017" t="s">
        <v>956</v>
      </c>
      <c r="E1017" t="s">
        <v>83</v>
      </c>
      <c r="F1017" t="s">
        <v>84</v>
      </c>
      <c r="G1017" t="s">
        <v>1034</v>
      </c>
      <c r="H1017" t="s">
        <v>15</v>
      </c>
      <c r="I1017" s="1">
        <v>1</v>
      </c>
      <c r="J1017" s="2">
        <v>387.93</v>
      </c>
    </row>
    <row r="1018" spans="2:10" x14ac:dyDescent="0.2">
      <c r="B1018" t="s">
        <v>955</v>
      </c>
      <c r="C1018" t="s">
        <v>18</v>
      </c>
      <c r="D1018" t="s">
        <v>956</v>
      </c>
      <c r="E1018" t="s">
        <v>216</v>
      </c>
      <c r="F1018" t="s">
        <v>217</v>
      </c>
      <c r="G1018" t="s">
        <v>14</v>
      </c>
      <c r="H1018" t="s">
        <v>104</v>
      </c>
      <c r="I1018" s="1">
        <v>1</v>
      </c>
      <c r="J1018" s="2">
        <v>17.239999999999998</v>
      </c>
    </row>
    <row r="1019" spans="2:10" x14ac:dyDescent="0.2">
      <c r="B1019" t="s">
        <v>955</v>
      </c>
      <c r="C1019" t="s">
        <v>18</v>
      </c>
      <c r="D1019" t="s">
        <v>956</v>
      </c>
      <c r="E1019" t="s">
        <v>312</v>
      </c>
      <c r="F1019" t="s">
        <v>313</v>
      </c>
      <c r="G1019" t="s">
        <v>1033</v>
      </c>
      <c r="H1019" t="s">
        <v>30</v>
      </c>
      <c r="I1019" s="1">
        <v>1</v>
      </c>
      <c r="J1019" s="2">
        <v>603.45000000000005</v>
      </c>
    </row>
    <row r="1020" spans="2:10" x14ac:dyDescent="0.2">
      <c r="B1020" t="s">
        <v>955</v>
      </c>
      <c r="C1020" t="s">
        <v>18</v>
      </c>
      <c r="D1020" t="s">
        <v>956</v>
      </c>
      <c r="E1020" t="s">
        <v>56</v>
      </c>
      <c r="F1020" t="s">
        <v>57</v>
      </c>
      <c r="G1020" t="s">
        <v>1034</v>
      </c>
      <c r="H1020" t="s">
        <v>15</v>
      </c>
      <c r="I1020" s="1">
        <v>2</v>
      </c>
      <c r="J1020" s="2">
        <v>862.06</v>
      </c>
    </row>
    <row r="1021" spans="2:10" x14ac:dyDescent="0.2">
      <c r="B1021" t="s">
        <v>955</v>
      </c>
      <c r="C1021" t="s">
        <v>18</v>
      </c>
      <c r="D1021" t="s">
        <v>956</v>
      </c>
      <c r="E1021" t="s">
        <v>61</v>
      </c>
      <c r="F1021" t="s">
        <v>62</v>
      </c>
      <c r="G1021" t="s">
        <v>1034</v>
      </c>
      <c r="H1021" t="s">
        <v>15</v>
      </c>
      <c r="I1021" s="1">
        <v>4</v>
      </c>
      <c r="J1021" s="2">
        <v>689.64</v>
      </c>
    </row>
    <row r="1022" spans="2:10" x14ac:dyDescent="0.2">
      <c r="B1022" t="s">
        <v>955</v>
      </c>
      <c r="C1022" t="s">
        <v>18</v>
      </c>
      <c r="D1022" t="s">
        <v>956</v>
      </c>
      <c r="E1022" t="s">
        <v>63</v>
      </c>
      <c r="F1022" t="s">
        <v>64</v>
      </c>
      <c r="G1022" t="s">
        <v>1034</v>
      </c>
      <c r="H1022" t="s">
        <v>15</v>
      </c>
      <c r="I1022" s="1">
        <v>1</v>
      </c>
      <c r="J1022" s="2">
        <v>172.41</v>
      </c>
    </row>
    <row r="1023" spans="2:10" x14ac:dyDescent="0.2">
      <c r="B1023" t="s">
        <v>955</v>
      </c>
      <c r="C1023" t="s">
        <v>18</v>
      </c>
      <c r="D1023" t="s">
        <v>956</v>
      </c>
      <c r="E1023" t="s">
        <v>715</v>
      </c>
      <c r="F1023" t="s">
        <v>716</v>
      </c>
      <c r="G1023" t="s">
        <v>43</v>
      </c>
      <c r="H1023" t="s">
        <v>81</v>
      </c>
      <c r="I1023" s="1">
        <v>1</v>
      </c>
      <c r="J1023" s="2">
        <v>1637.93</v>
      </c>
    </row>
    <row r="1024" spans="2:10" x14ac:dyDescent="0.2">
      <c r="B1024" t="s">
        <v>955</v>
      </c>
      <c r="C1024" t="s">
        <v>18</v>
      </c>
      <c r="D1024" t="s">
        <v>956</v>
      </c>
      <c r="E1024" t="s">
        <v>28</v>
      </c>
      <c r="F1024" t="s">
        <v>29</v>
      </c>
      <c r="G1024" t="s">
        <v>1033</v>
      </c>
      <c r="H1024" t="s">
        <v>30</v>
      </c>
      <c r="I1024" s="1">
        <v>2</v>
      </c>
      <c r="J1024" s="2">
        <v>310.33999999999997</v>
      </c>
    </row>
    <row r="1025" spans="2:10" x14ac:dyDescent="0.2">
      <c r="B1025" t="s">
        <v>955</v>
      </c>
      <c r="C1025" t="s">
        <v>31</v>
      </c>
      <c r="D1025" t="s">
        <v>277</v>
      </c>
      <c r="E1025" t="s">
        <v>953</v>
      </c>
      <c r="F1025" t="s">
        <v>954</v>
      </c>
      <c r="G1025" t="s">
        <v>54</v>
      </c>
      <c r="H1025" t="s">
        <v>138</v>
      </c>
      <c r="I1025" s="1">
        <v>1</v>
      </c>
      <c r="J1025" s="2">
        <v>465.52</v>
      </c>
    </row>
    <row r="1026" spans="2:10" x14ac:dyDescent="0.2">
      <c r="B1026" t="s">
        <v>955</v>
      </c>
      <c r="C1026" t="s">
        <v>31</v>
      </c>
      <c r="D1026" t="s">
        <v>277</v>
      </c>
      <c r="E1026" t="s">
        <v>592</v>
      </c>
      <c r="F1026" t="s">
        <v>593</v>
      </c>
      <c r="G1026" t="s">
        <v>54</v>
      </c>
      <c r="H1026" t="s">
        <v>138</v>
      </c>
      <c r="I1026" s="1">
        <v>1</v>
      </c>
      <c r="J1026" s="2">
        <v>387.93</v>
      </c>
    </row>
    <row r="1027" spans="2:10" x14ac:dyDescent="0.2">
      <c r="B1027" t="s">
        <v>955</v>
      </c>
      <c r="C1027" t="s">
        <v>31</v>
      </c>
      <c r="D1027" t="s">
        <v>277</v>
      </c>
      <c r="E1027" t="s">
        <v>46</v>
      </c>
      <c r="F1027" t="s">
        <v>47</v>
      </c>
      <c r="G1027" t="s">
        <v>1034</v>
      </c>
      <c r="H1027" t="s">
        <v>15</v>
      </c>
      <c r="I1027" s="1">
        <v>1</v>
      </c>
      <c r="J1027" s="2">
        <v>301.72000000000003</v>
      </c>
    </row>
    <row r="1028" spans="2:10" x14ac:dyDescent="0.2">
      <c r="B1028" t="s">
        <v>955</v>
      </c>
      <c r="C1028" t="s">
        <v>31</v>
      </c>
      <c r="D1028" t="s">
        <v>277</v>
      </c>
      <c r="E1028" t="s">
        <v>12</v>
      </c>
      <c r="F1028" t="s">
        <v>13</v>
      </c>
      <c r="G1028" t="s">
        <v>1034</v>
      </c>
      <c r="H1028" t="s">
        <v>15</v>
      </c>
      <c r="I1028" s="1">
        <v>1</v>
      </c>
      <c r="J1028" s="2">
        <v>1077.5899999999999</v>
      </c>
    </row>
    <row r="1029" spans="2:10" x14ac:dyDescent="0.2">
      <c r="B1029" t="s">
        <v>955</v>
      </c>
      <c r="C1029" t="s">
        <v>31</v>
      </c>
      <c r="D1029" t="s">
        <v>277</v>
      </c>
      <c r="E1029" t="s">
        <v>38</v>
      </c>
      <c r="F1029" t="s">
        <v>39</v>
      </c>
      <c r="G1029" t="s">
        <v>1034</v>
      </c>
      <c r="H1029" t="s">
        <v>15</v>
      </c>
      <c r="I1029" s="1">
        <v>1</v>
      </c>
      <c r="J1029" s="2">
        <v>431.03</v>
      </c>
    </row>
    <row r="1030" spans="2:10" x14ac:dyDescent="0.2">
      <c r="B1030" t="s">
        <v>955</v>
      </c>
      <c r="C1030" t="s">
        <v>31</v>
      </c>
      <c r="D1030" t="s">
        <v>277</v>
      </c>
      <c r="E1030" t="s">
        <v>370</v>
      </c>
      <c r="F1030" t="s">
        <v>371</v>
      </c>
      <c r="G1030" t="s">
        <v>1033</v>
      </c>
      <c r="H1030" t="s">
        <v>30</v>
      </c>
      <c r="I1030" s="1">
        <v>1</v>
      </c>
      <c r="J1030" s="2">
        <v>1034.48</v>
      </c>
    </row>
    <row r="1031" spans="2:10" x14ac:dyDescent="0.2">
      <c r="B1031" t="s">
        <v>955</v>
      </c>
      <c r="C1031" t="s">
        <v>31</v>
      </c>
      <c r="D1031" t="s">
        <v>277</v>
      </c>
      <c r="E1031" t="s">
        <v>961</v>
      </c>
      <c r="F1031" t="s">
        <v>962</v>
      </c>
      <c r="G1031" t="s">
        <v>1033</v>
      </c>
      <c r="H1031" t="s">
        <v>30</v>
      </c>
      <c r="I1031" s="1">
        <v>1</v>
      </c>
      <c r="J1031" s="2">
        <v>2577.59</v>
      </c>
    </row>
    <row r="1032" spans="2:10" x14ac:dyDescent="0.2">
      <c r="B1032" t="s">
        <v>955</v>
      </c>
      <c r="C1032" t="s">
        <v>31</v>
      </c>
      <c r="D1032" t="s">
        <v>277</v>
      </c>
      <c r="E1032" t="s">
        <v>28</v>
      </c>
      <c r="F1032" t="s">
        <v>29</v>
      </c>
      <c r="G1032" t="s">
        <v>1033</v>
      </c>
      <c r="H1032" t="s">
        <v>30</v>
      </c>
      <c r="I1032" s="1">
        <v>2</v>
      </c>
      <c r="J1032" s="2">
        <v>310.33999999999997</v>
      </c>
    </row>
    <row r="1033" spans="2:10" x14ac:dyDescent="0.2">
      <c r="B1033" t="s">
        <v>955</v>
      </c>
      <c r="C1033" t="s">
        <v>40</v>
      </c>
      <c r="D1033" t="s">
        <v>956</v>
      </c>
      <c r="E1033" t="s">
        <v>318</v>
      </c>
      <c r="F1033" t="s">
        <v>319</v>
      </c>
      <c r="G1033" t="s">
        <v>1033</v>
      </c>
      <c r="H1033" t="s">
        <v>30</v>
      </c>
      <c r="I1033" s="1">
        <v>1</v>
      </c>
      <c r="J1033" s="2">
        <v>456.9</v>
      </c>
    </row>
    <row r="1034" spans="2:10" x14ac:dyDescent="0.2">
      <c r="B1034" t="s">
        <v>955</v>
      </c>
      <c r="C1034" t="s">
        <v>40</v>
      </c>
      <c r="D1034" t="s">
        <v>956</v>
      </c>
      <c r="E1034" t="s">
        <v>41</v>
      </c>
      <c r="F1034" t="s">
        <v>42</v>
      </c>
      <c r="G1034" t="s">
        <v>1033</v>
      </c>
      <c r="H1034" t="s">
        <v>30</v>
      </c>
      <c r="I1034" s="1">
        <v>1</v>
      </c>
      <c r="J1034" s="2">
        <v>34.479999999999997</v>
      </c>
    </row>
    <row r="1035" spans="2:10" x14ac:dyDescent="0.2">
      <c r="B1035" t="s">
        <v>955</v>
      </c>
      <c r="C1035" t="s">
        <v>40</v>
      </c>
      <c r="D1035" t="s">
        <v>956</v>
      </c>
      <c r="E1035" t="s">
        <v>19</v>
      </c>
      <c r="F1035" t="s">
        <v>20</v>
      </c>
      <c r="G1035" t="s">
        <v>14</v>
      </c>
      <c r="H1035" t="s">
        <v>21</v>
      </c>
      <c r="I1035" s="1">
        <v>1</v>
      </c>
      <c r="J1035" s="2">
        <v>431.04</v>
      </c>
    </row>
    <row r="1036" spans="2:10" x14ac:dyDescent="0.2">
      <c r="B1036" t="s">
        <v>955</v>
      </c>
      <c r="C1036" t="s">
        <v>40</v>
      </c>
      <c r="D1036" t="s">
        <v>956</v>
      </c>
      <c r="E1036" t="s">
        <v>46</v>
      </c>
      <c r="F1036" t="s">
        <v>47</v>
      </c>
      <c r="G1036" t="s">
        <v>1034</v>
      </c>
      <c r="H1036" t="s">
        <v>15</v>
      </c>
      <c r="I1036" s="1">
        <v>1</v>
      </c>
      <c r="J1036" s="2">
        <v>301.72000000000003</v>
      </c>
    </row>
    <row r="1037" spans="2:10" x14ac:dyDescent="0.2">
      <c r="B1037" t="s">
        <v>955</v>
      </c>
      <c r="C1037" t="s">
        <v>40</v>
      </c>
      <c r="D1037" t="s">
        <v>956</v>
      </c>
      <c r="E1037" t="s">
        <v>97</v>
      </c>
      <c r="F1037" t="s">
        <v>98</v>
      </c>
      <c r="G1037" t="s">
        <v>1033</v>
      </c>
      <c r="H1037" t="s">
        <v>30</v>
      </c>
      <c r="I1037" s="1">
        <v>1</v>
      </c>
      <c r="J1037" s="2">
        <v>2500</v>
      </c>
    </row>
    <row r="1038" spans="2:10" x14ac:dyDescent="0.2">
      <c r="B1038" t="s">
        <v>955</v>
      </c>
      <c r="C1038" t="s">
        <v>40</v>
      </c>
      <c r="D1038" t="s">
        <v>956</v>
      </c>
      <c r="E1038" t="s">
        <v>221</v>
      </c>
      <c r="F1038" t="s">
        <v>222</v>
      </c>
      <c r="G1038" t="s">
        <v>1034</v>
      </c>
      <c r="H1038" t="s">
        <v>15</v>
      </c>
      <c r="I1038" s="1">
        <v>1</v>
      </c>
      <c r="J1038" s="2">
        <v>431.03</v>
      </c>
    </row>
    <row r="1039" spans="2:10" x14ac:dyDescent="0.2">
      <c r="B1039" t="s">
        <v>955</v>
      </c>
      <c r="C1039" t="s">
        <v>40</v>
      </c>
      <c r="D1039" t="s">
        <v>956</v>
      </c>
      <c r="E1039" t="s">
        <v>120</v>
      </c>
      <c r="F1039" t="s">
        <v>121</v>
      </c>
      <c r="G1039" t="s">
        <v>1034</v>
      </c>
      <c r="H1039" t="s">
        <v>15</v>
      </c>
      <c r="I1039" s="1">
        <v>1</v>
      </c>
      <c r="J1039" s="2">
        <v>301.72000000000003</v>
      </c>
    </row>
    <row r="1040" spans="2:10" x14ac:dyDescent="0.2">
      <c r="B1040" t="s">
        <v>955</v>
      </c>
      <c r="C1040" t="s">
        <v>40</v>
      </c>
      <c r="D1040" t="s">
        <v>956</v>
      </c>
      <c r="E1040" t="s">
        <v>38</v>
      </c>
      <c r="F1040" t="s">
        <v>39</v>
      </c>
      <c r="G1040" t="s">
        <v>1034</v>
      </c>
      <c r="H1040" t="s">
        <v>15</v>
      </c>
      <c r="I1040" s="1">
        <v>1</v>
      </c>
      <c r="J1040" s="2">
        <v>431.03</v>
      </c>
    </row>
    <row r="1041" spans="2:10" x14ac:dyDescent="0.2">
      <c r="B1041" t="s">
        <v>955</v>
      </c>
      <c r="C1041" t="s">
        <v>40</v>
      </c>
      <c r="D1041" t="s">
        <v>956</v>
      </c>
      <c r="E1041" t="s">
        <v>56</v>
      </c>
      <c r="F1041" t="s">
        <v>57</v>
      </c>
      <c r="G1041" t="s">
        <v>1034</v>
      </c>
      <c r="H1041" t="s">
        <v>15</v>
      </c>
      <c r="I1041" s="1">
        <v>1</v>
      </c>
      <c r="J1041" s="2">
        <v>431.03</v>
      </c>
    </row>
    <row r="1042" spans="2:10" x14ac:dyDescent="0.2">
      <c r="B1042" t="s">
        <v>955</v>
      </c>
      <c r="C1042" t="s">
        <v>40</v>
      </c>
      <c r="D1042" t="s">
        <v>956</v>
      </c>
      <c r="E1042" t="s">
        <v>193</v>
      </c>
      <c r="F1042" t="s">
        <v>194</v>
      </c>
      <c r="G1042" t="s">
        <v>1034</v>
      </c>
      <c r="H1042" t="s">
        <v>15</v>
      </c>
      <c r="I1042" s="1">
        <v>1</v>
      </c>
      <c r="J1042" s="2">
        <v>1293.0999999999999</v>
      </c>
    </row>
    <row r="1043" spans="2:10" x14ac:dyDescent="0.2">
      <c r="B1043" t="s">
        <v>955</v>
      </c>
      <c r="C1043" t="s">
        <v>40</v>
      </c>
      <c r="D1043" t="s">
        <v>956</v>
      </c>
      <c r="E1043" t="s">
        <v>300</v>
      </c>
      <c r="F1043" t="s">
        <v>301</v>
      </c>
      <c r="G1043" t="s">
        <v>1033</v>
      </c>
      <c r="H1043" t="s">
        <v>30</v>
      </c>
      <c r="I1043" s="1">
        <v>1</v>
      </c>
      <c r="J1043" s="2">
        <v>2413.79</v>
      </c>
    </row>
    <row r="1044" spans="2:10" x14ac:dyDescent="0.2">
      <c r="B1044" t="s">
        <v>955</v>
      </c>
      <c r="C1044" t="s">
        <v>51</v>
      </c>
      <c r="D1044" t="s">
        <v>956</v>
      </c>
      <c r="E1044" t="s">
        <v>44</v>
      </c>
      <c r="F1044" t="s">
        <v>45</v>
      </c>
      <c r="G1044" t="s">
        <v>1033</v>
      </c>
      <c r="H1044" t="s">
        <v>30</v>
      </c>
      <c r="I1044" s="1">
        <v>1</v>
      </c>
      <c r="J1044" s="2">
        <v>81.900000000000006</v>
      </c>
    </row>
    <row r="1045" spans="2:10" x14ac:dyDescent="0.2">
      <c r="B1045" t="s">
        <v>955</v>
      </c>
      <c r="C1045" t="s">
        <v>51</v>
      </c>
      <c r="D1045" t="s">
        <v>956</v>
      </c>
      <c r="E1045" t="s">
        <v>494</v>
      </c>
      <c r="F1045" t="s">
        <v>495</v>
      </c>
      <c r="G1045" t="s">
        <v>1033</v>
      </c>
      <c r="H1045" t="s">
        <v>30</v>
      </c>
      <c r="I1045" s="1">
        <v>1</v>
      </c>
      <c r="J1045" s="2">
        <v>301.72000000000003</v>
      </c>
    </row>
    <row r="1046" spans="2:10" x14ac:dyDescent="0.2">
      <c r="B1046" t="s">
        <v>955</v>
      </c>
      <c r="C1046" t="s">
        <v>51</v>
      </c>
      <c r="D1046" t="s">
        <v>956</v>
      </c>
      <c r="E1046" t="s">
        <v>650</v>
      </c>
      <c r="F1046" t="s">
        <v>651</v>
      </c>
      <c r="G1046" t="s">
        <v>43</v>
      </c>
      <c r="H1046" t="s">
        <v>205</v>
      </c>
      <c r="I1046" s="1">
        <v>1</v>
      </c>
      <c r="J1046" s="2">
        <v>275.86</v>
      </c>
    </row>
    <row r="1047" spans="2:10" x14ac:dyDescent="0.2">
      <c r="B1047" t="s">
        <v>955</v>
      </c>
      <c r="C1047" t="s">
        <v>51</v>
      </c>
      <c r="D1047" t="s">
        <v>956</v>
      </c>
      <c r="E1047" t="s">
        <v>122</v>
      </c>
      <c r="F1047" t="s">
        <v>123</v>
      </c>
      <c r="G1047" t="s">
        <v>1034</v>
      </c>
      <c r="H1047" t="s">
        <v>15</v>
      </c>
      <c r="I1047" s="1">
        <v>1</v>
      </c>
      <c r="J1047" s="2">
        <v>387.93</v>
      </c>
    </row>
    <row r="1048" spans="2:10" x14ac:dyDescent="0.2">
      <c r="B1048" t="s">
        <v>955</v>
      </c>
      <c r="C1048" t="s">
        <v>51</v>
      </c>
      <c r="D1048" t="s">
        <v>956</v>
      </c>
      <c r="E1048" t="s">
        <v>56</v>
      </c>
      <c r="F1048" t="s">
        <v>57</v>
      </c>
      <c r="G1048" t="s">
        <v>1034</v>
      </c>
      <c r="H1048" t="s">
        <v>15</v>
      </c>
      <c r="I1048" s="1">
        <v>1</v>
      </c>
      <c r="J1048" s="2">
        <v>431.03</v>
      </c>
    </row>
    <row r="1049" spans="2:10" x14ac:dyDescent="0.2">
      <c r="B1049" t="s">
        <v>955</v>
      </c>
      <c r="C1049" t="s">
        <v>51</v>
      </c>
      <c r="D1049" t="s">
        <v>956</v>
      </c>
      <c r="E1049" t="s">
        <v>28</v>
      </c>
      <c r="F1049" t="s">
        <v>29</v>
      </c>
      <c r="G1049" t="s">
        <v>1033</v>
      </c>
      <c r="H1049" t="s">
        <v>30</v>
      </c>
      <c r="I1049" s="1">
        <v>1</v>
      </c>
      <c r="J1049" s="2">
        <v>155.16999999999999</v>
      </c>
    </row>
    <row r="1050" spans="2:10" x14ac:dyDescent="0.2">
      <c r="B1050" t="s">
        <v>955</v>
      </c>
      <c r="C1050" t="s">
        <v>65</v>
      </c>
      <c r="D1050" t="s">
        <v>956</v>
      </c>
      <c r="E1050" t="s">
        <v>701</v>
      </c>
      <c r="F1050" t="s">
        <v>702</v>
      </c>
      <c r="G1050" t="s">
        <v>43</v>
      </c>
      <c r="H1050" t="s">
        <v>50</v>
      </c>
      <c r="I1050" s="1">
        <v>1</v>
      </c>
      <c r="J1050" s="2">
        <v>4482.76</v>
      </c>
    </row>
    <row r="1051" spans="2:10" x14ac:dyDescent="0.2">
      <c r="B1051" t="s">
        <v>955</v>
      </c>
      <c r="C1051" t="s">
        <v>65</v>
      </c>
      <c r="D1051" t="s">
        <v>956</v>
      </c>
      <c r="E1051" t="s">
        <v>953</v>
      </c>
      <c r="F1051" t="s">
        <v>954</v>
      </c>
      <c r="G1051" t="s">
        <v>54</v>
      </c>
      <c r="H1051" t="s">
        <v>138</v>
      </c>
      <c r="I1051" s="1">
        <v>1</v>
      </c>
      <c r="J1051" s="2">
        <v>465.52</v>
      </c>
    </row>
    <row r="1052" spans="2:10" x14ac:dyDescent="0.2">
      <c r="B1052" t="s">
        <v>955</v>
      </c>
      <c r="C1052" t="s">
        <v>65</v>
      </c>
      <c r="D1052" t="s">
        <v>956</v>
      </c>
      <c r="E1052" t="s">
        <v>46</v>
      </c>
      <c r="F1052" t="s">
        <v>47</v>
      </c>
      <c r="G1052" t="s">
        <v>1034</v>
      </c>
      <c r="H1052" t="s">
        <v>15</v>
      </c>
      <c r="I1052" s="1">
        <v>2</v>
      </c>
      <c r="J1052" s="2">
        <v>603.44000000000005</v>
      </c>
    </row>
    <row r="1053" spans="2:10" x14ac:dyDescent="0.2">
      <c r="B1053" t="s">
        <v>955</v>
      </c>
      <c r="C1053" t="s">
        <v>65</v>
      </c>
      <c r="D1053" t="s">
        <v>956</v>
      </c>
      <c r="E1053" t="s">
        <v>494</v>
      </c>
      <c r="F1053" t="s">
        <v>495</v>
      </c>
      <c r="G1053" t="s">
        <v>1033</v>
      </c>
      <c r="H1053" t="s">
        <v>30</v>
      </c>
      <c r="I1053" s="1">
        <v>1</v>
      </c>
      <c r="J1053" s="2">
        <v>301.72000000000003</v>
      </c>
    </row>
    <row r="1054" spans="2:10" x14ac:dyDescent="0.2">
      <c r="B1054" t="s">
        <v>955</v>
      </c>
      <c r="C1054" t="s">
        <v>65</v>
      </c>
      <c r="D1054" t="s">
        <v>956</v>
      </c>
      <c r="E1054" t="s">
        <v>70</v>
      </c>
      <c r="F1054" t="s">
        <v>71</v>
      </c>
      <c r="G1054" t="s">
        <v>1033</v>
      </c>
      <c r="H1054" t="s">
        <v>30</v>
      </c>
      <c r="I1054" s="1">
        <v>1</v>
      </c>
      <c r="J1054" s="2">
        <v>2112.0700000000002</v>
      </c>
    </row>
    <row r="1055" spans="2:10" x14ac:dyDescent="0.2">
      <c r="B1055" t="s">
        <v>955</v>
      </c>
      <c r="C1055" t="s">
        <v>65</v>
      </c>
      <c r="D1055" t="s">
        <v>956</v>
      </c>
      <c r="E1055" t="s">
        <v>963</v>
      </c>
      <c r="F1055" t="s">
        <v>964</v>
      </c>
      <c r="G1055" t="s">
        <v>54</v>
      </c>
      <c r="H1055" t="s">
        <v>138</v>
      </c>
      <c r="I1055" s="1">
        <v>2</v>
      </c>
      <c r="J1055" s="2">
        <v>862.06</v>
      </c>
    </row>
    <row r="1056" spans="2:10" x14ac:dyDescent="0.2">
      <c r="B1056" t="s">
        <v>955</v>
      </c>
      <c r="C1056" t="s">
        <v>65</v>
      </c>
      <c r="D1056" t="s">
        <v>956</v>
      </c>
      <c r="E1056" t="s">
        <v>965</v>
      </c>
      <c r="F1056" t="s">
        <v>966</v>
      </c>
      <c r="G1056" t="s">
        <v>699</v>
      </c>
      <c r="H1056" t="s">
        <v>967</v>
      </c>
      <c r="I1056" s="1">
        <v>1</v>
      </c>
      <c r="J1056" s="2">
        <v>86.21</v>
      </c>
    </row>
    <row r="1057" spans="2:10" x14ac:dyDescent="0.2">
      <c r="B1057" t="s">
        <v>955</v>
      </c>
      <c r="C1057" t="s">
        <v>65</v>
      </c>
      <c r="D1057" t="s">
        <v>956</v>
      </c>
      <c r="E1057" t="s">
        <v>968</v>
      </c>
      <c r="F1057" t="s">
        <v>969</v>
      </c>
      <c r="G1057" t="s">
        <v>14</v>
      </c>
      <c r="H1057" t="s">
        <v>60</v>
      </c>
      <c r="I1057" s="1">
        <v>1</v>
      </c>
      <c r="J1057" s="2">
        <v>603.45000000000005</v>
      </c>
    </row>
    <row r="1058" spans="2:10" x14ac:dyDescent="0.2">
      <c r="B1058" t="s">
        <v>955</v>
      </c>
      <c r="C1058" t="s">
        <v>65</v>
      </c>
      <c r="D1058" t="s">
        <v>956</v>
      </c>
      <c r="E1058" t="s">
        <v>72</v>
      </c>
      <c r="F1058" t="s">
        <v>73</v>
      </c>
      <c r="G1058" t="s">
        <v>1034</v>
      </c>
      <c r="H1058" t="s">
        <v>15</v>
      </c>
      <c r="I1058" s="1">
        <v>1</v>
      </c>
      <c r="J1058" s="2">
        <v>775.86</v>
      </c>
    </row>
    <row r="1059" spans="2:10" x14ac:dyDescent="0.2">
      <c r="B1059" t="s">
        <v>955</v>
      </c>
      <c r="C1059" t="s">
        <v>65</v>
      </c>
      <c r="D1059" t="s">
        <v>956</v>
      </c>
      <c r="E1059" t="s">
        <v>56</v>
      </c>
      <c r="F1059" t="s">
        <v>57</v>
      </c>
      <c r="G1059" t="s">
        <v>1034</v>
      </c>
      <c r="H1059" t="s">
        <v>15</v>
      </c>
      <c r="I1059" s="1">
        <v>2</v>
      </c>
      <c r="J1059" s="2">
        <v>862.06</v>
      </c>
    </row>
    <row r="1060" spans="2:10" x14ac:dyDescent="0.2">
      <c r="B1060" t="s">
        <v>955</v>
      </c>
      <c r="C1060" t="s">
        <v>65</v>
      </c>
      <c r="D1060" t="s">
        <v>956</v>
      </c>
      <c r="E1060" t="s">
        <v>193</v>
      </c>
      <c r="F1060" t="s">
        <v>194</v>
      </c>
      <c r="G1060" t="s">
        <v>1034</v>
      </c>
      <c r="H1060" t="s">
        <v>15</v>
      </c>
      <c r="I1060" s="1">
        <v>1</v>
      </c>
      <c r="J1060" s="2">
        <v>1293.0999999999999</v>
      </c>
    </row>
    <row r="1061" spans="2:10" x14ac:dyDescent="0.2">
      <c r="B1061" t="s">
        <v>955</v>
      </c>
      <c r="C1061" t="s">
        <v>65</v>
      </c>
      <c r="D1061" t="s">
        <v>956</v>
      </c>
      <c r="E1061" t="s">
        <v>970</v>
      </c>
      <c r="F1061" t="s">
        <v>971</v>
      </c>
      <c r="G1061" t="s">
        <v>1033</v>
      </c>
      <c r="H1061" t="s">
        <v>30</v>
      </c>
      <c r="I1061" s="1">
        <v>1</v>
      </c>
      <c r="J1061" s="2">
        <v>2801.72</v>
      </c>
    </row>
    <row r="1062" spans="2:10" x14ac:dyDescent="0.2">
      <c r="B1062" t="s">
        <v>955</v>
      </c>
      <c r="C1062" t="s">
        <v>82</v>
      </c>
      <c r="D1062" t="s">
        <v>32</v>
      </c>
      <c r="E1062" t="s">
        <v>19</v>
      </c>
      <c r="F1062" t="s">
        <v>20</v>
      </c>
      <c r="G1062" t="s">
        <v>14</v>
      </c>
      <c r="H1062" t="s">
        <v>21</v>
      </c>
      <c r="I1062" s="1">
        <v>1</v>
      </c>
      <c r="J1062" s="2">
        <v>431.04</v>
      </c>
    </row>
    <row r="1063" spans="2:10" x14ac:dyDescent="0.2">
      <c r="B1063" t="s">
        <v>955</v>
      </c>
      <c r="C1063" t="s">
        <v>82</v>
      </c>
      <c r="D1063" t="s">
        <v>32</v>
      </c>
      <c r="E1063" t="s">
        <v>972</v>
      </c>
      <c r="F1063" t="s">
        <v>973</v>
      </c>
      <c r="G1063" t="s">
        <v>54</v>
      </c>
      <c r="H1063" t="s">
        <v>138</v>
      </c>
      <c r="I1063" s="1">
        <v>1</v>
      </c>
      <c r="J1063" s="2">
        <v>646.54999999999995</v>
      </c>
    </row>
    <row r="1064" spans="2:10" x14ac:dyDescent="0.2">
      <c r="B1064" t="s">
        <v>955</v>
      </c>
      <c r="C1064" t="s">
        <v>82</v>
      </c>
      <c r="D1064" t="s">
        <v>32</v>
      </c>
      <c r="E1064" t="s">
        <v>298</v>
      </c>
      <c r="F1064" t="s">
        <v>299</v>
      </c>
      <c r="G1064" t="s">
        <v>14</v>
      </c>
      <c r="H1064" t="s">
        <v>27</v>
      </c>
      <c r="I1064" s="1">
        <v>1</v>
      </c>
      <c r="J1064" s="2">
        <v>387.93</v>
      </c>
    </row>
    <row r="1065" spans="2:10" x14ac:dyDescent="0.2">
      <c r="B1065" t="s">
        <v>955</v>
      </c>
      <c r="C1065" t="s">
        <v>82</v>
      </c>
      <c r="D1065" t="s">
        <v>32</v>
      </c>
      <c r="E1065" t="s">
        <v>844</v>
      </c>
      <c r="F1065" t="s">
        <v>845</v>
      </c>
      <c r="G1065" t="s">
        <v>1033</v>
      </c>
      <c r="H1065" t="s">
        <v>30</v>
      </c>
      <c r="I1065" s="1">
        <v>1</v>
      </c>
      <c r="J1065" s="2">
        <v>1810.34</v>
      </c>
    </row>
    <row r="1066" spans="2:10" x14ac:dyDescent="0.2">
      <c r="B1066" t="s">
        <v>955</v>
      </c>
      <c r="C1066" t="s">
        <v>82</v>
      </c>
      <c r="D1066" t="s">
        <v>32</v>
      </c>
      <c r="E1066" t="s">
        <v>122</v>
      </c>
      <c r="F1066" t="s">
        <v>123</v>
      </c>
      <c r="G1066" t="s">
        <v>1034</v>
      </c>
      <c r="H1066" t="s">
        <v>15</v>
      </c>
      <c r="I1066" s="1">
        <v>1</v>
      </c>
      <c r="J1066" s="2">
        <v>387.93</v>
      </c>
    </row>
    <row r="1067" spans="2:10" x14ac:dyDescent="0.2">
      <c r="B1067" t="s">
        <v>955</v>
      </c>
      <c r="C1067" t="s">
        <v>82</v>
      </c>
      <c r="D1067" t="s">
        <v>32</v>
      </c>
      <c r="E1067" t="s">
        <v>656</v>
      </c>
      <c r="F1067" t="s">
        <v>657</v>
      </c>
      <c r="G1067" t="s">
        <v>43</v>
      </c>
      <c r="H1067" t="s">
        <v>50</v>
      </c>
      <c r="I1067" s="1">
        <v>1</v>
      </c>
      <c r="J1067" s="2">
        <v>181.03</v>
      </c>
    </row>
    <row r="1068" spans="2:10" x14ac:dyDescent="0.2">
      <c r="B1068" t="s">
        <v>955</v>
      </c>
      <c r="C1068" t="s">
        <v>82</v>
      </c>
      <c r="D1068" t="s">
        <v>32</v>
      </c>
      <c r="E1068" t="s">
        <v>596</v>
      </c>
      <c r="F1068" t="s">
        <v>597</v>
      </c>
      <c r="G1068" t="s">
        <v>43</v>
      </c>
      <c r="H1068" t="s">
        <v>50</v>
      </c>
      <c r="I1068" s="1">
        <v>1</v>
      </c>
      <c r="J1068" s="2">
        <v>181.03</v>
      </c>
    </row>
    <row r="1069" spans="2:10" x14ac:dyDescent="0.2">
      <c r="B1069" t="s">
        <v>955</v>
      </c>
      <c r="C1069" t="s">
        <v>82</v>
      </c>
      <c r="D1069" t="s">
        <v>32</v>
      </c>
      <c r="E1069" t="s">
        <v>974</v>
      </c>
      <c r="F1069" t="s">
        <v>975</v>
      </c>
      <c r="G1069" t="s">
        <v>1034</v>
      </c>
      <c r="H1069" t="s">
        <v>15</v>
      </c>
      <c r="I1069" s="1">
        <v>1</v>
      </c>
      <c r="J1069" s="2">
        <v>431.03</v>
      </c>
    </row>
    <row r="1070" spans="2:10" x14ac:dyDescent="0.2">
      <c r="B1070" t="s">
        <v>955</v>
      </c>
      <c r="C1070" t="s">
        <v>82</v>
      </c>
      <c r="D1070" t="s">
        <v>32</v>
      </c>
      <c r="E1070" t="s">
        <v>774</v>
      </c>
      <c r="F1070" t="s">
        <v>775</v>
      </c>
      <c r="G1070" t="s">
        <v>1033</v>
      </c>
      <c r="H1070" t="s">
        <v>30</v>
      </c>
      <c r="I1070" s="1">
        <v>1</v>
      </c>
      <c r="J1070" s="2">
        <v>853.45</v>
      </c>
    </row>
    <row r="1071" spans="2:10" x14ac:dyDescent="0.2">
      <c r="B1071" t="s">
        <v>955</v>
      </c>
      <c r="C1071" t="s">
        <v>82</v>
      </c>
      <c r="D1071" t="s">
        <v>32</v>
      </c>
      <c r="E1071" t="s">
        <v>56</v>
      </c>
      <c r="F1071" t="s">
        <v>57</v>
      </c>
      <c r="G1071" t="s">
        <v>1034</v>
      </c>
      <c r="H1071" t="s">
        <v>15</v>
      </c>
      <c r="I1071" s="1">
        <v>2</v>
      </c>
      <c r="J1071" s="2">
        <v>862.06</v>
      </c>
    </row>
    <row r="1072" spans="2:10" x14ac:dyDescent="0.2">
      <c r="B1072" t="s">
        <v>955</v>
      </c>
      <c r="C1072" t="s">
        <v>82</v>
      </c>
      <c r="D1072" t="s">
        <v>32</v>
      </c>
      <c r="E1072" t="s">
        <v>461</v>
      </c>
      <c r="F1072" t="s">
        <v>462</v>
      </c>
      <c r="G1072" t="s">
        <v>43</v>
      </c>
      <c r="H1072" t="s">
        <v>50</v>
      </c>
      <c r="I1072" s="1">
        <v>1</v>
      </c>
      <c r="J1072" s="2">
        <v>3879.31</v>
      </c>
    </row>
    <row r="1073" spans="2:10" x14ac:dyDescent="0.2">
      <c r="B1073" t="s">
        <v>955</v>
      </c>
      <c r="C1073" t="s">
        <v>82</v>
      </c>
      <c r="D1073" t="s">
        <v>956</v>
      </c>
      <c r="E1073" t="s">
        <v>399</v>
      </c>
      <c r="F1073" t="s">
        <v>400</v>
      </c>
      <c r="G1073" t="s">
        <v>1033</v>
      </c>
      <c r="H1073" t="s">
        <v>30</v>
      </c>
      <c r="I1073" s="1">
        <v>1</v>
      </c>
      <c r="J1073" s="2">
        <v>818.97</v>
      </c>
    </row>
    <row r="1074" spans="2:10" x14ac:dyDescent="0.2">
      <c r="B1074" t="s">
        <v>955</v>
      </c>
      <c r="C1074" t="s">
        <v>82</v>
      </c>
      <c r="D1074" t="s">
        <v>956</v>
      </c>
      <c r="E1074" t="s">
        <v>99</v>
      </c>
      <c r="F1074" t="s">
        <v>100</v>
      </c>
      <c r="G1074" t="s">
        <v>43</v>
      </c>
      <c r="H1074" t="s">
        <v>50</v>
      </c>
      <c r="I1074" s="1">
        <v>1</v>
      </c>
      <c r="J1074" s="2">
        <v>3275.86</v>
      </c>
    </row>
    <row r="1075" spans="2:10" x14ac:dyDescent="0.2">
      <c r="B1075" t="s">
        <v>955</v>
      </c>
      <c r="C1075" t="s">
        <v>82</v>
      </c>
      <c r="D1075" t="s">
        <v>956</v>
      </c>
      <c r="E1075" t="s">
        <v>72</v>
      </c>
      <c r="F1075" t="s">
        <v>73</v>
      </c>
      <c r="G1075" t="s">
        <v>1034</v>
      </c>
      <c r="H1075" t="s">
        <v>15</v>
      </c>
      <c r="I1075" s="1">
        <v>1</v>
      </c>
      <c r="J1075" s="2">
        <v>775.86</v>
      </c>
    </row>
    <row r="1076" spans="2:10" x14ac:dyDescent="0.2">
      <c r="B1076" t="s">
        <v>955</v>
      </c>
      <c r="C1076" t="s">
        <v>82</v>
      </c>
      <c r="D1076" t="s">
        <v>956</v>
      </c>
      <c r="E1076" t="s">
        <v>246</v>
      </c>
      <c r="F1076" t="s">
        <v>247</v>
      </c>
      <c r="G1076" t="s">
        <v>1033</v>
      </c>
      <c r="H1076" t="s">
        <v>30</v>
      </c>
      <c r="I1076" s="1">
        <v>1</v>
      </c>
      <c r="J1076" s="2">
        <v>2008.62</v>
      </c>
    </row>
    <row r="1077" spans="2:10" x14ac:dyDescent="0.2">
      <c r="B1077" t="s">
        <v>955</v>
      </c>
      <c r="C1077" t="s">
        <v>88</v>
      </c>
      <c r="D1077" t="s">
        <v>956</v>
      </c>
      <c r="E1077" t="s">
        <v>976</v>
      </c>
      <c r="F1077" t="s">
        <v>977</v>
      </c>
      <c r="G1077" t="s">
        <v>54</v>
      </c>
      <c r="H1077" t="s">
        <v>138</v>
      </c>
      <c r="I1077" s="1">
        <v>1</v>
      </c>
      <c r="J1077" s="2">
        <v>560.34</v>
      </c>
    </row>
    <row r="1078" spans="2:10" x14ac:dyDescent="0.2">
      <c r="B1078" t="s">
        <v>955</v>
      </c>
      <c r="C1078" t="s">
        <v>88</v>
      </c>
      <c r="D1078" t="s">
        <v>956</v>
      </c>
      <c r="E1078" t="s">
        <v>12</v>
      </c>
      <c r="F1078" t="s">
        <v>13</v>
      </c>
      <c r="G1078" t="s">
        <v>1034</v>
      </c>
      <c r="H1078" t="s">
        <v>15</v>
      </c>
      <c r="I1078" s="1">
        <v>1</v>
      </c>
      <c r="J1078" s="2">
        <v>1077.5899999999999</v>
      </c>
    </row>
    <row r="1079" spans="2:10" x14ac:dyDescent="0.2">
      <c r="B1079" t="s">
        <v>955</v>
      </c>
      <c r="C1079" t="s">
        <v>88</v>
      </c>
      <c r="D1079" t="s">
        <v>956</v>
      </c>
      <c r="E1079" t="s">
        <v>72</v>
      </c>
      <c r="F1079" t="s">
        <v>73</v>
      </c>
      <c r="G1079" t="s">
        <v>1034</v>
      </c>
      <c r="H1079" t="s">
        <v>15</v>
      </c>
      <c r="I1079" s="1">
        <v>1</v>
      </c>
      <c r="J1079" s="2">
        <v>775.86</v>
      </c>
    </row>
    <row r="1080" spans="2:10" x14ac:dyDescent="0.2">
      <c r="B1080" t="s">
        <v>955</v>
      </c>
      <c r="C1080" t="s">
        <v>88</v>
      </c>
      <c r="D1080" t="s">
        <v>956</v>
      </c>
      <c r="E1080" t="s">
        <v>978</v>
      </c>
      <c r="F1080" t="s">
        <v>979</v>
      </c>
      <c r="G1080" t="s">
        <v>54</v>
      </c>
      <c r="H1080" t="s">
        <v>138</v>
      </c>
      <c r="I1080" s="1">
        <v>1</v>
      </c>
      <c r="J1080" s="2">
        <v>250</v>
      </c>
    </row>
    <row r="1081" spans="2:10" x14ac:dyDescent="0.2">
      <c r="B1081" t="s">
        <v>955</v>
      </c>
      <c r="C1081" t="s">
        <v>88</v>
      </c>
      <c r="D1081" t="s">
        <v>956</v>
      </c>
      <c r="E1081" t="s">
        <v>980</v>
      </c>
      <c r="F1081" t="s">
        <v>981</v>
      </c>
      <c r="G1081" t="s">
        <v>1033</v>
      </c>
      <c r="H1081" t="s">
        <v>30</v>
      </c>
      <c r="I1081" s="1">
        <v>1</v>
      </c>
      <c r="J1081" s="2">
        <v>1508.62</v>
      </c>
    </row>
    <row r="1082" spans="2:10" x14ac:dyDescent="0.2">
      <c r="B1082" t="s">
        <v>955</v>
      </c>
      <c r="C1082" t="s">
        <v>88</v>
      </c>
      <c r="D1082" t="s">
        <v>956</v>
      </c>
      <c r="E1082" t="s">
        <v>406</v>
      </c>
      <c r="F1082" t="s">
        <v>407</v>
      </c>
      <c r="G1082" t="s">
        <v>14</v>
      </c>
      <c r="H1082" t="s">
        <v>104</v>
      </c>
      <c r="I1082" s="1">
        <v>5</v>
      </c>
      <c r="J1082" s="2">
        <v>86.2</v>
      </c>
    </row>
    <row r="1083" spans="2:10" x14ac:dyDescent="0.2">
      <c r="B1083" t="s">
        <v>955</v>
      </c>
      <c r="C1083" t="s">
        <v>88</v>
      </c>
      <c r="D1083" t="s">
        <v>956</v>
      </c>
      <c r="E1083" t="s">
        <v>163</v>
      </c>
      <c r="F1083" t="s">
        <v>164</v>
      </c>
      <c r="G1083" t="s">
        <v>1034</v>
      </c>
      <c r="H1083" t="s">
        <v>15</v>
      </c>
      <c r="I1083" s="1">
        <v>1</v>
      </c>
      <c r="J1083" s="2">
        <v>431.03</v>
      </c>
    </row>
    <row r="1084" spans="2:10" x14ac:dyDescent="0.2">
      <c r="B1084" t="s">
        <v>955</v>
      </c>
      <c r="C1084" t="s">
        <v>88</v>
      </c>
      <c r="D1084" t="s">
        <v>956</v>
      </c>
      <c r="E1084" t="s">
        <v>63</v>
      </c>
      <c r="F1084" t="s">
        <v>64</v>
      </c>
      <c r="G1084" t="s">
        <v>1034</v>
      </c>
      <c r="H1084" t="s">
        <v>15</v>
      </c>
      <c r="I1084" s="1">
        <v>1</v>
      </c>
      <c r="J1084" s="2">
        <v>172.41</v>
      </c>
    </row>
    <row r="1085" spans="2:10" x14ac:dyDescent="0.2">
      <c r="B1085" t="s">
        <v>955</v>
      </c>
      <c r="C1085" t="s">
        <v>117</v>
      </c>
      <c r="D1085" t="s">
        <v>956</v>
      </c>
      <c r="E1085" t="s">
        <v>302</v>
      </c>
      <c r="F1085" t="s">
        <v>303</v>
      </c>
      <c r="G1085" t="s">
        <v>1033</v>
      </c>
      <c r="H1085" t="s">
        <v>30</v>
      </c>
      <c r="I1085" s="1">
        <v>1</v>
      </c>
      <c r="J1085" s="2">
        <v>474.14</v>
      </c>
    </row>
    <row r="1086" spans="2:10" x14ac:dyDescent="0.2">
      <c r="B1086" t="s">
        <v>955</v>
      </c>
      <c r="C1086" t="s">
        <v>117</v>
      </c>
      <c r="D1086" t="s">
        <v>956</v>
      </c>
      <c r="E1086" t="s">
        <v>982</v>
      </c>
      <c r="F1086" t="s">
        <v>983</v>
      </c>
      <c r="G1086" t="s">
        <v>54</v>
      </c>
      <c r="H1086" t="s">
        <v>694</v>
      </c>
      <c r="I1086" s="1">
        <v>1</v>
      </c>
      <c r="J1086" s="2">
        <v>444</v>
      </c>
    </row>
    <row r="1087" spans="2:10" x14ac:dyDescent="0.2">
      <c r="B1087" t="s">
        <v>955</v>
      </c>
      <c r="C1087" t="s">
        <v>117</v>
      </c>
      <c r="D1087" t="s">
        <v>956</v>
      </c>
      <c r="E1087" t="s">
        <v>46</v>
      </c>
      <c r="F1087" t="s">
        <v>47</v>
      </c>
      <c r="G1087" t="s">
        <v>1034</v>
      </c>
      <c r="H1087" t="s">
        <v>15</v>
      </c>
      <c r="I1087" s="1">
        <v>2</v>
      </c>
      <c r="J1087" s="2">
        <v>603.44000000000005</v>
      </c>
    </row>
    <row r="1088" spans="2:10" x14ac:dyDescent="0.2">
      <c r="B1088" t="s">
        <v>955</v>
      </c>
      <c r="C1088" t="s">
        <v>117</v>
      </c>
      <c r="D1088" t="s">
        <v>956</v>
      </c>
      <c r="E1088" t="s">
        <v>70</v>
      </c>
      <c r="F1088" t="s">
        <v>71</v>
      </c>
      <c r="G1088" t="s">
        <v>1033</v>
      </c>
      <c r="H1088" t="s">
        <v>30</v>
      </c>
      <c r="I1088" s="1">
        <v>1</v>
      </c>
      <c r="J1088" s="2">
        <v>2112.0700000000002</v>
      </c>
    </row>
    <row r="1089" spans="2:10" x14ac:dyDescent="0.2">
      <c r="B1089" t="s">
        <v>955</v>
      </c>
      <c r="C1089" t="s">
        <v>117</v>
      </c>
      <c r="D1089" t="s">
        <v>956</v>
      </c>
      <c r="E1089" t="s">
        <v>293</v>
      </c>
      <c r="F1089" t="s">
        <v>294</v>
      </c>
      <c r="G1089" t="s">
        <v>43</v>
      </c>
      <c r="H1089" t="s">
        <v>128</v>
      </c>
      <c r="I1089" s="1">
        <v>1</v>
      </c>
      <c r="J1089" s="2">
        <v>5862.07</v>
      </c>
    </row>
    <row r="1090" spans="2:10" x14ac:dyDescent="0.2">
      <c r="B1090" t="s">
        <v>955</v>
      </c>
      <c r="C1090" t="s">
        <v>117</v>
      </c>
      <c r="D1090" t="s">
        <v>956</v>
      </c>
      <c r="E1090" t="s">
        <v>221</v>
      </c>
      <c r="F1090" t="s">
        <v>222</v>
      </c>
      <c r="G1090" t="s">
        <v>1034</v>
      </c>
      <c r="H1090" t="s">
        <v>15</v>
      </c>
      <c r="I1090" s="1">
        <v>1</v>
      </c>
      <c r="J1090" s="2">
        <v>431.03</v>
      </c>
    </row>
    <row r="1091" spans="2:10" x14ac:dyDescent="0.2">
      <c r="B1091" t="s">
        <v>955</v>
      </c>
      <c r="C1091" t="s">
        <v>117</v>
      </c>
      <c r="D1091" t="s">
        <v>956</v>
      </c>
      <c r="E1091" t="s">
        <v>12</v>
      </c>
      <c r="F1091" t="s">
        <v>13</v>
      </c>
      <c r="G1091" t="s">
        <v>1034</v>
      </c>
      <c r="H1091" t="s">
        <v>15</v>
      </c>
      <c r="I1091" s="1">
        <v>1</v>
      </c>
      <c r="J1091" s="2">
        <v>1077.5899999999999</v>
      </c>
    </row>
    <row r="1092" spans="2:10" x14ac:dyDescent="0.2">
      <c r="B1092" t="s">
        <v>955</v>
      </c>
      <c r="C1092" t="s">
        <v>117</v>
      </c>
      <c r="D1092" t="s">
        <v>956</v>
      </c>
      <c r="E1092" t="s">
        <v>253</v>
      </c>
      <c r="F1092" t="s">
        <v>254</v>
      </c>
      <c r="G1092" t="s">
        <v>1034</v>
      </c>
      <c r="H1092" t="s">
        <v>15</v>
      </c>
      <c r="I1092" s="1">
        <v>1</v>
      </c>
      <c r="J1092" s="2">
        <v>775.86</v>
      </c>
    </row>
    <row r="1093" spans="2:10" x14ac:dyDescent="0.2">
      <c r="B1093" t="s">
        <v>955</v>
      </c>
      <c r="C1093" t="s">
        <v>117</v>
      </c>
      <c r="D1093" t="s">
        <v>956</v>
      </c>
      <c r="E1093" t="s">
        <v>72</v>
      </c>
      <c r="F1093" t="s">
        <v>73</v>
      </c>
      <c r="G1093" t="s">
        <v>1034</v>
      </c>
      <c r="H1093" t="s">
        <v>15</v>
      </c>
      <c r="I1093" s="1">
        <v>3</v>
      </c>
      <c r="J1093" s="2">
        <v>2327.58</v>
      </c>
    </row>
    <row r="1094" spans="2:10" x14ac:dyDescent="0.2">
      <c r="B1094" t="s">
        <v>955</v>
      </c>
      <c r="C1094" t="s">
        <v>117</v>
      </c>
      <c r="D1094" t="s">
        <v>956</v>
      </c>
      <c r="E1094" t="s">
        <v>153</v>
      </c>
      <c r="F1094" t="s">
        <v>154</v>
      </c>
      <c r="G1094" t="s">
        <v>1034</v>
      </c>
      <c r="H1094" t="s">
        <v>15</v>
      </c>
      <c r="I1094" s="1">
        <v>1</v>
      </c>
      <c r="J1094" s="2">
        <v>387.93</v>
      </c>
    </row>
    <row r="1095" spans="2:10" x14ac:dyDescent="0.2">
      <c r="B1095" t="s">
        <v>955</v>
      </c>
      <c r="C1095" t="s">
        <v>117</v>
      </c>
      <c r="D1095" t="s">
        <v>956</v>
      </c>
      <c r="E1095" t="s">
        <v>656</v>
      </c>
      <c r="F1095" t="s">
        <v>657</v>
      </c>
      <c r="G1095" t="s">
        <v>43</v>
      </c>
      <c r="H1095" t="s">
        <v>50</v>
      </c>
      <c r="I1095" s="1">
        <v>1</v>
      </c>
      <c r="J1095" s="2">
        <v>181.03</v>
      </c>
    </row>
    <row r="1096" spans="2:10" x14ac:dyDescent="0.2">
      <c r="B1096" t="s">
        <v>955</v>
      </c>
      <c r="C1096" t="s">
        <v>117</v>
      </c>
      <c r="D1096" t="s">
        <v>956</v>
      </c>
      <c r="E1096" t="s">
        <v>596</v>
      </c>
      <c r="F1096" t="s">
        <v>597</v>
      </c>
      <c r="G1096" t="s">
        <v>43</v>
      </c>
      <c r="H1096" t="s">
        <v>50</v>
      </c>
      <c r="I1096" s="1">
        <v>1</v>
      </c>
      <c r="J1096" s="2">
        <v>181.03</v>
      </c>
    </row>
    <row r="1097" spans="2:10" x14ac:dyDescent="0.2">
      <c r="B1097" t="s">
        <v>955</v>
      </c>
      <c r="C1097" t="s">
        <v>117</v>
      </c>
      <c r="D1097" t="s">
        <v>956</v>
      </c>
      <c r="E1097" t="s">
        <v>312</v>
      </c>
      <c r="F1097" t="s">
        <v>313</v>
      </c>
      <c r="G1097" t="s">
        <v>1033</v>
      </c>
      <c r="H1097" t="s">
        <v>30</v>
      </c>
      <c r="I1097" s="1">
        <v>1</v>
      </c>
      <c r="J1097" s="2">
        <v>603.45000000000005</v>
      </c>
    </row>
    <row r="1098" spans="2:10" x14ac:dyDescent="0.2">
      <c r="B1098" t="s">
        <v>955</v>
      </c>
      <c r="C1098" t="s">
        <v>117</v>
      </c>
      <c r="D1098" t="s">
        <v>956</v>
      </c>
      <c r="E1098" t="s">
        <v>875</v>
      </c>
      <c r="F1098" t="s">
        <v>876</v>
      </c>
      <c r="G1098" t="s">
        <v>14</v>
      </c>
      <c r="H1098" t="s">
        <v>60</v>
      </c>
      <c r="I1098" s="1">
        <v>1</v>
      </c>
      <c r="J1098" s="2">
        <v>310.35000000000002</v>
      </c>
    </row>
    <row r="1099" spans="2:10" x14ac:dyDescent="0.2">
      <c r="B1099" t="s">
        <v>955</v>
      </c>
      <c r="C1099" t="s">
        <v>117</v>
      </c>
      <c r="D1099" t="s">
        <v>956</v>
      </c>
      <c r="E1099" t="s">
        <v>56</v>
      </c>
      <c r="F1099" t="s">
        <v>57</v>
      </c>
      <c r="G1099" t="s">
        <v>1034</v>
      </c>
      <c r="H1099" t="s">
        <v>15</v>
      </c>
      <c r="I1099" s="1">
        <v>1</v>
      </c>
      <c r="J1099" s="2">
        <v>431.03</v>
      </c>
    </row>
    <row r="1100" spans="2:10" x14ac:dyDescent="0.2">
      <c r="B1100" t="s">
        <v>955</v>
      </c>
      <c r="C1100" t="s">
        <v>117</v>
      </c>
      <c r="D1100" t="s">
        <v>956</v>
      </c>
      <c r="E1100" t="s">
        <v>163</v>
      </c>
      <c r="F1100" t="s">
        <v>164</v>
      </c>
      <c r="G1100" t="s">
        <v>1034</v>
      </c>
      <c r="H1100" t="s">
        <v>15</v>
      </c>
      <c r="I1100" s="1">
        <v>1</v>
      </c>
      <c r="J1100" s="2">
        <v>431.03</v>
      </c>
    </row>
    <row r="1101" spans="2:10" x14ac:dyDescent="0.2">
      <c r="B1101" t="s">
        <v>955</v>
      </c>
      <c r="C1101" t="s">
        <v>129</v>
      </c>
      <c r="D1101" t="s">
        <v>277</v>
      </c>
      <c r="E1101" t="s">
        <v>46</v>
      </c>
      <c r="F1101" t="s">
        <v>47</v>
      </c>
      <c r="G1101" t="s">
        <v>1034</v>
      </c>
      <c r="H1101" t="s">
        <v>15</v>
      </c>
      <c r="I1101" s="1">
        <v>1</v>
      </c>
      <c r="J1101" s="2">
        <v>301.72000000000003</v>
      </c>
    </row>
    <row r="1102" spans="2:10" x14ac:dyDescent="0.2">
      <c r="B1102" t="s">
        <v>955</v>
      </c>
      <c r="C1102" t="s">
        <v>129</v>
      </c>
      <c r="D1102" t="s">
        <v>277</v>
      </c>
      <c r="E1102" t="s">
        <v>419</v>
      </c>
      <c r="F1102" t="s">
        <v>420</v>
      </c>
      <c r="G1102" t="s">
        <v>14</v>
      </c>
      <c r="H1102" t="s">
        <v>35</v>
      </c>
      <c r="I1102" s="1">
        <v>1</v>
      </c>
      <c r="J1102" s="2">
        <v>77.59</v>
      </c>
    </row>
    <row r="1103" spans="2:10" x14ac:dyDescent="0.2">
      <c r="B1103" t="s">
        <v>955</v>
      </c>
      <c r="C1103" t="s">
        <v>129</v>
      </c>
      <c r="D1103" t="s">
        <v>277</v>
      </c>
      <c r="E1103" t="s">
        <v>221</v>
      </c>
      <c r="F1103" t="s">
        <v>222</v>
      </c>
      <c r="G1103" t="s">
        <v>1034</v>
      </c>
      <c r="H1103" t="s">
        <v>15</v>
      </c>
      <c r="I1103" s="1">
        <v>2</v>
      </c>
      <c r="J1103" s="2">
        <v>862.06</v>
      </c>
    </row>
    <row r="1104" spans="2:10" x14ac:dyDescent="0.2">
      <c r="B1104" t="s">
        <v>955</v>
      </c>
      <c r="C1104" t="s">
        <v>129</v>
      </c>
      <c r="D1104" t="s">
        <v>277</v>
      </c>
      <c r="E1104" t="s">
        <v>72</v>
      </c>
      <c r="F1104" t="s">
        <v>73</v>
      </c>
      <c r="G1104" t="s">
        <v>1034</v>
      </c>
      <c r="H1104" t="s">
        <v>15</v>
      </c>
      <c r="I1104" s="1">
        <v>2</v>
      </c>
      <c r="J1104" s="2">
        <v>1551.72</v>
      </c>
    </row>
    <row r="1105" spans="2:10" x14ac:dyDescent="0.2">
      <c r="B1105" t="s">
        <v>955</v>
      </c>
      <c r="C1105" t="s">
        <v>129</v>
      </c>
      <c r="D1105" t="s">
        <v>277</v>
      </c>
      <c r="E1105" t="s">
        <v>122</v>
      </c>
      <c r="F1105" t="s">
        <v>123</v>
      </c>
      <c r="G1105" t="s">
        <v>1034</v>
      </c>
      <c r="H1105" t="s">
        <v>15</v>
      </c>
      <c r="I1105" s="1">
        <v>1</v>
      </c>
      <c r="J1105" s="2">
        <v>387.93</v>
      </c>
    </row>
    <row r="1106" spans="2:10" x14ac:dyDescent="0.2">
      <c r="B1106" t="s">
        <v>955</v>
      </c>
      <c r="C1106" t="s">
        <v>129</v>
      </c>
      <c r="D1106" t="s">
        <v>277</v>
      </c>
      <c r="E1106" t="s">
        <v>56</v>
      </c>
      <c r="F1106" t="s">
        <v>57</v>
      </c>
      <c r="G1106" t="s">
        <v>1034</v>
      </c>
      <c r="H1106" t="s">
        <v>15</v>
      </c>
      <c r="I1106" s="1">
        <v>4</v>
      </c>
      <c r="J1106" s="2">
        <v>1724.1299999999999</v>
      </c>
    </row>
    <row r="1107" spans="2:10" x14ac:dyDescent="0.2">
      <c r="B1107" t="s">
        <v>955</v>
      </c>
      <c r="C1107" t="s">
        <v>129</v>
      </c>
      <c r="D1107" t="s">
        <v>277</v>
      </c>
      <c r="E1107" t="s">
        <v>984</v>
      </c>
      <c r="F1107" t="s">
        <v>985</v>
      </c>
      <c r="G1107" t="s">
        <v>43</v>
      </c>
      <c r="H1107" t="s">
        <v>55</v>
      </c>
      <c r="I1107" s="1">
        <v>1</v>
      </c>
      <c r="J1107" s="2">
        <v>1448.28</v>
      </c>
    </row>
    <row r="1108" spans="2:10" x14ac:dyDescent="0.2">
      <c r="B1108" t="s">
        <v>955</v>
      </c>
      <c r="C1108" t="s">
        <v>129</v>
      </c>
      <c r="D1108" t="s">
        <v>277</v>
      </c>
      <c r="E1108" t="s">
        <v>527</v>
      </c>
      <c r="F1108" t="s">
        <v>528</v>
      </c>
      <c r="G1108" t="s">
        <v>1034</v>
      </c>
      <c r="H1108" t="s">
        <v>15</v>
      </c>
      <c r="I1108" s="1">
        <v>1</v>
      </c>
      <c r="J1108" s="2">
        <v>241.38</v>
      </c>
    </row>
    <row r="1109" spans="2:10" x14ac:dyDescent="0.2">
      <c r="B1109" t="s">
        <v>955</v>
      </c>
      <c r="C1109" t="s">
        <v>129</v>
      </c>
      <c r="D1109" t="s">
        <v>277</v>
      </c>
      <c r="E1109" t="s">
        <v>986</v>
      </c>
      <c r="F1109" t="s">
        <v>987</v>
      </c>
      <c r="G1109" t="s">
        <v>43</v>
      </c>
      <c r="H1109" t="s">
        <v>205</v>
      </c>
      <c r="I1109" s="1">
        <v>1</v>
      </c>
      <c r="J1109" s="2">
        <v>2038.79</v>
      </c>
    </row>
    <row r="1110" spans="2:10" x14ac:dyDescent="0.2">
      <c r="B1110" t="s">
        <v>1016</v>
      </c>
      <c r="C1110" t="s">
        <v>10</v>
      </c>
      <c r="D1110" t="s">
        <v>1017</v>
      </c>
      <c r="E1110" t="s">
        <v>537</v>
      </c>
      <c r="F1110" t="s">
        <v>538</v>
      </c>
      <c r="G1110" t="s">
        <v>14</v>
      </c>
      <c r="H1110" t="s">
        <v>60</v>
      </c>
      <c r="I1110" s="1">
        <v>1</v>
      </c>
      <c r="J1110" s="2">
        <v>327.58999999999997</v>
      </c>
    </row>
    <row r="1111" spans="2:10" x14ac:dyDescent="0.2">
      <c r="B1111" t="s">
        <v>1016</v>
      </c>
      <c r="C1111" t="s">
        <v>10</v>
      </c>
      <c r="D1111" t="s">
        <v>1017</v>
      </c>
      <c r="E1111" t="s">
        <v>19</v>
      </c>
      <c r="F1111" t="s">
        <v>20</v>
      </c>
      <c r="G1111" t="s">
        <v>14</v>
      </c>
      <c r="H1111" t="s">
        <v>21</v>
      </c>
      <c r="I1111" s="1">
        <v>1</v>
      </c>
      <c r="J1111" s="2">
        <v>431.04</v>
      </c>
    </row>
    <row r="1112" spans="2:10" x14ac:dyDescent="0.2">
      <c r="B1112" t="s">
        <v>1016</v>
      </c>
      <c r="C1112" t="s">
        <v>10</v>
      </c>
      <c r="D1112" t="s">
        <v>1017</v>
      </c>
      <c r="E1112" t="s">
        <v>399</v>
      </c>
      <c r="F1112" t="s">
        <v>400</v>
      </c>
      <c r="G1112" t="s">
        <v>1033</v>
      </c>
      <c r="H1112" t="s">
        <v>30</v>
      </c>
      <c r="I1112" s="1">
        <v>1</v>
      </c>
      <c r="J1112" s="2">
        <v>818.97</v>
      </c>
    </row>
    <row r="1113" spans="2:10" x14ac:dyDescent="0.2">
      <c r="B1113" t="s">
        <v>1016</v>
      </c>
      <c r="C1113" t="s">
        <v>10</v>
      </c>
      <c r="D1113" t="s">
        <v>1017</v>
      </c>
      <c r="E1113" t="s">
        <v>221</v>
      </c>
      <c r="F1113" t="s">
        <v>222</v>
      </c>
      <c r="G1113" t="s">
        <v>1034</v>
      </c>
      <c r="H1113" t="s">
        <v>15</v>
      </c>
      <c r="I1113" s="1">
        <v>1</v>
      </c>
      <c r="J1113" s="2">
        <v>431.03</v>
      </c>
    </row>
    <row r="1114" spans="2:10" x14ac:dyDescent="0.2">
      <c r="B1114" t="s">
        <v>1016</v>
      </c>
      <c r="C1114" t="s">
        <v>10</v>
      </c>
      <c r="D1114" t="s">
        <v>1017</v>
      </c>
      <c r="E1114" t="s">
        <v>214</v>
      </c>
      <c r="F1114" t="s">
        <v>215</v>
      </c>
      <c r="G1114" t="s">
        <v>1034</v>
      </c>
      <c r="H1114" t="s">
        <v>15</v>
      </c>
      <c r="I1114" s="1">
        <v>2</v>
      </c>
      <c r="J1114" s="2">
        <v>603.44000000000005</v>
      </c>
    </row>
    <row r="1115" spans="2:10" x14ac:dyDescent="0.2">
      <c r="B1115" t="s">
        <v>1016</v>
      </c>
      <c r="C1115" t="s">
        <v>10</v>
      </c>
      <c r="D1115" t="s">
        <v>1017</v>
      </c>
      <c r="E1115" t="s">
        <v>36</v>
      </c>
      <c r="F1115" t="s">
        <v>37</v>
      </c>
      <c r="G1115" t="s">
        <v>1034</v>
      </c>
      <c r="H1115" t="s">
        <v>15</v>
      </c>
      <c r="I1115" s="1">
        <v>1</v>
      </c>
      <c r="J1115" s="2">
        <v>301.72000000000003</v>
      </c>
    </row>
    <row r="1116" spans="2:10" x14ac:dyDescent="0.2">
      <c r="B1116" t="s">
        <v>1016</v>
      </c>
      <c r="C1116" t="s">
        <v>10</v>
      </c>
      <c r="D1116" t="s">
        <v>1017</v>
      </c>
      <c r="E1116" t="s">
        <v>83</v>
      </c>
      <c r="F1116" t="s">
        <v>84</v>
      </c>
      <c r="G1116" t="s">
        <v>1034</v>
      </c>
      <c r="H1116" t="s">
        <v>15</v>
      </c>
      <c r="I1116" s="1">
        <v>1</v>
      </c>
      <c r="J1116" s="2">
        <v>387.93</v>
      </c>
    </row>
    <row r="1117" spans="2:10" x14ac:dyDescent="0.2">
      <c r="B1117" t="s">
        <v>1016</v>
      </c>
      <c r="C1117" t="s">
        <v>10</v>
      </c>
      <c r="D1117" t="s">
        <v>1017</v>
      </c>
      <c r="E1117" t="s">
        <v>56</v>
      </c>
      <c r="F1117" t="s">
        <v>57</v>
      </c>
      <c r="G1117" t="s">
        <v>1034</v>
      </c>
      <c r="H1117" t="s">
        <v>15</v>
      </c>
      <c r="I1117" s="1">
        <v>3</v>
      </c>
      <c r="J1117" s="2">
        <v>1293.0899999999999</v>
      </c>
    </row>
    <row r="1118" spans="2:10" x14ac:dyDescent="0.2">
      <c r="B1118" t="s">
        <v>1016</v>
      </c>
      <c r="C1118" t="s">
        <v>18</v>
      </c>
      <c r="D1118" t="s">
        <v>32</v>
      </c>
      <c r="E1118" t="s">
        <v>70</v>
      </c>
      <c r="F1118" t="s">
        <v>71</v>
      </c>
      <c r="G1118" t="s">
        <v>1033</v>
      </c>
      <c r="H1118" t="s">
        <v>30</v>
      </c>
      <c r="I1118" s="1">
        <v>1</v>
      </c>
      <c r="J1118" s="2">
        <v>2112.0700000000002</v>
      </c>
    </row>
    <row r="1119" spans="2:10" x14ac:dyDescent="0.2">
      <c r="B1119" t="s">
        <v>1016</v>
      </c>
      <c r="C1119" t="s">
        <v>18</v>
      </c>
      <c r="D1119" t="s">
        <v>32</v>
      </c>
      <c r="E1119" t="s">
        <v>72</v>
      </c>
      <c r="F1119" t="s">
        <v>73</v>
      </c>
      <c r="G1119" t="s">
        <v>1034</v>
      </c>
      <c r="H1119" t="s">
        <v>15</v>
      </c>
      <c r="I1119" s="1">
        <v>1</v>
      </c>
      <c r="J1119" s="2">
        <v>775.86</v>
      </c>
    </row>
    <row r="1120" spans="2:10" x14ac:dyDescent="0.2">
      <c r="B1120" t="s">
        <v>1016</v>
      </c>
      <c r="C1120" t="s">
        <v>18</v>
      </c>
      <c r="D1120" t="s">
        <v>32</v>
      </c>
      <c r="E1120" t="s">
        <v>83</v>
      </c>
      <c r="F1120" t="s">
        <v>84</v>
      </c>
      <c r="G1120" t="s">
        <v>1034</v>
      </c>
      <c r="H1120" t="s">
        <v>15</v>
      </c>
      <c r="I1120" s="1">
        <v>1</v>
      </c>
      <c r="J1120" s="2">
        <v>387.93</v>
      </c>
    </row>
    <row r="1121" spans="2:10" x14ac:dyDescent="0.2">
      <c r="B1121" t="s">
        <v>1016</v>
      </c>
      <c r="C1121" t="s">
        <v>18</v>
      </c>
      <c r="D1121" t="s">
        <v>32</v>
      </c>
      <c r="E1121" t="s">
        <v>429</v>
      </c>
      <c r="F1121" t="s">
        <v>430</v>
      </c>
      <c r="G1121" t="s">
        <v>43</v>
      </c>
      <c r="H1121" t="s">
        <v>50</v>
      </c>
      <c r="I1121" s="1">
        <v>1</v>
      </c>
      <c r="J1121" s="2">
        <v>181.03</v>
      </c>
    </row>
    <row r="1122" spans="2:10" x14ac:dyDescent="0.2">
      <c r="B1122" t="s">
        <v>1016</v>
      </c>
      <c r="C1122" t="s">
        <v>18</v>
      </c>
      <c r="D1122" t="s">
        <v>32</v>
      </c>
      <c r="E1122" t="s">
        <v>79</v>
      </c>
      <c r="F1122" t="s">
        <v>80</v>
      </c>
      <c r="G1122" t="s">
        <v>43</v>
      </c>
      <c r="H1122" t="s">
        <v>81</v>
      </c>
      <c r="I1122" s="1">
        <v>1</v>
      </c>
      <c r="J1122" s="2">
        <v>1810.34</v>
      </c>
    </row>
    <row r="1123" spans="2:10" x14ac:dyDescent="0.2">
      <c r="B1123" t="s">
        <v>1016</v>
      </c>
      <c r="C1123" t="s">
        <v>31</v>
      </c>
      <c r="D1123" t="s">
        <v>1017</v>
      </c>
      <c r="E1123" t="s">
        <v>826</v>
      </c>
      <c r="F1123" t="s">
        <v>827</v>
      </c>
      <c r="G1123" t="s">
        <v>1033</v>
      </c>
      <c r="H1123" t="s">
        <v>30</v>
      </c>
      <c r="I1123" s="1">
        <v>1</v>
      </c>
      <c r="J1123" s="2">
        <v>521.54999999999995</v>
      </c>
    </row>
    <row r="1124" spans="2:10" x14ac:dyDescent="0.2">
      <c r="B1124" t="s">
        <v>1016</v>
      </c>
      <c r="C1124" t="s">
        <v>31</v>
      </c>
      <c r="D1124" t="s">
        <v>1017</v>
      </c>
      <c r="E1124" t="s">
        <v>44</v>
      </c>
      <c r="F1124" t="s">
        <v>45</v>
      </c>
      <c r="G1124" t="s">
        <v>1033</v>
      </c>
      <c r="H1124" t="s">
        <v>30</v>
      </c>
      <c r="I1124" s="1">
        <v>1</v>
      </c>
      <c r="J1124" s="2">
        <v>81.900000000000006</v>
      </c>
    </row>
    <row r="1125" spans="2:10" x14ac:dyDescent="0.2">
      <c r="B1125" t="s">
        <v>1016</v>
      </c>
      <c r="C1125" t="s">
        <v>31</v>
      </c>
      <c r="D1125" t="s">
        <v>1017</v>
      </c>
      <c r="E1125" t="s">
        <v>356</v>
      </c>
      <c r="F1125" t="s">
        <v>357</v>
      </c>
      <c r="G1125" t="s">
        <v>1033</v>
      </c>
      <c r="H1125" t="s">
        <v>30</v>
      </c>
      <c r="I1125" s="1">
        <v>1</v>
      </c>
      <c r="J1125" s="2">
        <v>2198.2800000000002</v>
      </c>
    </row>
    <row r="1126" spans="2:10" x14ac:dyDescent="0.2">
      <c r="B1126" t="s">
        <v>1016</v>
      </c>
      <c r="C1126" t="s">
        <v>31</v>
      </c>
      <c r="D1126" t="s">
        <v>1017</v>
      </c>
      <c r="E1126" t="s">
        <v>368</v>
      </c>
      <c r="F1126" t="s">
        <v>369</v>
      </c>
      <c r="G1126" t="s">
        <v>1033</v>
      </c>
      <c r="H1126" t="s">
        <v>30</v>
      </c>
      <c r="I1126" s="1">
        <v>1</v>
      </c>
      <c r="J1126" s="2">
        <v>612.07000000000005</v>
      </c>
    </row>
    <row r="1127" spans="2:10" x14ac:dyDescent="0.2">
      <c r="B1127" t="s">
        <v>1016</v>
      </c>
      <c r="C1127" t="s">
        <v>31</v>
      </c>
      <c r="D1127" t="s">
        <v>1017</v>
      </c>
      <c r="E1127" t="s">
        <v>214</v>
      </c>
      <c r="F1127" t="s">
        <v>215</v>
      </c>
      <c r="G1127" t="s">
        <v>1034</v>
      </c>
      <c r="H1127" t="s">
        <v>15</v>
      </c>
      <c r="I1127" s="1">
        <v>2</v>
      </c>
      <c r="J1127" s="2">
        <v>603.44000000000005</v>
      </c>
    </row>
    <row r="1128" spans="2:10" x14ac:dyDescent="0.2">
      <c r="B1128" t="s">
        <v>1016</v>
      </c>
      <c r="C1128" t="s">
        <v>31</v>
      </c>
      <c r="D1128" t="s">
        <v>1017</v>
      </c>
      <c r="E1128" t="s">
        <v>312</v>
      </c>
      <c r="F1128" t="s">
        <v>313</v>
      </c>
      <c r="G1128" t="s">
        <v>1033</v>
      </c>
      <c r="H1128" t="s">
        <v>30</v>
      </c>
      <c r="I1128" s="1">
        <v>1</v>
      </c>
      <c r="J1128" s="2">
        <v>603.45000000000005</v>
      </c>
    </row>
    <row r="1129" spans="2:10" x14ac:dyDescent="0.2">
      <c r="B1129" t="s">
        <v>1016</v>
      </c>
      <c r="C1129" t="s">
        <v>31</v>
      </c>
      <c r="D1129" t="s">
        <v>1017</v>
      </c>
      <c r="E1129" t="s">
        <v>48</v>
      </c>
      <c r="F1129" t="s">
        <v>49</v>
      </c>
      <c r="G1129" t="s">
        <v>43</v>
      </c>
      <c r="H1129" t="s">
        <v>50</v>
      </c>
      <c r="I1129" s="1">
        <v>1</v>
      </c>
      <c r="J1129" s="2">
        <v>1318.97</v>
      </c>
    </row>
    <row r="1130" spans="2:10" x14ac:dyDescent="0.2">
      <c r="B1130" t="s">
        <v>1016</v>
      </c>
      <c r="C1130" t="s">
        <v>40</v>
      </c>
      <c r="D1130" t="s">
        <v>1017</v>
      </c>
      <c r="E1130" t="s">
        <v>559</v>
      </c>
      <c r="F1130" t="s">
        <v>560</v>
      </c>
      <c r="G1130" t="s">
        <v>1033</v>
      </c>
      <c r="H1130" t="s">
        <v>30</v>
      </c>
      <c r="I1130" s="1">
        <v>1</v>
      </c>
      <c r="J1130" s="2">
        <v>1706.9</v>
      </c>
    </row>
    <row r="1131" spans="2:10" x14ac:dyDescent="0.2">
      <c r="B1131" t="s">
        <v>1016</v>
      </c>
      <c r="C1131" t="s">
        <v>40</v>
      </c>
      <c r="D1131" t="s">
        <v>1017</v>
      </c>
      <c r="E1131" t="s">
        <v>36</v>
      </c>
      <c r="F1131" t="s">
        <v>37</v>
      </c>
      <c r="G1131" t="s">
        <v>1034</v>
      </c>
      <c r="H1131" t="s">
        <v>15</v>
      </c>
      <c r="I1131" s="1">
        <v>1</v>
      </c>
      <c r="J1131" s="2">
        <v>301.72000000000003</v>
      </c>
    </row>
    <row r="1132" spans="2:10" x14ac:dyDescent="0.2">
      <c r="B1132" t="s">
        <v>1016</v>
      </c>
      <c r="C1132" t="s">
        <v>40</v>
      </c>
      <c r="D1132" t="s">
        <v>1017</v>
      </c>
      <c r="E1132" t="s">
        <v>312</v>
      </c>
      <c r="F1132" t="s">
        <v>313</v>
      </c>
      <c r="G1132" t="s">
        <v>1033</v>
      </c>
      <c r="H1132" t="s">
        <v>30</v>
      </c>
      <c r="I1132" s="1">
        <v>1</v>
      </c>
      <c r="J1132" s="2">
        <v>603.45000000000005</v>
      </c>
    </row>
    <row r="1133" spans="2:10" x14ac:dyDescent="0.2">
      <c r="B1133" t="s">
        <v>1016</v>
      </c>
      <c r="C1133" t="s">
        <v>40</v>
      </c>
      <c r="D1133" t="s">
        <v>1017</v>
      </c>
      <c r="E1133" t="s">
        <v>61</v>
      </c>
      <c r="F1133" t="s">
        <v>62</v>
      </c>
      <c r="G1133" t="s">
        <v>1034</v>
      </c>
      <c r="H1133" t="s">
        <v>15</v>
      </c>
      <c r="I1133" s="1">
        <v>1</v>
      </c>
      <c r="J1133" s="2">
        <v>172.41</v>
      </c>
    </row>
    <row r="1134" spans="2:10" x14ac:dyDescent="0.2">
      <c r="B1134" t="s">
        <v>1016</v>
      </c>
      <c r="C1134" t="s">
        <v>40</v>
      </c>
      <c r="D1134" t="s">
        <v>1017</v>
      </c>
      <c r="E1134" t="s">
        <v>63</v>
      </c>
      <c r="F1134" t="s">
        <v>64</v>
      </c>
      <c r="G1134" t="s">
        <v>1034</v>
      </c>
      <c r="H1134" t="s">
        <v>15</v>
      </c>
      <c r="I1134" s="1">
        <v>1</v>
      </c>
      <c r="J1134" s="2">
        <v>172.41</v>
      </c>
    </row>
    <row r="1135" spans="2:10" x14ac:dyDescent="0.2">
      <c r="B1135" t="s">
        <v>1016</v>
      </c>
      <c r="C1135" t="s">
        <v>40</v>
      </c>
      <c r="D1135" t="s">
        <v>1017</v>
      </c>
      <c r="E1135" t="s">
        <v>193</v>
      </c>
      <c r="F1135" t="s">
        <v>194</v>
      </c>
      <c r="G1135" t="s">
        <v>1034</v>
      </c>
      <c r="H1135" t="s">
        <v>15</v>
      </c>
      <c r="I1135" s="1">
        <v>1</v>
      </c>
      <c r="J1135" s="2">
        <v>1293.0999999999999</v>
      </c>
    </row>
    <row r="1136" spans="2:10" x14ac:dyDescent="0.2">
      <c r="B1136" t="s">
        <v>1016</v>
      </c>
      <c r="C1136" t="s">
        <v>40</v>
      </c>
      <c r="D1136" t="s">
        <v>1017</v>
      </c>
      <c r="E1136" t="s">
        <v>28</v>
      </c>
      <c r="F1136" t="s">
        <v>29</v>
      </c>
      <c r="G1136" t="s">
        <v>1033</v>
      </c>
      <c r="H1136" t="s">
        <v>30</v>
      </c>
      <c r="I1136" s="1">
        <v>3</v>
      </c>
      <c r="J1136" s="2">
        <v>465.52</v>
      </c>
    </row>
    <row r="1137" spans="2:10" x14ac:dyDescent="0.2">
      <c r="B1137" t="s">
        <v>1016</v>
      </c>
      <c r="C1137" t="s">
        <v>51</v>
      </c>
      <c r="D1137" t="s">
        <v>1017</v>
      </c>
      <c r="E1137" t="s">
        <v>1018</v>
      </c>
      <c r="F1137" t="s">
        <v>1019</v>
      </c>
      <c r="G1137" t="s">
        <v>14</v>
      </c>
      <c r="H1137" t="s">
        <v>1020</v>
      </c>
      <c r="I1137" s="1">
        <v>1</v>
      </c>
      <c r="J1137" s="2">
        <v>215.52</v>
      </c>
    </row>
    <row r="1138" spans="2:10" x14ac:dyDescent="0.2">
      <c r="B1138" t="s">
        <v>1016</v>
      </c>
      <c r="C1138" t="s">
        <v>51</v>
      </c>
      <c r="D1138" t="s">
        <v>1017</v>
      </c>
      <c r="E1138" t="s">
        <v>637</v>
      </c>
      <c r="F1138" t="s">
        <v>638</v>
      </c>
      <c r="G1138" t="s">
        <v>1033</v>
      </c>
      <c r="H1138" t="s">
        <v>30</v>
      </c>
      <c r="I1138" s="1">
        <v>1</v>
      </c>
      <c r="J1138" s="2">
        <v>689.66</v>
      </c>
    </row>
    <row r="1139" spans="2:10" x14ac:dyDescent="0.2">
      <c r="B1139" t="s">
        <v>1016</v>
      </c>
      <c r="C1139" t="s">
        <v>51</v>
      </c>
      <c r="D1139" t="s">
        <v>1017</v>
      </c>
      <c r="E1139" t="s">
        <v>142</v>
      </c>
      <c r="F1139" t="s">
        <v>143</v>
      </c>
      <c r="G1139" t="s">
        <v>43</v>
      </c>
      <c r="H1139" t="s">
        <v>50</v>
      </c>
      <c r="I1139" s="1">
        <v>1</v>
      </c>
      <c r="J1139" s="2">
        <v>2155.17</v>
      </c>
    </row>
    <row r="1140" spans="2:10" x14ac:dyDescent="0.2">
      <c r="B1140" t="s">
        <v>1016</v>
      </c>
      <c r="C1140" t="s">
        <v>51</v>
      </c>
      <c r="D1140" t="s">
        <v>1017</v>
      </c>
      <c r="E1140" t="s">
        <v>171</v>
      </c>
      <c r="F1140" t="s">
        <v>172</v>
      </c>
      <c r="G1140" t="s">
        <v>14</v>
      </c>
      <c r="H1140" t="s">
        <v>35</v>
      </c>
      <c r="I1140" s="1">
        <v>1</v>
      </c>
      <c r="J1140" s="2">
        <v>77.59</v>
      </c>
    </row>
    <row r="1141" spans="2:10" x14ac:dyDescent="0.2">
      <c r="B1141" t="s">
        <v>1016</v>
      </c>
      <c r="C1141" t="s">
        <v>51</v>
      </c>
      <c r="D1141" t="s">
        <v>1017</v>
      </c>
      <c r="E1141" t="s">
        <v>212</v>
      </c>
      <c r="F1141" t="s">
        <v>213</v>
      </c>
      <c r="G1141" t="s">
        <v>14</v>
      </c>
      <c r="H1141" t="s">
        <v>35</v>
      </c>
      <c r="I1141" s="1">
        <v>1</v>
      </c>
      <c r="J1141" s="2">
        <v>77.59</v>
      </c>
    </row>
    <row r="1142" spans="2:10" x14ac:dyDescent="0.2">
      <c r="B1142" t="s">
        <v>1016</v>
      </c>
      <c r="C1142" t="s">
        <v>51</v>
      </c>
      <c r="D1142" t="s">
        <v>1017</v>
      </c>
      <c r="E1142" t="s">
        <v>406</v>
      </c>
      <c r="F1142" t="s">
        <v>407</v>
      </c>
      <c r="G1142" t="s">
        <v>14</v>
      </c>
      <c r="H1142" t="s">
        <v>104</v>
      </c>
      <c r="I1142" s="1">
        <v>5</v>
      </c>
      <c r="J1142" s="2">
        <v>86.2</v>
      </c>
    </row>
    <row r="1143" spans="2:10" x14ac:dyDescent="0.2">
      <c r="B1143" t="s">
        <v>1016</v>
      </c>
      <c r="C1143" t="s">
        <v>51</v>
      </c>
      <c r="D1143" t="s">
        <v>1017</v>
      </c>
      <c r="E1143" t="s">
        <v>61</v>
      </c>
      <c r="F1143" t="s">
        <v>62</v>
      </c>
      <c r="G1143" t="s">
        <v>1034</v>
      </c>
      <c r="H1143" t="s">
        <v>15</v>
      </c>
      <c r="I1143" s="1">
        <v>1</v>
      </c>
      <c r="J1143" s="2">
        <v>172.41</v>
      </c>
    </row>
    <row r="1144" spans="2:10" x14ac:dyDescent="0.2">
      <c r="B1144" t="s">
        <v>1016</v>
      </c>
      <c r="C1144" t="s">
        <v>51</v>
      </c>
      <c r="D1144" t="s">
        <v>1017</v>
      </c>
      <c r="E1144" t="s">
        <v>416</v>
      </c>
      <c r="F1144" t="s">
        <v>417</v>
      </c>
      <c r="G1144" t="s">
        <v>1033</v>
      </c>
      <c r="H1144" t="s">
        <v>30</v>
      </c>
      <c r="I1144" s="1">
        <v>1</v>
      </c>
      <c r="J1144" s="2">
        <v>2258.62</v>
      </c>
    </row>
    <row r="1145" spans="2:10" x14ac:dyDescent="0.2">
      <c r="B1145" t="s">
        <v>1016</v>
      </c>
      <c r="C1145" t="s">
        <v>65</v>
      </c>
      <c r="D1145" t="s">
        <v>1017</v>
      </c>
      <c r="E1145" t="s">
        <v>83</v>
      </c>
      <c r="F1145" t="s">
        <v>84</v>
      </c>
      <c r="G1145" t="s">
        <v>1034</v>
      </c>
      <c r="H1145" t="s">
        <v>15</v>
      </c>
      <c r="I1145" s="1">
        <v>2</v>
      </c>
      <c r="J1145" s="2">
        <v>775.86</v>
      </c>
    </row>
    <row r="1146" spans="2:10" x14ac:dyDescent="0.2">
      <c r="B1146" t="s">
        <v>1016</v>
      </c>
      <c r="C1146" t="s">
        <v>65</v>
      </c>
      <c r="D1146" t="s">
        <v>1017</v>
      </c>
      <c r="E1146" t="s">
        <v>269</v>
      </c>
      <c r="F1146" t="s">
        <v>270</v>
      </c>
      <c r="G1146" t="s">
        <v>1033</v>
      </c>
      <c r="H1146" t="s">
        <v>30</v>
      </c>
      <c r="I1146" s="1">
        <v>1</v>
      </c>
      <c r="J1146" s="2">
        <v>948.28</v>
      </c>
    </row>
    <row r="1147" spans="2:10" x14ac:dyDescent="0.2">
      <c r="B1147" t="s">
        <v>1016</v>
      </c>
      <c r="C1147" t="s">
        <v>65</v>
      </c>
      <c r="D1147" t="s">
        <v>1017</v>
      </c>
      <c r="E1147" t="s">
        <v>38</v>
      </c>
      <c r="F1147" t="s">
        <v>39</v>
      </c>
      <c r="G1147" t="s">
        <v>1034</v>
      </c>
      <c r="H1147" t="s">
        <v>15</v>
      </c>
      <c r="I1147" s="1">
        <v>2</v>
      </c>
      <c r="J1147" s="2">
        <v>862.06</v>
      </c>
    </row>
    <row r="1148" spans="2:10" x14ac:dyDescent="0.2">
      <c r="B1148" t="s">
        <v>1016</v>
      </c>
      <c r="C1148" t="s">
        <v>65</v>
      </c>
      <c r="D1148" t="s">
        <v>1017</v>
      </c>
      <c r="E1148" t="s">
        <v>63</v>
      </c>
      <c r="F1148" t="s">
        <v>64</v>
      </c>
      <c r="G1148" t="s">
        <v>1034</v>
      </c>
      <c r="H1148" t="s">
        <v>15</v>
      </c>
      <c r="I1148" s="1">
        <v>1</v>
      </c>
      <c r="J1148" s="2">
        <v>172.41</v>
      </c>
    </row>
    <row r="1149" spans="2:10" x14ac:dyDescent="0.2">
      <c r="B1149" t="s">
        <v>1016</v>
      </c>
      <c r="C1149" t="s">
        <v>82</v>
      </c>
      <c r="D1149" t="s">
        <v>1017</v>
      </c>
      <c r="E1149" t="s">
        <v>19</v>
      </c>
      <c r="F1149" t="s">
        <v>20</v>
      </c>
      <c r="G1149" t="s">
        <v>14</v>
      </c>
      <c r="H1149" t="s">
        <v>21</v>
      </c>
      <c r="I1149" s="1">
        <v>1</v>
      </c>
      <c r="J1149" s="2">
        <v>431.04</v>
      </c>
    </row>
    <row r="1150" spans="2:10" x14ac:dyDescent="0.2">
      <c r="B1150" t="s">
        <v>1016</v>
      </c>
      <c r="C1150" t="s">
        <v>82</v>
      </c>
      <c r="D1150" t="s">
        <v>1017</v>
      </c>
      <c r="E1150" t="s">
        <v>442</v>
      </c>
      <c r="F1150" t="s">
        <v>443</v>
      </c>
      <c r="G1150" t="s">
        <v>1033</v>
      </c>
      <c r="H1150" t="s">
        <v>30</v>
      </c>
      <c r="I1150" s="1">
        <v>1</v>
      </c>
      <c r="J1150" s="2">
        <v>2500</v>
      </c>
    </row>
    <row r="1151" spans="2:10" x14ac:dyDescent="0.2">
      <c r="B1151" t="s">
        <v>1016</v>
      </c>
      <c r="C1151" t="s">
        <v>82</v>
      </c>
      <c r="D1151" t="s">
        <v>1017</v>
      </c>
      <c r="E1151" t="s">
        <v>56</v>
      </c>
      <c r="F1151" t="s">
        <v>57</v>
      </c>
      <c r="G1151" t="s">
        <v>1034</v>
      </c>
      <c r="H1151" t="s">
        <v>15</v>
      </c>
      <c r="I1151" s="1">
        <v>5</v>
      </c>
      <c r="J1151" s="2">
        <v>2155.16</v>
      </c>
    </row>
    <row r="1152" spans="2:10" x14ac:dyDescent="0.2">
      <c r="B1152" t="s">
        <v>1016</v>
      </c>
      <c r="C1152" t="s">
        <v>82</v>
      </c>
      <c r="D1152" t="s">
        <v>1017</v>
      </c>
      <c r="E1152" t="s">
        <v>193</v>
      </c>
      <c r="F1152" t="s">
        <v>194</v>
      </c>
      <c r="G1152" t="s">
        <v>1034</v>
      </c>
      <c r="H1152" t="s">
        <v>15</v>
      </c>
      <c r="I1152" s="1">
        <v>1</v>
      </c>
      <c r="J1152" s="2">
        <v>1293.0999999999999</v>
      </c>
    </row>
    <row r="1153" spans="2:10" x14ac:dyDescent="0.2">
      <c r="B1153" t="s">
        <v>1016</v>
      </c>
      <c r="C1153" t="s">
        <v>88</v>
      </c>
      <c r="D1153" t="s">
        <v>1017</v>
      </c>
      <c r="E1153" t="s">
        <v>44</v>
      </c>
      <c r="F1153" t="s">
        <v>45</v>
      </c>
      <c r="G1153" t="s">
        <v>1033</v>
      </c>
      <c r="H1153" t="s">
        <v>30</v>
      </c>
      <c r="I1153" s="1">
        <v>1</v>
      </c>
      <c r="J1153" s="2">
        <v>81.900000000000006</v>
      </c>
    </row>
    <row r="1154" spans="2:10" x14ac:dyDescent="0.2">
      <c r="B1154" t="s">
        <v>1016</v>
      </c>
      <c r="C1154" t="s">
        <v>88</v>
      </c>
      <c r="D1154" t="s">
        <v>1017</v>
      </c>
      <c r="E1154" t="s">
        <v>287</v>
      </c>
      <c r="F1154" t="s">
        <v>288</v>
      </c>
      <c r="G1154" t="s">
        <v>14</v>
      </c>
      <c r="H1154" t="s">
        <v>35</v>
      </c>
      <c r="I1154" s="1">
        <v>1</v>
      </c>
      <c r="J1154" s="2">
        <v>60.34</v>
      </c>
    </row>
    <row r="1155" spans="2:10" x14ac:dyDescent="0.2">
      <c r="B1155" t="s">
        <v>1016</v>
      </c>
      <c r="C1155" t="s">
        <v>88</v>
      </c>
      <c r="D1155" t="s">
        <v>1017</v>
      </c>
      <c r="E1155" t="s">
        <v>559</v>
      </c>
      <c r="F1155" t="s">
        <v>560</v>
      </c>
      <c r="G1155" t="s">
        <v>1033</v>
      </c>
      <c r="H1155" t="s">
        <v>30</v>
      </c>
      <c r="I1155" s="1">
        <v>1</v>
      </c>
      <c r="J1155" s="2">
        <v>1706.9</v>
      </c>
    </row>
    <row r="1156" spans="2:10" x14ac:dyDescent="0.2">
      <c r="B1156" t="s">
        <v>1016</v>
      </c>
      <c r="C1156" t="s">
        <v>88</v>
      </c>
      <c r="D1156" t="s">
        <v>1017</v>
      </c>
      <c r="E1156" t="s">
        <v>36</v>
      </c>
      <c r="F1156" t="s">
        <v>37</v>
      </c>
      <c r="G1156" t="s">
        <v>1034</v>
      </c>
      <c r="H1156" t="s">
        <v>15</v>
      </c>
      <c r="I1156" s="1">
        <v>1</v>
      </c>
      <c r="J1156" s="2">
        <v>301.72000000000003</v>
      </c>
    </row>
    <row r="1157" spans="2:10" x14ac:dyDescent="0.2">
      <c r="B1157" t="s">
        <v>1016</v>
      </c>
      <c r="C1157" t="s">
        <v>88</v>
      </c>
      <c r="D1157" t="s">
        <v>1017</v>
      </c>
      <c r="E1157" t="s">
        <v>72</v>
      </c>
      <c r="F1157" t="s">
        <v>73</v>
      </c>
      <c r="G1157" t="s">
        <v>1034</v>
      </c>
      <c r="H1157" t="s">
        <v>15</v>
      </c>
      <c r="I1157" s="1">
        <v>1</v>
      </c>
      <c r="J1157" s="2">
        <v>775.86</v>
      </c>
    </row>
    <row r="1158" spans="2:10" x14ac:dyDescent="0.2">
      <c r="B1158" t="s">
        <v>1016</v>
      </c>
      <c r="C1158" t="s">
        <v>88</v>
      </c>
      <c r="D1158" t="s">
        <v>1017</v>
      </c>
      <c r="E1158" t="s">
        <v>742</v>
      </c>
      <c r="F1158" t="s">
        <v>743</v>
      </c>
      <c r="G1158" t="s">
        <v>1033</v>
      </c>
      <c r="H1158" t="s">
        <v>30</v>
      </c>
      <c r="I1158" s="1">
        <v>1</v>
      </c>
      <c r="J1158" s="2">
        <v>2672.41</v>
      </c>
    </row>
    <row r="1159" spans="2:10" x14ac:dyDescent="0.2">
      <c r="B1159" t="s">
        <v>1016</v>
      </c>
      <c r="C1159" t="s">
        <v>117</v>
      </c>
      <c r="D1159" t="s">
        <v>32</v>
      </c>
      <c r="E1159" t="s">
        <v>44</v>
      </c>
      <c r="F1159" t="s">
        <v>45</v>
      </c>
      <c r="G1159" t="s">
        <v>1033</v>
      </c>
      <c r="H1159" t="s">
        <v>30</v>
      </c>
      <c r="I1159" s="1">
        <v>1</v>
      </c>
      <c r="J1159" s="2">
        <v>81.900000000000006</v>
      </c>
    </row>
    <row r="1160" spans="2:10" x14ac:dyDescent="0.2">
      <c r="B1160" t="s">
        <v>1016</v>
      </c>
      <c r="C1160" t="s">
        <v>117</v>
      </c>
      <c r="D1160" t="s">
        <v>32</v>
      </c>
      <c r="E1160" t="s">
        <v>221</v>
      </c>
      <c r="F1160" t="s">
        <v>222</v>
      </c>
      <c r="G1160" t="s">
        <v>1034</v>
      </c>
      <c r="H1160" t="s">
        <v>15</v>
      </c>
      <c r="I1160" s="1">
        <v>1</v>
      </c>
      <c r="J1160" s="2">
        <v>431.03</v>
      </c>
    </row>
    <row r="1161" spans="2:10" x14ac:dyDescent="0.2">
      <c r="B1161" t="s">
        <v>1016</v>
      </c>
      <c r="C1161" t="s">
        <v>117</v>
      </c>
      <c r="D1161" t="s">
        <v>32</v>
      </c>
      <c r="E1161" t="s">
        <v>120</v>
      </c>
      <c r="F1161" t="s">
        <v>121</v>
      </c>
      <c r="G1161" t="s">
        <v>1034</v>
      </c>
      <c r="H1161" t="s">
        <v>15</v>
      </c>
      <c r="I1161" s="1">
        <v>1</v>
      </c>
      <c r="J1161" s="2">
        <v>301.72000000000003</v>
      </c>
    </row>
    <row r="1162" spans="2:10" x14ac:dyDescent="0.2">
      <c r="B1162" t="s">
        <v>1016</v>
      </c>
      <c r="C1162" t="s">
        <v>117</v>
      </c>
      <c r="D1162" t="s">
        <v>32</v>
      </c>
      <c r="E1162" t="s">
        <v>36</v>
      </c>
      <c r="F1162" t="s">
        <v>37</v>
      </c>
      <c r="G1162" t="s">
        <v>1034</v>
      </c>
      <c r="H1162" t="s">
        <v>15</v>
      </c>
      <c r="I1162" s="1">
        <v>1</v>
      </c>
      <c r="J1162" s="2">
        <v>301.72000000000003</v>
      </c>
    </row>
    <row r="1163" spans="2:10" x14ac:dyDescent="0.2">
      <c r="B1163" t="s">
        <v>1016</v>
      </c>
      <c r="C1163" t="s">
        <v>129</v>
      </c>
      <c r="D1163" t="s">
        <v>1017</v>
      </c>
      <c r="E1163" t="s">
        <v>41</v>
      </c>
      <c r="F1163" t="s">
        <v>42</v>
      </c>
      <c r="G1163" t="s">
        <v>1033</v>
      </c>
      <c r="H1163" t="s">
        <v>30</v>
      </c>
      <c r="I1163" s="1">
        <v>2</v>
      </c>
      <c r="J1163" s="2">
        <v>68.97</v>
      </c>
    </row>
    <row r="1164" spans="2:10" x14ac:dyDescent="0.2">
      <c r="B1164" t="s">
        <v>1016</v>
      </c>
      <c r="C1164" t="s">
        <v>129</v>
      </c>
      <c r="D1164" t="s">
        <v>1017</v>
      </c>
      <c r="E1164" t="s">
        <v>44</v>
      </c>
      <c r="F1164" t="s">
        <v>45</v>
      </c>
      <c r="G1164" t="s">
        <v>1033</v>
      </c>
      <c r="H1164" t="s">
        <v>30</v>
      </c>
      <c r="I1164" s="1">
        <v>1</v>
      </c>
      <c r="J1164" s="2">
        <v>81.900000000000006</v>
      </c>
    </row>
    <row r="1165" spans="2:10" x14ac:dyDescent="0.2">
      <c r="B1165" t="s">
        <v>1016</v>
      </c>
      <c r="C1165" t="s">
        <v>129</v>
      </c>
      <c r="D1165" t="s">
        <v>1017</v>
      </c>
      <c r="E1165" t="s">
        <v>120</v>
      </c>
      <c r="F1165" t="s">
        <v>121</v>
      </c>
      <c r="G1165" t="s">
        <v>1034</v>
      </c>
      <c r="H1165" t="s">
        <v>15</v>
      </c>
      <c r="I1165" s="1">
        <v>1</v>
      </c>
      <c r="J1165" s="2">
        <v>301.72000000000003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379-4F99-4EF2-9CA0-A252EAA8D9CF}">
  <sheetPr filterMode="1">
    <tabColor theme="9" tint="-0.499984740745262"/>
  </sheetPr>
  <dimension ref="B1:W101"/>
  <sheetViews>
    <sheetView showGridLines="0" tabSelected="1" zoomScale="50" zoomScaleNormal="50" workbookViewId="0">
      <selection activeCell="B2" sqref="B2"/>
    </sheetView>
  </sheetViews>
  <sheetFormatPr baseColWidth="10" defaultColWidth="11.42578125" defaultRowHeight="21" x14ac:dyDescent="0.25"/>
  <cols>
    <col min="1" max="1" width="4.28515625" style="7" customWidth="1"/>
    <col min="2" max="2" width="66.5703125" style="7" bestFit="1" customWidth="1"/>
    <col min="3" max="3" width="32.7109375" style="8" bestFit="1" customWidth="1"/>
    <col min="4" max="4" width="42.7109375" style="9" customWidth="1"/>
    <col min="5" max="5" width="23.5703125" style="7" customWidth="1"/>
    <col min="6" max="6" width="62.42578125" style="7" customWidth="1"/>
    <col min="7" max="7" width="24.5703125" style="10" customWidth="1"/>
    <col min="8" max="8" width="31" style="11" customWidth="1"/>
    <col min="9" max="9" width="33.85546875" style="12" customWidth="1"/>
    <col min="10" max="10" width="39.28515625" style="7" customWidth="1"/>
    <col min="11" max="11" width="22.140625" style="13" customWidth="1"/>
    <col min="12" max="12" width="31.42578125" style="13" customWidth="1"/>
    <col min="13" max="13" width="22.140625" style="7" customWidth="1"/>
    <col min="14" max="14" width="20" style="7" customWidth="1"/>
    <col min="15" max="15" width="31.28515625" style="7" bestFit="1" customWidth="1"/>
    <col min="16" max="16" width="34.85546875" style="14" customWidth="1"/>
    <col min="17" max="17" width="34.85546875" style="15" customWidth="1"/>
    <col min="18" max="18" width="34.5703125" style="16" customWidth="1"/>
    <col min="19" max="19" width="35.140625" style="7" customWidth="1"/>
    <col min="20" max="20" width="17.140625" style="7" bestFit="1" customWidth="1"/>
    <col min="21" max="21" width="17.85546875" style="7" bestFit="1" customWidth="1"/>
    <col min="22" max="22" width="11.42578125" style="7"/>
    <col min="23" max="23" width="14.42578125" style="7" bestFit="1" customWidth="1"/>
    <col min="24" max="16384" width="11.42578125" style="7"/>
  </cols>
  <sheetData>
    <row r="1" spans="2:20" x14ac:dyDescent="0.25">
      <c r="I1" s="12" t="s">
        <v>1035</v>
      </c>
    </row>
    <row r="2" spans="2:20" ht="60" customHeight="1" x14ac:dyDescent="0.25">
      <c r="H2" s="133" t="s">
        <v>1036</v>
      </c>
      <c r="I2" s="134" t="s">
        <v>1037</v>
      </c>
      <c r="J2" s="135" t="s">
        <v>1038</v>
      </c>
      <c r="K2" s="134" t="s">
        <v>1039</v>
      </c>
      <c r="L2" s="134" t="s">
        <v>15</v>
      </c>
      <c r="M2" s="135" t="s">
        <v>1040</v>
      </c>
      <c r="N2" s="17"/>
      <c r="O2" s="17"/>
      <c r="R2" s="18"/>
    </row>
    <row r="3" spans="2:20" ht="27" thickBot="1" x14ac:dyDescent="0.45">
      <c r="H3" s="19" t="s">
        <v>1041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17"/>
      <c r="O3" s="17"/>
      <c r="R3" s="18"/>
    </row>
    <row r="4" spans="2:20" ht="28.5" x14ac:dyDescent="0.45">
      <c r="B4" s="177" t="s">
        <v>1042</v>
      </c>
      <c r="C4" s="178"/>
      <c r="D4" s="178"/>
      <c r="E4" s="178"/>
      <c r="F4" s="178"/>
      <c r="H4" s="21" t="s">
        <v>1043</v>
      </c>
      <c r="I4" s="22">
        <v>5.0000000000000001E-3</v>
      </c>
      <c r="J4" s="22">
        <v>5.0000000000000001E-3</v>
      </c>
      <c r="K4" s="23">
        <v>0.03</v>
      </c>
      <c r="L4" s="23">
        <v>0.01</v>
      </c>
      <c r="M4" s="23">
        <v>0.03</v>
      </c>
      <c r="N4" s="17"/>
      <c r="O4" s="17"/>
      <c r="P4" s="17"/>
      <c r="Q4" s="24"/>
      <c r="R4" s="18"/>
    </row>
    <row r="5" spans="2:20" ht="26.25" x14ac:dyDescent="0.4">
      <c r="B5" s="25"/>
      <c r="C5" s="26" t="s">
        <v>1044</v>
      </c>
      <c r="D5" s="27" t="s">
        <v>1045</v>
      </c>
      <c r="E5" s="28" t="s">
        <v>1046</v>
      </c>
      <c r="F5" s="29" t="s">
        <v>1047</v>
      </c>
      <c r="H5" s="19" t="s">
        <v>1048</v>
      </c>
      <c r="I5" s="20">
        <v>0.01</v>
      </c>
      <c r="J5" s="30">
        <v>7.4999999999999997E-3</v>
      </c>
      <c r="K5" s="31">
        <v>4.4999999999999998E-2</v>
      </c>
      <c r="L5" s="31">
        <v>1.4999999999999999E-2</v>
      </c>
      <c r="M5" s="31">
        <v>4.4999999999999998E-2</v>
      </c>
      <c r="N5" s="17"/>
      <c r="O5" s="17"/>
      <c r="P5" s="17"/>
      <c r="Q5" s="24"/>
      <c r="R5" s="18"/>
    </row>
    <row r="6" spans="2:20" ht="33.75" customHeight="1" thickBot="1" x14ac:dyDescent="0.45">
      <c r="B6" s="32" t="s">
        <v>1049</v>
      </c>
      <c r="C6" s="33" t="s">
        <v>1050</v>
      </c>
      <c r="D6" s="34" t="s">
        <v>1051</v>
      </c>
      <c r="E6" s="33" t="s">
        <v>1052</v>
      </c>
      <c r="F6" s="35" t="s">
        <v>1053</v>
      </c>
      <c r="H6" s="19" t="s">
        <v>1054</v>
      </c>
      <c r="I6" s="20">
        <v>0.02</v>
      </c>
      <c r="J6" s="20">
        <v>0.01</v>
      </c>
      <c r="K6" s="20">
        <v>0.06</v>
      </c>
      <c r="L6" s="20">
        <v>0.02</v>
      </c>
      <c r="M6" s="20">
        <v>0.06</v>
      </c>
      <c r="N6" s="17"/>
      <c r="O6" s="17"/>
      <c r="P6" s="17"/>
      <c r="Q6" s="24"/>
      <c r="R6" s="18"/>
    </row>
    <row r="7" spans="2:20" ht="35.25" customHeight="1" x14ac:dyDescent="0.45">
      <c r="B7" s="36" t="s">
        <v>1055</v>
      </c>
      <c r="C7" s="136">
        <v>7.4999999999999997E-3</v>
      </c>
      <c r="D7" s="137">
        <v>1.2500000000000001E-2</v>
      </c>
      <c r="E7" s="138">
        <v>0.02</v>
      </c>
      <c r="F7" s="138">
        <v>2.5000000000000001E-2</v>
      </c>
      <c r="H7" s="19" t="s">
        <v>1056</v>
      </c>
      <c r="I7" s="31">
        <v>2.5000000000000001E-2</v>
      </c>
      <c r="J7" s="20">
        <v>0.01</v>
      </c>
      <c r="K7" s="20">
        <v>0.06</v>
      </c>
      <c r="L7" s="20">
        <v>0.02</v>
      </c>
      <c r="M7" s="20">
        <v>0.06</v>
      </c>
      <c r="N7" s="17"/>
      <c r="O7" s="17"/>
      <c r="P7" s="37"/>
      <c r="Q7" s="38"/>
      <c r="R7" s="39"/>
    </row>
    <row r="8" spans="2:20" x14ac:dyDescent="0.25">
      <c r="B8" s="10"/>
      <c r="D8" s="40"/>
      <c r="E8" s="41"/>
      <c r="F8" s="42"/>
      <c r="G8" s="11"/>
    </row>
    <row r="9" spans="2:20" ht="30.75" customHeight="1" x14ac:dyDescent="0.35">
      <c r="E9" s="13"/>
      <c r="O9" s="43"/>
      <c r="P9" s="44"/>
    </row>
    <row r="10" spans="2:20" ht="30.75" customHeight="1" thickBot="1" x14ac:dyDescent="0.3">
      <c r="B10" s="45"/>
      <c r="C10" s="45"/>
      <c r="D10" s="45"/>
      <c r="E10" s="46"/>
      <c r="F10" s="45"/>
      <c r="G10" s="47"/>
      <c r="H10" s="45"/>
    </row>
    <row r="11" spans="2:20" s="48" customFormat="1" ht="45" customHeight="1" x14ac:dyDescent="0.25">
      <c r="C11" s="49" t="s">
        <v>1057</v>
      </c>
      <c r="D11" s="50" t="s">
        <v>1058</v>
      </c>
      <c r="E11" s="51" t="s">
        <v>1059</v>
      </c>
      <c r="F11" s="179" t="s">
        <v>1036</v>
      </c>
      <c r="G11" s="180"/>
      <c r="H11" s="181"/>
      <c r="I11" s="182" t="s">
        <v>1060</v>
      </c>
      <c r="J11" s="183"/>
      <c r="K11" s="183"/>
      <c r="L11" s="183"/>
      <c r="M11" s="184"/>
      <c r="N11" s="52"/>
      <c r="O11" s="53" t="s">
        <v>1061</v>
      </c>
      <c r="P11" s="54"/>
      <c r="Q11" s="55"/>
      <c r="R11" s="15"/>
      <c r="S11" s="15"/>
      <c r="T11" s="15"/>
    </row>
    <row r="12" spans="2:20" s="9" customFormat="1" ht="60" x14ac:dyDescent="0.25">
      <c r="B12" s="56" t="s">
        <v>1062</v>
      </c>
      <c r="C12" s="57" t="s">
        <v>1063</v>
      </c>
      <c r="D12" s="58" t="s">
        <v>1064</v>
      </c>
      <c r="E12" s="59" t="s">
        <v>1064</v>
      </c>
      <c r="F12" s="60" t="s">
        <v>1065</v>
      </c>
      <c r="G12" s="61" t="s">
        <v>1066</v>
      </c>
      <c r="H12" s="62" t="s">
        <v>1067</v>
      </c>
      <c r="I12" s="63" t="s">
        <v>1068</v>
      </c>
      <c r="J12" s="64" t="s">
        <v>1069</v>
      </c>
      <c r="K12" s="64" t="s">
        <v>30</v>
      </c>
      <c r="L12" s="64" t="s">
        <v>15</v>
      </c>
      <c r="M12" s="64" t="s">
        <v>1070</v>
      </c>
      <c r="N12" s="65" t="s">
        <v>1071</v>
      </c>
      <c r="O12" s="66" t="s">
        <v>1072</v>
      </c>
      <c r="P12" s="67" t="s">
        <v>1073</v>
      </c>
      <c r="Q12" s="68" t="s">
        <v>1074</v>
      </c>
      <c r="R12" s="15"/>
      <c r="S12" s="15"/>
      <c r="T12" s="15"/>
    </row>
    <row r="13" spans="2:20" ht="26.25" hidden="1" x14ac:dyDescent="0.35">
      <c r="B13" s="185" t="s">
        <v>9</v>
      </c>
      <c r="C13" s="173">
        <v>200000</v>
      </c>
      <c r="D13" s="176">
        <f>SUMIF('BASE GENERAL'!B4:B3114,ERECTUS!B13,'BASE GENERAL'!J4:J3114)</f>
        <v>154973.1699999999</v>
      </c>
      <c r="E13" s="172">
        <f>D13/C13</f>
        <v>0.77486584999999952</v>
      </c>
      <c r="F13" s="69" t="str">
        <f>'VTA POR EMPLEADO'!A5</f>
        <v>ANGEL DANILO RODRIGUEZ LOPEZ</v>
      </c>
      <c r="G13" s="70">
        <f>SUMIF('VTA POR EMPLEADO'!A5:A8,ERECTUS!F13,'VTA POR EMPLEADO'!B5:B8)</f>
        <v>793.09</v>
      </c>
      <c r="H13" s="71"/>
      <c r="I13" s="72"/>
      <c r="J13" s="72"/>
      <c r="K13" s="72"/>
      <c r="L13" s="72"/>
      <c r="M13" s="72"/>
      <c r="N13" s="72"/>
      <c r="O13" s="73">
        <f t="shared" ref="O13:O44" si="0">SUM(I13:N13)</f>
        <v>0</v>
      </c>
      <c r="P13" s="74"/>
      <c r="Q13" s="74"/>
      <c r="R13" s="15"/>
      <c r="S13" s="15"/>
      <c r="T13" s="15"/>
    </row>
    <row r="14" spans="2:20" ht="26.25" hidden="1" x14ac:dyDescent="0.35">
      <c r="B14" s="185"/>
      <c r="C14" s="173"/>
      <c r="D14" s="176"/>
      <c r="E14" s="172"/>
      <c r="F14" s="69" t="str">
        <f>'VTA POR EMPLEADO'!A6</f>
        <v>GERMAN  GUZMAN AGUIRRE</v>
      </c>
      <c r="G14" s="70">
        <f>SUMIF('VTA POR EMPLEADO'!A6:A9,ERECTUS!F14,'VTA POR EMPLEADO'!B6:B9)</f>
        <v>6775.85</v>
      </c>
      <c r="H14" s="71"/>
      <c r="I14" s="72"/>
      <c r="J14" s="72"/>
      <c r="K14" s="72"/>
      <c r="L14" s="72"/>
      <c r="M14" s="72"/>
      <c r="N14" s="72"/>
      <c r="O14" s="73">
        <f t="shared" si="0"/>
        <v>0</v>
      </c>
      <c r="P14" s="74"/>
      <c r="Q14" s="75"/>
      <c r="R14" s="15"/>
      <c r="S14" s="15"/>
      <c r="T14" s="15"/>
    </row>
    <row r="15" spans="2:20" ht="26.25" hidden="1" x14ac:dyDescent="0.35">
      <c r="B15" s="185"/>
      <c r="C15" s="173"/>
      <c r="D15" s="176"/>
      <c r="E15" s="172"/>
      <c r="F15" s="69" t="str">
        <f>'VTA POR EMPLEADO'!A7</f>
        <v>JESáS ULISES PEREZ VARGAS</v>
      </c>
      <c r="G15" s="70">
        <f>SUMIF('VTA POR EMPLEADO'!A7:A10,ERECTUS!F15,'VTA POR EMPLEADO'!B7:B10)</f>
        <v>1788.77</v>
      </c>
      <c r="H15" s="71"/>
      <c r="I15" s="72"/>
      <c r="J15" s="72"/>
      <c r="K15" s="72"/>
      <c r="L15" s="72"/>
      <c r="M15" s="72"/>
      <c r="N15" s="72"/>
      <c r="O15" s="73">
        <f t="shared" si="0"/>
        <v>0</v>
      </c>
      <c r="P15" s="74"/>
      <c r="Q15" s="74"/>
      <c r="R15" s="15"/>
      <c r="S15" s="15"/>
      <c r="T15" s="15"/>
    </row>
    <row r="16" spans="2:20" ht="26.25" x14ac:dyDescent="0.35">
      <c r="B16" s="185"/>
      <c r="C16" s="173"/>
      <c r="D16" s="176"/>
      <c r="E16" s="172"/>
      <c r="F16" s="69" t="str">
        <f>'VTA POR EMPLEADO'!A8</f>
        <v>NOE JONAS D CEL</v>
      </c>
      <c r="G16" s="70">
        <f>SUMIF('VTA POR EMPLEADO'!A8:A11,ERECTUS!F16,'VTA POR EMPLEADO'!B8:B11)</f>
        <v>145615.4599999999</v>
      </c>
      <c r="H16" s="71"/>
      <c r="I16" s="72">
        <f>G16*C7</f>
        <v>1092.1159499999992</v>
      </c>
      <c r="J16" s="72">
        <f>Juguetes!O26</f>
        <v>333.62049999999994</v>
      </c>
      <c r="K16" s="72">
        <f>CXO!O27</f>
        <v>2583.1055999999985</v>
      </c>
      <c r="L16" s="72">
        <f>DUSA!O25</f>
        <v>675.8578</v>
      </c>
      <c r="M16" s="72">
        <f>Pastilla!O27</f>
        <v>415.8648</v>
      </c>
      <c r="N16" s="72"/>
      <c r="O16" s="73">
        <f t="shared" si="0"/>
        <v>5100.5646499999975</v>
      </c>
      <c r="P16" s="74">
        <f>O16/D13</f>
        <v>3.2912565768642411E-2</v>
      </c>
      <c r="Q16" s="75">
        <f ca="1">O16/$D$92</f>
        <v>2.3261029760054701E-3</v>
      </c>
      <c r="R16" s="15"/>
      <c r="S16" s="15"/>
      <c r="T16" s="15"/>
    </row>
    <row r="17" spans="2:21" ht="26.25" hidden="1" x14ac:dyDescent="0.35">
      <c r="B17" s="161"/>
      <c r="C17" s="175"/>
      <c r="D17" s="167"/>
      <c r="E17" s="166"/>
      <c r="F17" s="69"/>
      <c r="G17" s="70"/>
      <c r="H17" s="71"/>
      <c r="I17" s="72"/>
      <c r="J17" s="72"/>
      <c r="K17" s="72"/>
      <c r="L17" s="72"/>
      <c r="M17" s="72"/>
      <c r="N17" s="72"/>
      <c r="O17" s="73">
        <f t="shared" si="0"/>
        <v>0</v>
      </c>
      <c r="P17" s="74"/>
      <c r="Q17" s="75"/>
      <c r="R17" s="15"/>
      <c r="S17" s="15"/>
      <c r="T17" s="15"/>
      <c r="U17" s="77"/>
    </row>
    <row r="18" spans="2:21" ht="27.75" hidden="1" customHeight="1" x14ac:dyDescent="0.35">
      <c r="B18" s="161"/>
      <c r="C18" s="175"/>
      <c r="D18" s="167"/>
      <c r="E18" s="166"/>
      <c r="F18" s="69"/>
      <c r="G18" s="70"/>
      <c r="H18" s="71"/>
      <c r="I18" s="72"/>
      <c r="J18" s="72"/>
      <c r="K18" s="72"/>
      <c r="L18" s="72"/>
      <c r="M18" s="72"/>
      <c r="N18" s="72"/>
      <c r="O18" s="73">
        <f t="shared" si="0"/>
        <v>0</v>
      </c>
      <c r="P18" s="74"/>
      <c r="Q18" s="75"/>
      <c r="R18" s="15"/>
      <c r="S18" s="15"/>
      <c r="T18" s="15"/>
      <c r="U18" s="77"/>
    </row>
    <row r="19" spans="2:21" ht="30" hidden="1" customHeight="1" x14ac:dyDescent="0.35">
      <c r="B19" s="161" t="s">
        <v>261</v>
      </c>
      <c r="C19" s="175">
        <v>175000</v>
      </c>
      <c r="D19" s="164">
        <f>SUMIF('BASE GENERAL'!B4:B3114,ERECTUS!B19,'BASE GENERAL'!J4:J3114)</f>
        <v>161222.13999999993</v>
      </c>
      <c r="E19" s="166">
        <f>D19/C19</f>
        <v>0.92126937142857102</v>
      </c>
      <c r="F19" s="69" t="str">
        <f>'VTA POR EMPLEADO'!A10</f>
        <v>ALFONSO  M CARBALLAR</v>
      </c>
      <c r="G19" s="70">
        <f>SUMIF('VTA POR EMPLEADO'!A10:A12,ERECTUS!F19,'VTA POR EMPLEADO'!B10:B12)</f>
        <v>6689.6400000000012</v>
      </c>
      <c r="H19" s="71"/>
      <c r="I19" s="72"/>
      <c r="J19" s="72"/>
      <c r="K19" s="72"/>
      <c r="L19" s="72"/>
      <c r="M19" s="72"/>
      <c r="N19" s="72"/>
      <c r="O19" s="73">
        <f t="shared" si="0"/>
        <v>0</v>
      </c>
      <c r="P19" s="74"/>
      <c r="Q19" s="75"/>
      <c r="R19" s="15"/>
      <c r="S19" s="15"/>
      <c r="T19" s="15"/>
      <c r="U19" s="77"/>
    </row>
    <row r="20" spans="2:21" ht="30" hidden="1" customHeight="1" x14ac:dyDescent="0.35">
      <c r="B20" s="161"/>
      <c r="C20" s="175"/>
      <c r="D20" s="165"/>
      <c r="E20" s="166"/>
      <c r="F20" s="69" t="str">
        <f>'VTA POR EMPLEADO'!A11</f>
        <v>JESáS ULISES PEREZ VARGAS</v>
      </c>
      <c r="G20" s="70">
        <f>SUMIF('VTA POR EMPLEADO'!A11:A13,ERECTUS!F20,'VTA POR EMPLEADO'!B11:B13)</f>
        <v>689.65000000000009</v>
      </c>
      <c r="H20" s="71"/>
      <c r="I20" s="72"/>
      <c r="J20" s="72"/>
      <c r="K20" s="72"/>
      <c r="L20" s="72"/>
      <c r="M20" s="72"/>
      <c r="N20" s="72"/>
      <c r="O20" s="73">
        <f t="shared" si="0"/>
        <v>0</v>
      </c>
      <c r="P20" s="74"/>
      <c r="Q20" s="75"/>
      <c r="R20" s="15"/>
      <c r="S20" s="15"/>
      <c r="T20" s="15"/>
      <c r="U20" s="77"/>
    </row>
    <row r="21" spans="2:21" ht="30" customHeight="1" x14ac:dyDescent="0.35">
      <c r="B21" s="161"/>
      <c r="C21" s="175"/>
      <c r="D21" s="165"/>
      <c r="E21" s="166"/>
      <c r="F21" s="69" t="str">
        <f>'VTA POR EMPLEADO'!A12</f>
        <v>JESUS ALBERTO M GARCIA</v>
      </c>
      <c r="G21" s="70">
        <f>SUMIF('VTA POR EMPLEADO'!A12:A14,ERECTUS!F21,'VTA POR EMPLEADO'!B12:B14)</f>
        <v>153842.84999999995</v>
      </c>
      <c r="H21" s="71"/>
      <c r="I21" s="72">
        <f>G21*E7</f>
        <v>3076.8569999999991</v>
      </c>
      <c r="J21" s="72">
        <f>Juguetes!O22</f>
        <v>311.33620000000002</v>
      </c>
      <c r="K21" s="72">
        <f>CXO!O23</f>
        <v>3412.5</v>
      </c>
      <c r="L21" s="72">
        <f>DUSA!O21</f>
        <v>803.09560000000045</v>
      </c>
      <c r="M21" s="72">
        <f>Pastilla!O23</f>
        <v>797.07420000000002</v>
      </c>
      <c r="N21" s="72"/>
      <c r="O21" s="73">
        <f t="shared" si="0"/>
        <v>8400.8630000000012</v>
      </c>
      <c r="P21" s="74">
        <f>O21/D19</f>
        <v>5.2107378056140456E-2</v>
      </c>
      <c r="Q21" s="75">
        <f ca="1">O21/$D$92</f>
        <v>3.831197870477782E-3</v>
      </c>
      <c r="R21" s="15"/>
      <c r="S21" s="15"/>
      <c r="T21" s="15"/>
      <c r="U21" s="80"/>
    </row>
    <row r="22" spans="2:21" ht="26.25" hidden="1" customHeight="1" x14ac:dyDescent="0.35">
      <c r="B22" s="161"/>
      <c r="C22" s="175"/>
      <c r="D22" s="176"/>
      <c r="E22" s="166"/>
      <c r="F22" s="69" t="str">
        <f>'VTA POR EMPLEADO'!A13</f>
        <v>Circunvalación CELESTERRA</v>
      </c>
      <c r="G22" s="70"/>
      <c r="H22" s="71"/>
      <c r="I22" s="72"/>
      <c r="J22" s="72"/>
      <c r="K22" s="72"/>
      <c r="L22" s="72"/>
      <c r="M22" s="72"/>
      <c r="N22" s="72"/>
      <c r="O22" s="73">
        <f t="shared" si="0"/>
        <v>0</v>
      </c>
      <c r="P22" s="78"/>
      <c r="Q22" s="79"/>
      <c r="R22" s="15"/>
      <c r="S22" s="15"/>
      <c r="T22" s="15"/>
      <c r="U22" s="80"/>
    </row>
    <row r="23" spans="2:21" ht="30" hidden="1" customHeight="1" x14ac:dyDescent="0.35">
      <c r="B23" s="161" t="s">
        <v>376</v>
      </c>
      <c r="C23" s="175">
        <v>110000</v>
      </c>
      <c r="D23" s="176">
        <f>SUMIF('BASE GENERAL'!B14:B3124,ERECTUS!B23,'BASE GENERAL'!J14:J3124)</f>
        <v>126589.94999999998</v>
      </c>
      <c r="E23" s="166">
        <f>D23/C23</f>
        <v>1.1508177272727271</v>
      </c>
      <c r="F23" s="69" t="str">
        <f>'VTA POR EMPLEADO'!A14</f>
        <v>ANGEL DANILO RODRIGUEZ LOPEZ</v>
      </c>
      <c r="G23" s="70">
        <f>SUMIF('VTA POR EMPLEADO'!A14:A16,ERECTUS!F23,'VTA POR EMPLEADO'!B14:B16)</f>
        <v>11926.739999999998</v>
      </c>
      <c r="H23" s="71"/>
      <c r="I23" s="72"/>
      <c r="J23" s="72"/>
      <c r="K23" s="72"/>
      <c r="L23" s="72"/>
      <c r="M23" s="72"/>
      <c r="N23" s="72"/>
      <c r="O23" s="73">
        <f t="shared" si="0"/>
        <v>0</v>
      </c>
      <c r="P23" s="74"/>
      <c r="Q23" s="75"/>
      <c r="R23" s="81"/>
      <c r="S23" s="55"/>
      <c r="T23" s="15"/>
      <c r="U23" s="80"/>
    </row>
    <row r="24" spans="2:21" ht="30" hidden="1" customHeight="1" x14ac:dyDescent="0.35">
      <c r="B24" s="161"/>
      <c r="C24" s="175"/>
      <c r="D24" s="176"/>
      <c r="E24" s="166"/>
      <c r="F24" s="69" t="str">
        <f>'VTA POR EMPLEADO'!A15</f>
        <v>GERMAN  GUZMAN AGUIRRE</v>
      </c>
      <c r="G24" s="70">
        <f>SUMIF('VTA POR EMPLEADO'!A15:A17,ERECTUS!F24,'VTA POR EMPLEADO'!B15:B17)</f>
        <v>6577.5999999999985</v>
      </c>
      <c r="H24" s="71"/>
      <c r="I24" s="72"/>
      <c r="J24" s="72"/>
      <c r="K24" s="72"/>
      <c r="L24" s="72"/>
      <c r="M24" s="72"/>
      <c r="N24" s="72"/>
      <c r="O24" s="73">
        <f t="shared" si="0"/>
        <v>0</v>
      </c>
      <c r="P24" s="74"/>
      <c r="Q24" s="75"/>
      <c r="R24" s="81"/>
      <c r="S24" s="55"/>
      <c r="T24" s="15"/>
      <c r="U24" s="80"/>
    </row>
    <row r="25" spans="2:21" ht="30" customHeight="1" x14ac:dyDescent="0.35">
      <c r="B25" s="161"/>
      <c r="C25" s="175"/>
      <c r="D25" s="176"/>
      <c r="E25" s="166"/>
      <c r="F25" s="69" t="str">
        <f>'VTA POR EMPLEADO'!A16</f>
        <v>IRIS CRISTINA RIVERA PEREZ CELESTERRA</v>
      </c>
      <c r="G25" s="70">
        <f>SUMIF('VTA POR EMPLEADO'!A16:A18,ERECTUS!F25,'VTA POR EMPLEADO'!B16:B18)</f>
        <v>104594.23999999998</v>
      </c>
      <c r="H25" s="71"/>
      <c r="I25" s="72">
        <f>G25*F7</f>
        <v>2614.8559999999998</v>
      </c>
      <c r="J25" s="72">
        <f>Juguetes!O20</f>
        <v>164.22409999999996</v>
      </c>
      <c r="K25" s="72">
        <f>CXO!O21</f>
        <v>2639.5535999999993</v>
      </c>
      <c r="L25" s="72">
        <f>DUSA!O19</f>
        <v>495.68700000000018</v>
      </c>
      <c r="M25" s="72">
        <f>Pastilla!O21</f>
        <v>415.8648</v>
      </c>
      <c r="N25" s="72">
        <f>'Semana 2'!N12+'semana 4'!N9</f>
        <v>747.36490000000003</v>
      </c>
      <c r="O25" s="73">
        <f t="shared" si="0"/>
        <v>7077.5503999999983</v>
      </c>
      <c r="P25" s="74">
        <f>O25/D23</f>
        <v>5.590925977931107E-2</v>
      </c>
      <c r="Q25" s="75">
        <f ca="1">O25/$D$92</f>
        <v>3.2277036324338542E-3</v>
      </c>
      <c r="R25" s="81"/>
      <c r="S25" s="55"/>
      <c r="T25" s="15"/>
      <c r="U25" s="80"/>
    </row>
    <row r="26" spans="2:21" ht="30" hidden="1" customHeight="1" x14ac:dyDescent="0.35">
      <c r="B26" s="161"/>
      <c r="C26" s="175"/>
      <c r="D26" s="176"/>
      <c r="E26" s="166"/>
      <c r="F26" s="69" t="str">
        <f>'VTA POR EMPLEADO'!A17</f>
        <v>JESáS ULISES PEREZ VARGAS</v>
      </c>
      <c r="G26" s="70">
        <f>SUMIF('VTA POR EMPLEADO'!A17:A19,ERECTUS!F26,'VTA POR EMPLEADO'!B17:B19)</f>
        <v>3491.37</v>
      </c>
      <c r="H26" s="71"/>
      <c r="I26" s="72"/>
      <c r="J26" s="72"/>
      <c r="K26" s="72"/>
      <c r="L26" s="72"/>
      <c r="M26" s="72"/>
      <c r="N26" s="72"/>
      <c r="O26" s="73">
        <f t="shared" si="0"/>
        <v>0</v>
      </c>
      <c r="P26" s="74"/>
      <c r="Q26" s="75"/>
      <c r="R26" s="15"/>
      <c r="S26" s="15"/>
      <c r="T26" s="15"/>
      <c r="U26" s="80"/>
    </row>
    <row r="27" spans="2:21" ht="30" hidden="1" customHeight="1" x14ac:dyDescent="0.35">
      <c r="B27" s="161"/>
      <c r="C27" s="175"/>
      <c r="D27" s="167"/>
      <c r="E27" s="166"/>
      <c r="F27" s="69"/>
      <c r="G27" s="70"/>
      <c r="H27" s="71"/>
      <c r="I27" s="72"/>
      <c r="J27" s="72"/>
      <c r="K27" s="72"/>
      <c r="L27" s="72"/>
      <c r="M27" s="72"/>
      <c r="N27" s="72"/>
      <c r="O27" s="73">
        <f t="shared" si="0"/>
        <v>0</v>
      </c>
      <c r="P27" s="78"/>
      <c r="Q27" s="79"/>
      <c r="R27" s="15"/>
      <c r="S27" s="15"/>
      <c r="T27" s="15"/>
      <c r="U27" s="77"/>
    </row>
    <row r="28" spans="2:21" ht="26.25" hidden="1" customHeight="1" x14ac:dyDescent="0.35">
      <c r="B28" s="161"/>
      <c r="C28" s="175"/>
      <c r="D28" s="167"/>
      <c r="E28" s="166"/>
      <c r="F28" s="69"/>
      <c r="G28" s="70"/>
      <c r="H28" s="71"/>
      <c r="I28" s="72"/>
      <c r="J28" s="72"/>
      <c r="K28" s="72"/>
      <c r="L28" s="72"/>
      <c r="M28" s="72"/>
      <c r="N28" s="72"/>
      <c r="O28" s="73">
        <f t="shared" si="0"/>
        <v>0</v>
      </c>
      <c r="P28" s="74"/>
      <c r="Q28" s="75"/>
      <c r="R28" s="15"/>
      <c r="S28" s="15"/>
      <c r="T28" s="15"/>
      <c r="U28" s="77"/>
    </row>
    <row r="29" spans="2:21" ht="26.25" hidden="1" x14ac:dyDescent="0.35">
      <c r="B29" s="161" t="s">
        <v>453</v>
      </c>
      <c r="C29" s="162">
        <v>210000</v>
      </c>
      <c r="D29" s="174">
        <f>SUMIF('BASE GENERAL'!B4:B3114,ERECTUS!B29,'BASE GENERAL'!J4:J3114)</f>
        <v>195400.96999999994</v>
      </c>
      <c r="E29" s="166">
        <f>D29/C29</f>
        <v>0.93048080952380929</v>
      </c>
      <c r="F29" s="69" t="str">
        <f>'VTA POR EMPLEADO'!A19</f>
        <v>ALFONSO  M CARBALLAR</v>
      </c>
      <c r="G29" s="70">
        <f>SUMIF('VTA POR EMPLEADO'!A19:A21,ERECTUS!F29,'VTA POR EMPLEADO'!B19:B21)</f>
        <v>20668.07</v>
      </c>
      <c r="H29" s="71"/>
      <c r="I29" s="72"/>
      <c r="J29" s="72"/>
      <c r="K29" s="72"/>
      <c r="L29" s="72"/>
      <c r="M29" s="72"/>
      <c r="N29" s="72"/>
      <c r="O29" s="73">
        <f t="shared" si="0"/>
        <v>0</v>
      </c>
      <c r="P29" s="74"/>
      <c r="Q29" s="75"/>
      <c r="R29" s="15"/>
      <c r="S29" s="15"/>
      <c r="T29" s="15"/>
      <c r="U29" s="77"/>
    </row>
    <row r="30" spans="2:21" ht="26.25" hidden="1" x14ac:dyDescent="0.35">
      <c r="B30" s="161"/>
      <c r="C30" s="163"/>
      <c r="D30" s="165"/>
      <c r="E30" s="166"/>
      <c r="F30" s="69" t="str">
        <f>'VTA POR EMPLEADO'!A20</f>
        <v>GERMAN  GUZMAN AGUIRRE</v>
      </c>
      <c r="G30" s="70">
        <f>SUMIF('VTA POR EMPLEADO'!A20:A22,ERECTUS!F30,'VTA POR EMPLEADO'!B20:B22)</f>
        <v>14607.689999999999</v>
      </c>
      <c r="H30" s="71"/>
      <c r="I30" s="72"/>
      <c r="J30" s="72"/>
      <c r="K30" s="72"/>
      <c r="L30" s="72"/>
      <c r="M30" s="72"/>
      <c r="N30" s="72"/>
      <c r="O30" s="73">
        <f t="shared" si="0"/>
        <v>0</v>
      </c>
      <c r="P30" s="74"/>
      <c r="Q30" s="75"/>
      <c r="R30" s="15"/>
      <c r="S30" s="15"/>
      <c r="T30" s="15"/>
      <c r="U30" s="77"/>
    </row>
    <row r="31" spans="2:21" ht="26.25" x14ac:dyDescent="0.35">
      <c r="B31" s="161"/>
      <c r="C31" s="163"/>
      <c r="D31" s="165"/>
      <c r="E31" s="166"/>
      <c r="F31" s="69" t="str">
        <f>'VTA POR EMPLEADO'!A21</f>
        <v>HECTOR MANUEL P CELEST</v>
      </c>
      <c r="G31" s="70">
        <f>SUMIF('VTA POR EMPLEADO'!A21:A23,ERECTUS!F31,'VTA POR EMPLEADO'!B21:B23)</f>
        <v>160125.20999999996</v>
      </c>
      <c r="H31" s="71"/>
      <c r="I31" s="72">
        <f>G31*E7</f>
        <v>3202.5041999999994</v>
      </c>
      <c r="J31" s="72">
        <f>Juguetes!O19</f>
        <v>368.49099999999999</v>
      </c>
      <c r="K31" s="72">
        <f>CXO!O20</f>
        <v>3786.2417999999993</v>
      </c>
      <c r="L31" s="72">
        <f>DUSA!O18</f>
        <v>834.99260000000027</v>
      </c>
      <c r="M31" s="72">
        <f>Pastilla!O20</f>
        <v>762.41880000000003</v>
      </c>
      <c r="N31" s="72">
        <f>'Semana 1'!N9+'Semana 3'!N9</f>
        <v>1367.9707000000003</v>
      </c>
      <c r="O31" s="73">
        <f t="shared" si="0"/>
        <v>10322.619099999998</v>
      </c>
      <c r="P31" s="74">
        <f>O31/D29</f>
        <v>5.282788053713347E-2</v>
      </c>
      <c r="Q31" s="75">
        <f ca="1">O31/$D$92</f>
        <v>4.7076111482443252E-3</v>
      </c>
      <c r="R31" s="55"/>
      <c r="S31" s="15"/>
      <c r="T31" s="15"/>
      <c r="U31" s="77"/>
    </row>
    <row r="32" spans="2:21" ht="32.25" hidden="1" customHeight="1" x14ac:dyDescent="0.35">
      <c r="B32" s="161"/>
      <c r="C32" s="163"/>
      <c r="D32" s="165"/>
      <c r="E32" s="166"/>
      <c r="F32" s="69"/>
      <c r="G32" s="70"/>
      <c r="H32" s="71"/>
      <c r="I32" s="72"/>
      <c r="J32" s="72"/>
      <c r="K32" s="72"/>
      <c r="L32" s="72"/>
      <c r="M32" s="72"/>
      <c r="N32" s="72"/>
      <c r="O32" s="73">
        <f t="shared" si="0"/>
        <v>0</v>
      </c>
      <c r="P32" s="74"/>
      <c r="Q32" s="74"/>
      <c r="R32" s="15"/>
      <c r="S32" s="15"/>
      <c r="T32" s="15"/>
      <c r="U32" s="77"/>
    </row>
    <row r="33" spans="2:21" ht="26.25" hidden="1" x14ac:dyDescent="0.35">
      <c r="B33" s="161"/>
      <c r="C33" s="173"/>
      <c r="D33" s="165"/>
      <c r="E33" s="166"/>
      <c r="F33" s="69"/>
      <c r="G33" s="70"/>
      <c r="H33" s="71"/>
      <c r="I33" s="72"/>
      <c r="J33" s="72"/>
      <c r="K33" s="72"/>
      <c r="L33" s="72"/>
      <c r="M33" s="72"/>
      <c r="N33" s="72"/>
      <c r="O33" s="73">
        <f t="shared" si="0"/>
        <v>0</v>
      </c>
      <c r="P33" s="74"/>
      <c r="Q33" s="74"/>
      <c r="R33" s="15"/>
      <c r="S33" s="15"/>
      <c r="T33" s="15"/>
      <c r="U33" s="77"/>
    </row>
    <row r="34" spans="2:21" ht="26.25" hidden="1" x14ac:dyDescent="0.35">
      <c r="B34" s="161" t="s">
        <v>531</v>
      </c>
      <c r="C34" s="175">
        <v>100000</v>
      </c>
      <c r="D34" s="167">
        <f>SUMIF('BASE GENERAL'!B4:B3114,ERECTUS!B34,'BASE GENERAL'!J4:J3114)</f>
        <v>68633.490000000005</v>
      </c>
      <c r="E34" s="166">
        <f>D34/C34</f>
        <v>0.68633490000000008</v>
      </c>
      <c r="F34" s="69" t="str">
        <f>'VTA POR EMPLEADO'!A23</f>
        <v>ANGEL DANILO RODRIGUEZ LOPEZ</v>
      </c>
      <c r="G34" s="70">
        <f>SUMIF('VTA POR EMPLEADO'!A23:A25,ERECTUS!F34,'VTA POR EMPLEADO'!B23:B25)</f>
        <v>2413.8000000000002</v>
      </c>
      <c r="H34" s="71"/>
      <c r="I34" s="72"/>
      <c r="J34" s="72"/>
      <c r="K34" s="72"/>
      <c r="L34" s="72"/>
      <c r="M34" s="72"/>
      <c r="N34" s="72"/>
      <c r="O34" s="73">
        <f t="shared" si="0"/>
        <v>0</v>
      </c>
      <c r="P34" s="78"/>
      <c r="Q34" s="79"/>
      <c r="R34" s="15"/>
      <c r="S34" s="15"/>
      <c r="T34" s="15"/>
      <c r="U34" s="77"/>
    </row>
    <row r="35" spans="2:21" ht="26.25" hidden="1" x14ac:dyDescent="0.35">
      <c r="B35" s="161"/>
      <c r="C35" s="175"/>
      <c r="D35" s="167"/>
      <c r="E35" s="166"/>
      <c r="F35" s="69" t="str">
        <f>'VTA POR EMPLEADO'!A24</f>
        <v>GERMAN  GUZMAN AGUIRRE</v>
      </c>
      <c r="G35" s="70">
        <f>SUMIF('VTA POR EMPLEADO'!A24:A26,ERECTUS!F35,'VTA POR EMPLEADO'!B24:B26)</f>
        <v>150.86000000000001</v>
      </c>
      <c r="H35" s="71"/>
      <c r="I35" s="72"/>
      <c r="J35" s="72"/>
      <c r="K35" s="72"/>
      <c r="L35" s="72"/>
      <c r="M35" s="72"/>
      <c r="N35" s="72"/>
      <c r="O35" s="73">
        <f t="shared" si="0"/>
        <v>0</v>
      </c>
      <c r="P35" s="78"/>
      <c r="Q35" s="79"/>
      <c r="R35" s="55"/>
      <c r="S35" s="15"/>
      <c r="T35" s="15"/>
      <c r="U35" s="77"/>
    </row>
    <row r="36" spans="2:21" ht="26.25" hidden="1" x14ac:dyDescent="0.35">
      <c r="B36" s="161"/>
      <c r="C36" s="175"/>
      <c r="D36" s="167"/>
      <c r="E36" s="166"/>
      <c r="F36" s="69" t="str">
        <f>'VTA POR EMPLEADO'!A25</f>
        <v>MARIA EDUWIGES DEL TORO ORTEGA</v>
      </c>
      <c r="G36" s="70">
        <f>SUMIF('VTA POR EMPLEADO'!A25:A27,ERECTUS!F36,'VTA POR EMPLEADO'!B25:B27)</f>
        <v>66068.83</v>
      </c>
      <c r="H36" s="71"/>
      <c r="I36" s="72"/>
      <c r="J36" s="72">
        <f>Juguetes!O23</f>
        <v>0</v>
      </c>
      <c r="K36" s="72">
        <f>CXO!O24</f>
        <v>0</v>
      </c>
      <c r="L36" s="72">
        <f>DUSA!O22</f>
        <v>0</v>
      </c>
      <c r="M36" s="72">
        <f>Pastilla!O24</f>
        <v>0</v>
      </c>
      <c r="N36" s="72"/>
      <c r="O36" s="73">
        <f t="shared" si="0"/>
        <v>0</v>
      </c>
      <c r="P36" s="74">
        <f>O36/D34</f>
        <v>0</v>
      </c>
      <c r="Q36" s="75">
        <f ca="1">O36/$D$92</f>
        <v>0</v>
      </c>
      <c r="R36" s="15"/>
      <c r="S36" s="15"/>
      <c r="T36" s="15"/>
      <c r="U36" s="77"/>
    </row>
    <row r="37" spans="2:21" ht="22.5" hidden="1" customHeight="1" x14ac:dyDescent="0.35">
      <c r="B37" s="161"/>
      <c r="C37" s="175"/>
      <c r="D37" s="167"/>
      <c r="E37" s="166"/>
      <c r="F37" s="69"/>
      <c r="G37" s="70"/>
      <c r="H37" s="71"/>
      <c r="I37" s="72"/>
      <c r="J37" s="72"/>
      <c r="K37" s="72"/>
      <c r="L37" s="72"/>
      <c r="M37" s="72"/>
      <c r="N37" s="72"/>
      <c r="O37" s="73">
        <f t="shared" si="0"/>
        <v>0</v>
      </c>
      <c r="P37" s="74"/>
      <c r="Q37" s="75"/>
      <c r="R37" s="15"/>
      <c r="S37" s="15"/>
      <c r="T37" s="15"/>
      <c r="U37" s="77"/>
    </row>
    <row r="38" spans="2:21" ht="26.25" hidden="1" x14ac:dyDescent="0.35">
      <c r="B38" s="161"/>
      <c r="C38" s="175"/>
      <c r="D38" s="167"/>
      <c r="E38" s="166"/>
      <c r="F38" s="69"/>
      <c r="G38" s="70"/>
      <c r="H38" s="71"/>
      <c r="I38" s="72"/>
      <c r="J38" s="72"/>
      <c r="K38" s="72"/>
      <c r="L38" s="72"/>
      <c r="M38" s="72"/>
      <c r="N38" s="72"/>
      <c r="O38" s="73">
        <f t="shared" si="0"/>
        <v>0</v>
      </c>
      <c r="P38" s="74"/>
      <c r="Q38" s="75"/>
      <c r="R38" s="15"/>
      <c r="S38" s="15"/>
      <c r="T38" s="15"/>
      <c r="U38" s="77"/>
    </row>
    <row r="39" spans="2:21" ht="26.25" x14ac:dyDescent="0.35">
      <c r="B39" s="161" t="s">
        <v>583</v>
      </c>
      <c r="C39" s="162">
        <v>120000</v>
      </c>
      <c r="D39" s="167">
        <f>SUMIF('BASE GENERAL'!B9:B3119,ERECTUS!B39,'BASE GENERAL'!J9:J3119)</f>
        <v>68745.450000000012</v>
      </c>
      <c r="E39" s="166">
        <f>D39/C39</f>
        <v>0.5728787500000001</v>
      </c>
      <c r="F39" s="69" t="str">
        <f>'VTA POR EMPLEADO'!A27</f>
        <v>CELINA HERMILA  M GUILLEN</v>
      </c>
      <c r="G39" s="70">
        <f>SUMIF('VTA POR EMPLEADO'!A27:A29,ERECTUS!F39,'VTA POR EMPLEADO'!B27:B29)</f>
        <v>54879.099999999991</v>
      </c>
      <c r="H39" s="71"/>
      <c r="I39" s="72"/>
      <c r="J39" s="72">
        <f>Juguetes!O14</f>
        <v>42.758599999999994</v>
      </c>
      <c r="K39" s="72">
        <f>CXO!O15</f>
        <v>1204.3968000000002</v>
      </c>
      <c r="L39" s="72">
        <v>326.03160000000003</v>
      </c>
      <c r="M39" s="72">
        <f>Pastilla!O15</f>
        <v>381.20940000000002</v>
      </c>
      <c r="N39" s="72"/>
      <c r="O39" s="73">
        <f t="shared" si="0"/>
        <v>1954.3964000000001</v>
      </c>
      <c r="P39" s="74">
        <f>O39/D39</f>
        <v>2.8429465513717632E-2</v>
      </c>
      <c r="Q39" s="75">
        <f ca="1">O39/$D$92</f>
        <v>8.9129882557892478E-4</v>
      </c>
      <c r="R39" s="15"/>
      <c r="S39" s="15"/>
      <c r="T39" s="15"/>
      <c r="U39" s="77"/>
    </row>
    <row r="40" spans="2:21" ht="26.25" hidden="1" x14ac:dyDescent="0.35">
      <c r="B40" s="161"/>
      <c r="C40" s="163"/>
      <c r="D40" s="167"/>
      <c r="E40" s="166"/>
      <c r="F40" s="69" t="str">
        <f>'VTA POR EMPLEADO'!A28</f>
        <v>GERMAN  GUZMAN AGUIRRE</v>
      </c>
      <c r="G40" s="70">
        <f>SUMIF('VTA POR EMPLEADO'!A28:A30,ERECTUS!F40,'VTA POR EMPLEADO'!B28:B30)</f>
        <v>12051.710000000001</v>
      </c>
      <c r="H40" s="71"/>
      <c r="I40" s="72"/>
      <c r="J40" s="72"/>
      <c r="K40" s="72"/>
      <c r="L40" s="72"/>
      <c r="M40" s="72"/>
      <c r="N40" s="72"/>
      <c r="O40" s="73">
        <f t="shared" si="0"/>
        <v>0</v>
      </c>
      <c r="P40" s="74"/>
      <c r="Q40" s="75"/>
      <c r="R40" s="15"/>
      <c r="S40" s="15"/>
      <c r="T40" s="15"/>
      <c r="U40" s="77"/>
    </row>
    <row r="41" spans="2:21" ht="26.25" hidden="1" x14ac:dyDescent="0.35">
      <c r="B41" s="161"/>
      <c r="C41" s="163"/>
      <c r="D41" s="167"/>
      <c r="E41" s="166"/>
      <c r="F41" s="69" t="str">
        <f>'VTA POR EMPLEADO'!A29</f>
        <v>JESáS ULISES PEREZ VARGAS</v>
      </c>
      <c r="G41" s="70">
        <f>SUMIF('VTA POR EMPLEADO'!A29:A31,ERECTUS!F41,'VTA POR EMPLEADO'!B29:B31)</f>
        <v>1814.6399999999999</v>
      </c>
      <c r="H41" s="71"/>
      <c r="I41" s="72"/>
      <c r="J41" s="72"/>
      <c r="K41" s="72"/>
      <c r="L41" s="72"/>
      <c r="M41" s="72"/>
      <c r="N41" s="72"/>
      <c r="O41" s="73">
        <f t="shared" si="0"/>
        <v>0</v>
      </c>
      <c r="P41" s="78"/>
      <c r="Q41" s="79"/>
      <c r="R41" s="15"/>
      <c r="S41" s="15"/>
      <c r="T41" s="15"/>
      <c r="U41" s="77"/>
    </row>
    <row r="42" spans="2:21" ht="26.25" hidden="1" x14ac:dyDescent="0.35">
      <c r="B42" s="161"/>
      <c r="C42" s="163"/>
      <c r="D42" s="167"/>
      <c r="E42" s="166"/>
      <c r="F42" s="69"/>
      <c r="G42" s="70"/>
      <c r="H42" s="71"/>
      <c r="I42" s="72"/>
      <c r="J42" s="72"/>
      <c r="K42" s="72"/>
      <c r="L42" s="72"/>
      <c r="M42" s="72"/>
      <c r="N42" s="72"/>
      <c r="O42" s="73">
        <f t="shared" si="0"/>
        <v>0</v>
      </c>
      <c r="P42" s="74"/>
      <c r="Q42" s="74"/>
      <c r="R42" s="15"/>
      <c r="S42" s="15"/>
      <c r="T42" s="15"/>
      <c r="U42" s="77"/>
    </row>
    <row r="43" spans="2:21" ht="26.25" hidden="1" x14ac:dyDescent="0.35">
      <c r="B43" s="161"/>
      <c r="C43" s="163"/>
      <c r="D43" s="167"/>
      <c r="E43" s="166"/>
      <c r="F43" s="69"/>
      <c r="G43" s="70"/>
      <c r="H43" s="71"/>
      <c r="I43" s="72"/>
      <c r="J43" s="72"/>
      <c r="K43" s="72"/>
      <c r="L43" s="72"/>
      <c r="M43" s="72"/>
      <c r="N43" s="72"/>
      <c r="O43" s="73">
        <f t="shared" si="0"/>
        <v>0</v>
      </c>
      <c r="P43" s="74"/>
      <c r="Q43" s="74"/>
      <c r="R43" s="15"/>
      <c r="S43" s="15"/>
      <c r="T43" s="15"/>
      <c r="U43" s="77"/>
    </row>
    <row r="44" spans="2:21" ht="26.25" hidden="1" x14ac:dyDescent="0.35">
      <c r="B44" s="161" t="s">
        <v>615</v>
      </c>
      <c r="C44" s="162">
        <v>100000</v>
      </c>
      <c r="D44" s="167">
        <f>SUMIF('BASE GENERAL'!B4:B3114,ERECTUS!B44,'BASE GENERAL'!J4:J3114)</f>
        <v>56789.520000000048</v>
      </c>
      <c r="E44" s="166">
        <f>D44/C44</f>
        <v>0.56789520000000049</v>
      </c>
      <c r="F44" s="69" t="str">
        <f>'VTA POR EMPLEADO'!A31</f>
        <v>ALFONSO  M CARBALLAR</v>
      </c>
      <c r="G44" s="70">
        <f>SUMIF('VTA POR EMPLEADO'!A31:A34,ERECTUS!F44,'VTA POR EMPLEADO'!B31:B34)</f>
        <v>301.72000000000003</v>
      </c>
      <c r="H44" s="71"/>
      <c r="I44" s="72"/>
      <c r="J44" s="72"/>
      <c r="K44" s="72"/>
      <c r="L44" s="72"/>
      <c r="M44" s="72"/>
      <c r="N44" s="72"/>
      <c r="O44" s="73">
        <f t="shared" si="0"/>
        <v>0</v>
      </c>
      <c r="P44" s="78"/>
      <c r="Q44" s="79"/>
      <c r="R44" s="15"/>
      <c r="S44" s="15"/>
      <c r="T44" s="15"/>
      <c r="U44" s="77"/>
    </row>
    <row r="45" spans="2:21" ht="26.25" hidden="1" x14ac:dyDescent="0.35">
      <c r="B45" s="161"/>
      <c r="C45" s="163"/>
      <c r="D45" s="167"/>
      <c r="E45" s="166"/>
      <c r="F45" s="69" t="str">
        <f>'VTA POR EMPLEADO'!A32</f>
        <v>ANGEL DANILO RODRIGUEZ LOPEZ</v>
      </c>
      <c r="G45" s="70">
        <f>SUMIF('VTA POR EMPLEADO'!A32:A35,ERECTUS!F45,'VTA POR EMPLEADO'!B32:B35)</f>
        <v>1538.79</v>
      </c>
      <c r="H45" s="71"/>
      <c r="I45" s="72"/>
      <c r="J45" s="72"/>
      <c r="K45" s="72"/>
      <c r="L45" s="72"/>
      <c r="M45" s="72"/>
      <c r="N45" s="72"/>
      <c r="O45" s="73">
        <f t="shared" ref="O45:O72" si="1">SUM(I45:N45)</f>
        <v>0</v>
      </c>
      <c r="P45" s="74"/>
      <c r="Q45" s="75"/>
      <c r="R45" s="15"/>
      <c r="S45" s="15"/>
      <c r="T45" s="15"/>
      <c r="U45" s="77"/>
    </row>
    <row r="46" spans="2:21" ht="26.25" hidden="1" x14ac:dyDescent="0.35">
      <c r="B46" s="161"/>
      <c r="C46" s="163"/>
      <c r="D46" s="167"/>
      <c r="E46" s="166"/>
      <c r="F46" s="69" t="str">
        <f>'VTA POR EMPLEADO'!A33</f>
        <v>GERMAN  GUZMAN AGUIRRE</v>
      </c>
      <c r="G46" s="70">
        <f>SUMIF('VTA POR EMPLEADO'!A33:A36,ERECTUS!F46,'VTA POR EMPLEADO'!B33:B36)</f>
        <v>4737.0700000000006</v>
      </c>
      <c r="H46" s="71"/>
      <c r="I46" s="72"/>
      <c r="J46" s="72"/>
      <c r="K46" s="72"/>
      <c r="L46" s="72"/>
      <c r="M46" s="72"/>
      <c r="N46" s="72"/>
      <c r="O46" s="73">
        <f t="shared" si="1"/>
        <v>0</v>
      </c>
      <c r="P46" s="78"/>
      <c r="Q46" s="79"/>
      <c r="R46" s="15"/>
      <c r="S46" s="15"/>
      <c r="T46" s="15"/>
      <c r="U46" s="77"/>
    </row>
    <row r="47" spans="2:21" ht="26.25" hidden="1" x14ac:dyDescent="0.35">
      <c r="B47" s="161"/>
      <c r="C47" s="163"/>
      <c r="D47" s="167"/>
      <c r="E47" s="166"/>
      <c r="F47" s="69" t="str">
        <f>'VTA POR EMPLEADO'!A34</f>
        <v>NINOSCHKA VILLAREAL GONZALEZ</v>
      </c>
      <c r="G47" s="70">
        <f>SUMIF('VTA POR EMPLEADO'!A34:A37,ERECTUS!F47,'VTA POR EMPLEADO'!B34:B37)</f>
        <v>50211.940000000039</v>
      </c>
      <c r="H47" s="71"/>
      <c r="I47" s="72"/>
      <c r="J47" s="72">
        <f>Juguetes!O25</f>
        <v>0</v>
      </c>
      <c r="K47" s="72">
        <f>CXO!O26</f>
        <v>0</v>
      </c>
      <c r="L47" s="72">
        <f>DUSA!O24</f>
        <v>0</v>
      </c>
      <c r="M47" s="72">
        <f>Pastilla!O26</f>
        <v>0</v>
      </c>
      <c r="N47" s="72"/>
      <c r="O47" s="73">
        <f t="shared" si="1"/>
        <v>0</v>
      </c>
      <c r="P47" s="74">
        <f>O47/D44</f>
        <v>0</v>
      </c>
      <c r="Q47" s="75">
        <f ca="1">O47/$D$92</f>
        <v>0</v>
      </c>
      <c r="R47" s="15"/>
      <c r="S47" s="15"/>
      <c r="T47" s="15"/>
      <c r="U47" s="77"/>
    </row>
    <row r="48" spans="2:21" ht="30.75" customHeight="1" x14ac:dyDescent="0.35">
      <c r="B48" s="168" t="s">
        <v>654</v>
      </c>
      <c r="C48" s="162">
        <v>100000</v>
      </c>
      <c r="D48" s="170">
        <f ca="1">SUMIF('BASE GENERAL'!B4:B3114,ERECTUS!B48,'BASE GENERAL'!J3:J4)</f>
        <v>82935.200000000012</v>
      </c>
      <c r="E48" s="171">
        <f ca="1">D48/C48</f>
        <v>0.82935200000000009</v>
      </c>
      <c r="F48" s="69" t="str">
        <f>'VTA POR EMPLEADO'!A36</f>
        <v>Rodolfo  Serrano Amezcua</v>
      </c>
      <c r="G48" s="70">
        <f>SUMIF('VTA POR EMPLEADO'!A35:A38,ERECTUS!F48,'VTA POR EMPLEADO'!B35:B38)</f>
        <v>82956.75</v>
      </c>
      <c r="H48" s="71"/>
      <c r="I48" s="72">
        <f>G48*D7</f>
        <v>1036.9593750000001</v>
      </c>
      <c r="J48" s="72">
        <f>Juguetes!O28</f>
        <v>34.482700000000001</v>
      </c>
      <c r="K48" s="72">
        <f>CXO!O29</f>
        <v>2793.1043999999997</v>
      </c>
      <c r="L48" s="72">
        <f>DUSA!O27</f>
        <v>358.27279999999985</v>
      </c>
      <c r="M48" s="72">
        <f>Pastilla!O29</f>
        <v>415.86480000000006</v>
      </c>
      <c r="N48" s="72">
        <f>'Semana 2'!N17</f>
        <v>233.27550000000002</v>
      </c>
      <c r="O48" s="73">
        <f t="shared" si="1"/>
        <v>4871.9595749999999</v>
      </c>
      <c r="P48" s="74">
        <f ca="1">O48/D48</f>
        <v>5.8744171051616188E-2</v>
      </c>
      <c r="Q48" s="75">
        <f ca="1">O48/$D$92</f>
        <v>2.2218480587998918E-3</v>
      </c>
      <c r="R48" s="15"/>
      <c r="S48" s="15"/>
      <c r="T48" s="15"/>
      <c r="U48" s="77"/>
    </row>
    <row r="49" spans="2:21" ht="30.75" hidden="1" customHeight="1" x14ac:dyDescent="0.35">
      <c r="B49" s="169"/>
      <c r="C49" s="163"/>
      <c r="D49" s="170"/>
      <c r="E49" s="172"/>
      <c r="F49" s="69"/>
      <c r="G49" s="70"/>
      <c r="H49" s="71"/>
      <c r="I49" s="72"/>
      <c r="J49" s="72"/>
      <c r="K49" s="72"/>
      <c r="L49" s="72"/>
      <c r="M49" s="72"/>
      <c r="N49" s="72"/>
      <c r="O49" s="73">
        <f t="shared" si="1"/>
        <v>0</v>
      </c>
      <c r="P49" s="78"/>
      <c r="Q49" s="79"/>
      <c r="R49" s="15"/>
      <c r="S49" s="15"/>
      <c r="T49" s="15"/>
      <c r="U49" s="77"/>
    </row>
    <row r="50" spans="2:21" ht="26.25" x14ac:dyDescent="0.35">
      <c r="B50" s="161" t="s">
        <v>690</v>
      </c>
      <c r="C50" s="162">
        <v>100000</v>
      </c>
      <c r="D50" s="167">
        <f>SUMIF('BASE GENERAL'!B4:B3114,ERECTUS!B50,'BASE GENERAL'!J4:J3114)</f>
        <v>118721.68999999996</v>
      </c>
      <c r="E50" s="166">
        <f>D50/C50</f>
        <v>1.1872168999999997</v>
      </c>
      <c r="F50" s="69" t="str">
        <f>'VTA POR EMPLEADO'!A38</f>
        <v>EDGAR MOISES A NAVARRO</v>
      </c>
      <c r="G50" s="70">
        <f>SUMIF('VTA POR EMPLEADO'!A37:A40,ERECTUS!F50,'VTA POR EMPLEADO'!B37:B40)</f>
        <v>118721.68999999996</v>
      </c>
      <c r="H50" s="71"/>
      <c r="I50" s="72">
        <f>G50*F7</f>
        <v>2968.0422499999991</v>
      </c>
      <c r="J50" s="72">
        <f>Juguetes!O16</f>
        <v>247.4136</v>
      </c>
      <c r="K50" s="72">
        <f>CXO!O17</f>
        <v>1822.3319999999999</v>
      </c>
      <c r="L50" s="72">
        <f>DUSA!O15</f>
        <v>704.30560000000014</v>
      </c>
      <c r="M50" s="72">
        <f>Pastilla!O17</f>
        <v>589.14179999999999</v>
      </c>
      <c r="N50" s="72">
        <f>'Semana 1'!N14+'semana 4'!N15</f>
        <v>889.89009999999985</v>
      </c>
      <c r="O50" s="73">
        <f t="shared" si="1"/>
        <v>7221.1253499999984</v>
      </c>
      <c r="P50" s="74">
        <f>O50/D50</f>
        <v>6.08239770677119E-2</v>
      </c>
      <c r="Q50" s="75">
        <f ca="1">O50/$D$92</f>
        <v>3.2931807200490136E-3</v>
      </c>
      <c r="R50" s="15"/>
      <c r="S50" s="15"/>
      <c r="T50" s="15"/>
      <c r="U50" s="77"/>
    </row>
    <row r="51" spans="2:21" ht="26.25" hidden="1" x14ac:dyDescent="0.35">
      <c r="B51" s="161"/>
      <c r="C51" s="163"/>
      <c r="D51" s="167"/>
      <c r="E51" s="166"/>
      <c r="F51" s="69"/>
      <c r="G51" s="70"/>
      <c r="H51" s="71"/>
      <c r="I51" s="72"/>
      <c r="J51" s="72"/>
      <c r="K51" s="72"/>
      <c r="L51" s="72"/>
      <c r="M51" s="72"/>
      <c r="N51" s="72"/>
      <c r="O51" s="73">
        <f t="shared" si="1"/>
        <v>0</v>
      </c>
      <c r="P51" s="74"/>
      <c r="Q51" s="74"/>
      <c r="R51" s="15"/>
      <c r="S51" s="15"/>
      <c r="T51" s="15"/>
      <c r="U51" s="77"/>
    </row>
    <row r="52" spans="2:21" ht="26.25" hidden="1" x14ac:dyDescent="0.35">
      <c r="B52" s="161"/>
      <c r="C52" s="163"/>
      <c r="D52" s="167"/>
      <c r="E52" s="166"/>
      <c r="F52" s="69"/>
      <c r="G52" s="70"/>
      <c r="H52" s="71"/>
      <c r="I52" s="72"/>
      <c r="J52" s="72"/>
      <c r="K52" s="72"/>
      <c r="L52" s="72"/>
      <c r="M52" s="72"/>
      <c r="N52" s="72"/>
      <c r="O52" s="73">
        <f t="shared" si="1"/>
        <v>0</v>
      </c>
      <c r="P52" s="74"/>
      <c r="Q52" s="75"/>
      <c r="R52" s="15"/>
      <c r="S52" s="15"/>
      <c r="T52" s="15"/>
      <c r="U52" s="77"/>
    </row>
    <row r="53" spans="2:21" ht="26.25" hidden="1" x14ac:dyDescent="0.35">
      <c r="B53" s="161" t="s">
        <v>740</v>
      </c>
      <c r="C53" s="162">
        <v>185000</v>
      </c>
      <c r="D53" s="167">
        <f>SUMIF('BASE GENERAL'!B4:B3114,ERECTUS!B53,'BASE GENERAL'!J4:J3114)</f>
        <v>155305.82000000004</v>
      </c>
      <c r="E53" s="166">
        <f>D53/C53</f>
        <v>0.83949091891891914</v>
      </c>
      <c r="F53" s="69" t="str">
        <f>'VTA POR EMPLEADO'!A40</f>
        <v>ANGEL DANILO RODRIGUEZ LOPEZ</v>
      </c>
      <c r="G53" s="70">
        <f>SUMIF('VTA POR EMPLEADO'!A40:A42,ERECTUS!F53,'VTA POR EMPLEADO'!B40:B42)</f>
        <v>8310.3499999999985</v>
      </c>
      <c r="H53" s="71"/>
      <c r="I53" s="72"/>
      <c r="J53" s="72"/>
      <c r="K53" s="72"/>
      <c r="L53" s="72"/>
      <c r="M53" s="72"/>
      <c r="N53" s="72"/>
      <c r="O53" s="73">
        <f t="shared" si="1"/>
        <v>0</v>
      </c>
      <c r="P53" s="74"/>
      <c r="Q53" s="74"/>
      <c r="R53" s="15"/>
      <c r="S53" s="15"/>
      <c r="T53" s="15"/>
      <c r="U53" s="77"/>
    </row>
    <row r="54" spans="2:21" ht="26.25" x14ac:dyDescent="0.35">
      <c r="B54" s="161"/>
      <c r="C54" s="163"/>
      <c r="D54" s="167"/>
      <c r="E54" s="166"/>
      <c r="F54" s="69" t="str">
        <f>'VTA POR EMPLEADO'!A41</f>
        <v>ANTONIO EDMUNDO E CAMBEROS</v>
      </c>
      <c r="G54" s="70">
        <f>SUMIF('VTA POR EMPLEADO'!A41:A43,ERECTUS!F54,'VTA POR EMPLEADO'!B41:B43)</f>
        <v>132762.74000000002</v>
      </c>
      <c r="H54" s="71"/>
      <c r="I54" s="72">
        <f>G54*D7</f>
        <v>1659.5342500000004</v>
      </c>
      <c r="J54" s="72">
        <v>136.20679999999999</v>
      </c>
      <c r="K54" s="72">
        <f>CXO!O12</f>
        <v>3113.0172000000007</v>
      </c>
      <c r="L54" s="72">
        <f>DUSA!O10</f>
        <v>667.40739999999994</v>
      </c>
      <c r="M54" s="72">
        <f>Pastilla!O12</f>
        <v>1005.0066</v>
      </c>
      <c r="N54" s="72"/>
      <c r="O54" s="73">
        <f t="shared" si="1"/>
        <v>6581.1722500000005</v>
      </c>
      <c r="P54" s="74">
        <f>O54/D53</f>
        <v>4.2375567444928972E-2</v>
      </c>
      <c r="Q54" s="75">
        <f ca="1">O54/$D$92</f>
        <v>3.0013313048251676E-3</v>
      </c>
      <c r="R54" s="15"/>
      <c r="S54" s="15"/>
      <c r="T54" s="15"/>
      <c r="U54" s="77"/>
    </row>
    <row r="55" spans="2:21" ht="26.25" hidden="1" x14ac:dyDescent="0.35">
      <c r="B55" s="161"/>
      <c r="C55" s="163"/>
      <c r="D55" s="167"/>
      <c r="E55" s="166"/>
      <c r="F55" s="69" t="str">
        <f>'VTA POR EMPLEADO'!A42</f>
        <v>GERMAN  GUZMAN AGUIRRE</v>
      </c>
      <c r="G55" s="70">
        <f>SUMIF('VTA POR EMPLEADO'!A42:A44,ERECTUS!F55,'VTA POR EMPLEADO'!B42:B44)</f>
        <v>14232.73</v>
      </c>
      <c r="H55" s="71"/>
      <c r="I55" s="72"/>
      <c r="J55" s="72"/>
      <c r="K55" s="72"/>
      <c r="L55" s="72"/>
      <c r="M55" s="72"/>
      <c r="N55" s="72"/>
      <c r="O55" s="73">
        <f t="shared" si="1"/>
        <v>0</v>
      </c>
      <c r="P55" s="74"/>
      <c r="Q55" s="75"/>
      <c r="R55" s="15"/>
      <c r="S55" s="15"/>
      <c r="T55" s="15"/>
      <c r="U55" s="77"/>
    </row>
    <row r="56" spans="2:21" ht="26.25" hidden="1" x14ac:dyDescent="0.35">
      <c r="B56" s="161"/>
      <c r="C56" s="163"/>
      <c r="D56" s="167"/>
      <c r="E56" s="166"/>
      <c r="F56" s="69"/>
      <c r="G56" s="70"/>
      <c r="H56" s="71"/>
      <c r="I56" s="72"/>
      <c r="J56" s="72"/>
      <c r="K56" s="72"/>
      <c r="L56" s="72"/>
      <c r="M56" s="72"/>
      <c r="N56" s="72"/>
      <c r="O56" s="73">
        <f t="shared" si="1"/>
        <v>0</v>
      </c>
      <c r="P56" s="74"/>
      <c r="Q56" s="74"/>
      <c r="R56" s="15"/>
      <c r="S56" s="15"/>
      <c r="T56" s="15"/>
      <c r="U56" s="77"/>
    </row>
    <row r="57" spans="2:21" ht="25.5" hidden="1" customHeight="1" x14ac:dyDescent="0.35">
      <c r="B57" s="161"/>
      <c r="C57" s="163"/>
      <c r="D57" s="167"/>
      <c r="E57" s="166"/>
      <c r="F57" s="69"/>
      <c r="G57" s="70"/>
      <c r="H57" s="71"/>
      <c r="I57" s="72"/>
      <c r="J57" s="72"/>
      <c r="K57" s="72"/>
      <c r="L57" s="72"/>
      <c r="M57" s="72"/>
      <c r="N57" s="72"/>
      <c r="O57" s="73">
        <f t="shared" si="1"/>
        <v>0</v>
      </c>
      <c r="P57" s="78"/>
      <c r="Q57" s="79"/>
      <c r="R57" s="15"/>
      <c r="S57" s="15"/>
      <c r="T57" s="15"/>
      <c r="U57" s="77"/>
    </row>
    <row r="58" spans="2:21" ht="25.5" hidden="1" customHeight="1" x14ac:dyDescent="0.35">
      <c r="B58" s="161"/>
      <c r="C58" s="163"/>
      <c r="D58" s="167"/>
      <c r="E58" s="166"/>
      <c r="F58" s="69"/>
      <c r="G58" s="70"/>
      <c r="H58" s="71"/>
      <c r="I58" s="72"/>
      <c r="J58" s="72"/>
      <c r="K58" s="72"/>
      <c r="L58" s="72"/>
      <c r="M58" s="72"/>
      <c r="N58" s="72"/>
      <c r="O58" s="73">
        <f t="shared" si="1"/>
        <v>0</v>
      </c>
      <c r="P58" s="74"/>
      <c r="Q58" s="75"/>
      <c r="R58" s="15"/>
      <c r="S58" s="15"/>
      <c r="T58" s="15"/>
      <c r="U58" s="77"/>
    </row>
    <row r="59" spans="2:21" ht="26.25" hidden="1" x14ac:dyDescent="0.35">
      <c r="B59" s="161" t="s">
        <v>780</v>
      </c>
      <c r="C59" s="162">
        <v>100000</v>
      </c>
      <c r="D59" s="164">
        <f>SUMIF('BASE GENERAL'!B4:B3114,ERECTUS!B59,'BASE GENERAL'!J4:J3114)</f>
        <v>120782.11999999995</v>
      </c>
      <c r="E59" s="166">
        <f>D59/C59</f>
        <v>1.2078211999999995</v>
      </c>
      <c r="F59" s="69" t="str">
        <f>'VTA POR EMPLEADO'!A44</f>
        <v>ALFONSO  M CARBALLAR</v>
      </c>
      <c r="G59" s="70">
        <f>SUMIF('VTA POR EMPLEADO'!A44:A47,ERECTUS!F59,'VTA POR EMPLEADO'!B44:B47)</f>
        <v>3163.7799999999997</v>
      </c>
      <c r="H59" s="71"/>
      <c r="I59" s="72"/>
      <c r="J59" s="72"/>
      <c r="K59" s="72"/>
      <c r="L59" s="72"/>
      <c r="M59" s="72"/>
      <c r="N59" s="72"/>
      <c r="O59" s="73">
        <f t="shared" si="1"/>
        <v>0</v>
      </c>
      <c r="P59" s="74"/>
      <c r="Q59" s="75"/>
      <c r="R59" s="15"/>
      <c r="S59" s="15"/>
      <c r="T59" s="15"/>
      <c r="U59" s="77"/>
    </row>
    <row r="60" spans="2:21" ht="26.25" hidden="1" x14ac:dyDescent="0.35">
      <c r="B60" s="161"/>
      <c r="C60" s="163"/>
      <c r="D60" s="165"/>
      <c r="E60" s="166"/>
      <c r="F60" s="69" t="str">
        <f>'VTA POR EMPLEADO'!A45</f>
        <v>ANGEL DANILO RODRIGUEZ LOPEZ</v>
      </c>
      <c r="G60" s="70">
        <f>SUMIF('VTA POR EMPLEADO'!A45:A48,ERECTUS!F60,'VTA POR EMPLEADO'!B45:B48)</f>
        <v>2387.9299999999998</v>
      </c>
      <c r="H60" s="71"/>
      <c r="I60" s="72"/>
      <c r="J60" s="72"/>
      <c r="K60" s="72"/>
      <c r="L60" s="72"/>
      <c r="M60" s="72"/>
      <c r="N60" s="72"/>
      <c r="O60" s="73">
        <f t="shared" si="1"/>
        <v>0</v>
      </c>
      <c r="P60" s="78"/>
      <c r="Q60" s="79"/>
      <c r="R60" s="15"/>
      <c r="S60" s="15"/>
      <c r="T60" s="15"/>
      <c r="U60" s="77"/>
    </row>
    <row r="61" spans="2:21" ht="26.25" x14ac:dyDescent="0.35">
      <c r="B61" s="161"/>
      <c r="C61" s="163"/>
      <c r="D61" s="165"/>
      <c r="E61" s="166"/>
      <c r="F61" s="69" t="str">
        <f>'VTA POR EMPLEADO'!A46</f>
        <v>DELIA AGUIRRE CERVANTES</v>
      </c>
      <c r="G61" s="70">
        <f>SUMIF('VTA POR EMPLEADO'!A46:A49,ERECTUS!F61,'VTA POR EMPLEADO'!B46:B49)</f>
        <v>112626.95999999993</v>
      </c>
      <c r="H61" s="71"/>
      <c r="I61" s="72">
        <f>G61*F7</f>
        <v>2815.6739999999986</v>
      </c>
      <c r="J61" s="72">
        <f>Juguetes!O15</f>
        <v>162.93090000000001</v>
      </c>
      <c r="K61" s="72">
        <f>CXO!O16</f>
        <v>2947.5042000000008</v>
      </c>
      <c r="L61" s="72">
        <v>437.06419999999991</v>
      </c>
      <c r="M61" s="72">
        <f>Pastilla!O16</f>
        <v>485.17559999999997</v>
      </c>
      <c r="N61" s="72">
        <f>'Semana 1'!N16+'Semana 2'!N20+'Semana 3'!N16</f>
        <v>1068.4249000000004</v>
      </c>
      <c r="O61" s="73">
        <f t="shared" si="1"/>
        <v>7916.773799999999</v>
      </c>
      <c r="P61" s="74">
        <f>O61/D59</f>
        <v>6.5545908616275336E-2</v>
      </c>
      <c r="Q61" s="75">
        <f ca="1">O60/$D$92</f>
        <v>0</v>
      </c>
      <c r="R61" s="55"/>
      <c r="S61" s="15"/>
      <c r="T61" s="15"/>
      <c r="U61" s="77"/>
    </row>
    <row r="62" spans="2:21" ht="26.25" hidden="1" x14ac:dyDescent="0.35">
      <c r="B62" s="161"/>
      <c r="C62" s="163"/>
      <c r="D62" s="165"/>
      <c r="E62" s="166"/>
      <c r="F62" s="69" t="str">
        <f>'VTA POR EMPLEADO'!A47</f>
        <v>JESáS ULISES PEREZ VARGAS</v>
      </c>
      <c r="G62" s="70">
        <f>SUMIF('VTA POR EMPLEADO'!A47:A50,ERECTUS!F62,'VTA POR EMPLEADO'!B47:B50)</f>
        <v>2603.4500000000003</v>
      </c>
      <c r="H62" s="71"/>
      <c r="I62" s="72"/>
      <c r="J62" s="72"/>
      <c r="K62" s="72"/>
      <c r="L62" s="72"/>
      <c r="M62" s="72"/>
      <c r="N62" s="72"/>
      <c r="O62" s="73">
        <f t="shared" si="1"/>
        <v>0</v>
      </c>
      <c r="P62" s="74"/>
      <c r="Q62" s="74"/>
      <c r="R62" s="15"/>
      <c r="S62" s="15"/>
      <c r="T62" s="15"/>
      <c r="U62" s="77"/>
    </row>
    <row r="63" spans="2:21" ht="25.5" hidden="1" customHeight="1" x14ac:dyDescent="0.35">
      <c r="B63" s="161" t="s">
        <v>824</v>
      </c>
      <c r="C63" s="162">
        <v>150000</v>
      </c>
      <c r="D63" s="164">
        <f>SUMIF('BASE GENERAL'!B8:B3118,ERECTUS!B63,'BASE GENERAL'!J8:J3118)</f>
        <v>121603.08999999998</v>
      </c>
      <c r="E63" s="166">
        <f>D63/C63</f>
        <v>0.81068726666666657</v>
      </c>
      <c r="F63" s="69" t="str">
        <f>'VTA POR EMPLEADO'!A49</f>
        <v>ALFONSO  M CARBALLAR</v>
      </c>
      <c r="G63" s="70">
        <f>SUMIF('VTA POR EMPLEADO'!A48:A51,ERECTUS!F63,'VTA POR EMPLEADO'!B48:B51)</f>
        <v>17913.77</v>
      </c>
      <c r="H63" s="71"/>
      <c r="I63" s="72"/>
      <c r="J63" s="72"/>
      <c r="K63" s="72"/>
      <c r="L63" s="72"/>
      <c r="M63" s="72"/>
      <c r="N63" s="72"/>
      <c r="O63" s="73">
        <f t="shared" si="1"/>
        <v>0</v>
      </c>
      <c r="P63" s="74"/>
      <c r="Q63" s="74"/>
      <c r="R63" s="15"/>
      <c r="S63" s="15"/>
      <c r="T63" s="15"/>
      <c r="U63" s="77"/>
    </row>
    <row r="64" spans="2:21" ht="25.5" customHeight="1" x14ac:dyDescent="0.35">
      <c r="B64" s="161"/>
      <c r="C64" s="163"/>
      <c r="D64" s="165"/>
      <c r="E64" s="166"/>
      <c r="F64" s="69" t="str">
        <f>'VTA POR EMPLEADO'!A50</f>
        <v>OSCAR ANTONIO L CEL</v>
      </c>
      <c r="G64" s="70">
        <f>SUMIF('VTA POR EMPLEADO'!A49:A52,ERECTUS!F64,'VTA POR EMPLEADO'!B49:B52)</f>
        <v>103689.31999999999</v>
      </c>
      <c r="H64" s="71"/>
      <c r="I64" s="72">
        <f>G64*D7</f>
        <v>1296.1165000000001</v>
      </c>
      <c r="J64" s="72">
        <f>Juguetes!O27</f>
        <v>154.31029999999998</v>
      </c>
      <c r="K64" s="72">
        <f>CXO!O28</f>
        <v>1598.2775999999999</v>
      </c>
      <c r="L64" s="72">
        <f>DUSA!O26</f>
        <v>780.85640000000035</v>
      </c>
      <c r="M64" s="72">
        <f>Pastilla!O28</f>
        <v>277.2432</v>
      </c>
      <c r="N64" s="72">
        <f>'semana 4'!N18</f>
        <v>372.71429999999992</v>
      </c>
      <c r="O64" s="73">
        <f t="shared" si="1"/>
        <v>4479.5182999999997</v>
      </c>
      <c r="P64" s="74">
        <f>O64/D63</f>
        <v>3.6837207837399528E-2</v>
      </c>
      <c r="Q64" s="75">
        <f ca="1">O65/$D$92</f>
        <v>0</v>
      </c>
      <c r="R64" s="15"/>
      <c r="S64" s="15"/>
      <c r="T64" s="15"/>
      <c r="U64" s="77"/>
    </row>
    <row r="65" spans="2:23" ht="25.5" hidden="1" customHeight="1" x14ac:dyDescent="0.35">
      <c r="B65" s="161"/>
      <c r="C65" s="163"/>
      <c r="D65" s="165"/>
      <c r="E65" s="166"/>
      <c r="F65" s="69"/>
      <c r="G65" s="70"/>
      <c r="H65" s="71"/>
      <c r="I65" s="72"/>
      <c r="J65" s="72"/>
      <c r="K65" s="72"/>
      <c r="L65" s="72"/>
      <c r="M65" s="72"/>
      <c r="N65" s="72"/>
      <c r="O65" s="73">
        <f t="shared" si="1"/>
        <v>0</v>
      </c>
      <c r="P65" s="78"/>
      <c r="Q65" s="79"/>
      <c r="R65" s="15"/>
      <c r="S65" s="15"/>
      <c r="T65" s="15"/>
      <c r="U65" s="82"/>
    </row>
    <row r="66" spans="2:23" ht="25.5" hidden="1" customHeight="1" x14ac:dyDescent="0.35">
      <c r="B66" s="161"/>
      <c r="C66" s="163"/>
      <c r="D66" s="165"/>
      <c r="E66" s="166"/>
      <c r="F66" s="69"/>
      <c r="G66" s="70"/>
      <c r="H66" s="71"/>
      <c r="I66" s="72"/>
      <c r="J66" s="72"/>
      <c r="K66" s="72"/>
      <c r="L66" s="72"/>
      <c r="M66" s="72"/>
      <c r="N66" s="72"/>
      <c r="O66" s="73">
        <f t="shared" si="1"/>
        <v>0</v>
      </c>
      <c r="P66" s="74"/>
      <c r="Q66" s="75"/>
      <c r="R66" s="15"/>
      <c r="S66" s="15"/>
      <c r="T66" s="15"/>
      <c r="U66" s="82"/>
    </row>
    <row r="67" spans="2:23" ht="26.25" hidden="1" x14ac:dyDescent="0.35">
      <c r="B67" s="161" t="s">
        <v>907</v>
      </c>
      <c r="C67" s="162">
        <v>115000</v>
      </c>
      <c r="D67" s="164">
        <f>SUMIF('BASE GENERAL'!B12:B3122,ERECTUS!B67,'BASE GENERAL'!J12:J3122)</f>
        <v>117663.62999999996</v>
      </c>
      <c r="E67" s="166">
        <f>D67/C67</f>
        <v>1.0231619999999997</v>
      </c>
      <c r="F67" s="69" t="str">
        <f>'VTA POR EMPLEADO'!A57</f>
        <v>ALFONSO  M CARBALLAR</v>
      </c>
      <c r="G67" s="70">
        <f>SUMIF('VTA POR EMPLEADO'!A57:A59,ERECTUS!F67,'VTA POR EMPLEADO'!B57:B59)</f>
        <v>387.93</v>
      </c>
      <c r="H67" s="71"/>
      <c r="I67" s="72"/>
      <c r="J67" s="72"/>
      <c r="K67" s="72"/>
      <c r="L67" s="72"/>
      <c r="M67" s="72"/>
      <c r="N67" s="72"/>
      <c r="O67" s="73">
        <f t="shared" si="1"/>
        <v>0</v>
      </c>
      <c r="P67" s="78"/>
      <c r="Q67" s="79"/>
      <c r="R67" s="15"/>
      <c r="S67" s="15"/>
      <c r="T67" s="15"/>
      <c r="U67" s="82"/>
    </row>
    <row r="68" spans="2:23" ht="26.25" x14ac:dyDescent="0.35">
      <c r="B68" s="161"/>
      <c r="C68" s="163"/>
      <c r="D68" s="165"/>
      <c r="E68" s="166"/>
      <c r="F68" s="69" t="str">
        <f>'VTA POR EMPLEADO'!A58</f>
        <v>BERTHA SOFIA O BERMEJO</v>
      </c>
      <c r="G68" s="70">
        <f>SUMIF('VTA POR EMPLEADO'!A58:A60,ERECTUS!F68,'VTA POR EMPLEADO'!B58:B60)</f>
        <v>96146.430000000008</v>
      </c>
      <c r="H68" s="71"/>
      <c r="I68" s="72">
        <f>G68*E7</f>
        <v>1922.9286000000002</v>
      </c>
      <c r="J68" s="72">
        <f>Juguetes!O12</f>
        <v>154.39670000000001</v>
      </c>
      <c r="K68" s="72">
        <f>CXO!O13</f>
        <v>2950.3428000000004</v>
      </c>
      <c r="L68" s="72">
        <f>DUSA!O11</f>
        <v>363.78919999999999</v>
      </c>
      <c r="M68" s="72">
        <f>Pastilla!O13</f>
        <v>277.2432</v>
      </c>
      <c r="N68" s="72">
        <f>'Semana 2'!N23</f>
        <v>352.54260000000016</v>
      </c>
      <c r="O68" s="73">
        <f t="shared" si="1"/>
        <v>6021.2431000000006</v>
      </c>
      <c r="P68" s="74">
        <f>O68/D67</f>
        <v>5.1173358326612926E-2</v>
      </c>
      <c r="Q68" s="75">
        <f ca="1">O68/$D$92</f>
        <v>2.7459766624392088E-3</v>
      </c>
      <c r="R68" s="15"/>
      <c r="S68" s="15"/>
      <c r="T68" s="15"/>
      <c r="U68" s="82"/>
    </row>
    <row r="69" spans="2:23" ht="26.25" hidden="1" x14ac:dyDescent="0.35">
      <c r="B69" s="161"/>
      <c r="C69" s="163"/>
      <c r="D69" s="165"/>
      <c r="E69" s="166"/>
      <c r="F69" s="69" t="str">
        <f>'VTA POR EMPLEADO'!A59</f>
        <v>GERMAN  GUZMAN AGUIRRE</v>
      </c>
      <c r="G69" s="70">
        <f>SUMIF('VTA POR EMPLEADO'!A59:A61,ERECTUS!F69,'VTA POR EMPLEADO'!B59:B61)</f>
        <v>21129.27</v>
      </c>
      <c r="H69" s="71"/>
      <c r="I69" s="72"/>
      <c r="J69" s="72"/>
      <c r="K69" s="72"/>
      <c r="L69" s="72"/>
      <c r="M69" s="72"/>
      <c r="N69" s="72"/>
      <c r="O69" s="73">
        <f t="shared" si="1"/>
        <v>0</v>
      </c>
      <c r="P69" s="74"/>
      <c r="Q69" s="75"/>
      <c r="R69" s="15"/>
      <c r="S69" s="15"/>
      <c r="T69" s="15"/>
      <c r="U69" s="82"/>
    </row>
    <row r="70" spans="2:23" ht="26.25" hidden="1" x14ac:dyDescent="0.35">
      <c r="B70" s="161"/>
      <c r="C70" s="163"/>
      <c r="D70" s="165"/>
      <c r="E70" s="166"/>
      <c r="F70" s="69"/>
      <c r="G70" s="70"/>
      <c r="H70" s="71"/>
      <c r="I70" s="72"/>
      <c r="J70" s="72"/>
      <c r="K70" s="72"/>
      <c r="L70" s="72"/>
      <c r="M70" s="72"/>
      <c r="N70" s="72"/>
      <c r="O70" s="73">
        <f t="shared" si="1"/>
        <v>0</v>
      </c>
      <c r="P70" s="74"/>
      <c r="Q70" s="75"/>
      <c r="R70" s="15"/>
      <c r="S70" s="15"/>
      <c r="T70" s="15"/>
      <c r="U70" s="82"/>
    </row>
    <row r="71" spans="2:23" ht="26.25" hidden="1" x14ac:dyDescent="0.35">
      <c r="B71" s="161" t="s">
        <v>866</v>
      </c>
      <c r="C71" s="162">
        <v>180000</v>
      </c>
      <c r="D71" s="164">
        <f>SUMIF('BASE GENERAL'!B16:B3126,ERECTUS!B71,'BASE GENERAL'!J16:J3126)</f>
        <v>113120.31999999993</v>
      </c>
      <c r="E71" s="166">
        <f>D71/C71</f>
        <v>0.62844622222222191</v>
      </c>
      <c r="F71" s="69" t="str">
        <f>'VTA POR EMPLEADO'!A52</f>
        <v>ALFONSO  M CARBALLAR</v>
      </c>
      <c r="G71" s="70">
        <f>SUMIF('VTA POR EMPLEADO'!A52:A55,ERECTUS!F71,'VTA POR EMPLEADO'!B52:B55)</f>
        <v>9271.5099999999984</v>
      </c>
      <c r="H71" s="71"/>
      <c r="I71" s="72"/>
      <c r="J71" s="72"/>
      <c r="K71" s="72"/>
      <c r="L71" s="72"/>
      <c r="M71" s="72"/>
      <c r="N71" s="72"/>
      <c r="O71" s="73">
        <f t="shared" si="1"/>
        <v>0</v>
      </c>
      <c r="P71" s="78"/>
      <c r="Q71" s="79"/>
      <c r="R71" s="15"/>
      <c r="S71" s="15"/>
      <c r="T71" s="15"/>
      <c r="U71" s="83"/>
      <c r="W71" s="84"/>
    </row>
    <row r="72" spans="2:23" ht="26.25" hidden="1" x14ac:dyDescent="0.35">
      <c r="B72" s="161"/>
      <c r="C72" s="163"/>
      <c r="D72" s="165"/>
      <c r="E72" s="166"/>
      <c r="F72" s="69" t="str">
        <f>'VTA POR EMPLEADO'!A53</f>
        <v>ANGEL DANILO RODRIGUEZ LOPEZ</v>
      </c>
      <c r="G72" s="70">
        <f>SUMIF('VTA POR EMPLEADO'!A53:A56,ERECTUS!F72,'VTA POR EMPLEADO'!B53:B56)</f>
        <v>38357.629999999997</v>
      </c>
      <c r="H72" s="71"/>
      <c r="I72" s="72"/>
      <c r="J72" s="72"/>
      <c r="K72" s="72"/>
      <c r="L72" s="72"/>
      <c r="M72" s="72"/>
      <c r="N72" s="72"/>
      <c r="O72" s="73">
        <f t="shared" si="1"/>
        <v>0</v>
      </c>
      <c r="P72" s="74"/>
      <c r="Q72" s="75"/>
      <c r="R72" s="15"/>
      <c r="S72" s="15"/>
      <c r="T72" s="15"/>
      <c r="U72" s="83"/>
      <c r="W72" s="84"/>
    </row>
    <row r="73" spans="2:23" ht="26.25" hidden="1" x14ac:dyDescent="0.35">
      <c r="B73" s="161"/>
      <c r="C73" s="163"/>
      <c r="D73" s="165"/>
      <c r="E73" s="166"/>
      <c r="F73" s="69" t="str">
        <f>'VTA POR EMPLEADO'!A54</f>
        <v>GERMAN  GUZMAN AGUIRRE</v>
      </c>
      <c r="G73" s="70">
        <f>SUMIF('VTA POR EMPLEADO'!A54:A57,ERECTUS!F73,'VTA POR EMPLEADO'!B54:B57)</f>
        <v>3758.6</v>
      </c>
      <c r="H73" s="71"/>
      <c r="I73" s="72"/>
      <c r="J73" s="72"/>
      <c r="K73" s="72"/>
      <c r="L73" s="72"/>
      <c r="M73" s="72"/>
      <c r="N73" s="72"/>
      <c r="O73" s="73"/>
      <c r="P73" s="74"/>
      <c r="Q73" s="75"/>
      <c r="R73" s="15"/>
      <c r="S73" s="15"/>
      <c r="T73" s="15"/>
      <c r="U73" s="83"/>
      <c r="W73" s="84"/>
    </row>
    <row r="74" spans="2:23" ht="26.25" x14ac:dyDescent="0.35">
      <c r="B74" s="161"/>
      <c r="C74" s="163"/>
      <c r="D74" s="165"/>
      <c r="E74" s="166"/>
      <c r="F74" s="69" t="str">
        <f>'VTA POR EMPLEADO'!A55</f>
        <v>JESáS ULISES PEREZ VARGAS</v>
      </c>
      <c r="G74" s="70">
        <f>SUMIF('VTA POR EMPLEADO'!A55:A58,ERECTUS!F74,'VTA POR EMPLEADO'!B55:B58)+G15+G20+G26+G41+G62+G78</f>
        <v>78685.100000000006</v>
      </c>
      <c r="H74" s="71"/>
      <c r="I74" s="72"/>
      <c r="J74" s="72">
        <f>Juguetes!O21</f>
        <v>100.86200000000001</v>
      </c>
      <c r="K74" s="72">
        <f>CXO!O22</f>
        <v>1530.2592</v>
      </c>
      <c r="L74" s="72">
        <f>DUSA!O20</f>
        <v>509.47780000000017</v>
      </c>
      <c r="M74" s="72">
        <f>Pastilla!O22</f>
        <v>346.55399999999997</v>
      </c>
      <c r="N74" s="72"/>
      <c r="O74" s="73">
        <f t="shared" ref="O74:O91" si="2">SUM(I74:N74)</f>
        <v>2487.1530000000002</v>
      </c>
      <c r="P74" s="74">
        <f>O74/D71</f>
        <v>2.1986792470176902E-2</v>
      </c>
      <c r="Q74" s="75">
        <f ca="1">O74/$D$92</f>
        <v>1.1342614773211307E-3</v>
      </c>
      <c r="R74" s="15"/>
      <c r="S74" s="15"/>
      <c r="T74" s="15"/>
      <c r="U74" s="77"/>
      <c r="W74" s="85"/>
    </row>
    <row r="75" spans="2:23" ht="26.25" hidden="1" x14ac:dyDescent="0.35">
      <c r="B75" s="161"/>
      <c r="C75" s="163"/>
      <c r="D75" s="165"/>
      <c r="E75" s="166"/>
      <c r="F75" s="69"/>
      <c r="G75" s="70"/>
      <c r="H75" s="71"/>
      <c r="I75" s="72"/>
      <c r="J75" s="72"/>
      <c r="K75" s="72"/>
      <c r="L75" s="72"/>
      <c r="M75" s="72"/>
      <c r="N75" s="72"/>
      <c r="O75" s="73">
        <f t="shared" si="2"/>
        <v>0</v>
      </c>
      <c r="P75" s="74"/>
      <c r="Q75" s="75"/>
      <c r="R75" s="15"/>
      <c r="S75" s="15"/>
      <c r="T75" s="15"/>
      <c r="U75" s="83"/>
    </row>
    <row r="76" spans="2:23" ht="26.25" hidden="1" x14ac:dyDescent="0.35">
      <c r="B76" s="161" t="s">
        <v>933</v>
      </c>
      <c r="C76" s="162">
        <v>155000</v>
      </c>
      <c r="D76" s="164">
        <f>SUMIF('BASE GENERAL'!B4:B3114,ERECTUS!B76,'BASE GENERAL'!J4:J3114)</f>
        <v>137466.99999999994</v>
      </c>
      <c r="E76" s="166">
        <f>D76/C76</f>
        <v>0.88688387096774157</v>
      </c>
      <c r="F76" s="69" t="str">
        <f>'VTA POR EMPLEADO'!A61</f>
        <v>ALFONSO  M CARBALLAR</v>
      </c>
      <c r="G76" s="70">
        <f>SUMIF('VTA POR EMPLEADO'!A61:A63,ERECTUS!F76,'VTA POR EMPLEADO'!B61:B63)</f>
        <v>15737.019999999997</v>
      </c>
      <c r="H76" s="71"/>
      <c r="I76" s="72"/>
      <c r="J76" s="72"/>
      <c r="K76" s="72"/>
      <c r="L76" s="72"/>
      <c r="M76" s="72"/>
      <c r="N76" s="72"/>
      <c r="O76" s="73">
        <f t="shared" si="2"/>
        <v>0</v>
      </c>
      <c r="P76" s="74"/>
      <c r="Q76" s="75"/>
      <c r="R76" s="15"/>
      <c r="S76" s="15"/>
      <c r="T76" s="15"/>
      <c r="U76" s="77"/>
    </row>
    <row r="77" spans="2:23" ht="26.25" x14ac:dyDescent="0.35">
      <c r="B77" s="161"/>
      <c r="C77" s="163"/>
      <c r="D77" s="165"/>
      <c r="E77" s="166"/>
      <c r="F77" s="69" t="str">
        <f>'VTA POR EMPLEADO'!A62</f>
        <v>FATIMA CAROLINA  VALENCIA ENRIQUEZ</v>
      </c>
      <c r="G77" s="70">
        <f>SUMIF('VTA POR EMPLEADO'!A62:A64,ERECTUS!F77,'VTA POR EMPLEADO'!B62:B64)</f>
        <v>115165.34</v>
      </c>
      <c r="H77" s="71"/>
      <c r="I77" s="72">
        <f>G77*D7</f>
        <v>1439.56675</v>
      </c>
      <c r="J77" s="72">
        <f>Juguetes!O17</f>
        <v>275.86189999999993</v>
      </c>
      <c r="K77" s="72">
        <f>CXO!O18</f>
        <v>1792.0746000000006</v>
      </c>
      <c r="L77" s="72">
        <f>DUSA!O16</f>
        <v>654.30480000000034</v>
      </c>
      <c r="M77" s="72">
        <f>Pastilla!O18</f>
        <v>693.10800000000006</v>
      </c>
      <c r="N77" s="72"/>
      <c r="O77" s="73">
        <f t="shared" si="2"/>
        <v>4854.9160500000016</v>
      </c>
      <c r="P77" s="74">
        <f>O77/D76</f>
        <v>3.5316956433180356E-2</v>
      </c>
      <c r="Q77" s="75">
        <f ca="1">O77/$D$92</f>
        <v>2.2140753910768938E-3</v>
      </c>
      <c r="R77" s="15"/>
      <c r="S77" s="15"/>
      <c r="T77" s="15"/>
      <c r="U77" s="77"/>
    </row>
    <row r="78" spans="2:23" ht="26.25" hidden="1" x14ac:dyDescent="0.35">
      <c r="B78" s="161"/>
      <c r="C78" s="163"/>
      <c r="D78" s="165"/>
      <c r="E78" s="166"/>
      <c r="F78" s="69" t="str">
        <f>'VTA POR EMPLEADO'!A63</f>
        <v>JESáS ULISES PEREZ VARGAS</v>
      </c>
      <c r="G78" s="70">
        <f>SUMIF('VTA POR EMPLEADO'!A63:A65,ERECTUS!F78,'VTA POR EMPLEADO'!B63:B65)</f>
        <v>6564.6399999999994</v>
      </c>
      <c r="H78" s="71"/>
      <c r="I78" s="72"/>
      <c r="J78" s="72"/>
      <c r="K78" s="72"/>
      <c r="L78" s="72"/>
      <c r="M78" s="72"/>
      <c r="N78" s="72"/>
      <c r="O78" s="73">
        <f t="shared" si="2"/>
        <v>0</v>
      </c>
      <c r="P78" s="74"/>
      <c r="Q78" s="75"/>
      <c r="R78" s="15"/>
      <c r="S78" s="55"/>
      <c r="T78" s="15"/>
      <c r="U78" s="77"/>
    </row>
    <row r="79" spans="2:23" ht="33.75" hidden="1" customHeight="1" x14ac:dyDescent="0.35">
      <c r="B79" s="161"/>
      <c r="C79" s="163"/>
      <c r="D79" s="165"/>
      <c r="E79" s="166"/>
      <c r="F79" s="69"/>
      <c r="G79" s="70"/>
      <c r="H79" s="71"/>
      <c r="I79" s="72"/>
      <c r="J79" s="72"/>
      <c r="K79" s="72"/>
      <c r="L79" s="72"/>
      <c r="M79" s="72"/>
      <c r="N79" s="72"/>
      <c r="O79" s="73">
        <f t="shared" si="2"/>
        <v>0</v>
      </c>
      <c r="P79" s="74"/>
      <c r="Q79" s="75"/>
      <c r="R79" s="15"/>
      <c r="S79" s="15"/>
      <c r="T79" s="15"/>
      <c r="U79" s="77"/>
    </row>
    <row r="80" spans="2:23" ht="26.25" hidden="1" x14ac:dyDescent="0.35">
      <c r="B80" s="161"/>
      <c r="C80" s="163"/>
      <c r="D80" s="165"/>
      <c r="E80" s="166"/>
      <c r="F80" s="69"/>
      <c r="G80" s="70"/>
      <c r="H80" s="71"/>
      <c r="I80" s="72"/>
      <c r="J80" s="72"/>
      <c r="K80" s="72"/>
      <c r="L80" s="72"/>
      <c r="M80" s="72"/>
      <c r="N80" s="72"/>
      <c r="O80" s="73">
        <f t="shared" si="2"/>
        <v>0</v>
      </c>
      <c r="P80" s="78"/>
      <c r="Q80" s="79"/>
      <c r="R80" s="15"/>
      <c r="S80" s="15"/>
      <c r="T80" s="15"/>
      <c r="U80" s="77"/>
    </row>
    <row r="81" spans="2:21" ht="22.5" hidden="1" customHeight="1" x14ac:dyDescent="0.35">
      <c r="B81" s="161" t="s">
        <v>955</v>
      </c>
      <c r="C81" s="162">
        <v>435000</v>
      </c>
      <c r="D81" s="164">
        <f>SUMIF('BASE GENERAL'!B4:B3114,ERECTUS!B81,'BASE GENERAL'!J4:J3114)</f>
        <v>264504.04999999958</v>
      </c>
      <c r="E81" s="166">
        <f>D81/C81</f>
        <v>0.60805528735632086</v>
      </c>
      <c r="F81" s="69" t="str">
        <f>'VTA POR EMPLEADO'!A65</f>
        <v>ALFONSO  M CARBALLAR</v>
      </c>
      <c r="G81" s="70">
        <f>SUMIF('VTA POR EMPLEADO'!A65:A68,ERECTUS!F81,'VTA POR EMPLEADO'!B65:B68)</f>
        <v>32150.829999999998</v>
      </c>
      <c r="H81" s="71"/>
      <c r="I81" s="72"/>
      <c r="J81" s="72"/>
      <c r="K81" s="72"/>
      <c r="L81" s="72"/>
      <c r="M81" s="72"/>
      <c r="N81" s="72"/>
      <c r="O81" s="73">
        <f t="shared" si="2"/>
        <v>0</v>
      </c>
      <c r="P81" s="74"/>
      <c r="Q81" s="74"/>
      <c r="R81" s="15"/>
      <c r="S81" s="15"/>
      <c r="T81" s="15"/>
      <c r="U81" s="77"/>
    </row>
    <row r="82" spans="2:21" ht="22.5" hidden="1" customHeight="1" x14ac:dyDescent="0.35">
      <c r="B82" s="161"/>
      <c r="C82" s="163"/>
      <c r="D82" s="165"/>
      <c r="E82" s="166"/>
      <c r="F82" s="69" t="str">
        <f>'VTA POR EMPLEADO'!A66</f>
        <v>ANGEL DANILO RODRIGUEZ LOPEZ</v>
      </c>
      <c r="G82" s="70">
        <f>SUMIF('VTA POR EMPLEADO'!A66:A69,ERECTUS!F82,'VTA POR EMPLEADO'!B66:B69)</f>
        <v>23543.059999999998</v>
      </c>
      <c r="H82" s="71"/>
      <c r="I82" s="72"/>
      <c r="J82" s="72"/>
      <c r="K82" s="72"/>
      <c r="L82" s="72"/>
      <c r="M82" s="72"/>
      <c r="N82" s="72"/>
      <c r="O82" s="73">
        <f t="shared" si="2"/>
        <v>0</v>
      </c>
      <c r="P82" s="78"/>
      <c r="Q82" s="79"/>
      <c r="R82" s="15"/>
      <c r="S82" s="15"/>
      <c r="T82" s="15"/>
      <c r="U82" s="77"/>
    </row>
    <row r="83" spans="2:21" ht="22.5" hidden="1" customHeight="1" x14ac:dyDescent="0.35">
      <c r="B83" s="161"/>
      <c r="C83" s="163"/>
      <c r="D83" s="165"/>
      <c r="E83" s="166"/>
      <c r="F83" s="69" t="str">
        <f>'VTA POR EMPLEADO'!A67</f>
        <v>GERMAN  GUZMAN AGUIRRE</v>
      </c>
      <c r="G83" s="70">
        <f>SUMIF('VTA POR EMPLEADO'!A67:A70,ERECTUS!F83,'VTA POR EMPLEADO'!B67:B70)</f>
        <v>2456.9</v>
      </c>
      <c r="H83" s="71"/>
      <c r="I83" s="72"/>
      <c r="J83" s="72"/>
      <c r="K83" s="72"/>
      <c r="L83" s="72"/>
      <c r="M83" s="72"/>
      <c r="N83" s="72"/>
      <c r="O83" s="73">
        <f t="shared" si="2"/>
        <v>0</v>
      </c>
      <c r="P83" s="74"/>
      <c r="Q83" s="75"/>
      <c r="R83" s="15"/>
      <c r="S83" s="15"/>
      <c r="T83" s="15"/>
      <c r="U83" s="77"/>
    </row>
    <row r="84" spans="2:21" ht="22.5" customHeight="1" x14ac:dyDescent="0.35">
      <c r="B84" s="161"/>
      <c r="C84" s="163"/>
      <c r="D84" s="165"/>
      <c r="E84" s="166"/>
      <c r="F84" s="157" t="str">
        <f>'VTA POR EMPLEADO'!A68</f>
        <v>NICOLAS H ACEVES</v>
      </c>
      <c r="G84" s="158">
        <f>SUMIF('VTA POR EMPLEADO'!A68:A71,ERECTUS!F84,'VTA POR EMPLEADO'!B68:B71)</f>
        <v>206353.25999999975</v>
      </c>
      <c r="H84" s="159"/>
      <c r="I84" s="160">
        <f ca="1">SUPERVISOR!E15+SUPERVISOR!G15+SUPERVISOR!I15+SUPERVISOR!N15</f>
        <v>11497.405699999996</v>
      </c>
      <c r="J84" s="160">
        <f>SUPERVISOR!K15</f>
        <v>2033.5550500000002</v>
      </c>
      <c r="K84" s="160">
        <f>SUPERVISOR!J15</f>
        <v>11758.855950000008</v>
      </c>
      <c r="L84" s="160">
        <f>SUPERVISOR!L15</f>
        <v>8594.6706000000013</v>
      </c>
      <c r="M84" s="160">
        <f>SUPERVISOR!M15</f>
        <v>2460.5333999999993</v>
      </c>
      <c r="N84" s="160"/>
      <c r="O84" s="73">
        <f t="shared" ca="1" si="2"/>
        <v>36345.020700000008</v>
      </c>
      <c r="P84" s="74">
        <f ca="1">O84/D81</f>
        <v>0.13740818221876022</v>
      </c>
      <c r="Q84" s="75">
        <f ca="1">O84/$D$92</f>
        <v>1.6575078763730693E-2</v>
      </c>
      <c r="R84" s="15"/>
      <c r="S84" s="15"/>
      <c r="T84" s="15"/>
      <c r="U84" s="77"/>
    </row>
    <row r="85" spans="2:21" ht="28.5" hidden="1" customHeight="1" x14ac:dyDescent="0.35">
      <c r="B85" s="161" t="s">
        <v>1016</v>
      </c>
      <c r="C85" s="162">
        <v>145000</v>
      </c>
      <c r="D85" s="164">
        <f>SUMIF('BASE GENERAL'!B4:B3114,ERECTUS!B85,'BASE GENERAL'!J4:J3114)</f>
        <v>128293.39999999994</v>
      </c>
      <c r="E85" s="166">
        <f>D85/C85</f>
        <v>0.88478206896551681</v>
      </c>
      <c r="F85" s="69" t="str">
        <f>'VTA POR EMPLEADO'!A70</f>
        <v>ALFONSO  M CARBALLAR</v>
      </c>
      <c r="G85" s="70">
        <f>SUMIF('VTA POR EMPLEADO'!A70:A72,ERECTUS!F85,'VTA POR EMPLEADO'!B70:B72)</f>
        <v>2866.3599999999997</v>
      </c>
      <c r="H85" s="71"/>
      <c r="I85" s="72"/>
      <c r="J85" s="72"/>
      <c r="K85" s="72"/>
      <c r="L85" s="72"/>
      <c r="M85" s="72"/>
      <c r="N85" s="72"/>
      <c r="O85" s="73">
        <f t="shared" si="2"/>
        <v>0</v>
      </c>
      <c r="P85" s="74"/>
      <c r="Q85" s="75"/>
      <c r="R85" s="15"/>
      <c r="S85" s="15"/>
      <c r="T85" s="15"/>
      <c r="U85" s="77"/>
    </row>
    <row r="86" spans="2:21" ht="28.5" hidden="1" customHeight="1" x14ac:dyDescent="0.35">
      <c r="B86" s="161"/>
      <c r="C86" s="163"/>
      <c r="D86" s="165"/>
      <c r="E86" s="166"/>
      <c r="F86" s="69" t="str">
        <f>'VTA POR EMPLEADO'!A71</f>
        <v>ANGEL DANILO RODRIGUEZ LOPEZ</v>
      </c>
      <c r="G86" s="70">
        <f>SUMIF('VTA POR EMPLEADO'!A71:A73,ERECTUS!F86,'VTA POR EMPLEADO'!B71:B73)</f>
        <v>18952.570000000003</v>
      </c>
      <c r="H86" s="71"/>
      <c r="I86" s="72"/>
      <c r="J86" s="72"/>
      <c r="K86" s="72"/>
      <c r="L86" s="72"/>
      <c r="M86" s="72"/>
      <c r="N86" s="72"/>
      <c r="O86" s="73">
        <f t="shared" si="2"/>
        <v>0</v>
      </c>
      <c r="P86" s="74"/>
      <c r="Q86" s="75"/>
      <c r="R86" s="15"/>
      <c r="S86" s="15"/>
      <c r="T86" s="15"/>
      <c r="U86" s="77"/>
    </row>
    <row r="87" spans="2:21" ht="28.5" customHeight="1" x14ac:dyDescent="0.35">
      <c r="B87" s="161"/>
      <c r="C87" s="163"/>
      <c r="D87" s="165"/>
      <c r="E87" s="166"/>
      <c r="F87" s="69" t="str">
        <f>'VTA POR EMPLEADO'!A72</f>
        <v>BRYAN ALEJANDRO V BERNAL</v>
      </c>
      <c r="G87" s="70">
        <f>SUMIF('VTA POR EMPLEADO'!A72:A74,ERECTUS!F87,'VTA POR EMPLEADO'!B72:B74)</f>
        <v>106474.46999999996</v>
      </c>
      <c r="H87" s="71"/>
      <c r="I87" s="72">
        <f>G87*D7</f>
        <v>1330.9308749999996</v>
      </c>
      <c r="J87" s="72">
        <f>Juguetes!O13</f>
        <v>149.1379</v>
      </c>
      <c r="K87" s="72">
        <f>CXO!O14</f>
        <v>2585.7251999999999</v>
      </c>
      <c r="L87" s="72">
        <f>DUSA!O12</f>
        <v>637.92499999999984</v>
      </c>
      <c r="M87" s="72">
        <f>Pastilla!O14</f>
        <v>381.20940000000002</v>
      </c>
      <c r="N87" s="72">
        <f>'semana 4'!N23</f>
        <v>393.36689999999999</v>
      </c>
      <c r="O87" s="73">
        <f t="shared" si="2"/>
        <v>5478.2952749999995</v>
      </c>
      <c r="P87" s="74">
        <f>O87/D85</f>
        <v>4.2701302444241106E-2</v>
      </c>
      <c r="Q87" s="75">
        <f ca="1">O87/$D$92</f>
        <v>2.4983663215824956E-3</v>
      </c>
      <c r="R87" s="15"/>
      <c r="S87" s="15"/>
      <c r="T87" s="15"/>
      <c r="U87" s="77"/>
    </row>
    <row r="88" spans="2:21" ht="28.5" hidden="1" customHeight="1" x14ac:dyDescent="0.35">
      <c r="B88" s="161"/>
      <c r="C88" s="163"/>
      <c r="D88" s="165"/>
      <c r="E88" s="166"/>
      <c r="F88" s="69"/>
      <c r="G88" s="86"/>
      <c r="H88" s="71"/>
      <c r="I88" s="72"/>
      <c r="J88" s="72"/>
      <c r="K88" s="72"/>
      <c r="L88" s="72"/>
      <c r="M88" s="72"/>
      <c r="N88" s="72"/>
      <c r="O88" s="73">
        <f t="shared" si="2"/>
        <v>0</v>
      </c>
      <c r="P88" s="78"/>
      <c r="Q88" s="79"/>
      <c r="R88" s="15"/>
      <c r="S88" s="15"/>
      <c r="T88" s="15"/>
      <c r="U88" s="77"/>
    </row>
    <row r="89" spans="2:21" ht="31.5" x14ac:dyDescent="0.35">
      <c r="B89" s="149" t="s">
        <v>277</v>
      </c>
      <c r="C89" s="87">
        <v>150000</v>
      </c>
      <c r="D89" s="88">
        <f>G89</f>
        <v>109150.62999999995</v>
      </c>
      <c r="E89" s="76">
        <f>D89/C89</f>
        <v>0.72767086666666636</v>
      </c>
      <c r="F89" s="149" t="s">
        <v>277</v>
      </c>
      <c r="G89" s="86">
        <f>SUMIF('BASE GENERAL'!D4:D3114,ERECTUS!F89,'BASE GENERAL'!J4:J3114)</f>
        <v>109150.62999999995</v>
      </c>
      <c r="H89" s="71"/>
      <c r="I89" s="72"/>
      <c r="J89" s="72">
        <f>Juguetes!O9</f>
        <v>54.870600000000003</v>
      </c>
      <c r="K89" s="72">
        <f>CXO!O10</f>
        <v>2963.5349999999994</v>
      </c>
      <c r="L89" s="72">
        <f>DUSA!O8</f>
        <v>752.2360000000001</v>
      </c>
      <c r="M89" s="72">
        <f>Pastilla!O10</f>
        <v>415.86480000000006</v>
      </c>
      <c r="N89" s="72"/>
      <c r="O89" s="73">
        <f t="shared" si="2"/>
        <v>4186.5064000000002</v>
      </c>
      <c r="P89" s="74">
        <f>O89/D89</f>
        <v>3.835531137108418E-2</v>
      </c>
      <c r="Q89" s="75">
        <f ca="1">O89/D92</f>
        <v>1.9092484194090063E-3</v>
      </c>
      <c r="R89" s="15"/>
      <c r="S89" s="15"/>
      <c r="T89" s="15"/>
      <c r="U89" s="77"/>
    </row>
    <row r="90" spans="2:21" ht="31.5" x14ac:dyDescent="0.35">
      <c r="B90" s="149" t="s">
        <v>32</v>
      </c>
      <c r="C90" s="87">
        <v>110000</v>
      </c>
      <c r="D90" s="88">
        <f>G90</f>
        <v>108223.95999999992</v>
      </c>
      <c r="E90" s="76">
        <f t="shared" ref="E90:E91" si="3">D90/C90</f>
        <v>0.98385418181818107</v>
      </c>
      <c r="F90" s="149" t="s">
        <v>32</v>
      </c>
      <c r="G90" s="86">
        <f>SUMIF('BASE GENERAL'!D5:D3115,ERECTUS!F90,'BASE GENERAL'!J5:J3115)</f>
        <v>108223.95999999992</v>
      </c>
      <c r="H90" s="71"/>
      <c r="I90" s="72">
        <f>G90*I6</f>
        <v>2164.4791999999984</v>
      </c>
      <c r="J90" s="72">
        <f>Juguetes!O10</f>
        <v>243.10320000000002</v>
      </c>
      <c r="K90" s="72">
        <f>CXO!O11</f>
        <v>1867.7604000000003</v>
      </c>
      <c r="L90" s="72">
        <f>DUSA!O9</f>
        <v>478.0990000000001</v>
      </c>
      <c r="M90" s="72">
        <f>Pastilla!O11</f>
        <v>589.14179999999999</v>
      </c>
      <c r="N90" s="72"/>
      <c r="O90" s="73">
        <f t="shared" si="2"/>
        <v>5342.583599999999</v>
      </c>
      <c r="P90" s="74">
        <f>O90/D90</f>
        <v>4.93659962174735E-2</v>
      </c>
      <c r="Q90" s="75">
        <f ca="1">O90/$D$92</f>
        <v>2.4364752658351308E-3</v>
      </c>
      <c r="R90" s="15"/>
      <c r="S90" s="15"/>
      <c r="T90" s="15"/>
      <c r="U90" s="77"/>
    </row>
    <row r="91" spans="2:21" ht="31.5" hidden="1" x14ac:dyDescent="0.35">
      <c r="B91" s="149" t="s">
        <v>130</v>
      </c>
      <c r="C91" s="87">
        <v>125000</v>
      </c>
      <c r="D91" s="88">
        <f>G91</f>
        <v>86478.279999999984</v>
      </c>
      <c r="E91" s="76">
        <f t="shared" si="3"/>
        <v>0.69182623999999993</v>
      </c>
      <c r="F91" s="149" t="s">
        <v>130</v>
      </c>
      <c r="G91" s="86">
        <f>SUMIF('BASE GENERAL'!D6:D3116,ERECTUS!F91,'BASE GENERAL'!J6:J3116)</f>
        <v>86478.279999999984</v>
      </c>
      <c r="H91" s="71"/>
      <c r="I91" s="72"/>
      <c r="J91" s="72">
        <f>Juguetes!O18</f>
        <v>0</v>
      </c>
      <c r="K91" s="72">
        <f>CXO!O19</f>
        <v>0</v>
      </c>
      <c r="L91" s="72">
        <f>DUSA!O17</f>
        <v>0</v>
      </c>
      <c r="M91" s="72">
        <f>Pastilla!O19</f>
        <v>0</v>
      </c>
      <c r="N91" s="72"/>
      <c r="O91" s="73">
        <f t="shared" si="2"/>
        <v>0</v>
      </c>
      <c r="P91" s="74">
        <f>O91/D91</f>
        <v>0</v>
      </c>
      <c r="Q91" s="75">
        <f ca="1">O91/D92</f>
        <v>0</v>
      </c>
      <c r="R91" s="15"/>
      <c r="S91" s="15"/>
      <c r="T91" s="15"/>
      <c r="U91" s="77"/>
    </row>
    <row r="92" spans="2:21" ht="37.5" customHeight="1" thickBot="1" x14ac:dyDescent="0.4">
      <c r="B92" s="89"/>
      <c r="C92" s="90">
        <f>SUM(C13:C88)</f>
        <v>2680000</v>
      </c>
      <c r="D92" s="91">
        <f ca="1">SUM(D13:D88)</f>
        <v>2192751.0099999988</v>
      </c>
      <c r="E92" s="92">
        <f ca="1">D92/C92</f>
        <v>0.81819067537313395</v>
      </c>
      <c r="F92" s="93"/>
      <c r="G92" s="94">
        <f>SUM(G3:G88)</f>
        <v>2209725.0799999991</v>
      </c>
      <c r="H92" s="95">
        <f t="shared" ref="H92:N92" si="4">SUM(H13:H91)</f>
        <v>0</v>
      </c>
      <c r="I92" s="95">
        <f t="shared" ca="1" si="4"/>
        <v>38117.970649999988</v>
      </c>
      <c r="J92" s="95">
        <f>SUM(J13:J91)</f>
        <v>4967.5620500000005</v>
      </c>
      <c r="K92" s="95">
        <f t="shared" si="4"/>
        <v>51348.586350000005</v>
      </c>
      <c r="L92" s="95">
        <f t="shared" si="4"/>
        <v>18074.073400000001</v>
      </c>
      <c r="M92" s="95">
        <f t="shared" si="4"/>
        <v>10708.518599999998</v>
      </c>
      <c r="N92" s="95">
        <f t="shared" si="4"/>
        <v>5425.5499</v>
      </c>
      <c r="O92" s="95">
        <f ca="1">SUM(O13:O91)</f>
        <v>128642.26095</v>
      </c>
      <c r="P92" s="96"/>
      <c r="Q92" s="96">
        <f ca="1">O92/D92</f>
        <v>5.8667062682141946E-2</v>
      </c>
      <c r="R92" s="15"/>
      <c r="S92" s="15"/>
      <c r="T92" s="15"/>
      <c r="U92" s="77"/>
    </row>
    <row r="93" spans="2:21" ht="21.75" thickBot="1" x14ac:dyDescent="0.3">
      <c r="D93" s="97"/>
      <c r="J93" s="12"/>
      <c r="K93" s="7"/>
      <c r="M93" s="13"/>
      <c r="P93" s="98"/>
      <c r="Q93" s="7"/>
      <c r="S93" s="77"/>
      <c r="T93" s="77"/>
      <c r="U93" s="77"/>
    </row>
    <row r="94" spans="2:21" s="99" customFormat="1" ht="57.75" thickBot="1" x14ac:dyDescent="0.5">
      <c r="C94" s="100"/>
      <c r="D94" s="101"/>
      <c r="G94" s="100"/>
      <c r="H94" s="102" t="s">
        <v>1075</v>
      </c>
      <c r="I94" s="103">
        <f ca="1">I92/D92</f>
        <v>1.7383629274898844E-2</v>
      </c>
      <c r="J94" s="104">
        <f ca="1">J92/D92</f>
        <v>2.2654473888487699E-3</v>
      </c>
      <c r="K94" s="105">
        <f ca="1">K92/D92</f>
        <v>2.3417426837714708E-2</v>
      </c>
      <c r="L94" s="104">
        <f ca="1">L92/D92</f>
        <v>8.2426473947901681E-3</v>
      </c>
      <c r="M94" s="104">
        <f ca="1">M92/D92</f>
        <v>4.8835998939979978E-3</v>
      </c>
      <c r="N94" s="104">
        <f ca="1">N92/D92</f>
        <v>2.4743118918914568E-3</v>
      </c>
      <c r="O94" s="106">
        <f ca="1">O92/D92</f>
        <v>5.8667062682141946E-2</v>
      </c>
      <c r="P94" s="107"/>
      <c r="Q94" s="108"/>
      <c r="R94" s="109"/>
      <c r="S94" s="108"/>
      <c r="T94" s="108"/>
      <c r="U94" s="108"/>
    </row>
    <row r="95" spans="2:21" x14ac:dyDescent="0.25">
      <c r="D95" s="7"/>
    </row>
    <row r="96" spans="2:21" ht="23.25" x14ac:dyDescent="0.35">
      <c r="D96" s="7"/>
      <c r="O96" s="110"/>
    </row>
    <row r="97" spans="2:23" x14ac:dyDescent="0.35">
      <c r="D97" s="7"/>
      <c r="L97" s="152"/>
      <c r="O97" s="111"/>
    </row>
    <row r="98" spans="2:23" s="14" customFormat="1" ht="29.25" customHeight="1" x14ac:dyDescent="0.35">
      <c r="B98" s="7"/>
      <c r="C98" s="8"/>
      <c r="D98" s="7"/>
      <c r="E98" s="7"/>
      <c r="F98" s="7"/>
      <c r="G98" s="10"/>
      <c r="H98" s="11"/>
      <c r="I98" s="12"/>
      <c r="J98" s="7"/>
      <c r="K98" s="13"/>
      <c r="L98" s="13"/>
      <c r="M98" s="84"/>
      <c r="N98" s="7"/>
      <c r="O98" s="112"/>
      <c r="Q98" s="15"/>
      <c r="R98" s="16"/>
      <c r="S98" s="7"/>
      <c r="T98" s="7"/>
      <c r="U98" s="7"/>
      <c r="V98" s="7"/>
      <c r="W98" s="7"/>
    </row>
    <row r="99" spans="2:23" s="14" customFormat="1" x14ac:dyDescent="0.35">
      <c r="B99" s="7"/>
      <c r="C99" s="8"/>
      <c r="D99" s="7"/>
      <c r="E99" s="7"/>
      <c r="F99" s="7"/>
      <c r="G99" s="10"/>
      <c r="H99" s="11"/>
      <c r="I99" s="12"/>
      <c r="J99" s="7"/>
      <c r="K99" s="13"/>
      <c r="L99" s="13"/>
      <c r="M99" s="7"/>
      <c r="N99" s="7"/>
      <c r="O99" s="111"/>
      <c r="Q99" s="15"/>
      <c r="R99" s="16"/>
      <c r="S99" s="7"/>
      <c r="T99" s="7"/>
      <c r="U99" s="7"/>
      <c r="V99" s="7"/>
      <c r="W99" s="7"/>
    </row>
    <row r="100" spans="2:23" s="14" customFormat="1" ht="28.5" x14ac:dyDescent="0.45">
      <c r="B100" s="7"/>
      <c r="C100" s="8"/>
      <c r="D100" s="7"/>
      <c r="E100" s="7"/>
      <c r="F100" s="7"/>
      <c r="G100" s="10"/>
      <c r="H100" s="11"/>
      <c r="I100" s="12"/>
      <c r="J100" s="7"/>
      <c r="K100" s="13"/>
      <c r="L100" s="13"/>
      <c r="M100" s="7"/>
      <c r="N100" s="7"/>
      <c r="O100" s="113"/>
      <c r="Q100" s="15"/>
      <c r="R100" s="16"/>
      <c r="S100" s="7"/>
      <c r="T100" s="7"/>
      <c r="U100" s="7"/>
      <c r="V100" s="7"/>
      <c r="W100" s="7"/>
    </row>
    <row r="101" spans="2:23" s="14" customFormat="1" ht="28.5" x14ac:dyDescent="0.45">
      <c r="B101" s="7"/>
      <c r="C101" s="8"/>
      <c r="D101" s="7"/>
      <c r="E101" s="7"/>
      <c r="F101" s="7"/>
      <c r="G101" s="10"/>
      <c r="H101" s="11"/>
      <c r="I101" s="12"/>
      <c r="J101" s="7"/>
      <c r="K101" s="13"/>
      <c r="L101" s="13"/>
      <c r="M101" s="7"/>
      <c r="N101" s="7"/>
      <c r="O101" s="113"/>
      <c r="Q101" s="15"/>
      <c r="R101" s="16"/>
      <c r="S101" s="7"/>
      <c r="T101" s="7"/>
      <c r="U101" s="7"/>
      <c r="V101" s="7"/>
      <c r="W101" s="7"/>
    </row>
  </sheetData>
  <autoFilter ref="B12:O92" xr:uid="{C2DFE379-4F99-4EF2-9CA0-A252EAA8D9CF}">
    <filterColumn colId="13">
      <filters>
        <filter val="$1,954.40"/>
        <filter val="$10,322.62"/>
        <filter val="$128,642.26"/>
        <filter val="$2,487.15"/>
        <filter val="$36,345.02"/>
        <filter val="$4,186.51"/>
        <filter val="$4,479.52"/>
        <filter val="$4,854.92"/>
        <filter val="$4,871.96"/>
        <filter val="$5,100.56"/>
        <filter val="$5,342.58"/>
        <filter val="$5,478.30"/>
        <filter val="$6,021.24"/>
        <filter val="$6,581.17"/>
        <filter val="$7,077.55"/>
        <filter val="$7,221.13"/>
        <filter val="$7,916.77"/>
        <filter val="$8,400.86"/>
      </filters>
    </filterColumn>
  </autoFilter>
  <mergeCells count="71">
    <mergeCell ref="B4:F4"/>
    <mergeCell ref="F11:H11"/>
    <mergeCell ref="I11:M11"/>
    <mergeCell ref="B13:B18"/>
    <mergeCell ref="C13:C18"/>
    <mergeCell ref="D13:D18"/>
    <mergeCell ref="E13:E18"/>
    <mergeCell ref="B19:B22"/>
    <mergeCell ref="C19:C22"/>
    <mergeCell ref="D19:D22"/>
    <mergeCell ref="E19:E22"/>
    <mergeCell ref="B23:B28"/>
    <mergeCell ref="C23:C28"/>
    <mergeCell ref="D23:D28"/>
    <mergeCell ref="E23:E28"/>
    <mergeCell ref="B29:B33"/>
    <mergeCell ref="C29:C33"/>
    <mergeCell ref="D29:D33"/>
    <mergeCell ref="E29:E33"/>
    <mergeCell ref="B34:B38"/>
    <mergeCell ref="C34:C38"/>
    <mergeCell ref="D34:D38"/>
    <mergeCell ref="E34:E38"/>
    <mergeCell ref="B39:B43"/>
    <mergeCell ref="C39:C43"/>
    <mergeCell ref="D39:D43"/>
    <mergeCell ref="E39:E43"/>
    <mergeCell ref="B44:B47"/>
    <mergeCell ref="C44:C47"/>
    <mergeCell ref="D44:D47"/>
    <mergeCell ref="E44:E47"/>
    <mergeCell ref="B48:B49"/>
    <mergeCell ref="C48:C49"/>
    <mergeCell ref="D48:D49"/>
    <mergeCell ref="E48:E49"/>
    <mergeCell ref="B50:B52"/>
    <mergeCell ref="C50:C52"/>
    <mergeCell ref="D50:D52"/>
    <mergeCell ref="E50:E52"/>
    <mergeCell ref="B53:B58"/>
    <mergeCell ref="C53:C58"/>
    <mergeCell ref="D53:D58"/>
    <mergeCell ref="E53:E58"/>
    <mergeCell ref="B59:B62"/>
    <mergeCell ref="C59:C62"/>
    <mergeCell ref="D59:D62"/>
    <mergeCell ref="E59:E62"/>
    <mergeCell ref="B63:B66"/>
    <mergeCell ref="C63:C66"/>
    <mergeCell ref="D63:D66"/>
    <mergeCell ref="E63:E66"/>
    <mergeCell ref="B67:B70"/>
    <mergeCell ref="C67:C70"/>
    <mergeCell ref="D67:D70"/>
    <mergeCell ref="E67:E70"/>
    <mergeCell ref="B71:B75"/>
    <mergeCell ref="C71:C75"/>
    <mergeCell ref="D71:D75"/>
    <mergeCell ref="E71:E75"/>
    <mergeCell ref="B76:B80"/>
    <mergeCell ref="C76:C80"/>
    <mergeCell ref="D76:D80"/>
    <mergeCell ref="E76:E80"/>
    <mergeCell ref="B81:B84"/>
    <mergeCell ref="C81:C84"/>
    <mergeCell ref="D81:D84"/>
    <mergeCell ref="E81:E84"/>
    <mergeCell ref="B85:B88"/>
    <mergeCell ref="C85:C88"/>
    <mergeCell ref="D85:D88"/>
    <mergeCell ref="E85:E88"/>
  </mergeCells>
  <conditionalFormatting sqref="E13:E18 E29:E62 E81:E91">
    <cfRule type="cellIs" dxfId="3" priority="3" operator="greaterThan">
      <formula>0.7</formula>
    </cfRule>
    <cfRule type="cellIs" dxfId="2" priority="4" operator="greaterThan">
      <formula>"70$"</formula>
    </cfRule>
  </conditionalFormatting>
  <conditionalFormatting sqref="E19:E28">
    <cfRule type="cellIs" dxfId="1" priority="1" operator="greaterThan">
      <formula>0.75</formula>
    </cfRule>
  </conditionalFormatting>
  <conditionalFormatting sqref="E63:E80">
    <cfRule type="cellIs" dxfId="0" priority="2" operator="greaterThan">
      <formula>0.75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E3A7-BA88-467A-8282-3526ADA3AD3C}">
  <dimension ref="E2:N20"/>
  <sheetViews>
    <sheetView workbookViewId="0">
      <selection activeCell="E1" sqref="E1:N1048576"/>
    </sheetView>
  </sheetViews>
  <sheetFormatPr baseColWidth="10" defaultRowHeight="12.75" x14ac:dyDescent="0.2"/>
  <cols>
    <col min="5" max="5" width="51.5703125" style="140" bestFit="1" customWidth="1"/>
    <col min="6" max="6" width="18.7109375" bestFit="1" customWidth="1"/>
    <col min="7" max="7" width="13.140625" bestFit="1" customWidth="1"/>
    <col min="8" max="8" width="24.85546875" bestFit="1" customWidth="1"/>
    <col min="9" max="9" width="23.7109375" customWidth="1"/>
    <col min="10" max="10" width="17.140625" bestFit="1" customWidth="1"/>
    <col min="11" max="11" width="15.42578125" bestFit="1" customWidth="1"/>
    <col min="12" max="12" width="22.85546875" bestFit="1" customWidth="1"/>
    <col min="13" max="13" width="15.42578125" bestFit="1" customWidth="1"/>
    <col min="14" max="14" width="20.5703125" bestFit="1" customWidth="1"/>
  </cols>
  <sheetData>
    <row r="2" spans="5:14" ht="43.5" customHeight="1" x14ac:dyDescent="0.35">
      <c r="E2" s="190"/>
      <c r="F2" s="195" t="s">
        <v>1066</v>
      </c>
      <c r="G2" s="195" t="s">
        <v>1059</v>
      </c>
      <c r="H2" s="193" t="s">
        <v>1068</v>
      </c>
      <c r="I2" s="195" t="s">
        <v>1069</v>
      </c>
      <c r="J2" s="193" t="s">
        <v>30</v>
      </c>
      <c r="K2" s="193" t="s">
        <v>15</v>
      </c>
      <c r="L2" s="193" t="s">
        <v>1070</v>
      </c>
      <c r="M2" s="193" t="s">
        <v>1071</v>
      </c>
      <c r="N2" s="194" t="s">
        <v>1100</v>
      </c>
    </row>
    <row r="3" spans="5:14" ht="21" x14ac:dyDescent="0.35">
      <c r="E3" s="192" t="s">
        <v>11</v>
      </c>
      <c r="F3" s="191">
        <v>145615.4599999999</v>
      </c>
      <c r="G3" s="196">
        <v>77</v>
      </c>
      <c r="H3" s="191">
        <v>1092.1159499999992</v>
      </c>
      <c r="I3" s="191">
        <v>333.62049999999994</v>
      </c>
      <c r="J3" s="191">
        <v>2583.1055999999985</v>
      </c>
      <c r="K3" s="191">
        <v>675.8578</v>
      </c>
      <c r="L3" s="191">
        <v>415.8648</v>
      </c>
      <c r="M3" s="191"/>
      <c r="N3" s="197">
        <v>5100.5646499999975</v>
      </c>
    </row>
    <row r="4" spans="5:14" ht="21" x14ac:dyDescent="0.35">
      <c r="E4" s="192" t="s">
        <v>262</v>
      </c>
      <c r="F4" s="191">
        <v>153842.84999999995</v>
      </c>
      <c r="G4" s="196">
        <v>92</v>
      </c>
      <c r="H4" s="191">
        <v>3076.8569999999991</v>
      </c>
      <c r="I4" s="191">
        <v>311.33620000000002</v>
      </c>
      <c r="J4" s="191">
        <v>3412.5</v>
      </c>
      <c r="K4" s="191">
        <v>803.09560000000045</v>
      </c>
      <c r="L4" s="191">
        <v>797.07420000000002</v>
      </c>
      <c r="M4" s="191"/>
      <c r="N4" s="197">
        <v>8400.8630000000012</v>
      </c>
    </row>
    <row r="5" spans="5:14" ht="21" x14ac:dyDescent="0.35">
      <c r="E5" s="192" t="s">
        <v>386</v>
      </c>
      <c r="F5" s="191">
        <v>104594.23999999998</v>
      </c>
      <c r="G5" s="196">
        <v>115</v>
      </c>
      <c r="H5" s="191">
        <v>2614.8559999999998</v>
      </c>
      <c r="I5" s="191">
        <v>164.22409999999996</v>
      </c>
      <c r="J5" s="191">
        <v>2639.5535999999993</v>
      </c>
      <c r="K5" s="191">
        <v>495.68700000000018</v>
      </c>
      <c r="L5" s="191">
        <v>415.8648</v>
      </c>
      <c r="M5" s="191">
        <v>747.36490000000003</v>
      </c>
      <c r="N5" s="197">
        <v>7077.5503999999983</v>
      </c>
    </row>
    <row r="6" spans="5:14" ht="21" x14ac:dyDescent="0.35">
      <c r="E6" s="192" t="s">
        <v>456</v>
      </c>
      <c r="F6" s="191">
        <v>160125.20999999996</v>
      </c>
      <c r="G6" s="196">
        <v>93</v>
      </c>
      <c r="H6" s="191">
        <v>3202.5041999999994</v>
      </c>
      <c r="I6" s="191">
        <v>368.49099999999999</v>
      </c>
      <c r="J6" s="191">
        <v>3786.2417999999993</v>
      </c>
      <c r="K6" s="191">
        <v>834.99260000000027</v>
      </c>
      <c r="L6" s="191">
        <v>762.41880000000003</v>
      </c>
      <c r="M6" s="191">
        <v>1367.9707000000003</v>
      </c>
      <c r="N6" s="197">
        <v>10322.619099999998</v>
      </c>
    </row>
    <row r="7" spans="5:14" ht="21" x14ac:dyDescent="0.35">
      <c r="E7" s="192" t="s">
        <v>584</v>
      </c>
      <c r="F7" s="191">
        <v>54879.099999999991</v>
      </c>
      <c r="G7" s="196">
        <v>57</v>
      </c>
      <c r="H7" s="191"/>
      <c r="I7" s="191">
        <v>42.758599999999994</v>
      </c>
      <c r="J7" s="191">
        <v>1204.3968000000002</v>
      </c>
      <c r="K7" s="191">
        <v>326.03160000000003</v>
      </c>
      <c r="L7" s="191">
        <v>381.20940000000002</v>
      </c>
      <c r="M7" s="191"/>
      <c r="N7" s="197">
        <v>1954.3964000000001</v>
      </c>
    </row>
    <row r="8" spans="5:14" ht="21" x14ac:dyDescent="0.35">
      <c r="E8" s="192" t="s">
        <v>655</v>
      </c>
      <c r="F8" s="191">
        <v>82956.75</v>
      </c>
      <c r="G8" s="196">
        <v>83</v>
      </c>
      <c r="H8" s="191">
        <v>1036.9593750000001</v>
      </c>
      <c r="I8" s="191">
        <v>34.482700000000001</v>
      </c>
      <c r="J8" s="191">
        <v>2793.1043999999997</v>
      </c>
      <c r="K8" s="191">
        <v>358.27279999999985</v>
      </c>
      <c r="L8" s="191">
        <v>415.86480000000006</v>
      </c>
      <c r="M8" s="191">
        <v>233.27550000000002</v>
      </c>
      <c r="N8" s="197">
        <v>4871.9595749999999</v>
      </c>
    </row>
    <row r="9" spans="5:14" ht="21" x14ac:dyDescent="0.35">
      <c r="E9" s="192" t="s">
        <v>691</v>
      </c>
      <c r="F9" s="191">
        <v>118721.68999999996</v>
      </c>
      <c r="G9" s="196">
        <v>119</v>
      </c>
      <c r="H9" s="191">
        <v>2968.0422499999991</v>
      </c>
      <c r="I9" s="191">
        <v>247.4136</v>
      </c>
      <c r="J9" s="191">
        <v>1822.3319999999999</v>
      </c>
      <c r="K9" s="191">
        <v>704.30560000000014</v>
      </c>
      <c r="L9" s="191">
        <v>589.14179999999999</v>
      </c>
      <c r="M9" s="191">
        <v>889.89009999999985</v>
      </c>
      <c r="N9" s="197">
        <v>7221.1253499999984</v>
      </c>
    </row>
    <row r="10" spans="5:14" ht="21" x14ac:dyDescent="0.35">
      <c r="E10" s="192" t="s">
        <v>741</v>
      </c>
      <c r="F10" s="191">
        <v>132762.74000000002</v>
      </c>
      <c r="G10" s="196">
        <v>84</v>
      </c>
      <c r="H10" s="191">
        <v>1659.5342500000004</v>
      </c>
      <c r="I10" s="191">
        <v>136.20679999999999</v>
      </c>
      <c r="J10" s="191">
        <v>3113.0172000000007</v>
      </c>
      <c r="K10" s="191">
        <v>667.40739999999994</v>
      </c>
      <c r="L10" s="191">
        <v>1005.0066</v>
      </c>
      <c r="M10" s="191"/>
      <c r="N10" s="197">
        <v>6581.1722500000005</v>
      </c>
    </row>
    <row r="11" spans="5:14" ht="21" x14ac:dyDescent="0.35">
      <c r="E11" s="192" t="s">
        <v>781</v>
      </c>
      <c r="F11" s="191">
        <v>112626.95999999993</v>
      </c>
      <c r="G11" s="196">
        <v>121</v>
      </c>
      <c r="H11" s="191">
        <v>2815.6739999999986</v>
      </c>
      <c r="I11" s="191">
        <v>162.93090000000001</v>
      </c>
      <c r="J11" s="191">
        <v>2947.5042000000008</v>
      </c>
      <c r="K11" s="191">
        <v>437.06419999999991</v>
      </c>
      <c r="L11" s="191">
        <v>485.17559999999997</v>
      </c>
      <c r="M11" s="191">
        <v>1068.4249000000004</v>
      </c>
      <c r="N11" s="197">
        <v>7916.773799999999</v>
      </c>
    </row>
    <row r="12" spans="5:14" ht="21" x14ac:dyDescent="0.35">
      <c r="E12" s="192" t="s">
        <v>825</v>
      </c>
      <c r="F12" s="191">
        <v>103689.31999999999</v>
      </c>
      <c r="G12" s="196">
        <v>81</v>
      </c>
      <c r="H12" s="191">
        <v>1296.1165000000001</v>
      </c>
      <c r="I12" s="191">
        <v>154.31029999999998</v>
      </c>
      <c r="J12" s="191">
        <v>1598.2775999999999</v>
      </c>
      <c r="K12" s="191">
        <v>780.85640000000035</v>
      </c>
      <c r="L12" s="191">
        <v>277.2432</v>
      </c>
      <c r="M12" s="191">
        <v>372.71429999999992</v>
      </c>
      <c r="N12" s="197">
        <v>4479.5182999999997</v>
      </c>
    </row>
    <row r="13" spans="5:14" ht="21" x14ac:dyDescent="0.35">
      <c r="E13" s="192" t="s">
        <v>908</v>
      </c>
      <c r="F13" s="191">
        <v>96146.430000000008</v>
      </c>
      <c r="G13" s="196">
        <v>102</v>
      </c>
      <c r="H13" s="191">
        <v>1922.9286000000002</v>
      </c>
      <c r="I13" s="191">
        <v>154.39670000000001</v>
      </c>
      <c r="J13" s="191">
        <v>2950.3428000000004</v>
      </c>
      <c r="K13" s="191">
        <v>363.78919999999999</v>
      </c>
      <c r="L13" s="191">
        <v>277.2432</v>
      </c>
      <c r="M13" s="191">
        <v>352.54260000000016</v>
      </c>
      <c r="N13" s="197">
        <v>6021.2431000000006</v>
      </c>
    </row>
    <row r="14" spans="5:14" ht="21" x14ac:dyDescent="0.35">
      <c r="E14" s="192" t="s">
        <v>226</v>
      </c>
      <c r="F14" s="191">
        <v>78685.100000000006</v>
      </c>
      <c r="G14" s="196">
        <v>63</v>
      </c>
      <c r="H14" s="191"/>
      <c r="I14" s="191">
        <v>100.86200000000001</v>
      </c>
      <c r="J14" s="191">
        <v>1530.2592</v>
      </c>
      <c r="K14" s="191">
        <v>509.47780000000017</v>
      </c>
      <c r="L14" s="191">
        <v>346.55399999999997</v>
      </c>
      <c r="M14" s="191"/>
      <c r="N14" s="197">
        <v>2487.1530000000002</v>
      </c>
    </row>
    <row r="15" spans="5:14" ht="21" x14ac:dyDescent="0.35">
      <c r="E15" s="192" t="s">
        <v>934</v>
      </c>
      <c r="F15" s="191">
        <v>115165.34</v>
      </c>
      <c r="G15" s="196">
        <v>89</v>
      </c>
      <c r="H15" s="191">
        <v>1439.56675</v>
      </c>
      <c r="I15" s="191">
        <v>275.86189999999993</v>
      </c>
      <c r="J15" s="191">
        <v>1792.0746000000006</v>
      </c>
      <c r="K15" s="191">
        <v>654.30480000000034</v>
      </c>
      <c r="L15" s="191">
        <v>693.10800000000006</v>
      </c>
      <c r="M15" s="191"/>
      <c r="N15" s="197">
        <v>4854.9160500000016</v>
      </c>
    </row>
    <row r="16" spans="5:14" ht="21" x14ac:dyDescent="0.35">
      <c r="E16" s="192" t="s">
        <v>956</v>
      </c>
      <c r="F16" s="191">
        <v>206353.25999999975</v>
      </c>
      <c r="G16" s="196">
        <v>61</v>
      </c>
      <c r="H16" s="191">
        <v>11497.405699999996</v>
      </c>
      <c r="I16" s="191">
        <v>2033.5550500000002</v>
      </c>
      <c r="J16" s="191">
        <v>11758.855950000008</v>
      </c>
      <c r="K16" s="191">
        <v>8594.6706000000013</v>
      </c>
      <c r="L16" s="191">
        <v>2460.5333999999993</v>
      </c>
      <c r="M16" s="191"/>
      <c r="N16" s="197">
        <v>36345.020700000008</v>
      </c>
    </row>
    <row r="17" spans="5:14" ht="21" x14ac:dyDescent="0.35">
      <c r="E17" s="192" t="s">
        <v>1017</v>
      </c>
      <c r="F17" s="191">
        <v>106474.46999999996</v>
      </c>
      <c r="G17" s="196">
        <v>88</v>
      </c>
      <c r="H17" s="191">
        <v>1330.9308749999996</v>
      </c>
      <c r="I17" s="191">
        <v>149.1379</v>
      </c>
      <c r="J17" s="191">
        <v>2585.7251999999999</v>
      </c>
      <c r="K17" s="191">
        <v>637.92499999999984</v>
      </c>
      <c r="L17" s="191">
        <v>381.20940000000002</v>
      </c>
      <c r="M17" s="191">
        <v>393.36689999999999</v>
      </c>
      <c r="N17" s="197">
        <v>5478.2952749999995</v>
      </c>
    </row>
    <row r="18" spans="5:14" ht="21" x14ac:dyDescent="0.35">
      <c r="E18" s="192" t="s">
        <v>277</v>
      </c>
      <c r="F18" s="191">
        <v>109150.62999999995</v>
      </c>
      <c r="G18" s="196">
        <v>73</v>
      </c>
      <c r="H18" s="191"/>
      <c r="I18" s="191">
        <v>54.870600000000003</v>
      </c>
      <c r="J18" s="191">
        <v>2963.5349999999994</v>
      </c>
      <c r="K18" s="191">
        <v>752.2360000000001</v>
      </c>
      <c r="L18" s="191">
        <v>415.86480000000006</v>
      </c>
      <c r="M18" s="191"/>
      <c r="N18" s="197">
        <v>4186.5064000000002</v>
      </c>
    </row>
    <row r="19" spans="5:14" ht="21" x14ac:dyDescent="0.35">
      <c r="E19" s="192" t="s">
        <v>32</v>
      </c>
      <c r="F19" s="191">
        <v>108223.95999999992</v>
      </c>
      <c r="G19" s="196">
        <v>98</v>
      </c>
      <c r="H19" s="191">
        <v>2164.4791999999984</v>
      </c>
      <c r="I19" s="191">
        <v>243.10320000000002</v>
      </c>
      <c r="J19" s="191">
        <v>1867.7604000000003</v>
      </c>
      <c r="K19" s="191">
        <v>478.0990000000001</v>
      </c>
      <c r="L19" s="191">
        <v>589.14179999999999</v>
      </c>
      <c r="M19" s="191"/>
      <c r="N19" s="197">
        <v>5342.583599999999</v>
      </c>
    </row>
    <row r="20" spans="5:14" ht="21" x14ac:dyDescent="0.35">
      <c r="E20" s="190"/>
      <c r="F20" s="191"/>
      <c r="G20" s="191"/>
      <c r="H20" s="191"/>
      <c r="I20" s="191"/>
      <c r="J20" s="191"/>
      <c r="K20" s="191"/>
      <c r="L20" s="191"/>
      <c r="M20" s="191"/>
      <c r="N20" s="197">
        <f>SUM(N3:N19)</f>
        <v>128642.26095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30D2-C4C0-4306-A189-ED0F2460BB32}">
  <dimension ref="B4:P178"/>
  <sheetViews>
    <sheetView showGridLines="0" topLeftCell="G7" workbookViewId="0">
      <selection activeCell="O27" sqref="O27"/>
    </sheetView>
  </sheetViews>
  <sheetFormatPr baseColWidth="10" defaultRowHeight="12.75" x14ac:dyDescent="0.2"/>
  <cols>
    <col min="2" max="2" width="27.7109375" bestFit="1" customWidth="1"/>
    <col min="3" max="3" width="10.140625" bestFit="1" customWidth="1"/>
    <col min="4" max="4" width="41" bestFit="1" customWidth="1"/>
    <col min="5" max="5" width="14" bestFit="1" customWidth="1"/>
    <col min="6" max="6" width="22.7109375" bestFit="1" customWidth="1"/>
    <col min="7" max="7" width="21" bestFit="1" customWidth="1"/>
    <col min="8" max="8" width="7.7109375" bestFit="1" customWidth="1"/>
    <col min="9" max="9" width="10.42578125" bestFit="1" customWidth="1"/>
    <col min="10" max="10" width="9.140625" bestFit="1" customWidth="1"/>
    <col min="12" max="12" width="41" bestFit="1" customWidth="1"/>
    <col min="13" max="13" width="17.42578125" bestFit="1" customWidth="1"/>
  </cols>
  <sheetData>
    <row r="4" spans="2:16" x14ac:dyDescent="0.2"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</row>
    <row r="5" spans="2:16" x14ac:dyDescent="0.2">
      <c r="B5" t="s">
        <v>9</v>
      </c>
      <c r="C5" t="s">
        <v>10</v>
      </c>
      <c r="D5" t="s">
        <v>11</v>
      </c>
      <c r="E5" t="s">
        <v>16</v>
      </c>
      <c r="F5" t="s">
        <v>17</v>
      </c>
      <c r="G5" t="s">
        <v>1034</v>
      </c>
      <c r="H5" t="s">
        <v>15</v>
      </c>
      <c r="I5" s="1">
        <v>1</v>
      </c>
      <c r="J5" s="2">
        <v>577.59</v>
      </c>
    </row>
    <row r="6" spans="2:16" x14ac:dyDescent="0.2">
      <c r="B6" t="s">
        <v>9</v>
      </c>
      <c r="C6" t="s">
        <v>165</v>
      </c>
      <c r="D6" t="s">
        <v>11</v>
      </c>
      <c r="E6" t="s">
        <v>16</v>
      </c>
      <c r="F6" t="s">
        <v>17</v>
      </c>
      <c r="G6" t="s">
        <v>1034</v>
      </c>
      <c r="H6" t="s">
        <v>15</v>
      </c>
      <c r="I6" s="1">
        <v>1</v>
      </c>
      <c r="J6" s="2">
        <v>577.59</v>
      </c>
    </row>
    <row r="7" spans="2:16" x14ac:dyDescent="0.2">
      <c r="B7" t="s">
        <v>9</v>
      </c>
      <c r="C7" t="s">
        <v>166</v>
      </c>
      <c r="D7" t="s">
        <v>11</v>
      </c>
      <c r="E7" t="s">
        <v>16</v>
      </c>
      <c r="F7" t="s">
        <v>17</v>
      </c>
      <c r="G7" t="s">
        <v>1034</v>
      </c>
      <c r="H7" t="s">
        <v>15</v>
      </c>
      <c r="I7" s="1">
        <v>3</v>
      </c>
      <c r="J7" s="2">
        <v>1732.77</v>
      </c>
    </row>
    <row r="8" spans="2:16" x14ac:dyDescent="0.2">
      <c r="B8" t="s">
        <v>9</v>
      </c>
      <c r="C8" t="s">
        <v>206</v>
      </c>
      <c r="D8" t="s">
        <v>11</v>
      </c>
      <c r="E8" t="s">
        <v>16</v>
      </c>
      <c r="F8" t="s">
        <v>17</v>
      </c>
      <c r="G8" t="s">
        <v>1034</v>
      </c>
      <c r="H8" t="s">
        <v>15</v>
      </c>
      <c r="I8" s="1">
        <v>5</v>
      </c>
      <c r="J8" s="2">
        <v>2887.9500000000003</v>
      </c>
    </row>
    <row r="9" spans="2:16" x14ac:dyDescent="0.2">
      <c r="B9" t="s">
        <v>9</v>
      </c>
      <c r="C9" t="s">
        <v>220</v>
      </c>
      <c r="D9" t="s">
        <v>11</v>
      </c>
      <c r="E9" t="s">
        <v>16</v>
      </c>
      <c r="F9" t="s">
        <v>17</v>
      </c>
      <c r="G9" t="s">
        <v>1034</v>
      </c>
      <c r="H9" t="s">
        <v>15</v>
      </c>
      <c r="I9" s="1">
        <v>1</v>
      </c>
      <c r="J9" s="2">
        <v>577.59</v>
      </c>
      <c r="L9" s="139" t="s">
        <v>1094</v>
      </c>
      <c r="M9" t="s">
        <v>1096</v>
      </c>
      <c r="O9" s="146">
        <v>0.06</v>
      </c>
      <c r="P9" s="146">
        <v>0.03</v>
      </c>
    </row>
    <row r="10" spans="2:16" x14ac:dyDescent="0.2">
      <c r="B10" t="s">
        <v>9</v>
      </c>
      <c r="C10" t="s">
        <v>237</v>
      </c>
      <c r="D10" t="s">
        <v>11</v>
      </c>
      <c r="E10" t="s">
        <v>16</v>
      </c>
      <c r="F10" t="s">
        <v>17</v>
      </c>
      <c r="G10" t="s">
        <v>1034</v>
      </c>
      <c r="H10" t="s">
        <v>15</v>
      </c>
      <c r="I10" s="1">
        <v>1</v>
      </c>
      <c r="J10" s="2">
        <v>577.59</v>
      </c>
      <c r="L10" s="140" t="s">
        <v>277</v>
      </c>
      <c r="M10" s="2">
        <v>6931.0800000000008</v>
      </c>
      <c r="O10" s="142">
        <f>M10*$O$9</f>
        <v>415.86480000000006</v>
      </c>
    </row>
    <row r="11" spans="2:16" x14ac:dyDescent="0.2">
      <c r="B11" t="s">
        <v>261</v>
      </c>
      <c r="C11" t="s">
        <v>10</v>
      </c>
      <c r="D11" t="s">
        <v>262</v>
      </c>
      <c r="E11" t="s">
        <v>16</v>
      </c>
      <c r="F11" t="s">
        <v>17</v>
      </c>
      <c r="G11" t="s">
        <v>1034</v>
      </c>
      <c r="H11" t="s">
        <v>15</v>
      </c>
      <c r="I11" s="1">
        <v>1</v>
      </c>
      <c r="J11" s="2">
        <v>577.59</v>
      </c>
      <c r="L11" s="140" t="s">
        <v>32</v>
      </c>
      <c r="M11" s="2">
        <v>9819.0300000000007</v>
      </c>
      <c r="O11" s="142">
        <f t="shared" ref="O11:O29" si="0">M11*$O$9</f>
        <v>589.14179999999999</v>
      </c>
    </row>
    <row r="12" spans="2:16" x14ac:dyDescent="0.2">
      <c r="B12" t="s">
        <v>261</v>
      </c>
      <c r="C12" t="s">
        <v>18</v>
      </c>
      <c r="D12" t="s">
        <v>262</v>
      </c>
      <c r="E12" t="s">
        <v>16</v>
      </c>
      <c r="F12" t="s">
        <v>17</v>
      </c>
      <c r="G12" t="s">
        <v>1034</v>
      </c>
      <c r="H12" t="s">
        <v>15</v>
      </c>
      <c r="I12" s="1">
        <v>1</v>
      </c>
      <c r="J12" s="2">
        <v>577.59</v>
      </c>
      <c r="L12" s="140" t="s">
        <v>741</v>
      </c>
      <c r="M12" s="2">
        <v>16750.11</v>
      </c>
      <c r="O12" s="142">
        <f t="shared" si="0"/>
        <v>1005.0066</v>
      </c>
    </row>
    <row r="13" spans="2:16" x14ac:dyDescent="0.2">
      <c r="B13" t="s">
        <v>261</v>
      </c>
      <c r="C13" t="s">
        <v>40</v>
      </c>
      <c r="D13" t="s">
        <v>277</v>
      </c>
      <c r="E13" t="s">
        <v>16</v>
      </c>
      <c r="F13" t="s">
        <v>17</v>
      </c>
      <c r="G13" t="s">
        <v>1034</v>
      </c>
      <c r="H13" t="s">
        <v>15</v>
      </c>
      <c r="I13" s="1">
        <v>1</v>
      </c>
      <c r="J13" s="2">
        <v>577.59</v>
      </c>
      <c r="L13" s="140" t="s">
        <v>908</v>
      </c>
      <c r="M13" s="2">
        <v>4620.72</v>
      </c>
      <c r="O13" s="142">
        <f t="shared" si="0"/>
        <v>277.2432</v>
      </c>
    </row>
    <row r="14" spans="2:16" x14ac:dyDescent="0.2">
      <c r="B14" t="s">
        <v>261</v>
      </c>
      <c r="C14" t="s">
        <v>51</v>
      </c>
      <c r="D14" t="s">
        <v>262</v>
      </c>
      <c r="E14" t="s">
        <v>16</v>
      </c>
      <c r="F14" t="s">
        <v>17</v>
      </c>
      <c r="G14" t="s">
        <v>1034</v>
      </c>
      <c r="H14" t="s">
        <v>15</v>
      </c>
      <c r="I14" s="1">
        <v>2</v>
      </c>
      <c r="J14" s="2">
        <v>1155.18</v>
      </c>
      <c r="L14" s="140" t="s">
        <v>1017</v>
      </c>
      <c r="M14" s="2">
        <v>6353.4900000000007</v>
      </c>
      <c r="O14" s="142">
        <f t="shared" si="0"/>
        <v>381.20940000000002</v>
      </c>
    </row>
    <row r="15" spans="2:16" x14ac:dyDescent="0.2">
      <c r="B15" t="s">
        <v>261</v>
      </c>
      <c r="C15" t="s">
        <v>166</v>
      </c>
      <c r="D15" t="s">
        <v>262</v>
      </c>
      <c r="E15" t="s">
        <v>16</v>
      </c>
      <c r="F15" t="s">
        <v>17</v>
      </c>
      <c r="G15" t="s">
        <v>1034</v>
      </c>
      <c r="H15" t="s">
        <v>15</v>
      </c>
      <c r="I15" s="1">
        <v>5</v>
      </c>
      <c r="J15" s="2">
        <v>2887.95</v>
      </c>
      <c r="L15" s="140" t="s">
        <v>584</v>
      </c>
      <c r="M15" s="2">
        <v>6353.4900000000007</v>
      </c>
      <c r="O15" s="142">
        <f t="shared" si="0"/>
        <v>381.20940000000002</v>
      </c>
    </row>
    <row r="16" spans="2:16" x14ac:dyDescent="0.2">
      <c r="B16" t="s">
        <v>261</v>
      </c>
      <c r="C16" t="s">
        <v>186</v>
      </c>
      <c r="D16" t="s">
        <v>262</v>
      </c>
      <c r="E16" t="s">
        <v>16</v>
      </c>
      <c r="F16" t="s">
        <v>17</v>
      </c>
      <c r="G16" t="s">
        <v>1034</v>
      </c>
      <c r="H16" t="s">
        <v>15</v>
      </c>
      <c r="I16" s="1">
        <v>4</v>
      </c>
      <c r="J16" s="2">
        <v>2310.36</v>
      </c>
      <c r="L16" s="140" t="s">
        <v>781</v>
      </c>
      <c r="M16" s="2">
        <v>8086.26</v>
      </c>
      <c r="O16" s="142">
        <f t="shared" si="0"/>
        <v>485.17559999999997</v>
      </c>
    </row>
    <row r="17" spans="2:15" x14ac:dyDescent="0.2">
      <c r="B17" t="s">
        <v>261</v>
      </c>
      <c r="C17" t="s">
        <v>197</v>
      </c>
      <c r="D17" t="s">
        <v>262</v>
      </c>
      <c r="E17" t="s">
        <v>16</v>
      </c>
      <c r="F17" t="s">
        <v>17</v>
      </c>
      <c r="G17" t="s">
        <v>1034</v>
      </c>
      <c r="H17" t="s">
        <v>15</v>
      </c>
      <c r="I17" s="1">
        <v>1</v>
      </c>
      <c r="J17" s="2">
        <v>577.59</v>
      </c>
      <c r="L17" s="140" t="s">
        <v>691</v>
      </c>
      <c r="M17" s="2">
        <v>9819.0300000000007</v>
      </c>
      <c r="O17" s="142">
        <f t="shared" si="0"/>
        <v>589.14179999999999</v>
      </c>
    </row>
    <row r="18" spans="2:15" x14ac:dyDescent="0.2">
      <c r="B18" t="s">
        <v>261</v>
      </c>
      <c r="C18" t="s">
        <v>206</v>
      </c>
      <c r="D18" t="s">
        <v>262</v>
      </c>
      <c r="E18" t="s">
        <v>16</v>
      </c>
      <c r="F18" t="s">
        <v>17</v>
      </c>
      <c r="G18" t="s">
        <v>1034</v>
      </c>
      <c r="H18" t="s">
        <v>15</v>
      </c>
      <c r="I18" s="1">
        <v>1</v>
      </c>
      <c r="J18" s="2">
        <v>577.59</v>
      </c>
      <c r="L18" s="140" t="s">
        <v>934</v>
      </c>
      <c r="M18" s="2">
        <v>11551.800000000001</v>
      </c>
      <c r="O18" s="142">
        <f t="shared" si="0"/>
        <v>693.10800000000006</v>
      </c>
    </row>
    <row r="19" spans="2:15" x14ac:dyDescent="0.2">
      <c r="B19" t="s">
        <v>261</v>
      </c>
      <c r="C19" t="s">
        <v>220</v>
      </c>
      <c r="D19" t="s">
        <v>262</v>
      </c>
      <c r="E19" t="s">
        <v>16</v>
      </c>
      <c r="F19" t="s">
        <v>17</v>
      </c>
      <c r="G19" t="s">
        <v>1034</v>
      </c>
      <c r="H19" t="s">
        <v>15</v>
      </c>
      <c r="I19" s="1">
        <v>1</v>
      </c>
      <c r="J19" s="2">
        <v>577.59</v>
      </c>
      <c r="L19" s="140" t="s">
        <v>130</v>
      </c>
      <c r="M19" s="2">
        <v>6931.0800000000008</v>
      </c>
      <c r="O19" s="142">
        <v>0</v>
      </c>
    </row>
    <row r="20" spans="2:15" x14ac:dyDescent="0.2">
      <c r="B20" t="s">
        <v>261</v>
      </c>
      <c r="C20" t="s">
        <v>225</v>
      </c>
      <c r="D20" t="s">
        <v>262</v>
      </c>
      <c r="E20" t="s">
        <v>16</v>
      </c>
      <c r="F20" t="s">
        <v>17</v>
      </c>
      <c r="G20" t="s">
        <v>1034</v>
      </c>
      <c r="H20" t="s">
        <v>15</v>
      </c>
      <c r="I20" s="1">
        <v>1</v>
      </c>
      <c r="J20" s="2">
        <v>577.59</v>
      </c>
      <c r="L20" s="140" t="s">
        <v>456</v>
      </c>
      <c r="M20" s="2">
        <v>12706.980000000001</v>
      </c>
      <c r="O20" s="142">
        <f t="shared" si="0"/>
        <v>762.41880000000003</v>
      </c>
    </row>
    <row r="21" spans="2:15" x14ac:dyDescent="0.2">
      <c r="B21" t="s">
        <v>261</v>
      </c>
      <c r="C21" t="s">
        <v>227</v>
      </c>
      <c r="D21" t="s">
        <v>262</v>
      </c>
      <c r="E21" t="s">
        <v>16</v>
      </c>
      <c r="F21" t="s">
        <v>17</v>
      </c>
      <c r="G21" t="s">
        <v>1034</v>
      </c>
      <c r="H21" t="s">
        <v>15</v>
      </c>
      <c r="I21" s="1">
        <v>1</v>
      </c>
      <c r="J21" s="2">
        <v>577.59</v>
      </c>
      <c r="L21" s="140" t="s">
        <v>386</v>
      </c>
      <c r="M21" s="2">
        <v>6931.08</v>
      </c>
      <c r="O21" s="142">
        <f t="shared" si="0"/>
        <v>415.8648</v>
      </c>
    </row>
    <row r="22" spans="2:15" x14ac:dyDescent="0.2">
      <c r="B22" t="s">
        <v>261</v>
      </c>
      <c r="C22" t="s">
        <v>228</v>
      </c>
      <c r="D22" t="s">
        <v>262</v>
      </c>
      <c r="E22" t="s">
        <v>16</v>
      </c>
      <c r="F22" t="s">
        <v>17</v>
      </c>
      <c r="G22" t="s">
        <v>1034</v>
      </c>
      <c r="H22" t="s">
        <v>15</v>
      </c>
      <c r="I22" s="1">
        <v>3</v>
      </c>
      <c r="J22" s="2">
        <v>1732.77</v>
      </c>
      <c r="L22" s="140" t="s">
        <v>226</v>
      </c>
      <c r="M22" s="2">
        <v>5775.9</v>
      </c>
      <c r="O22" s="142">
        <f t="shared" si="0"/>
        <v>346.55399999999997</v>
      </c>
    </row>
    <row r="23" spans="2:15" x14ac:dyDescent="0.2">
      <c r="B23" t="s">
        <v>261</v>
      </c>
      <c r="C23" t="s">
        <v>237</v>
      </c>
      <c r="D23" t="s">
        <v>262</v>
      </c>
      <c r="E23" t="s">
        <v>16</v>
      </c>
      <c r="F23" t="s">
        <v>17</v>
      </c>
      <c r="G23" t="s">
        <v>1034</v>
      </c>
      <c r="H23" t="s">
        <v>15</v>
      </c>
      <c r="I23" s="1">
        <v>2</v>
      </c>
      <c r="J23" s="2">
        <v>1155.18</v>
      </c>
      <c r="L23" s="140" t="s">
        <v>262</v>
      </c>
      <c r="M23" s="2">
        <v>13284.570000000002</v>
      </c>
      <c r="O23" s="142">
        <f t="shared" si="0"/>
        <v>797.07420000000002</v>
      </c>
    </row>
    <row r="24" spans="2:15" x14ac:dyDescent="0.2">
      <c r="B24" t="s">
        <v>376</v>
      </c>
      <c r="C24" t="s">
        <v>10</v>
      </c>
      <c r="D24" t="s">
        <v>32</v>
      </c>
      <c r="E24" t="s">
        <v>16</v>
      </c>
      <c r="F24" t="s">
        <v>17</v>
      </c>
      <c r="G24" t="s">
        <v>1034</v>
      </c>
      <c r="H24" t="s">
        <v>15</v>
      </c>
      <c r="I24" s="1">
        <v>3</v>
      </c>
      <c r="J24" s="2">
        <v>1732.77</v>
      </c>
      <c r="L24" s="140" t="s">
        <v>532</v>
      </c>
      <c r="M24" s="2">
        <v>8086.2600000000011</v>
      </c>
      <c r="O24" s="142">
        <v>0</v>
      </c>
    </row>
    <row r="25" spans="2:15" x14ac:dyDescent="0.2">
      <c r="B25" t="s">
        <v>376</v>
      </c>
      <c r="C25" t="s">
        <v>18</v>
      </c>
      <c r="D25" t="s">
        <v>386</v>
      </c>
      <c r="E25" t="s">
        <v>16</v>
      </c>
      <c r="F25" t="s">
        <v>17</v>
      </c>
      <c r="G25" t="s">
        <v>1034</v>
      </c>
      <c r="H25" t="s">
        <v>15</v>
      </c>
      <c r="I25" s="1">
        <v>1</v>
      </c>
      <c r="J25" s="2">
        <v>577.59</v>
      </c>
      <c r="L25" s="140" t="s">
        <v>956</v>
      </c>
      <c r="M25" s="2">
        <v>6931.08</v>
      </c>
      <c r="O25" s="142">
        <v>0</v>
      </c>
    </row>
    <row r="26" spans="2:15" x14ac:dyDescent="0.2">
      <c r="B26" t="s">
        <v>376</v>
      </c>
      <c r="C26" t="s">
        <v>335</v>
      </c>
      <c r="D26" t="s">
        <v>386</v>
      </c>
      <c r="E26" t="s">
        <v>16</v>
      </c>
      <c r="F26" t="s">
        <v>17</v>
      </c>
      <c r="G26" t="s">
        <v>1034</v>
      </c>
      <c r="H26" t="s">
        <v>15</v>
      </c>
      <c r="I26" s="1">
        <v>1</v>
      </c>
      <c r="J26" s="2">
        <v>577.59</v>
      </c>
      <c r="L26" s="140" t="s">
        <v>616</v>
      </c>
      <c r="M26" s="2">
        <v>4620.72</v>
      </c>
      <c r="O26" s="142">
        <v>0</v>
      </c>
    </row>
    <row r="27" spans="2:15" x14ac:dyDescent="0.2">
      <c r="B27" t="s">
        <v>376</v>
      </c>
      <c r="C27" t="s">
        <v>418</v>
      </c>
      <c r="D27" t="s">
        <v>386</v>
      </c>
      <c r="E27" t="s">
        <v>16</v>
      </c>
      <c r="F27" t="s">
        <v>17</v>
      </c>
      <c r="G27" t="s">
        <v>1034</v>
      </c>
      <c r="H27" t="s">
        <v>15</v>
      </c>
      <c r="I27" s="1">
        <v>1</v>
      </c>
      <c r="J27" s="2">
        <v>577.59</v>
      </c>
      <c r="L27" s="140" t="s">
        <v>11</v>
      </c>
      <c r="M27" s="2">
        <v>6931.08</v>
      </c>
      <c r="O27" s="142">
        <f t="shared" si="0"/>
        <v>415.8648</v>
      </c>
    </row>
    <row r="28" spans="2:15" x14ac:dyDescent="0.2">
      <c r="B28" t="s">
        <v>376</v>
      </c>
      <c r="C28" t="s">
        <v>197</v>
      </c>
      <c r="D28" t="s">
        <v>386</v>
      </c>
      <c r="E28" t="s">
        <v>16</v>
      </c>
      <c r="F28" t="s">
        <v>17</v>
      </c>
      <c r="G28" t="s">
        <v>1034</v>
      </c>
      <c r="H28" t="s">
        <v>15</v>
      </c>
      <c r="I28" s="1">
        <v>2</v>
      </c>
      <c r="J28" s="2">
        <v>1155.18</v>
      </c>
      <c r="L28" s="140" t="s">
        <v>825</v>
      </c>
      <c r="M28" s="2">
        <v>4620.72</v>
      </c>
      <c r="O28" s="142">
        <f t="shared" si="0"/>
        <v>277.2432</v>
      </c>
    </row>
    <row r="29" spans="2:15" x14ac:dyDescent="0.2">
      <c r="B29" t="s">
        <v>376</v>
      </c>
      <c r="C29" t="s">
        <v>206</v>
      </c>
      <c r="D29" t="s">
        <v>386</v>
      </c>
      <c r="E29" t="s">
        <v>16</v>
      </c>
      <c r="F29" t="s">
        <v>17</v>
      </c>
      <c r="G29" t="s">
        <v>1034</v>
      </c>
      <c r="H29" t="s">
        <v>15</v>
      </c>
      <c r="I29" s="1">
        <v>2</v>
      </c>
      <c r="J29" s="2">
        <v>1155.18</v>
      </c>
      <c r="L29" s="140" t="s">
        <v>655</v>
      </c>
      <c r="M29" s="2">
        <v>6931.0800000000008</v>
      </c>
      <c r="O29" s="142">
        <f t="shared" si="0"/>
        <v>415.86480000000006</v>
      </c>
    </row>
    <row r="30" spans="2:15" ht="15" x14ac:dyDescent="0.25">
      <c r="B30" t="s">
        <v>376</v>
      </c>
      <c r="C30" t="s">
        <v>220</v>
      </c>
      <c r="D30" t="s">
        <v>226</v>
      </c>
      <c r="E30" t="s">
        <v>16</v>
      </c>
      <c r="F30" t="s">
        <v>17</v>
      </c>
      <c r="G30" t="s">
        <v>1034</v>
      </c>
      <c r="H30" t="s">
        <v>15</v>
      </c>
      <c r="I30" s="1">
        <v>2</v>
      </c>
      <c r="J30" s="2">
        <v>1155.18</v>
      </c>
      <c r="L30" s="140" t="s">
        <v>1095</v>
      </c>
      <c r="M30" s="2">
        <v>164035.55999999997</v>
      </c>
      <c r="O30" s="154">
        <f t="shared" ref="O30" si="1">SUM(O10:O29)</f>
        <v>8247.985200000001</v>
      </c>
    </row>
    <row r="31" spans="2:15" x14ac:dyDescent="0.2">
      <c r="B31" t="s">
        <v>376</v>
      </c>
      <c r="C31" t="s">
        <v>227</v>
      </c>
      <c r="D31" t="s">
        <v>130</v>
      </c>
      <c r="E31" t="s">
        <v>16</v>
      </c>
      <c r="F31" t="s">
        <v>17</v>
      </c>
      <c r="G31" t="s">
        <v>1034</v>
      </c>
      <c r="H31" t="s">
        <v>15</v>
      </c>
      <c r="I31" s="1">
        <v>1</v>
      </c>
      <c r="J31" s="2">
        <v>577.59</v>
      </c>
    </row>
    <row r="32" spans="2:15" x14ac:dyDescent="0.2">
      <c r="B32" t="s">
        <v>376</v>
      </c>
      <c r="C32" t="s">
        <v>233</v>
      </c>
      <c r="D32" t="s">
        <v>386</v>
      </c>
      <c r="E32" t="s">
        <v>16</v>
      </c>
      <c r="F32" t="s">
        <v>17</v>
      </c>
      <c r="G32" t="s">
        <v>1034</v>
      </c>
      <c r="H32" t="s">
        <v>15</v>
      </c>
      <c r="I32" s="1">
        <v>1</v>
      </c>
      <c r="J32" s="2">
        <v>577.59</v>
      </c>
    </row>
    <row r="33" spans="2:10" x14ac:dyDescent="0.2">
      <c r="B33" t="s">
        <v>376</v>
      </c>
      <c r="C33" t="s">
        <v>236</v>
      </c>
      <c r="D33" t="s">
        <v>386</v>
      </c>
      <c r="E33" t="s">
        <v>16</v>
      </c>
      <c r="F33" t="s">
        <v>17</v>
      </c>
      <c r="G33" t="s">
        <v>1034</v>
      </c>
      <c r="H33" t="s">
        <v>15</v>
      </c>
      <c r="I33" s="1">
        <v>1</v>
      </c>
      <c r="J33" s="2">
        <v>577.59</v>
      </c>
    </row>
    <row r="34" spans="2:10" x14ac:dyDescent="0.2">
      <c r="B34" t="s">
        <v>376</v>
      </c>
      <c r="C34" t="s">
        <v>248</v>
      </c>
      <c r="D34" t="s">
        <v>386</v>
      </c>
      <c r="E34" t="s">
        <v>16</v>
      </c>
      <c r="F34" t="s">
        <v>17</v>
      </c>
      <c r="G34" t="s">
        <v>1034</v>
      </c>
      <c r="H34" t="s">
        <v>15</v>
      </c>
      <c r="I34" s="1">
        <v>3</v>
      </c>
      <c r="J34" s="2">
        <v>1732.77</v>
      </c>
    </row>
    <row r="35" spans="2:10" x14ac:dyDescent="0.2">
      <c r="B35" t="s">
        <v>453</v>
      </c>
      <c r="C35" t="s">
        <v>10</v>
      </c>
      <c r="D35" t="s">
        <v>277</v>
      </c>
      <c r="E35" t="s">
        <v>16</v>
      </c>
      <c r="F35" t="s">
        <v>17</v>
      </c>
      <c r="G35" t="s">
        <v>1034</v>
      </c>
      <c r="H35" t="s">
        <v>15</v>
      </c>
      <c r="I35" s="1">
        <v>4</v>
      </c>
      <c r="J35" s="2">
        <v>2310.36</v>
      </c>
    </row>
    <row r="36" spans="2:10" x14ac:dyDescent="0.2">
      <c r="B36" t="s">
        <v>453</v>
      </c>
      <c r="C36" t="s">
        <v>31</v>
      </c>
      <c r="D36" t="s">
        <v>456</v>
      </c>
      <c r="E36" t="s">
        <v>16</v>
      </c>
      <c r="F36" t="s">
        <v>17</v>
      </c>
      <c r="G36" t="s">
        <v>1034</v>
      </c>
      <c r="H36" t="s">
        <v>15</v>
      </c>
      <c r="I36" s="1">
        <v>4</v>
      </c>
      <c r="J36" s="2">
        <v>2310.36</v>
      </c>
    </row>
    <row r="37" spans="2:10" x14ac:dyDescent="0.2">
      <c r="B37" t="s">
        <v>453</v>
      </c>
      <c r="C37" t="s">
        <v>40</v>
      </c>
      <c r="D37" t="s">
        <v>456</v>
      </c>
      <c r="E37" t="s">
        <v>16</v>
      </c>
      <c r="F37" t="s">
        <v>17</v>
      </c>
      <c r="G37" t="s">
        <v>1034</v>
      </c>
      <c r="H37" t="s">
        <v>15</v>
      </c>
      <c r="I37" s="1">
        <v>2</v>
      </c>
      <c r="J37" s="2">
        <v>1155.18</v>
      </c>
    </row>
    <row r="38" spans="2:10" x14ac:dyDescent="0.2">
      <c r="B38" t="s">
        <v>453</v>
      </c>
      <c r="C38" t="s">
        <v>51</v>
      </c>
      <c r="D38" t="s">
        <v>456</v>
      </c>
      <c r="E38" t="s">
        <v>16</v>
      </c>
      <c r="F38" t="s">
        <v>17</v>
      </c>
      <c r="G38" t="s">
        <v>1034</v>
      </c>
      <c r="H38" t="s">
        <v>15</v>
      </c>
      <c r="I38" s="1">
        <v>1</v>
      </c>
      <c r="J38" s="2">
        <v>577.59</v>
      </c>
    </row>
    <row r="39" spans="2:10" x14ac:dyDescent="0.2">
      <c r="B39" t="s">
        <v>453</v>
      </c>
      <c r="C39" t="s">
        <v>88</v>
      </c>
      <c r="D39" t="s">
        <v>456</v>
      </c>
      <c r="E39" t="s">
        <v>16</v>
      </c>
      <c r="F39" t="s">
        <v>17</v>
      </c>
      <c r="G39" t="s">
        <v>1034</v>
      </c>
      <c r="H39" t="s">
        <v>15</v>
      </c>
      <c r="I39" s="1">
        <v>1</v>
      </c>
      <c r="J39" s="2">
        <v>577.59</v>
      </c>
    </row>
    <row r="40" spans="2:10" x14ac:dyDescent="0.2">
      <c r="B40" t="s">
        <v>453</v>
      </c>
      <c r="C40" t="s">
        <v>165</v>
      </c>
      <c r="D40" t="s">
        <v>456</v>
      </c>
      <c r="E40" t="s">
        <v>16</v>
      </c>
      <c r="F40" t="s">
        <v>17</v>
      </c>
      <c r="G40" t="s">
        <v>1034</v>
      </c>
      <c r="H40" t="s">
        <v>15</v>
      </c>
      <c r="I40" s="1">
        <v>3</v>
      </c>
      <c r="J40" s="2">
        <v>1732.77</v>
      </c>
    </row>
    <row r="41" spans="2:10" x14ac:dyDescent="0.2">
      <c r="B41" t="s">
        <v>453</v>
      </c>
      <c r="C41" t="s">
        <v>166</v>
      </c>
      <c r="D41" t="s">
        <v>456</v>
      </c>
      <c r="E41" t="s">
        <v>16</v>
      </c>
      <c r="F41" t="s">
        <v>17</v>
      </c>
      <c r="G41" t="s">
        <v>1034</v>
      </c>
      <c r="H41" t="s">
        <v>15</v>
      </c>
      <c r="I41" s="1">
        <v>1</v>
      </c>
      <c r="J41" s="2">
        <v>577.59</v>
      </c>
    </row>
    <row r="42" spans="2:10" x14ac:dyDescent="0.2">
      <c r="B42" t="s">
        <v>453</v>
      </c>
      <c r="C42" t="s">
        <v>335</v>
      </c>
      <c r="D42" t="s">
        <v>456</v>
      </c>
      <c r="E42" t="s">
        <v>16</v>
      </c>
      <c r="F42" t="s">
        <v>17</v>
      </c>
      <c r="G42" t="s">
        <v>1034</v>
      </c>
      <c r="H42" t="s">
        <v>15</v>
      </c>
      <c r="I42" s="1">
        <v>1</v>
      </c>
      <c r="J42" s="2">
        <v>577.59</v>
      </c>
    </row>
    <row r="43" spans="2:10" x14ac:dyDescent="0.2">
      <c r="B43" t="s">
        <v>453</v>
      </c>
      <c r="C43" t="s">
        <v>197</v>
      </c>
      <c r="D43" t="s">
        <v>456</v>
      </c>
      <c r="E43" t="s">
        <v>16</v>
      </c>
      <c r="F43" t="s">
        <v>17</v>
      </c>
      <c r="G43" t="s">
        <v>1034</v>
      </c>
      <c r="H43" t="s">
        <v>15</v>
      </c>
      <c r="I43" s="1">
        <v>2</v>
      </c>
      <c r="J43" s="2">
        <v>1155.18</v>
      </c>
    </row>
    <row r="44" spans="2:10" x14ac:dyDescent="0.2">
      <c r="B44" t="s">
        <v>453</v>
      </c>
      <c r="C44" t="s">
        <v>206</v>
      </c>
      <c r="D44" t="s">
        <v>456</v>
      </c>
      <c r="E44" t="s">
        <v>16</v>
      </c>
      <c r="F44" t="s">
        <v>17</v>
      </c>
      <c r="G44" t="s">
        <v>1034</v>
      </c>
      <c r="H44" t="s">
        <v>15</v>
      </c>
      <c r="I44" s="1">
        <v>1</v>
      </c>
      <c r="J44" s="2">
        <v>577.59</v>
      </c>
    </row>
    <row r="45" spans="2:10" x14ac:dyDescent="0.2">
      <c r="B45" t="s">
        <v>453</v>
      </c>
      <c r="C45" t="s">
        <v>220</v>
      </c>
      <c r="D45" t="s">
        <v>456</v>
      </c>
      <c r="E45" t="s">
        <v>16</v>
      </c>
      <c r="F45" t="s">
        <v>17</v>
      </c>
      <c r="G45" t="s">
        <v>1034</v>
      </c>
      <c r="H45" t="s">
        <v>15</v>
      </c>
      <c r="I45" s="1">
        <v>2</v>
      </c>
      <c r="J45" s="2">
        <v>1155.18</v>
      </c>
    </row>
    <row r="46" spans="2:10" x14ac:dyDescent="0.2">
      <c r="B46" t="s">
        <v>453</v>
      </c>
      <c r="C46" t="s">
        <v>225</v>
      </c>
      <c r="D46" t="s">
        <v>130</v>
      </c>
      <c r="E46" t="s">
        <v>16</v>
      </c>
      <c r="F46" t="s">
        <v>17</v>
      </c>
      <c r="G46" t="s">
        <v>1034</v>
      </c>
      <c r="H46" t="s">
        <v>15</v>
      </c>
      <c r="I46" s="1">
        <v>2</v>
      </c>
      <c r="J46" s="2">
        <v>1155.18</v>
      </c>
    </row>
    <row r="47" spans="2:10" x14ac:dyDescent="0.2">
      <c r="B47" t="s">
        <v>453</v>
      </c>
      <c r="C47" t="s">
        <v>227</v>
      </c>
      <c r="D47" t="s">
        <v>456</v>
      </c>
      <c r="E47" t="s">
        <v>16</v>
      </c>
      <c r="F47" t="s">
        <v>17</v>
      </c>
      <c r="G47" t="s">
        <v>1034</v>
      </c>
      <c r="H47" t="s">
        <v>15</v>
      </c>
      <c r="I47" s="1">
        <v>1</v>
      </c>
      <c r="J47" s="2">
        <v>577.59</v>
      </c>
    </row>
    <row r="48" spans="2:10" x14ac:dyDescent="0.2">
      <c r="B48" t="s">
        <v>453</v>
      </c>
      <c r="C48" t="s">
        <v>228</v>
      </c>
      <c r="D48" t="s">
        <v>456</v>
      </c>
      <c r="E48" t="s">
        <v>16</v>
      </c>
      <c r="F48" t="s">
        <v>17</v>
      </c>
      <c r="G48" t="s">
        <v>1034</v>
      </c>
      <c r="H48" t="s">
        <v>15</v>
      </c>
      <c r="I48" s="1">
        <v>3</v>
      </c>
      <c r="J48" s="2">
        <v>1732.77</v>
      </c>
    </row>
    <row r="49" spans="2:10" x14ac:dyDescent="0.2">
      <c r="B49" t="s">
        <v>453</v>
      </c>
      <c r="C49" t="s">
        <v>233</v>
      </c>
      <c r="D49" t="s">
        <v>130</v>
      </c>
      <c r="E49" t="s">
        <v>16</v>
      </c>
      <c r="F49" t="s">
        <v>17</v>
      </c>
      <c r="G49" t="s">
        <v>1034</v>
      </c>
      <c r="H49" t="s">
        <v>15</v>
      </c>
      <c r="I49" s="1">
        <v>2</v>
      </c>
      <c r="J49" s="2">
        <v>1155.18</v>
      </c>
    </row>
    <row r="50" spans="2:10" x14ac:dyDescent="0.2">
      <c r="B50" t="s">
        <v>531</v>
      </c>
      <c r="C50" t="s">
        <v>51</v>
      </c>
      <c r="D50" t="s">
        <v>32</v>
      </c>
      <c r="E50" t="s">
        <v>16</v>
      </c>
      <c r="F50" t="s">
        <v>17</v>
      </c>
      <c r="G50" t="s">
        <v>1034</v>
      </c>
      <c r="H50" t="s">
        <v>15</v>
      </c>
      <c r="I50" s="1">
        <v>1</v>
      </c>
      <c r="J50" s="2">
        <v>577.59</v>
      </c>
    </row>
    <row r="51" spans="2:10" x14ac:dyDescent="0.2">
      <c r="B51" t="s">
        <v>531</v>
      </c>
      <c r="C51" t="s">
        <v>82</v>
      </c>
      <c r="D51" t="s">
        <v>532</v>
      </c>
      <c r="E51" t="s">
        <v>16</v>
      </c>
      <c r="F51" t="s">
        <v>17</v>
      </c>
      <c r="G51" t="s">
        <v>1034</v>
      </c>
      <c r="H51" t="s">
        <v>15</v>
      </c>
      <c r="I51" s="1">
        <v>1</v>
      </c>
      <c r="J51" s="2">
        <v>577.59</v>
      </c>
    </row>
    <row r="52" spans="2:10" x14ac:dyDescent="0.2">
      <c r="B52" t="s">
        <v>531</v>
      </c>
      <c r="C52" t="s">
        <v>88</v>
      </c>
      <c r="D52" t="s">
        <v>532</v>
      </c>
      <c r="E52" t="s">
        <v>16</v>
      </c>
      <c r="F52" t="s">
        <v>17</v>
      </c>
      <c r="G52" t="s">
        <v>1034</v>
      </c>
      <c r="H52" t="s">
        <v>15</v>
      </c>
      <c r="I52" s="1">
        <v>1</v>
      </c>
      <c r="J52" s="2">
        <v>577.59</v>
      </c>
    </row>
    <row r="53" spans="2:10" x14ac:dyDescent="0.2">
      <c r="B53" t="s">
        <v>531</v>
      </c>
      <c r="C53" t="s">
        <v>134</v>
      </c>
      <c r="D53" t="s">
        <v>532</v>
      </c>
      <c r="E53" t="s">
        <v>16</v>
      </c>
      <c r="F53" t="s">
        <v>17</v>
      </c>
      <c r="G53" t="s">
        <v>1034</v>
      </c>
      <c r="H53" t="s">
        <v>15</v>
      </c>
      <c r="I53" s="1">
        <v>1</v>
      </c>
      <c r="J53" s="2">
        <v>577.59</v>
      </c>
    </row>
    <row r="54" spans="2:10" x14ac:dyDescent="0.2">
      <c r="B54" t="s">
        <v>531</v>
      </c>
      <c r="C54" t="s">
        <v>135</v>
      </c>
      <c r="D54" t="s">
        <v>532</v>
      </c>
      <c r="E54" t="s">
        <v>16</v>
      </c>
      <c r="F54" t="s">
        <v>17</v>
      </c>
      <c r="G54" t="s">
        <v>1034</v>
      </c>
      <c r="H54" t="s">
        <v>15</v>
      </c>
      <c r="I54" s="1">
        <v>1</v>
      </c>
      <c r="J54" s="2">
        <v>577.59</v>
      </c>
    </row>
    <row r="55" spans="2:10" x14ac:dyDescent="0.2">
      <c r="B55" t="s">
        <v>531</v>
      </c>
      <c r="C55" t="s">
        <v>144</v>
      </c>
      <c r="D55" t="s">
        <v>532</v>
      </c>
      <c r="E55" t="s">
        <v>16</v>
      </c>
      <c r="F55" t="s">
        <v>17</v>
      </c>
      <c r="G55" t="s">
        <v>1034</v>
      </c>
      <c r="H55" t="s">
        <v>15</v>
      </c>
      <c r="I55" s="1">
        <v>5</v>
      </c>
      <c r="J55" s="2">
        <v>2887.9500000000003</v>
      </c>
    </row>
    <row r="56" spans="2:10" x14ac:dyDescent="0.2">
      <c r="B56" t="s">
        <v>531</v>
      </c>
      <c r="C56" t="s">
        <v>185</v>
      </c>
      <c r="D56" t="s">
        <v>532</v>
      </c>
      <c r="E56" t="s">
        <v>16</v>
      </c>
      <c r="F56" t="s">
        <v>17</v>
      </c>
      <c r="G56" t="s">
        <v>1034</v>
      </c>
      <c r="H56" t="s">
        <v>15</v>
      </c>
      <c r="I56" s="1">
        <v>1</v>
      </c>
      <c r="J56" s="2">
        <v>577.59</v>
      </c>
    </row>
    <row r="57" spans="2:10" x14ac:dyDescent="0.2">
      <c r="B57" t="s">
        <v>531</v>
      </c>
      <c r="C57" t="s">
        <v>236</v>
      </c>
      <c r="D57" t="s">
        <v>532</v>
      </c>
      <c r="E57" t="s">
        <v>16</v>
      </c>
      <c r="F57" t="s">
        <v>17</v>
      </c>
      <c r="G57" t="s">
        <v>1034</v>
      </c>
      <c r="H57" t="s">
        <v>15</v>
      </c>
      <c r="I57" s="1">
        <v>2</v>
      </c>
      <c r="J57" s="2">
        <v>1155.18</v>
      </c>
    </row>
    <row r="58" spans="2:10" x14ac:dyDescent="0.2">
      <c r="B58" t="s">
        <v>531</v>
      </c>
      <c r="C58" t="s">
        <v>248</v>
      </c>
      <c r="D58" t="s">
        <v>532</v>
      </c>
      <c r="E58" t="s">
        <v>16</v>
      </c>
      <c r="F58" t="s">
        <v>17</v>
      </c>
      <c r="G58" t="s">
        <v>1034</v>
      </c>
      <c r="H58" t="s">
        <v>15</v>
      </c>
      <c r="I58" s="1">
        <v>2</v>
      </c>
      <c r="J58" s="2">
        <v>1155.18</v>
      </c>
    </row>
    <row r="59" spans="2:10" x14ac:dyDescent="0.2">
      <c r="B59" t="s">
        <v>583</v>
      </c>
      <c r="C59" t="s">
        <v>51</v>
      </c>
      <c r="D59" t="s">
        <v>584</v>
      </c>
      <c r="E59" t="s">
        <v>16</v>
      </c>
      <c r="F59" t="s">
        <v>17</v>
      </c>
      <c r="G59" t="s">
        <v>1034</v>
      </c>
      <c r="H59" t="s">
        <v>15</v>
      </c>
      <c r="I59" s="1">
        <v>1</v>
      </c>
      <c r="J59" s="2">
        <v>577.59</v>
      </c>
    </row>
    <row r="60" spans="2:10" x14ac:dyDescent="0.2">
      <c r="B60" t="s">
        <v>583</v>
      </c>
      <c r="C60" t="s">
        <v>117</v>
      </c>
      <c r="D60" t="s">
        <v>584</v>
      </c>
      <c r="E60" t="s">
        <v>16</v>
      </c>
      <c r="F60" t="s">
        <v>17</v>
      </c>
      <c r="G60" t="s">
        <v>1034</v>
      </c>
      <c r="H60" t="s">
        <v>15</v>
      </c>
      <c r="I60" s="1">
        <v>1</v>
      </c>
      <c r="J60" s="2">
        <v>577.59</v>
      </c>
    </row>
    <row r="61" spans="2:10" x14ac:dyDescent="0.2">
      <c r="B61" t="s">
        <v>583</v>
      </c>
      <c r="C61" t="s">
        <v>165</v>
      </c>
      <c r="D61" t="s">
        <v>584</v>
      </c>
      <c r="E61" t="s">
        <v>16</v>
      </c>
      <c r="F61" t="s">
        <v>17</v>
      </c>
      <c r="G61" t="s">
        <v>1034</v>
      </c>
      <c r="H61" t="s">
        <v>15</v>
      </c>
      <c r="I61" s="1">
        <v>2</v>
      </c>
      <c r="J61" s="2">
        <v>1155.18</v>
      </c>
    </row>
    <row r="62" spans="2:10" x14ac:dyDescent="0.2">
      <c r="B62" t="s">
        <v>583</v>
      </c>
      <c r="C62" t="s">
        <v>166</v>
      </c>
      <c r="D62" t="s">
        <v>584</v>
      </c>
      <c r="E62" t="s">
        <v>16</v>
      </c>
      <c r="F62" t="s">
        <v>17</v>
      </c>
      <c r="G62" t="s">
        <v>1034</v>
      </c>
      <c r="H62" t="s">
        <v>15</v>
      </c>
      <c r="I62" s="1">
        <v>1</v>
      </c>
      <c r="J62" s="2">
        <v>577.59</v>
      </c>
    </row>
    <row r="63" spans="2:10" x14ac:dyDescent="0.2">
      <c r="B63" t="s">
        <v>583</v>
      </c>
      <c r="C63" t="s">
        <v>206</v>
      </c>
      <c r="D63" t="s">
        <v>584</v>
      </c>
      <c r="E63" t="s">
        <v>16</v>
      </c>
      <c r="F63" t="s">
        <v>17</v>
      </c>
      <c r="G63" t="s">
        <v>1034</v>
      </c>
      <c r="H63" t="s">
        <v>15</v>
      </c>
      <c r="I63" s="1">
        <v>1</v>
      </c>
      <c r="J63" s="2">
        <v>577.59</v>
      </c>
    </row>
    <row r="64" spans="2:10" x14ac:dyDescent="0.2">
      <c r="B64" t="s">
        <v>583</v>
      </c>
      <c r="C64" t="s">
        <v>228</v>
      </c>
      <c r="D64" t="s">
        <v>130</v>
      </c>
      <c r="E64" t="s">
        <v>16</v>
      </c>
      <c r="F64" t="s">
        <v>17</v>
      </c>
      <c r="G64" t="s">
        <v>1034</v>
      </c>
      <c r="H64" t="s">
        <v>15</v>
      </c>
      <c r="I64" s="1">
        <v>1</v>
      </c>
      <c r="J64" s="2">
        <v>577.59</v>
      </c>
    </row>
    <row r="65" spans="2:10" x14ac:dyDescent="0.2">
      <c r="B65" t="s">
        <v>583</v>
      </c>
      <c r="C65" t="s">
        <v>233</v>
      </c>
      <c r="D65" t="s">
        <v>584</v>
      </c>
      <c r="E65" t="s">
        <v>16</v>
      </c>
      <c r="F65" t="s">
        <v>17</v>
      </c>
      <c r="G65" t="s">
        <v>1034</v>
      </c>
      <c r="H65" t="s">
        <v>15</v>
      </c>
      <c r="I65" s="1">
        <v>3</v>
      </c>
      <c r="J65" s="2">
        <v>1732.77</v>
      </c>
    </row>
    <row r="66" spans="2:10" x14ac:dyDescent="0.2">
      <c r="B66" t="s">
        <v>583</v>
      </c>
      <c r="C66" t="s">
        <v>236</v>
      </c>
      <c r="D66" t="s">
        <v>130</v>
      </c>
      <c r="E66" t="s">
        <v>16</v>
      </c>
      <c r="F66" t="s">
        <v>17</v>
      </c>
      <c r="G66" t="s">
        <v>1034</v>
      </c>
      <c r="H66" t="s">
        <v>15</v>
      </c>
      <c r="I66" s="1">
        <v>1</v>
      </c>
      <c r="J66" s="2">
        <v>577.59</v>
      </c>
    </row>
    <row r="67" spans="2:10" x14ac:dyDescent="0.2">
      <c r="B67" t="s">
        <v>583</v>
      </c>
      <c r="C67" t="s">
        <v>237</v>
      </c>
      <c r="D67" t="s">
        <v>584</v>
      </c>
      <c r="E67" t="s">
        <v>16</v>
      </c>
      <c r="F67" t="s">
        <v>17</v>
      </c>
      <c r="G67" t="s">
        <v>1034</v>
      </c>
      <c r="H67" t="s">
        <v>15</v>
      </c>
      <c r="I67" s="1">
        <v>1</v>
      </c>
      <c r="J67" s="2">
        <v>577.59</v>
      </c>
    </row>
    <row r="68" spans="2:10" x14ac:dyDescent="0.2">
      <c r="B68" t="s">
        <v>583</v>
      </c>
      <c r="C68" t="s">
        <v>248</v>
      </c>
      <c r="D68" t="s">
        <v>584</v>
      </c>
      <c r="E68" t="s">
        <v>16</v>
      </c>
      <c r="F68" t="s">
        <v>17</v>
      </c>
      <c r="G68" t="s">
        <v>1034</v>
      </c>
      <c r="H68" t="s">
        <v>15</v>
      </c>
      <c r="I68" s="1">
        <v>1</v>
      </c>
      <c r="J68" s="2">
        <v>577.59</v>
      </c>
    </row>
    <row r="69" spans="2:10" x14ac:dyDescent="0.2">
      <c r="B69" t="s">
        <v>615</v>
      </c>
      <c r="C69" t="s">
        <v>10</v>
      </c>
      <c r="D69" t="s">
        <v>616</v>
      </c>
      <c r="E69" t="s">
        <v>16</v>
      </c>
      <c r="F69" t="s">
        <v>17</v>
      </c>
      <c r="G69" t="s">
        <v>1034</v>
      </c>
      <c r="H69" t="s">
        <v>15</v>
      </c>
      <c r="I69" s="1">
        <v>1</v>
      </c>
      <c r="J69" s="2">
        <v>577.59</v>
      </c>
    </row>
    <row r="70" spans="2:10" x14ac:dyDescent="0.2">
      <c r="B70" t="s">
        <v>615</v>
      </c>
      <c r="C70" t="s">
        <v>18</v>
      </c>
      <c r="D70" t="s">
        <v>616</v>
      </c>
      <c r="E70" t="s">
        <v>16</v>
      </c>
      <c r="F70" t="s">
        <v>17</v>
      </c>
      <c r="G70" t="s">
        <v>1034</v>
      </c>
      <c r="H70" t="s">
        <v>15</v>
      </c>
      <c r="I70" s="1">
        <v>1</v>
      </c>
      <c r="J70" s="2">
        <v>577.59</v>
      </c>
    </row>
    <row r="71" spans="2:10" x14ac:dyDescent="0.2">
      <c r="B71" t="s">
        <v>615</v>
      </c>
      <c r="C71" t="s">
        <v>65</v>
      </c>
      <c r="D71" t="s">
        <v>616</v>
      </c>
      <c r="E71" t="s">
        <v>16</v>
      </c>
      <c r="F71" t="s">
        <v>17</v>
      </c>
      <c r="G71" t="s">
        <v>1034</v>
      </c>
      <c r="H71" t="s">
        <v>15</v>
      </c>
      <c r="I71" s="1">
        <v>1</v>
      </c>
      <c r="J71" s="2">
        <v>577.59</v>
      </c>
    </row>
    <row r="72" spans="2:10" x14ac:dyDescent="0.2">
      <c r="B72" t="s">
        <v>615</v>
      </c>
      <c r="C72" t="s">
        <v>82</v>
      </c>
      <c r="D72" t="s">
        <v>616</v>
      </c>
      <c r="E72" t="s">
        <v>16</v>
      </c>
      <c r="F72" t="s">
        <v>17</v>
      </c>
      <c r="G72" t="s">
        <v>1034</v>
      </c>
      <c r="H72" t="s">
        <v>15</v>
      </c>
      <c r="I72" s="1">
        <v>1</v>
      </c>
      <c r="J72" s="2">
        <v>577.59</v>
      </c>
    </row>
    <row r="73" spans="2:10" x14ac:dyDescent="0.2">
      <c r="B73" t="s">
        <v>615</v>
      </c>
      <c r="C73" t="s">
        <v>129</v>
      </c>
      <c r="D73" t="s">
        <v>616</v>
      </c>
      <c r="E73" t="s">
        <v>16</v>
      </c>
      <c r="F73" t="s">
        <v>17</v>
      </c>
      <c r="G73" t="s">
        <v>1034</v>
      </c>
      <c r="H73" t="s">
        <v>15</v>
      </c>
      <c r="I73" s="1">
        <v>2</v>
      </c>
      <c r="J73" s="2">
        <v>1155.18</v>
      </c>
    </row>
    <row r="74" spans="2:10" x14ac:dyDescent="0.2">
      <c r="B74" t="s">
        <v>615</v>
      </c>
      <c r="C74" t="s">
        <v>135</v>
      </c>
      <c r="D74" t="s">
        <v>130</v>
      </c>
      <c r="E74" t="s">
        <v>16</v>
      </c>
      <c r="F74" t="s">
        <v>17</v>
      </c>
      <c r="G74" t="s">
        <v>1034</v>
      </c>
      <c r="H74" t="s">
        <v>15</v>
      </c>
      <c r="I74" s="1">
        <v>1</v>
      </c>
      <c r="J74" s="2">
        <v>577.59</v>
      </c>
    </row>
    <row r="75" spans="2:10" x14ac:dyDescent="0.2">
      <c r="B75" t="s">
        <v>615</v>
      </c>
      <c r="C75" t="s">
        <v>144</v>
      </c>
      <c r="D75" t="s">
        <v>130</v>
      </c>
      <c r="E75" t="s">
        <v>16</v>
      </c>
      <c r="F75" t="s">
        <v>17</v>
      </c>
      <c r="G75" t="s">
        <v>1034</v>
      </c>
      <c r="H75" t="s">
        <v>15</v>
      </c>
      <c r="I75" s="1">
        <v>1</v>
      </c>
      <c r="J75" s="2">
        <v>577.59</v>
      </c>
    </row>
    <row r="76" spans="2:10" x14ac:dyDescent="0.2">
      <c r="B76" t="s">
        <v>615</v>
      </c>
      <c r="C76" t="s">
        <v>335</v>
      </c>
      <c r="D76" t="s">
        <v>130</v>
      </c>
      <c r="E76" t="s">
        <v>16</v>
      </c>
      <c r="F76" t="s">
        <v>17</v>
      </c>
      <c r="G76" t="s">
        <v>1034</v>
      </c>
      <c r="H76" t="s">
        <v>15</v>
      </c>
      <c r="I76" s="1">
        <v>1</v>
      </c>
      <c r="J76" s="2">
        <v>577.59</v>
      </c>
    </row>
    <row r="77" spans="2:10" x14ac:dyDescent="0.2">
      <c r="B77" t="s">
        <v>615</v>
      </c>
      <c r="C77" t="s">
        <v>220</v>
      </c>
      <c r="D77" t="s">
        <v>616</v>
      </c>
      <c r="E77" t="s">
        <v>16</v>
      </c>
      <c r="F77" t="s">
        <v>17</v>
      </c>
      <c r="G77" t="s">
        <v>1034</v>
      </c>
      <c r="H77" t="s">
        <v>15</v>
      </c>
      <c r="I77" s="1">
        <v>1</v>
      </c>
      <c r="J77" s="2">
        <v>577.59</v>
      </c>
    </row>
    <row r="78" spans="2:10" x14ac:dyDescent="0.2">
      <c r="B78" t="s">
        <v>615</v>
      </c>
      <c r="C78" t="s">
        <v>248</v>
      </c>
      <c r="D78" t="s">
        <v>616</v>
      </c>
      <c r="E78" t="s">
        <v>16</v>
      </c>
      <c r="F78" t="s">
        <v>17</v>
      </c>
      <c r="G78" t="s">
        <v>1034</v>
      </c>
      <c r="H78" t="s">
        <v>15</v>
      </c>
      <c r="I78" s="1">
        <v>1</v>
      </c>
      <c r="J78" s="2">
        <v>577.59</v>
      </c>
    </row>
    <row r="79" spans="2:10" x14ac:dyDescent="0.2">
      <c r="B79" t="s">
        <v>654</v>
      </c>
      <c r="C79" t="s">
        <v>18</v>
      </c>
      <c r="D79" t="s">
        <v>655</v>
      </c>
      <c r="E79" t="s">
        <v>16</v>
      </c>
      <c r="F79" t="s">
        <v>17</v>
      </c>
      <c r="G79" t="s">
        <v>1034</v>
      </c>
      <c r="H79" t="s">
        <v>15</v>
      </c>
      <c r="I79" s="1">
        <v>1</v>
      </c>
      <c r="J79" s="2">
        <v>577.59</v>
      </c>
    </row>
    <row r="80" spans="2:10" x14ac:dyDescent="0.2">
      <c r="B80" t="s">
        <v>654</v>
      </c>
      <c r="C80" t="s">
        <v>51</v>
      </c>
      <c r="D80" t="s">
        <v>655</v>
      </c>
      <c r="E80" t="s">
        <v>16</v>
      </c>
      <c r="F80" t="s">
        <v>17</v>
      </c>
      <c r="G80" t="s">
        <v>1034</v>
      </c>
      <c r="H80" t="s">
        <v>15</v>
      </c>
      <c r="I80" s="1">
        <v>6</v>
      </c>
      <c r="J80" s="2">
        <v>3465.54</v>
      </c>
    </row>
    <row r="81" spans="2:10" x14ac:dyDescent="0.2">
      <c r="B81" t="s">
        <v>654</v>
      </c>
      <c r="C81" t="s">
        <v>135</v>
      </c>
      <c r="D81" t="s">
        <v>655</v>
      </c>
      <c r="E81" t="s">
        <v>16</v>
      </c>
      <c r="F81" t="s">
        <v>17</v>
      </c>
      <c r="G81" t="s">
        <v>1034</v>
      </c>
      <c r="H81" t="s">
        <v>15</v>
      </c>
      <c r="I81" s="1">
        <v>2</v>
      </c>
      <c r="J81" s="2">
        <v>1155.18</v>
      </c>
    </row>
    <row r="82" spans="2:10" x14ac:dyDescent="0.2">
      <c r="B82" t="s">
        <v>654</v>
      </c>
      <c r="C82" t="s">
        <v>165</v>
      </c>
      <c r="D82" t="s">
        <v>655</v>
      </c>
      <c r="E82" t="s">
        <v>16</v>
      </c>
      <c r="F82" t="s">
        <v>17</v>
      </c>
      <c r="G82" t="s">
        <v>1034</v>
      </c>
      <c r="H82" t="s">
        <v>15</v>
      </c>
      <c r="I82" s="1">
        <v>1</v>
      </c>
      <c r="J82" s="2">
        <v>577.59</v>
      </c>
    </row>
    <row r="83" spans="2:10" x14ac:dyDescent="0.2">
      <c r="B83" t="s">
        <v>654</v>
      </c>
      <c r="C83" t="s">
        <v>186</v>
      </c>
      <c r="D83" t="s">
        <v>655</v>
      </c>
      <c r="E83" t="s">
        <v>16</v>
      </c>
      <c r="F83" t="s">
        <v>17</v>
      </c>
      <c r="G83" t="s">
        <v>1034</v>
      </c>
      <c r="H83" t="s">
        <v>15</v>
      </c>
      <c r="I83" s="1">
        <v>1</v>
      </c>
      <c r="J83" s="2">
        <v>577.59</v>
      </c>
    </row>
    <row r="84" spans="2:10" x14ac:dyDescent="0.2">
      <c r="B84" t="s">
        <v>654</v>
      </c>
      <c r="C84" t="s">
        <v>206</v>
      </c>
      <c r="D84" t="s">
        <v>655</v>
      </c>
      <c r="E84" t="s">
        <v>16</v>
      </c>
      <c r="F84" t="s">
        <v>17</v>
      </c>
      <c r="G84" t="s">
        <v>1034</v>
      </c>
      <c r="H84" t="s">
        <v>15</v>
      </c>
      <c r="I84" s="1">
        <v>1</v>
      </c>
      <c r="J84" s="2">
        <v>577.59</v>
      </c>
    </row>
    <row r="85" spans="2:10" x14ac:dyDescent="0.2">
      <c r="B85" t="s">
        <v>690</v>
      </c>
      <c r="C85" t="s">
        <v>18</v>
      </c>
      <c r="D85" t="s">
        <v>691</v>
      </c>
      <c r="E85" t="s">
        <v>16</v>
      </c>
      <c r="F85" t="s">
        <v>17</v>
      </c>
      <c r="G85" t="s">
        <v>1034</v>
      </c>
      <c r="H85" t="s">
        <v>15</v>
      </c>
      <c r="I85" s="1">
        <v>2</v>
      </c>
      <c r="J85" s="2">
        <v>1155.18</v>
      </c>
    </row>
    <row r="86" spans="2:10" x14ac:dyDescent="0.2">
      <c r="B86" t="s">
        <v>690</v>
      </c>
      <c r="C86" t="s">
        <v>51</v>
      </c>
      <c r="D86" t="s">
        <v>691</v>
      </c>
      <c r="E86" t="s">
        <v>16</v>
      </c>
      <c r="F86" t="s">
        <v>17</v>
      </c>
      <c r="G86" t="s">
        <v>1034</v>
      </c>
      <c r="H86" t="s">
        <v>15</v>
      </c>
      <c r="I86" s="1">
        <v>2</v>
      </c>
      <c r="J86" s="2">
        <v>1155.18</v>
      </c>
    </row>
    <row r="87" spans="2:10" x14ac:dyDescent="0.2">
      <c r="B87" t="s">
        <v>690</v>
      </c>
      <c r="C87" t="s">
        <v>65</v>
      </c>
      <c r="D87" t="s">
        <v>691</v>
      </c>
      <c r="E87" t="s">
        <v>16</v>
      </c>
      <c r="F87" t="s">
        <v>17</v>
      </c>
      <c r="G87" t="s">
        <v>1034</v>
      </c>
      <c r="H87" t="s">
        <v>15</v>
      </c>
      <c r="I87" s="1">
        <v>2</v>
      </c>
      <c r="J87" s="2">
        <v>1155.18</v>
      </c>
    </row>
    <row r="88" spans="2:10" x14ac:dyDescent="0.2">
      <c r="B88" t="s">
        <v>690</v>
      </c>
      <c r="C88" t="s">
        <v>82</v>
      </c>
      <c r="D88" t="s">
        <v>691</v>
      </c>
      <c r="E88" t="s">
        <v>16</v>
      </c>
      <c r="F88" t="s">
        <v>17</v>
      </c>
      <c r="G88" t="s">
        <v>1034</v>
      </c>
      <c r="H88" t="s">
        <v>15</v>
      </c>
      <c r="I88" s="1">
        <v>1</v>
      </c>
      <c r="J88" s="2">
        <v>577.59</v>
      </c>
    </row>
    <row r="89" spans="2:10" x14ac:dyDescent="0.2">
      <c r="B89" t="s">
        <v>690</v>
      </c>
      <c r="C89" t="s">
        <v>335</v>
      </c>
      <c r="D89" t="s">
        <v>691</v>
      </c>
      <c r="E89" t="s">
        <v>16</v>
      </c>
      <c r="F89" t="s">
        <v>17</v>
      </c>
      <c r="G89" t="s">
        <v>1034</v>
      </c>
      <c r="H89" t="s">
        <v>15</v>
      </c>
      <c r="I89" s="1">
        <v>5</v>
      </c>
      <c r="J89" s="2">
        <v>2887.9500000000003</v>
      </c>
    </row>
    <row r="90" spans="2:10" x14ac:dyDescent="0.2">
      <c r="B90" t="s">
        <v>690</v>
      </c>
      <c r="C90" t="s">
        <v>418</v>
      </c>
      <c r="D90" t="s">
        <v>691</v>
      </c>
      <c r="E90" t="s">
        <v>16</v>
      </c>
      <c r="F90" t="s">
        <v>17</v>
      </c>
      <c r="G90" t="s">
        <v>1034</v>
      </c>
      <c r="H90" t="s">
        <v>15</v>
      </c>
      <c r="I90" s="1">
        <v>1</v>
      </c>
      <c r="J90" s="2">
        <v>577.59</v>
      </c>
    </row>
    <row r="91" spans="2:10" x14ac:dyDescent="0.2">
      <c r="B91" t="s">
        <v>690</v>
      </c>
      <c r="C91" t="s">
        <v>236</v>
      </c>
      <c r="D91" t="s">
        <v>691</v>
      </c>
      <c r="E91" t="s">
        <v>16</v>
      </c>
      <c r="F91" t="s">
        <v>17</v>
      </c>
      <c r="G91" t="s">
        <v>1034</v>
      </c>
      <c r="H91" t="s">
        <v>15</v>
      </c>
      <c r="I91" s="1">
        <v>1</v>
      </c>
      <c r="J91" s="2">
        <v>577.59</v>
      </c>
    </row>
    <row r="92" spans="2:10" x14ac:dyDescent="0.2">
      <c r="B92" t="s">
        <v>690</v>
      </c>
      <c r="C92" t="s">
        <v>237</v>
      </c>
      <c r="D92" t="s">
        <v>691</v>
      </c>
      <c r="E92" t="s">
        <v>16</v>
      </c>
      <c r="F92" t="s">
        <v>17</v>
      </c>
      <c r="G92" t="s">
        <v>1034</v>
      </c>
      <c r="H92" t="s">
        <v>15</v>
      </c>
      <c r="I92" s="1">
        <v>3</v>
      </c>
      <c r="J92" s="2">
        <v>1732.77</v>
      </c>
    </row>
    <row r="93" spans="2:10" x14ac:dyDescent="0.2">
      <c r="B93" t="s">
        <v>740</v>
      </c>
      <c r="C93" t="s">
        <v>10</v>
      </c>
      <c r="D93" t="s">
        <v>130</v>
      </c>
      <c r="E93" t="s">
        <v>16</v>
      </c>
      <c r="F93" t="s">
        <v>17</v>
      </c>
      <c r="G93" t="s">
        <v>1034</v>
      </c>
      <c r="H93" t="s">
        <v>15</v>
      </c>
      <c r="I93" s="1">
        <v>1</v>
      </c>
      <c r="J93" s="2">
        <v>577.59</v>
      </c>
    </row>
    <row r="94" spans="2:10" x14ac:dyDescent="0.2">
      <c r="B94" t="s">
        <v>740</v>
      </c>
      <c r="C94" t="s">
        <v>18</v>
      </c>
      <c r="D94" t="s">
        <v>741</v>
      </c>
      <c r="E94" t="s">
        <v>16</v>
      </c>
      <c r="F94" t="s">
        <v>17</v>
      </c>
      <c r="G94" t="s">
        <v>1034</v>
      </c>
      <c r="H94" t="s">
        <v>15</v>
      </c>
      <c r="I94" s="1">
        <v>1</v>
      </c>
      <c r="J94" s="2">
        <v>577.59</v>
      </c>
    </row>
    <row r="95" spans="2:10" x14ac:dyDescent="0.2">
      <c r="B95" t="s">
        <v>740</v>
      </c>
      <c r="C95" t="s">
        <v>40</v>
      </c>
      <c r="D95" t="s">
        <v>741</v>
      </c>
      <c r="E95" t="s">
        <v>16</v>
      </c>
      <c r="F95" t="s">
        <v>17</v>
      </c>
      <c r="G95" t="s">
        <v>1034</v>
      </c>
      <c r="H95" t="s">
        <v>15</v>
      </c>
      <c r="I95" s="1">
        <v>2</v>
      </c>
      <c r="J95" s="2">
        <v>1155.18</v>
      </c>
    </row>
    <row r="96" spans="2:10" x14ac:dyDescent="0.2">
      <c r="B96" t="s">
        <v>740</v>
      </c>
      <c r="C96" t="s">
        <v>82</v>
      </c>
      <c r="D96" t="s">
        <v>741</v>
      </c>
      <c r="E96" t="s">
        <v>16</v>
      </c>
      <c r="F96" t="s">
        <v>17</v>
      </c>
      <c r="G96" t="s">
        <v>1034</v>
      </c>
      <c r="H96" t="s">
        <v>15</v>
      </c>
      <c r="I96" s="1">
        <v>3</v>
      </c>
      <c r="J96" s="2">
        <v>1732.77</v>
      </c>
    </row>
    <row r="97" spans="2:10" x14ac:dyDescent="0.2">
      <c r="B97" t="s">
        <v>740</v>
      </c>
      <c r="C97" t="s">
        <v>88</v>
      </c>
      <c r="D97" t="s">
        <v>741</v>
      </c>
      <c r="E97" t="s">
        <v>16</v>
      </c>
      <c r="F97" t="s">
        <v>17</v>
      </c>
      <c r="G97" t="s">
        <v>1034</v>
      </c>
      <c r="H97" t="s">
        <v>15</v>
      </c>
      <c r="I97" s="1">
        <v>1</v>
      </c>
      <c r="J97" s="2">
        <v>577.59</v>
      </c>
    </row>
    <row r="98" spans="2:10" x14ac:dyDescent="0.2">
      <c r="B98" t="s">
        <v>740</v>
      </c>
      <c r="C98" t="s">
        <v>117</v>
      </c>
      <c r="D98" t="s">
        <v>741</v>
      </c>
      <c r="E98" t="s">
        <v>16</v>
      </c>
      <c r="F98" t="s">
        <v>17</v>
      </c>
      <c r="G98" t="s">
        <v>1034</v>
      </c>
      <c r="H98" t="s">
        <v>15</v>
      </c>
      <c r="I98" s="1">
        <v>1</v>
      </c>
      <c r="J98" s="2">
        <v>577.59</v>
      </c>
    </row>
    <row r="99" spans="2:10" x14ac:dyDescent="0.2">
      <c r="B99" t="s">
        <v>740</v>
      </c>
      <c r="C99" t="s">
        <v>129</v>
      </c>
      <c r="D99" t="s">
        <v>741</v>
      </c>
      <c r="E99" t="s">
        <v>16</v>
      </c>
      <c r="F99" t="s">
        <v>17</v>
      </c>
      <c r="G99" t="s">
        <v>1034</v>
      </c>
      <c r="H99" t="s">
        <v>15</v>
      </c>
      <c r="I99" s="1">
        <v>2</v>
      </c>
      <c r="J99" s="2">
        <v>1155.18</v>
      </c>
    </row>
    <row r="100" spans="2:10" x14ac:dyDescent="0.2">
      <c r="B100" t="s">
        <v>740</v>
      </c>
      <c r="C100" t="s">
        <v>144</v>
      </c>
      <c r="D100" t="s">
        <v>741</v>
      </c>
      <c r="E100" t="s">
        <v>16</v>
      </c>
      <c r="F100" t="s">
        <v>17</v>
      </c>
      <c r="G100" t="s">
        <v>1034</v>
      </c>
      <c r="H100" t="s">
        <v>15</v>
      </c>
      <c r="I100" s="1">
        <v>7</v>
      </c>
      <c r="J100" s="2">
        <v>4043.13</v>
      </c>
    </row>
    <row r="101" spans="2:10" x14ac:dyDescent="0.2">
      <c r="B101" t="s">
        <v>740</v>
      </c>
      <c r="C101" t="s">
        <v>165</v>
      </c>
      <c r="D101" t="s">
        <v>741</v>
      </c>
      <c r="E101" t="s">
        <v>16</v>
      </c>
      <c r="F101" t="s">
        <v>17</v>
      </c>
      <c r="G101" t="s">
        <v>1034</v>
      </c>
      <c r="H101" t="s">
        <v>15</v>
      </c>
      <c r="I101" s="1">
        <v>2</v>
      </c>
      <c r="J101" s="2">
        <v>1155.18</v>
      </c>
    </row>
    <row r="102" spans="2:10" x14ac:dyDescent="0.2">
      <c r="B102" t="s">
        <v>740</v>
      </c>
      <c r="C102" t="s">
        <v>166</v>
      </c>
      <c r="D102" t="s">
        <v>741</v>
      </c>
      <c r="E102" t="s">
        <v>16</v>
      </c>
      <c r="F102" t="s">
        <v>17</v>
      </c>
      <c r="G102" t="s">
        <v>1034</v>
      </c>
      <c r="H102" t="s">
        <v>15</v>
      </c>
      <c r="I102" s="1">
        <v>1</v>
      </c>
      <c r="J102" s="2">
        <v>577.59</v>
      </c>
    </row>
    <row r="103" spans="2:10" x14ac:dyDescent="0.2">
      <c r="B103" t="s">
        <v>740</v>
      </c>
      <c r="C103" t="s">
        <v>185</v>
      </c>
      <c r="D103" t="s">
        <v>32</v>
      </c>
      <c r="E103" t="s">
        <v>16</v>
      </c>
      <c r="F103" t="s">
        <v>17</v>
      </c>
      <c r="G103" t="s">
        <v>1034</v>
      </c>
      <c r="H103" t="s">
        <v>15</v>
      </c>
      <c r="I103" s="1">
        <v>2</v>
      </c>
      <c r="J103" s="2">
        <v>1155.18</v>
      </c>
    </row>
    <row r="104" spans="2:10" x14ac:dyDescent="0.2">
      <c r="B104" t="s">
        <v>740</v>
      </c>
      <c r="C104" t="s">
        <v>186</v>
      </c>
      <c r="D104" t="s">
        <v>741</v>
      </c>
      <c r="E104" t="s">
        <v>16</v>
      </c>
      <c r="F104" t="s">
        <v>17</v>
      </c>
      <c r="G104" t="s">
        <v>1034</v>
      </c>
      <c r="H104" t="s">
        <v>15</v>
      </c>
      <c r="I104" s="1">
        <v>1</v>
      </c>
      <c r="J104" s="2">
        <v>577.59</v>
      </c>
    </row>
    <row r="105" spans="2:10" x14ac:dyDescent="0.2">
      <c r="B105" t="s">
        <v>740</v>
      </c>
      <c r="C105" t="s">
        <v>197</v>
      </c>
      <c r="D105" t="s">
        <v>130</v>
      </c>
      <c r="E105" t="s">
        <v>16</v>
      </c>
      <c r="F105" t="s">
        <v>17</v>
      </c>
      <c r="G105" t="s">
        <v>1034</v>
      </c>
      <c r="H105" t="s">
        <v>15</v>
      </c>
      <c r="I105" s="1">
        <v>1</v>
      </c>
      <c r="J105" s="2">
        <v>577.59</v>
      </c>
    </row>
    <row r="106" spans="2:10" x14ac:dyDescent="0.2">
      <c r="B106" t="s">
        <v>740</v>
      </c>
      <c r="C106" t="s">
        <v>206</v>
      </c>
      <c r="D106" t="s">
        <v>741</v>
      </c>
      <c r="E106" t="s">
        <v>16</v>
      </c>
      <c r="F106" t="s">
        <v>17</v>
      </c>
      <c r="G106" t="s">
        <v>1034</v>
      </c>
      <c r="H106" t="s">
        <v>15</v>
      </c>
      <c r="I106" s="1">
        <v>2</v>
      </c>
      <c r="J106" s="2">
        <v>1155.18</v>
      </c>
    </row>
    <row r="107" spans="2:10" x14ac:dyDescent="0.2">
      <c r="B107" t="s">
        <v>740</v>
      </c>
      <c r="C107" t="s">
        <v>220</v>
      </c>
      <c r="D107" t="s">
        <v>741</v>
      </c>
      <c r="E107" t="s">
        <v>16</v>
      </c>
      <c r="F107" t="s">
        <v>17</v>
      </c>
      <c r="G107" t="s">
        <v>1034</v>
      </c>
      <c r="H107" t="s">
        <v>15</v>
      </c>
      <c r="I107" s="1">
        <v>1</v>
      </c>
      <c r="J107" s="2">
        <v>577.59</v>
      </c>
    </row>
    <row r="108" spans="2:10" x14ac:dyDescent="0.2">
      <c r="B108" t="s">
        <v>740</v>
      </c>
      <c r="C108" t="s">
        <v>227</v>
      </c>
      <c r="D108" t="s">
        <v>741</v>
      </c>
      <c r="E108" t="s">
        <v>16</v>
      </c>
      <c r="F108" t="s">
        <v>17</v>
      </c>
      <c r="G108" t="s">
        <v>1034</v>
      </c>
      <c r="H108" t="s">
        <v>15</v>
      </c>
      <c r="I108" s="1">
        <v>1</v>
      </c>
      <c r="J108" s="2">
        <v>577.59</v>
      </c>
    </row>
    <row r="109" spans="2:10" x14ac:dyDescent="0.2">
      <c r="B109" t="s">
        <v>740</v>
      </c>
      <c r="C109" t="s">
        <v>228</v>
      </c>
      <c r="D109" t="s">
        <v>741</v>
      </c>
      <c r="E109" t="s">
        <v>16</v>
      </c>
      <c r="F109" t="s">
        <v>17</v>
      </c>
      <c r="G109" t="s">
        <v>1034</v>
      </c>
      <c r="H109" t="s">
        <v>15</v>
      </c>
      <c r="I109" s="1">
        <v>1</v>
      </c>
      <c r="J109" s="2">
        <v>577.59</v>
      </c>
    </row>
    <row r="110" spans="2:10" x14ac:dyDescent="0.2">
      <c r="B110" t="s">
        <v>740</v>
      </c>
      <c r="C110" t="s">
        <v>233</v>
      </c>
      <c r="D110" t="s">
        <v>32</v>
      </c>
      <c r="E110" t="s">
        <v>16</v>
      </c>
      <c r="F110" t="s">
        <v>17</v>
      </c>
      <c r="G110" t="s">
        <v>1034</v>
      </c>
      <c r="H110" t="s">
        <v>15</v>
      </c>
      <c r="I110" s="1">
        <v>2</v>
      </c>
      <c r="J110" s="2">
        <v>1155.18</v>
      </c>
    </row>
    <row r="111" spans="2:10" x14ac:dyDescent="0.2">
      <c r="B111" t="s">
        <v>740</v>
      </c>
      <c r="C111" t="s">
        <v>237</v>
      </c>
      <c r="D111" t="s">
        <v>741</v>
      </c>
      <c r="E111" t="s">
        <v>16</v>
      </c>
      <c r="F111" t="s">
        <v>17</v>
      </c>
      <c r="G111" t="s">
        <v>1034</v>
      </c>
      <c r="H111" t="s">
        <v>15</v>
      </c>
      <c r="I111" s="1">
        <v>1</v>
      </c>
      <c r="J111" s="2">
        <v>577.59</v>
      </c>
    </row>
    <row r="112" spans="2:10" x14ac:dyDescent="0.2">
      <c r="B112" t="s">
        <v>740</v>
      </c>
      <c r="C112" t="s">
        <v>248</v>
      </c>
      <c r="D112" t="s">
        <v>741</v>
      </c>
      <c r="E112" t="s">
        <v>16</v>
      </c>
      <c r="F112" t="s">
        <v>17</v>
      </c>
      <c r="G112" t="s">
        <v>1034</v>
      </c>
      <c r="H112" t="s">
        <v>15</v>
      </c>
      <c r="I112" s="1">
        <v>2</v>
      </c>
      <c r="J112" s="2">
        <v>1155.18</v>
      </c>
    </row>
    <row r="113" spans="2:10" x14ac:dyDescent="0.2">
      <c r="B113" t="s">
        <v>780</v>
      </c>
      <c r="C113" t="s">
        <v>18</v>
      </c>
      <c r="D113" t="s">
        <v>781</v>
      </c>
      <c r="E113" t="s">
        <v>16</v>
      </c>
      <c r="F113" t="s">
        <v>17</v>
      </c>
      <c r="G113" t="s">
        <v>1034</v>
      </c>
      <c r="H113" t="s">
        <v>15</v>
      </c>
      <c r="I113" s="1">
        <v>1</v>
      </c>
      <c r="J113" s="2">
        <v>577.59</v>
      </c>
    </row>
    <row r="114" spans="2:10" x14ac:dyDescent="0.2">
      <c r="B114" t="s">
        <v>780</v>
      </c>
      <c r="C114" t="s">
        <v>40</v>
      </c>
      <c r="D114" t="s">
        <v>32</v>
      </c>
      <c r="E114" t="s">
        <v>16</v>
      </c>
      <c r="F114" t="s">
        <v>17</v>
      </c>
      <c r="G114" t="s">
        <v>1034</v>
      </c>
      <c r="H114" t="s">
        <v>15</v>
      </c>
      <c r="I114" s="1">
        <v>1</v>
      </c>
      <c r="J114" s="2">
        <v>577.59</v>
      </c>
    </row>
    <row r="115" spans="2:10" x14ac:dyDescent="0.2">
      <c r="B115" t="s">
        <v>780</v>
      </c>
      <c r="C115" t="s">
        <v>65</v>
      </c>
      <c r="D115" t="s">
        <v>781</v>
      </c>
      <c r="E115" t="s">
        <v>16</v>
      </c>
      <c r="F115" t="s">
        <v>17</v>
      </c>
      <c r="G115" t="s">
        <v>1034</v>
      </c>
      <c r="H115" t="s">
        <v>15</v>
      </c>
      <c r="I115" s="1">
        <v>1</v>
      </c>
      <c r="J115" s="2">
        <v>577.59</v>
      </c>
    </row>
    <row r="116" spans="2:10" x14ac:dyDescent="0.2">
      <c r="B116" t="s">
        <v>780</v>
      </c>
      <c r="C116" t="s">
        <v>117</v>
      </c>
      <c r="D116" t="s">
        <v>781</v>
      </c>
      <c r="E116" t="s">
        <v>16</v>
      </c>
      <c r="F116" t="s">
        <v>17</v>
      </c>
      <c r="G116" t="s">
        <v>1034</v>
      </c>
      <c r="H116" t="s">
        <v>15</v>
      </c>
      <c r="I116" s="1">
        <v>1</v>
      </c>
      <c r="J116" s="2">
        <v>577.59</v>
      </c>
    </row>
    <row r="117" spans="2:10" x14ac:dyDescent="0.2">
      <c r="B117" t="s">
        <v>780</v>
      </c>
      <c r="C117" t="s">
        <v>135</v>
      </c>
      <c r="D117" t="s">
        <v>781</v>
      </c>
      <c r="E117" t="s">
        <v>16</v>
      </c>
      <c r="F117" t="s">
        <v>17</v>
      </c>
      <c r="G117" t="s">
        <v>1034</v>
      </c>
      <c r="H117" t="s">
        <v>15</v>
      </c>
      <c r="I117" s="1">
        <v>1</v>
      </c>
      <c r="J117" s="2">
        <v>577.59</v>
      </c>
    </row>
    <row r="118" spans="2:10" x14ac:dyDescent="0.2">
      <c r="B118" t="s">
        <v>780</v>
      </c>
      <c r="C118" t="s">
        <v>165</v>
      </c>
      <c r="D118" t="s">
        <v>781</v>
      </c>
      <c r="E118" t="s">
        <v>16</v>
      </c>
      <c r="F118" t="s">
        <v>17</v>
      </c>
      <c r="G118" t="s">
        <v>1034</v>
      </c>
      <c r="H118" t="s">
        <v>15</v>
      </c>
      <c r="I118" s="1">
        <v>1</v>
      </c>
      <c r="J118" s="2">
        <v>577.59</v>
      </c>
    </row>
    <row r="119" spans="2:10" x14ac:dyDescent="0.2">
      <c r="B119" t="s">
        <v>780</v>
      </c>
      <c r="C119" t="s">
        <v>166</v>
      </c>
      <c r="D119" t="s">
        <v>781</v>
      </c>
      <c r="E119" t="s">
        <v>16</v>
      </c>
      <c r="F119" t="s">
        <v>17</v>
      </c>
      <c r="G119" t="s">
        <v>1034</v>
      </c>
      <c r="H119" t="s">
        <v>15</v>
      </c>
      <c r="I119" s="1">
        <v>1</v>
      </c>
      <c r="J119" s="2">
        <v>577.59</v>
      </c>
    </row>
    <row r="120" spans="2:10" x14ac:dyDescent="0.2">
      <c r="B120" t="s">
        <v>780</v>
      </c>
      <c r="C120" t="s">
        <v>418</v>
      </c>
      <c r="D120" t="s">
        <v>781</v>
      </c>
      <c r="E120" t="s">
        <v>16</v>
      </c>
      <c r="F120" t="s">
        <v>17</v>
      </c>
      <c r="G120" t="s">
        <v>1034</v>
      </c>
      <c r="H120" t="s">
        <v>15</v>
      </c>
      <c r="I120" s="1">
        <v>1</v>
      </c>
      <c r="J120" s="2">
        <v>577.59</v>
      </c>
    </row>
    <row r="121" spans="2:10" x14ac:dyDescent="0.2">
      <c r="B121" t="s">
        <v>780</v>
      </c>
      <c r="C121" t="s">
        <v>186</v>
      </c>
      <c r="D121" t="s">
        <v>226</v>
      </c>
      <c r="E121" t="s">
        <v>16</v>
      </c>
      <c r="F121" t="s">
        <v>17</v>
      </c>
      <c r="G121" t="s">
        <v>1034</v>
      </c>
      <c r="H121" t="s">
        <v>15</v>
      </c>
      <c r="I121" s="1">
        <v>1</v>
      </c>
      <c r="J121" s="2">
        <v>577.59</v>
      </c>
    </row>
    <row r="122" spans="2:10" x14ac:dyDescent="0.2">
      <c r="B122" t="s">
        <v>780</v>
      </c>
      <c r="C122" t="s">
        <v>197</v>
      </c>
      <c r="D122" t="s">
        <v>781</v>
      </c>
      <c r="E122" t="s">
        <v>16</v>
      </c>
      <c r="F122" t="s">
        <v>17</v>
      </c>
      <c r="G122" t="s">
        <v>1034</v>
      </c>
      <c r="H122" t="s">
        <v>15</v>
      </c>
      <c r="I122" s="1">
        <v>2</v>
      </c>
      <c r="J122" s="2">
        <v>1155.18</v>
      </c>
    </row>
    <row r="123" spans="2:10" x14ac:dyDescent="0.2">
      <c r="B123" t="s">
        <v>780</v>
      </c>
      <c r="C123" t="s">
        <v>228</v>
      </c>
      <c r="D123" t="s">
        <v>781</v>
      </c>
      <c r="E123" t="s">
        <v>16</v>
      </c>
      <c r="F123" t="s">
        <v>17</v>
      </c>
      <c r="G123" t="s">
        <v>1034</v>
      </c>
      <c r="H123" t="s">
        <v>15</v>
      </c>
      <c r="I123" s="1">
        <v>2</v>
      </c>
      <c r="J123" s="2">
        <v>1155.18</v>
      </c>
    </row>
    <row r="124" spans="2:10" x14ac:dyDescent="0.2">
      <c r="B124" t="s">
        <v>780</v>
      </c>
      <c r="C124" t="s">
        <v>233</v>
      </c>
      <c r="D124" t="s">
        <v>781</v>
      </c>
      <c r="E124" t="s">
        <v>16</v>
      </c>
      <c r="F124" t="s">
        <v>17</v>
      </c>
      <c r="G124" t="s">
        <v>1034</v>
      </c>
      <c r="H124" t="s">
        <v>15</v>
      </c>
      <c r="I124" s="1">
        <v>3</v>
      </c>
      <c r="J124" s="2">
        <v>1732.77</v>
      </c>
    </row>
    <row r="125" spans="2:10" x14ac:dyDescent="0.2">
      <c r="B125" t="s">
        <v>824</v>
      </c>
      <c r="C125" t="s">
        <v>165</v>
      </c>
      <c r="D125" t="s">
        <v>825</v>
      </c>
      <c r="E125" t="s">
        <v>16</v>
      </c>
      <c r="F125" t="s">
        <v>17</v>
      </c>
      <c r="G125" t="s">
        <v>1034</v>
      </c>
      <c r="H125" t="s">
        <v>15</v>
      </c>
      <c r="I125" s="1">
        <v>2</v>
      </c>
      <c r="J125" s="2">
        <v>1155.18</v>
      </c>
    </row>
    <row r="126" spans="2:10" x14ac:dyDescent="0.2">
      <c r="B126" t="s">
        <v>824</v>
      </c>
      <c r="C126" t="s">
        <v>166</v>
      </c>
      <c r="D126" t="s">
        <v>825</v>
      </c>
      <c r="E126" t="s">
        <v>16</v>
      </c>
      <c r="F126" t="s">
        <v>17</v>
      </c>
      <c r="G126" t="s">
        <v>1034</v>
      </c>
      <c r="H126" t="s">
        <v>15</v>
      </c>
      <c r="I126" s="1">
        <v>1</v>
      </c>
      <c r="J126" s="2">
        <v>577.59</v>
      </c>
    </row>
    <row r="127" spans="2:10" x14ac:dyDescent="0.2">
      <c r="B127" t="s">
        <v>824</v>
      </c>
      <c r="C127" t="s">
        <v>335</v>
      </c>
      <c r="D127" t="s">
        <v>825</v>
      </c>
      <c r="E127" t="s">
        <v>16</v>
      </c>
      <c r="F127" t="s">
        <v>17</v>
      </c>
      <c r="G127" t="s">
        <v>1034</v>
      </c>
      <c r="H127" t="s">
        <v>15</v>
      </c>
      <c r="I127" s="1">
        <v>1</v>
      </c>
      <c r="J127" s="2">
        <v>577.59</v>
      </c>
    </row>
    <row r="128" spans="2:10" x14ac:dyDescent="0.2">
      <c r="B128" t="s">
        <v>824</v>
      </c>
      <c r="C128" t="s">
        <v>418</v>
      </c>
      <c r="D128" t="s">
        <v>825</v>
      </c>
      <c r="E128" t="s">
        <v>16</v>
      </c>
      <c r="F128" t="s">
        <v>17</v>
      </c>
      <c r="G128" t="s">
        <v>1034</v>
      </c>
      <c r="H128" t="s">
        <v>15</v>
      </c>
      <c r="I128" s="1">
        <v>1</v>
      </c>
      <c r="J128" s="2">
        <v>577.59</v>
      </c>
    </row>
    <row r="129" spans="2:10" x14ac:dyDescent="0.2">
      <c r="B129" t="s">
        <v>824</v>
      </c>
      <c r="C129" t="s">
        <v>206</v>
      </c>
      <c r="D129" t="s">
        <v>825</v>
      </c>
      <c r="E129" t="s">
        <v>16</v>
      </c>
      <c r="F129" t="s">
        <v>17</v>
      </c>
      <c r="G129" t="s">
        <v>1034</v>
      </c>
      <c r="H129" t="s">
        <v>15</v>
      </c>
      <c r="I129" s="1">
        <v>1</v>
      </c>
      <c r="J129" s="2">
        <v>577.59</v>
      </c>
    </row>
    <row r="130" spans="2:10" x14ac:dyDescent="0.2">
      <c r="B130" t="s">
        <v>824</v>
      </c>
      <c r="C130" t="s">
        <v>220</v>
      </c>
      <c r="D130" t="s">
        <v>825</v>
      </c>
      <c r="E130" t="s">
        <v>16</v>
      </c>
      <c r="F130" t="s">
        <v>17</v>
      </c>
      <c r="G130" t="s">
        <v>1034</v>
      </c>
      <c r="H130" t="s">
        <v>15</v>
      </c>
      <c r="I130" s="1">
        <v>1</v>
      </c>
      <c r="J130" s="2">
        <v>577.59</v>
      </c>
    </row>
    <row r="131" spans="2:10" x14ac:dyDescent="0.2">
      <c r="B131" t="s">
        <v>824</v>
      </c>
      <c r="C131" t="s">
        <v>237</v>
      </c>
      <c r="D131" t="s">
        <v>825</v>
      </c>
      <c r="E131" t="s">
        <v>16</v>
      </c>
      <c r="F131" t="s">
        <v>17</v>
      </c>
      <c r="G131" t="s">
        <v>1034</v>
      </c>
      <c r="H131" t="s">
        <v>15</v>
      </c>
      <c r="I131" s="1">
        <v>1</v>
      </c>
      <c r="J131" s="2">
        <v>577.59</v>
      </c>
    </row>
    <row r="132" spans="2:10" x14ac:dyDescent="0.2">
      <c r="B132" t="s">
        <v>866</v>
      </c>
      <c r="C132" t="s">
        <v>51</v>
      </c>
      <c r="D132" t="s">
        <v>226</v>
      </c>
      <c r="E132" t="s">
        <v>16</v>
      </c>
      <c r="F132" t="s">
        <v>17</v>
      </c>
      <c r="G132" t="s">
        <v>1034</v>
      </c>
      <c r="H132" t="s">
        <v>15</v>
      </c>
      <c r="I132" s="1">
        <v>1</v>
      </c>
      <c r="J132" s="2">
        <v>577.59</v>
      </c>
    </row>
    <row r="133" spans="2:10" x14ac:dyDescent="0.2">
      <c r="B133" t="s">
        <v>866</v>
      </c>
      <c r="C133" t="s">
        <v>165</v>
      </c>
      <c r="D133" t="s">
        <v>32</v>
      </c>
      <c r="E133" t="s">
        <v>16</v>
      </c>
      <c r="F133" t="s">
        <v>17</v>
      </c>
      <c r="G133" t="s">
        <v>1034</v>
      </c>
      <c r="H133" t="s">
        <v>15</v>
      </c>
      <c r="I133" s="1">
        <v>1</v>
      </c>
      <c r="J133" s="2">
        <v>577.59</v>
      </c>
    </row>
    <row r="134" spans="2:10" x14ac:dyDescent="0.2">
      <c r="B134" t="s">
        <v>866</v>
      </c>
      <c r="C134" t="s">
        <v>166</v>
      </c>
      <c r="D134" t="s">
        <v>277</v>
      </c>
      <c r="E134" t="s">
        <v>16</v>
      </c>
      <c r="F134" t="s">
        <v>17</v>
      </c>
      <c r="G134" t="s">
        <v>1034</v>
      </c>
      <c r="H134" t="s">
        <v>15</v>
      </c>
      <c r="I134" s="1">
        <v>1</v>
      </c>
      <c r="J134" s="2">
        <v>577.59</v>
      </c>
    </row>
    <row r="135" spans="2:10" x14ac:dyDescent="0.2">
      <c r="B135" t="s">
        <v>866</v>
      </c>
      <c r="C135" t="s">
        <v>206</v>
      </c>
      <c r="D135" t="s">
        <v>32</v>
      </c>
      <c r="E135" t="s">
        <v>16</v>
      </c>
      <c r="F135" t="s">
        <v>17</v>
      </c>
      <c r="G135" t="s">
        <v>1034</v>
      </c>
      <c r="H135" t="s">
        <v>15</v>
      </c>
      <c r="I135" s="1">
        <v>1</v>
      </c>
      <c r="J135" s="2">
        <v>577.59</v>
      </c>
    </row>
    <row r="136" spans="2:10" x14ac:dyDescent="0.2">
      <c r="B136" t="s">
        <v>866</v>
      </c>
      <c r="C136" t="s">
        <v>220</v>
      </c>
      <c r="D136" t="s">
        <v>32</v>
      </c>
      <c r="E136" t="s">
        <v>16</v>
      </c>
      <c r="F136" t="s">
        <v>17</v>
      </c>
      <c r="G136" t="s">
        <v>1034</v>
      </c>
      <c r="H136" t="s">
        <v>15</v>
      </c>
      <c r="I136" s="1">
        <v>2</v>
      </c>
      <c r="J136" s="2">
        <v>1155.18</v>
      </c>
    </row>
    <row r="137" spans="2:10" x14ac:dyDescent="0.2">
      <c r="B137" t="s">
        <v>866</v>
      </c>
      <c r="C137" t="s">
        <v>225</v>
      </c>
      <c r="D137" t="s">
        <v>32</v>
      </c>
      <c r="E137" t="s">
        <v>16</v>
      </c>
      <c r="F137" t="s">
        <v>17</v>
      </c>
      <c r="G137" t="s">
        <v>1034</v>
      </c>
      <c r="H137" t="s">
        <v>15</v>
      </c>
      <c r="I137" s="1">
        <v>1</v>
      </c>
      <c r="J137" s="2">
        <v>577.59</v>
      </c>
    </row>
    <row r="138" spans="2:10" x14ac:dyDescent="0.2">
      <c r="B138" t="s">
        <v>866</v>
      </c>
      <c r="C138" t="s">
        <v>227</v>
      </c>
      <c r="D138" t="s">
        <v>32</v>
      </c>
      <c r="E138" t="s">
        <v>16</v>
      </c>
      <c r="F138" t="s">
        <v>17</v>
      </c>
      <c r="G138" t="s">
        <v>1034</v>
      </c>
      <c r="H138" t="s">
        <v>15</v>
      </c>
      <c r="I138" s="1">
        <v>1</v>
      </c>
      <c r="J138" s="2">
        <v>577.59</v>
      </c>
    </row>
    <row r="139" spans="2:10" x14ac:dyDescent="0.2">
      <c r="B139" t="s">
        <v>866</v>
      </c>
      <c r="C139" t="s">
        <v>237</v>
      </c>
      <c r="D139" t="s">
        <v>226</v>
      </c>
      <c r="E139" t="s">
        <v>16</v>
      </c>
      <c r="F139" t="s">
        <v>17</v>
      </c>
      <c r="G139" t="s">
        <v>1034</v>
      </c>
      <c r="H139" t="s">
        <v>15</v>
      </c>
      <c r="I139" s="1">
        <v>1</v>
      </c>
      <c r="J139" s="2">
        <v>577.59</v>
      </c>
    </row>
    <row r="140" spans="2:10" x14ac:dyDescent="0.2">
      <c r="B140" t="s">
        <v>866</v>
      </c>
      <c r="C140" t="s">
        <v>248</v>
      </c>
      <c r="D140" t="s">
        <v>226</v>
      </c>
      <c r="E140" t="s">
        <v>16</v>
      </c>
      <c r="F140" t="s">
        <v>17</v>
      </c>
      <c r="G140" t="s">
        <v>1034</v>
      </c>
      <c r="H140" t="s">
        <v>15</v>
      </c>
      <c r="I140" s="1">
        <v>2</v>
      </c>
      <c r="J140" s="2">
        <v>1155.18</v>
      </c>
    </row>
    <row r="141" spans="2:10" x14ac:dyDescent="0.2">
      <c r="B141" t="s">
        <v>907</v>
      </c>
      <c r="C141" t="s">
        <v>10</v>
      </c>
      <c r="D141" t="s">
        <v>908</v>
      </c>
      <c r="E141" t="s">
        <v>16</v>
      </c>
      <c r="F141" t="s">
        <v>17</v>
      </c>
      <c r="G141" t="s">
        <v>1034</v>
      </c>
      <c r="H141" t="s">
        <v>15</v>
      </c>
      <c r="I141" s="1">
        <v>3</v>
      </c>
      <c r="J141" s="2">
        <v>1732.77</v>
      </c>
    </row>
    <row r="142" spans="2:10" x14ac:dyDescent="0.2">
      <c r="B142" t="s">
        <v>907</v>
      </c>
      <c r="C142" t="s">
        <v>166</v>
      </c>
      <c r="D142" t="s">
        <v>908</v>
      </c>
      <c r="E142" t="s">
        <v>16</v>
      </c>
      <c r="F142" t="s">
        <v>17</v>
      </c>
      <c r="G142" t="s">
        <v>1034</v>
      </c>
      <c r="H142" t="s">
        <v>15</v>
      </c>
      <c r="I142" s="1">
        <v>1</v>
      </c>
      <c r="J142" s="2">
        <v>577.59</v>
      </c>
    </row>
    <row r="143" spans="2:10" x14ac:dyDescent="0.2">
      <c r="B143" t="s">
        <v>907</v>
      </c>
      <c r="C143" t="s">
        <v>236</v>
      </c>
      <c r="D143" t="s">
        <v>908</v>
      </c>
      <c r="E143" t="s">
        <v>16</v>
      </c>
      <c r="F143" t="s">
        <v>17</v>
      </c>
      <c r="G143" t="s">
        <v>1034</v>
      </c>
      <c r="H143" t="s">
        <v>15</v>
      </c>
      <c r="I143" s="1">
        <v>3</v>
      </c>
      <c r="J143" s="2">
        <v>1732.77</v>
      </c>
    </row>
    <row r="144" spans="2:10" x14ac:dyDescent="0.2">
      <c r="B144" t="s">
        <v>907</v>
      </c>
      <c r="C144" t="s">
        <v>237</v>
      </c>
      <c r="D144" t="s">
        <v>908</v>
      </c>
      <c r="E144" t="s">
        <v>16</v>
      </c>
      <c r="F144" t="s">
        <v>17</v>
      </c>
      <c r="G144" t="s">
        <v>1034</v>
      </c>
      <c r="H144" t="s">
        <v>15</v>
      </c>
      <c r="I144" s="1">
        <v>1</v>
      </c>
      <c r="J144" s="2">
        <v>577.59</v>
      </c>
    </row>
    <row r="145" spans="2:10" x14ac:dyDescent="0.2">
      <c r="B145" t="s">
        <v>933</v>
      </c>
      <c r="C145" t="s">
        <v>10</v>
      </c>
      <c r="D145" t="s">
        <v>934</v>
      </c>
      <c r="E145" t="s">
        <v>16</v>
      </c>
      <c r="F145" t="s">
        <v>17</v>
      </c>
      <c r="G145" t="s">
        <v>1034</v>
      </c>
      <c r="H145" t="s">
        <v>15</v>
      </c>
      <c r="I145" s="1">
        <v>1</v>
      </c>
      <c r="J145" s="2">
        <v>577.59</v>
      </c>
    </row>
    <row r="146" spans="2:10" x14ac:dyDescent="0.2">
      <c r="B146" t="s">
        <v>933</v>
      </c>
      <c r="C146" t="s">
        <v>18</v>
      </c>
      <c r="D146" t="s">
        <v>277</v>
      </c>
      <c r="E146" t="s">
        <v>16</v>
      </c>
      <c r="F146" t="s">
        <v>17</v>
      </c>
      <c r="G146" t="s">
        <v>1034</v>
      </c>
      <c r="H146" t="s">
        <v>15</v>
      </c>
      <c r="I146" s="1">
        <v>1</v>
      </c>
      <c r="J146" s="2">
        <v>577.59</v>
      </c>
    </row>
    <row r="147" spans="2:10" x14ac:dyDescent="0.2">
      <c r="B147" t="s">
        <v>933</v>
      </c>
      <c r="C147" t="s">
        <v>31</v>
      </c>
      <c r="D147" t="s">
        <v>934</v>
      </c>
      <c r="E147" t="s">
        <v>16</v>
      </c>
      <c r="F147" t="s">
        <v>17</v>
      </c>
      <c r="G147" t="s">
        <v>1034</v>
      </c>
      <c r="H147" t="s">
        <v>15</v>
      </c>
      <c r="I147" s="1">
        <v>2</v>
      </c>
      <c r="J147" s="2">
        <v>1155.18</v>
      </c>
    </row>
    <row r="148" spans="2:10" x14ac:dyDescent="0.2">
      <c r="B148" t="s">
        <v>933</v>
      </c>
      <c r="C148" t="s">
        <v>40</v>
      </c>
      <c r="D148" t="s">
        <v>934</v>
      </c>
      <c r="E148" t="s">
        <v>16</v>
      </c>
      <c r="F148" t="s">
        <v>17</v>
      </c>
      <c r="G148" t="s">
        <v>1034</v>
      </c>
      <c r="H148" t="s">
        <v>15</v>
      </c>
      <c r="I148" s="1">
        <v>3</v>
      </c>
      <c r="J148" s="2">
        <v>1732.77</v>
      </c>
    </row>
    <row r="149" spans="2:10" x14ac:dyDescent="0.2">
      <c r="B149" t="s">
        <v>933</v>
      </c>
      <c r="C149" t="s">
        <v>51</v>
      </c>
      <c r="D149" t="s">
        <v>934</v>
      </c>
      <c r="E149" t="s">
        <v>16</v>
      </c>
      <c r="F149" t="s">
        <v>17</v>
      </c>
      <c r="G149" t="s">
        <v>1034</v>
      </c>
      <c r="H149" t="s">
        <v>15</v>
      </c>
      <c r="I149" s="1">
        <v>1</v>
      </c>
      <c r="J149" s="2">
        <v>577.59</v>
      </c>
    </row>
    <row r="150" spans="2:10" x14ac:dyDescent="0.2">
      <c r="B150" t="s">
        <v>933</v>
      </c>
      <c r="C150" t="s">
        <v>166</v>
      </c>
      <c r="D150" t="s">
        <v>226</v>
      </c>
      <c r="E150" t="s">
        <v>16</v>
      </c>
      <c r="F150" t="s">
        <v>17</v>
      </c>
      <c r="G150" t="s">
        <v>1034</v>
      </c>
      <c r="H150" t="s">
        <v>15</v>
      </c>
      <c r="I150" s="1">
        <v>3</v>
      </c>
      <c r="J150" s="2">
        <v>1732.77</v>
      </c>
    </row>
    <row r="151" spans="2:10" x14ac:dyDescent="0.2">
      <c r="B151" t="s">
        <v>933</v>
      </c>
      <c r="C151" t="s">
        <v>335</v>
      </c>
      <c r="D151" t="s">
        <v>934</v>
      </c>
      <c r="E151" t="s">
        <v>16</v>
      </c>
      <c r="F151" t="s">
        <v>17</v>
      </c>
      <c r="G151" t="s">
        <v>1034</v>
      </c>
      <c r="H151" t="s">
        <v>15</v>
      </c>
      <c r="I151" s="1">
        <v>1</v>
      </c>
      <c r="J151" s="2">
        <v>577.59</v>
      </c>
    </row>
    <row r="152" spans="2:10" x14ac:dyDescent="0.2">
      <c r="B152" t="s">
        <v>933</v>
      </c>
      <c r="C152" t="s">
        <v>186</v>
      </c>
      <c r="D152" t="s">
        <v>934</v>
      </c>
      <c r="E152" t="s">
        <v>16</v>
      </c>
      <c r="F152" t="s">
        <v>17</v>
      </c>
      <c r="G152" t="s">
        <v>1034</v>
      </c>
      <c r="H152" t="s">
        <v>15</v>
      </c>
      <c r="I152" s="1">
        <v>1</v>
      </c>
      <c r="J152" s="2">
        <v>577.59</v>
      </c>
    </row>
    <row r="153" spans="2:10" x14ac:dyDescent="0.2">
      <c r="B153" t="s">
        <v>933</v>
      </c>
      <c r="C153" t="s">
        <v>197</v>
      </c>
      <c r="D153" t="s">
        <v>934</v>
      </c>
      <c r="E153" t="s">
        <v>16</v>
      </c>
      <c r="F153" t="s">
        <v>17</v>
      </c>
      <c r="G153" t="s">
        <v>1034</v>
      </c>
      <c r="H153" t="s">
        <v>15</v>
      </c>
      <c r="I153" s="1">
        <v>2</v>
      </c>
      <c r="J153" s="2">
        <v>1155.18</v>
      </c>
    </row>
    <row r="154" spans="2:10" x14ac:dyDescent="0.2">
      <c r="B154" t="s">
        <v>933</v>
      </c>
      <c r="C154" t="s">
        <v>206</v>
      </c>
      <c r="D154" t="s">
        <v>277</v>
      </c>
      <c r="E154" t="s">
        <v>16</v>
      </c>
      <c r="F154" t="s">
        <v>17</v>
      </c>
      <c r="G154" t="s">
        <v>1034</v>
      </c>
      <c r="H154" t="s">
        <v>15</v>
      </c>
      <c r="I154" s="1">
        <v>1</v>
      </c>
      <c r="J154" s="2">
        <v>577.59</v>
      </c>
    </row>
    <row r="155" spans="2:10" x14ac:dyDescent="0.2">
      <c r="B155" t="s">
        <v>933</v>
      </c>
      <c r="C155" t="s">
        <v>225</v>
      </c>
      <c r="D155" t="s">
        <v>934</v>
      </c>
      <c r="E155" t="s">
        <v>16</v>
      </c>
      <c r="F155" t="s">
        <v>17</v>
      </c>
      <c r="G155" t="s">
        <v>1034</v>
      </c>
      <c r="H155" t="s">
        <v>15</v>
      </c>
      <c r="I155" s="1">
        <v>1</v>
      </c>
      <c r="J155" s="2">
        <v>577.59</v>
      </c>
    </row>
    <row r="156" spans="2:10" x14ac:dyDescent="0.2">
      <c r="B156" t="s">
        <v>933</v>
      </c>
      <c r="C156" t="s">
        <v>227</v>
      </c>
      <c r="D156" t="s">
        <v>934</v>
      </c>
      <c r="E156" t="s">
        <v>16</v>
      </c>
      <c r="F156" t="s">
        <v>17</v>
      </c>
      <c r="G156" t="s">
        <v>1034</v>
      </c>
      <c r="H156" t="s">
        <v>15</v>
      </c>
      <c r="I156" s="1">
        <v>4</v>
      </c>
      <c r="J156" s="2">
        <v>2310.36</v>
      </c>
    </row>
    <row r="157" spans="2:10" x14ac:dyDescent="0.2">
      <c r="B157" t="s">
        <v>933</v>
      </c>
      <c r="C157" t="s">
        <v>228</v>
      </c>
      <c r="D157" t="s">
        <v>934</v>
      </c>
      <c r="E157" t="s">
        <v>16</v>
      </c>
      <c r="F157" t="s">
        <v>17</v>
      </c>
      <c r="G157" t="s">
        <v>1034</v>
      </c>
      <c r="H157" t="s">
        <v>15</v>
      </c>
      <c r="I157" s="1">
        <v>2</v>
      </c>
      <c r="J157" s="2">
        <v>1155.18</v>
      </c>
    </row>
    <row r="158" spans="2:10" x14ac:dyDescent="0.2">
      <c r="B158" t="s">
        <v>933</v>
      </c>
      <c r="C158" t="s">
        <v>233</v>
      </c>
      <c r="D158" t="s">
        <v>934</v>
      </c>
      <c r="E158" t="s">
        <v>16</v>
      </c>
      <c r="F158" t="s">
        <v>17</v>
      </c>
      <c r="G158" t="s">
        <v>1034</v>
      </c>
      <c r="H158" t="s">
        <v>15</v>
      </c>
      <c r="I158" s="1">
        <v>1</v>
      </c>
      <c r="J158" s="2">
        <v>577.59</v>
      </c>
    </row>
    <row r="159" spans="2:10" x14ac:dyDescent="0.2">
      <c r="B159" t="s">
        <v>933</v>
      </c>
      <c r="C159" t="s">
        <v>237</v>
      </c>
      <c r="D159" t="s">
        <v>934</v>
      </c>
      <c r="E159" t="s">
        <v>16</v>
      </c>
      <c r="F159" t="s">
        <v>17</v>
      </c>
      <c r="G159" t="s">
        <v>1034</v>
      </c>
      <c r="H159" t="s">
        <v>15</v>
      </c>
      <c r="I159" s="1">
        <v>1</v>
      </c>
      <c r="J159" s="2">
        <v>577.59</v>
      </c>
    </row>
    <row r="160" spans="2:10" x14ac:dyDescent="0.2">
      <c r="B160" t="s">
        <v>933</v>
      </c>
      <c r="C160" t="s">
        <v>248</v>
      </c>
      <c r="D160" t="s">
        <v>277</v>
      </c>
      <c r="E160" t="s">
        <v>16</v>
      </c>
      <c r="F160" t="s">
        <v>17</v>
      </c>
      <c r="G160" t="s">
        <v>1034</v>
      </c>
      <c r="H160" t="s">
        <v>15</v>
      </c>
      <c r="I160" s="1">
        <v>1</v>
      </c>
      <c r="J160" s="2">
        <v>577.59</v>
      </c>
    </row>
    <row r="161" spans="2:10" x14ac:dyDescent="0.2">
      <c r="B161" t="s">
        <v>955</v>
      </c>
      <c r="C161" t="s">
        <v>185</v>
      </c>
      <c r="D161" t="s">
        <v>277</v>
      </c>
      <c r="E161" t="s">
        <v>16</v>
      </c>
      <c r="F161" t="s">
        <v>17</v>
      </c>
      <c r="G161" t="s">
        <v>1034</v>
      </c>
      <c r="H161" t="s">
        <v>15</v>
      </c>
      <c r="I161" s="1">
        <v>2</v>
      </c>
      <c r="J161" s="2">
        <v>1155.18</v>
      </c>
    </row>
    <row r="162" spans="2:10" x14ac:dyDescent="0.2">
      <c r="B162" t="s">
        <v>955</v>
      </c>
      <c r="C162" t="s">
        <v>418</v>
      </c>
      <c r="D162" t="s">
        <v>956</v>
      </c>
      <c r="E162" t="s">
        <v>16</v>
      </c>
      <c r="F162" t="s">
        <v>17</v>
      </c>
      <c r="G162" t="s">
        <v>1034</v>
      </c>
      <c r="H162" t="s">
        <v>15</v>
      </c>
      <c r="I162" s="1">
        <v>2</v>
      </c>
      <c r="J162" s="2">
        <v>1155.18</v>
      </c>
    </row>
    <row r="163" spans="2:10" x14ac:dyDescent="0.2">
      <c r="B163" t="s">
        <v>955</v>
      </c>
      <c r="C163" t="s">
        <v>186</v>
      </c>
      <c r="D163" t="s">
        <v>956</v>
      </c>
      <c r="E163" t="s">
        <v>16</v>
      </c>
      <c r="F163" t="s">
        <v>17</v>
      </c>
      <c r="G163" t="s">
        <v>1034</v>
      </c>
      <c r="H163" t="s">
        <v>15</v>
      </c>
      <c r="I163" s="1">
        <v>1</v>
      </c>
      <c r="J163" s="2">
        <v>577.59</v>
      </c>
    </row>
    <row r="164" spans="2:10" x14ac:dyDescent="0.2">
      <c r="B164" t="s">
        <v>955</v>
      </c>
      <c r="C164" t="s">
        <v>197</v>
      </c>
      <c r="D164" t="s">
        <v>956</v>
      </c>
      <c r="E164" t="s">
        <v>16</v>
      </c>
      <c r="F164" t="s">
        <v>17</v>
      </c>
      <c r="G164" t="s">
        <v>1034</v>
      </c>
      <c r="H164" t="s">
        <v>15</v>
      </c>
      <c r="I164" s="1">
        <v>2</v>
      </c>
      <c r="J164" s="2">
        <v>1155.18</v>
      </c>
    </row>
    <row r="165" spans="2:10" x14ac:dyDescent="0.2">
      <c r="B165" t="s">
        <v>955</v>
      </c>
      <c r="C165" t="s">
        <v>206</v>
      </c>
      <c r="D165" t="s">
        <v>956</v>
      </c>
      <c r="E165" t="s">
        <v>16</v>
      </c>
      <c r="F165" t="s">
        <v>17</v>
      </c>
      <c r="G165" t="s">
        <v>1034</v>
      </c>
      <c r="H165" t="s">
        <v>15</v>
      </c>
      <c r="I165" s="1">
        <v>1</v>
      </c>
      <c r="J165" s="2">
        <v>577.59</v>
      </c>
    </row>
    <row r="166" spans="2:10" x14ac:dyDescent="0.2">
      <c r="B166" t="s">
        <v>955</v>
      </c>
      <c r="C166" t="s">
        <v>220</v>
      </c>
      <c r="D166" t="s">
        <v>956</v>
      </c>
      <c r="E166" t="s">
        <v>16</v>
      </c>
      <c r="F166" t="s">
        <v>17</v>
      </c>
      <c r="G166" t="s">
        <v>1034</v>
      </c>
      <c r="H166" t="s">
        <v>15</v>
      </c>
      <c r="I166" s="1">
        <v>2</v>
      </c>
      <c r="J166" s="2">
        <v>1155.18</v>
      </c>
    </row>
    <row r="167" spans="2:10" x14ac:dyDescent="0.2">
      <c r="B167" t="s">
        <v>955</v>
      </c>
      <c r="C167" t="s">
        <v>228</v>
      </c>
      <c r="D167" t="s">
        <v>277</v>
      </c>
      <c r="E167" t="s">
        <v>16</v>
      </c>
      <c r="F167" t="s">
        <v>17</v>
      </c>
      <c r="G167" t="s">
        <v>1034</v>
      </c>
      <c r="H167" t="s">
        <v>15</v>
      </c>
      <c r="I167" s="1">
        <v>1</v>
      </c>
      <c r="J167" s="2">
        <v>577.59</v>
      </c>
    </row>
    <row r="168" spans="2:10" x14ac:dyDescent="0.2">
      <c r="B168" t="s">
        <v>955</v>
      </c>
      <c r="C168" t="s">
        <v>236</v>
      </c>
      <c r="D168" t="s">
        <v>32</v>
      </c>
      <c r="E168" t="s">
        <v>16</v>
      </c>
      <c r="F168" t="s">
        <v>17</v>
      </c>
      <c r="G168" t="s">
        <v>1034</v>
      </c>
      <c r="H168" t="s">
        <v>15</v>
      </c>
      <c r="I168" s="1">
        <v>1</v>
      </c>
      <c r="J168" s="2">
        <v>577.59</v>
      </c>
    </row>
    <row r="169" spans="2:10" x14ac:dyDescent="0.2">
      <c r="B169" t="s">
        <v>955</v>
      </c>
      <c r="C169" t="s">
        <v>248</v>
      </c>
      <c r="D169" t="s">
        <v>956</v>
      </c>
      <c r="E169" t="s">
        <v>16</v>
      </c>
      <c r="F169" t="s">
        <v>17</v>
      </c>
      <c r="G169" t="s">
        <v>1034</v>
      </c>
      <c r="H169" t="s">
        <v>15</v>
      </c>
      <c r="I169" s="1">
        <v>4</v>
      </c>
      <c r="J169" s="2">
        <v>2310.36</v>
      </c>
    </row>
    <row r="170" spans="2:10" x14ac:dyDescent="0.2">
      <c r="B170" t="s">
        <v>1016</v>
      </c>
      <c r="C170" t="s">
        <v>166</v>
      </c>
      <c r="D170" t="s">
        <v>32</v>
      </c>
      <c r="E170" t="s">
        <v>16</v>
      </c>
      <c r="F170" t="s">
        <v>17</v>
      </c>
      <c r="G170" t="s">
        <v>1034</v>
      </c>
      <c r="H170" t="s">
        <v>15</v>
      </c>
      <c r="I170" s="1">
        <v>1</v>
      </c>
      <c r="J170" s="2">
        <v>577.59</v>
      </c>
    </row>
    <row r="171" spans="2:10" x14ac:dyDescent="0.2">
      <c r="B171" t="s">
        <v>1016</v>
      </c>
      <c r="C171" t="s">
        <v>186</v>
      </c>
      <c r="D171" t="s">
        <v>1017</v>
      </c>
      <c r="E171" t="s">
        <v>16</v>
      </c>
      <c r="F171" t="s">
        <v>17</v>
      </c>
      <c r="G171" t="s">
        <v>1034</v>
      </c>
      <c r="H171" t="s">
        <v>15</v>
      </c>
      <c r="I171" s="1">
        <v>2</v>
      </c>
      <c r="J171" s="2">
        <v>1155.18</v>
      </c>
    </row>
    <row r="172" spans="2:10" x14ac:dyDescent="0.2">
      <c r="B172" t="s">
        <v>1016</v>
      </c>
      <c r="C172" t="s">
        <v>197</v>
      </c>
      <c r="D172" t="s">
        <v>1017</v>
      </c>
      <c r="E172" t="s">
        <v>16</v>
      </c>
      <c r="F172" t="s">
        <v>17</v>
      </c>
      <c r="G172" t="s">
        <v>1034</v>
      </c>
      <c r="H172" t="s">
        <v>15</v>
      </c>
      <c r="I172" s="1">
        <v>1</v>
      </c>
      <c r="J172" s="2">
        <v>577.59</v>
      </c>
    </row>
    <row r="173" spans="2:10" x14ac:dyDescent="0.2">
      <c r="B173" t="s">
        <v>1016</v>
      </c>
      <c r="C173" t="s">
        <v>206</v>
      </c>
      <c r="D173" t="s">
        <v>1017</v>
      </c>
      <c r="E173" t="s">
        <v>16</v>
      </c>
      <c r="F173" t="s">
        <v>17</v>
      </c>
      <c r="G173" t="s">
        <v>1034</v>
      </c>
      <c r="H173" t="s">
        <v>15</v>
      </c>
      <c r="I173" s="1">
        <v>1</v>
      </c>
      <c r="J173" s="2">
        <v>577.59</v>
      </c>
    </row>
    <row r="174" spans="2:10" x14ac:dyDescent="0.2">
      <c r="B174" t="s">
        <v>1016</v>
      </c>
      <c r="C174" t="s">
        <v>225</v>
      </c>
      <c r="D174" t="s">
        <v>1017</v>
      </c>
      <c r="E174" t="s">
        <v>16</v>
      </c>
      <c r="F174" t="s">
        <v>17</v>
      </c>
      <c r="G174" t="s">
        <v>1034</v>
      </c>
      <c r="H174" t="s">
        <v>15</v>
      </c>
      <c r="I174" s="1">
        <v>1</v>
      </c>
      <c r="J174" s="2">
        <v>577.59</v>
      </c>
    </row>
    <row r="175" spans="2:10" x14ac:dyDescent="0.2">
      <c r="B175" t="s">
        <v>1016</v>
      </c>
      <c r="C175" t="s">
        <v>227</v>
      </c>
      <c r="D175" t="s">
        <v>1017</v>
      </c>
      <c r="E175" t="s">
        <v>16</v>
      </c>
      <c r="F175" t="s">
        <v>17</v>
      </c>
      <c r="G175" t="s">
        <v>1034</v>
      </c>
      <c r="H175" t="s">
        <v>15</v>
      </c>
      <c r="I175" s="1">
        <v>3</v>
      </c>
      <c r="J175" s="2">
        <v>1732.77</v>
      </c>
    </row>
    <row r="176" spans="2:10" x14ac:dyDescent="0.2">
      <c r="B176" t="s">
        <v>1016</v>
      </c>
      <c r="C176" t="s">
        <v>233</v>
      </c>
      <c r="D176" t="s">
        <v>1017</v>
      </c>
      <c r="E176" t="s">
        <v>16</v>
      </c>
      <c r="F176" t="s">
        <v>17</v>
      </c>
      <c r="G176" t="s">
        <v>1034</v>
      </c>
      <c r="H176" t="s">
        <v>15</v>
      </c>
      <c r="I176" s="1">
        <v>1</v>
      </c>
      <c r="J176" s="2">
        <v>577.59</v>
      </c>
    </row>
    <row r="177" spans="2:10" x14ac:dyDescent="0.2">
      <c r="B177" t="s">
        <v>1016</v>
      </c>
      <c r="C177" t="s">
        <v>236</v>
      </c>
      <c r="D177" t="s">
        <v>1017</v>
      </c>
      <c r="E177" t="s">
        <v>16</v>
      </c>
      <c r="F177" t="s">
        <v>17</v>
      </c>
      <c r="G177" t="s">
        <v>1034</v>
      </c>
      <c r="H177" t="s">
        <v>15</v>
      </c>
      <c r="I177" s="1">
        <v>1</v>
      </c>
      <c r="J177" s="2">
        <v>577.59</v>
      </c>
    </row>
    <row r="178" spans="2:10" x14ac:dyDescent="0.2">
      <c r="B178" t="s">
        <v>1016</v>
      </c>
      <c r="C178" t="s">
        <v>237</v>
      </c>
      <c r="D178" t="s">
        <v>1017</v>
      </c>
      <c r="E178" t="s">
        <v>16</v>
      </c>
      <c r="F178" t="s">
        <v>17</v>
      </c>
      <c r="G178" t="s">
        <v>1034</v>
      </c>
      <c r="H178" t="s">
        <v>15</v>
      </c>
      <c r="I178" s="1">
        <v>1</v>
      </c>
      <c r="J178" s="2">
        <v>577.59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519A-25A6-4CED-A9B5-4B3FC279EB64}">
  <dimension ref="B4:Q1154"/>
  <sheetViews>
    <sheetView showGridLines="0" topLeftCell="G5" workbookViewId="0">
      <selection activeCell="L22" sqref="L22"/>
    </sheetView>
  </sheetViews>
  <sheetFormatPr baseColWidth="10" defaultRowHeight="12.75" x14ac:dyDescent="0.2"/>
  <cols>
    <col min="2" max="2" width="17.42578125" customWidth="1"/>
    <col min="3" max="3" width="10.140625" bestFit="1" customWidth="1"/>
    <col min="4" max="4" width="41" bestFit="1" customWidth="1"/>
    <col min="5" max="5" width="14" bestFit="1" customWidth="1"/>
    <col min="6" max="6" width="43.42578125" bestFit="1" customWidth="1"/>
    <col min="7" max="7" width="21" bestFit="1" customWidth="1"/>
    <col min="8" max="8" width="7.7109375" bestFit="1" customWidth="1"/>
    <col min="9" max="9" width="10.42578125" bestFit="1" customWidth="1"/>
    <col min="10" max="10" width="9.140625" bestFit="1" customWidth="1"/>
    <col min="12" max="12" width="41" bestFit="1" customWidth="1"/>
    <col min="13" max="13" width="17.42578125" bestFit="1" customWidth="1"/>
    <col min="14" max="14" width="6" customWidth="1"/>
  </cols>
  <sheetData>
    <row r="4" spans="2:17" x14ac:dyDescent="0.2"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</row>
    <row r="5" spans="2:17" x14ac:dyDescent="0.2"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1034</v>
      </c>
      <c r="H5" t="s">
        <v>15</v>
      </c>
      <c r="I5" s="1">
        <v>1</v>
      </c>
      <c r="J5" s="2">
        <v>1077.5899999999999</v>
      </c>
    </row>
    <row r="6" spans="2:17" x14ac:dyDescent="0.2">
      <c r="B6" t="s">
        <v>9</v>
      </c>
      <c r="C6" t="s">
        <v>31</v>
      </c>
      <c r="D6" t="s">
        <v>32</v>
      </c>
      <c r="E6" t="s">
        <v>36</v>
      </c>
      <c r="F6" t="s">
        <v>37</v>
      </c>
      <c r="G6" t="s">
        <v>1034</v>
      </c>
      <c r="H6" t="s">
        <v>15</v>
      </c>
      <c r="I6" s="1">
        <v>1</v>
      </c>
      <c r="J6" s="2">
        <v>301.72000000000003</v>
      </c>
    </row>
    <row r="7" spans="2:17" x14ac:dyDescent="0.2">
      <c r="B7" t="s">
        <v>9</v>
      </c>
      <c r="C7" t="s">
        <v>31</v>
      </c>
      <c r="D7" t="s">
        <v>32</v>
      </c>
      <c r="E7" t="s">
        <v>38</v>
      </c>
      <c r="F7" t="s">
        <v>39</v>
      </c>
      <c r="G7" t="s">
        <v>1034</v>
      </c>
      <c r="H7" t="s">
        <v>15</v>
      </c>
      <c r="I7" s="1">
        <v>1</v>
      </c>
      <c r="J7" s="2">
        <v>431.03</v>
      </c>
      <c r="L7" s="139" t="s">
        <v>1094</v>
      </c>
      <c r="M7" t="s">
        <v>1096</v>
      </c>
      <c r="O7" s="146">
        <v>0.02</v>
      </c>
      <c r="P7" s="146">
        <v>0.01</v>
      </c>
      <c r="Q7" s="5"/>
    </row>
    <row r="8" spans="2:17" x14ac:dyDescent="0.2">
      <c r="B8" t="s">
        <v>9</v>
      </c>
      <c r="C8" t="s">
        <v>40</v>
      </c>
      <c r="D8" t="s">
        <v>11</v>
      </c>
      <c r="E8" t="s">
        <v>46</v>
      </c>
      <c r="F8" t="s">
        <v>47</v>
      </c>
      <c r="G8" t="s">
        <v>1034</v>
      </c>
      <c r="H8" t="s">
        <v>15</v>
      </c>
      <c r="I8" s="1">
        <v>1</v>
      </c>
      <c r="J8" s="2">
        <v>301.72000000000003</v>
      </c>
      <c r="L8" s="140" t="s">
        <v>277</v>
      </c>
      <c r="M8" s="2">
        <v>37611.800000000003</v>
      </c>
      <c r="O8" s="153">
        <f>M8*$O$7</f>
        <v>752.2360000000001</v>
      </c>
      <c r="P8" s="5"/>
      <c r="Q8" s="5"/>
    </row>
    <row r="9" spans="2:17" x14ac:dyDescent="0.2">
      <c r="B9" t="s">
        <v>9</v>
      </c>
      <c r="C9" t="s">
        <v>51</v>
      </c>
      <c r="D9" t="s">
        <v>11</v>
      </c>
      <c r="E9" t="s">
        <v>36</v>
      </c>
      <c r="F9" t="s">
        <v>37</v>
      </c>
      <c r="G9" t="s">
        <v>1034</v>
      </c>
      <c r="H9" t="s">
        <v>15</v>
      </c>
      <c r="I9" s="1">
        <v>1</v>
      </c>
      <c r="J9" s="2">
        <v>301.72000000000003</v>
      </c>
      <c r="L9" s="140" t="s">
        <v>32</v>
      </c>
      <c r="M9" s="2">
        <v>23904.950000000004</v>
      </c>
      <c r="O9" s="153">
        <f t="shared" ref="O9:O27" si="0">M9*$O$7</f>
        <v>478.0990000000001</v>
      </c>
    </row>
    <row r="10" spans="2:17" x14ac:dyDescent="0.2">
      <c r="B10" t="s">
        <v>9</v>
      </c>
      <c r="C10" t="s">
        <v>51</v>
      </c>
      <c r="D10" t="s">
        <v>11</v>
      </c>
      <c r="E10" t="s">
        <v>56</v>
      </c>
      <c r="F10" t="s">
        <v>57</v>
      </c>
      <c r="G10" t="s">
        <v>1034</v>
      </c>
      <c r="H10" t="s">
        <v>15</v>
      </c>
      <c r="I10" s="1">
        <v>1</v>
      </c>
      <c r="J10" s="2">
        <v>431.03</v>
      </c>
      <c r="L10" s="140" t="s">
        <v>741</v>
      </c>
      <c r="M10" s="2">
        <v>33370.369999999995</v>
      </c>
      <c r="O10" s="153">
        <f t="shared" si="0"/>
        <v>667.40739999999994</v>
      </c>
    </row>
    <row r="11" spans="2:17" x14ac:dyDescent="0.2">
      <c r="B11" t="s">
        <v>9</v>
      </c>
      <c r="C11" t="s">
        <v>51</v>
      </c>
      <c r="D11" t="s">
        <v>11</v>
      </c>
      <c r="E11" t="s">
        <v>61</v>
      </c>
      <c r="F11" t="s">
        <v>62</v>
      </c>
      <c r="G11" t="s">
        <v>1034</v>
      </c>
      <c r="H11" t="s">
        <v>15</v>
      </c>
      <c r="I11" s="1">
        <v>1</v>
      </c>
      <c r="J11" s="2">
        <v>172.41</v>
      </c>
      <c r="L11" s="140" t="s">
        <v>908</v>
      </c>
      <c r="M11" s="2">
        <v>18189.46</v>
      </c>
      <c r="O11" s="153">
        <f t="shared" si="0"/>
        <v>363.78919999999999</v>
      </c>
    </row>
    <row r="12" spans="2:17" x14ac:dyDescent="0.2">
      <c r="B12" t="s">
        <v>9</v>
      </c>
      <c r="C12" t="s">
        <v>51</v>
      </c>
      <c r="D12" t="s">
        <v>11</v>
      </c>
      <c r="E12" t="s">
        <v>63</v>
      </c>
      <c r="F12" t="s">
        <v>64</v>
      </c>
      <c r="G12" t="s">
        <v>1034</v>
      </c>
      <c r="H12" t="s">
        <v>15</v>
      </c>
      <c r="I12" s="1">
        <v>1</v>
      </c>
      <c r="J12" s="2">
        <v>172.41</v>
      </c>
      <c r="L12" s="140" t="s">
        <v>1017</v>
      </c>
      <c r="M12" s="2">
        <v>31896.249999999993</v>
      </c>
      <c r="O12" s="153">
        <f t="shared" si="0"/>
        <v>637.92499999999984</v>
      </c>
    </row>
    <row r="13" spans="2:17" x14ac:dyDescent="0.2">
      <c r="B13" t="s">
        <v>9</v>
      </c>
      <c r="C13" t="s">
        <v>65</v>
      </c>
      <c r="D13" t="s">
        <v>11</v>
      </c>
      <c r="E13" t="s">
        <v>72</v>
      </c>
      <c r="F13" t="s">
        <v>73</v>
      </c>
      <c r="G13" t="s">
        <v>1034</v>
      </c>
      <c r="H13" t="s">
        <v>15</v>
      </c>
      <c r="I13" s="1">
        <v>2</v>
      </c>
      <c r="J13" s="2">
        <v>1551.72</v>
      </c>
      <c r="L13" s="140" t="s">
        <v>584</v>
      </c>
      <c r="M13" s="2">
        <v>16301.58</v>
      </c>
      <c r="O13" s="153">
        <f t="shared" si="0"/>
        <v>326.03160000000003</v>
      </c>
    </row>
    <row r="14" spans="2:17" x14ac:dyDescent="0.2">
      <c r="B14" t="s">
        <v>9</v>
      </c>
      <c r="C14" t="s">
        <v>65</v>
      </c>
      <c r="D14" t="s">
        <v>11</v>
      </c>
      <c r="E14" t="s">
        <v>38</v>
      </c>
      <c r="F14" t="s">
        <v>39</v>
      </c>
      <c r="G14" t="s">
        <v>1034</v>
      </c>
      <c r="H14" t="s">
        <v>15</v>
      </c>
      <c r="I14" s="1">
        <v>1</v>
      </c>
      <c r="J14" s="2">
        <v>431.03</v>
      </c>
      <c r="L14" s="140" t="s">
        <v>781</v>
      </c>
      <c r="M14" s="2">
        <v>21853.209999999995</v>
      </c>
      <c r="O14" s="153">
        <f t="shared" si="0"/>
        <v>437.06419999999991</v>
      </c>
    </row>
    <row r="15" spans="2:17" x14ac:dyDescent="0.2">
      <c r="B15" t="s">
        <v>9</v>
      </c>
      <c r="C15" t="s">
        <v>82</v>
      </c>
      <c r="D15" t="s">
        <v>11</v>
      </c>
      <c r="E15" t="s">
        <v>83</v>
      </c>
      <c r="F15" t="s">
        <v>84</v>
      </c>
      <c r="G15" t="s">
        <v>1034</v>
      </c>
      <c r="H15" t="s">
        <v>15</v>
      </c>
      <c r="I15" s="1">
        <v>1</v>
      </c>
      <c r="J15" s="2">
        <v>387.93</v>
      </c>
      <c r="L15" s="140" t="s">
        <v>691</v>
      </c>
      <c r="M15" s="2">
        <v>35215.280000000006</v>
      </c>
      <c r="O15" s="153">
        <f t="shared" si="0"/>
        <v>704.30560000000014</v>
      </c>
    </row>
    <row r="16" spans="2:17" x14ac:dyDescent="0.2">
      <c r="B16" t="s">
        <v>9</v>
      </c>
      <c r="C16" t="s">
        <v>88</v>
      </c>
      <c r="D16" t="s">
        <v>11</v>
      </c>
      <c r="E16" t="s">
        <v>72</v>
      </c>
      <c r="F16" t="s">
        <v>73</v>
      </c>
      <c r="G16" t="s">
        <v>1034</v>
      </c>
      <c r="H16" t="s">
        <v>15</v>
      </c>
      <c r="I16" s="1">
        <v>3</v>
      </c>
      <c r="J16" s="2">
        <v>2327.58</v>
      </c>
      <c r="L16" s="140" t="s">
        <v>934</v>
      </c>
      <c r="M16" s="2">
        <v>32715.240000000016</v>
      </c>
      <c r="O16" s="153">
        <f t="shared" si="0"/>
        <v>654.30480000000034</v>
      </c>
    </row>
    <row r="17" spans="2:15" x14ac:dyDescent="0.2">
      <c r="B17" t="s">
        <v>9</v>
      </c>
      <c r="C17" t="s">
        <v>88</v>
      </c>
      <c r="D17" t="s">
        <v>11</v>
      </c>
      <c r="E17" t="s">
        <v>83</v>
      </c>
      <c r="F17" t="s">
        <v>84</v>
      </c>
      <c r="G17" t="s">
        <v>1034</v>
      </c>
      <c r="H17" t="s">
        <v>15</v>
      </c>
      <c r="I17" s="1">
        <v>1</v>
      </c>
      <c r="J17" s="2">
        <v>387.93</v>
      </c>
      <c r="L17" s="140" t="s">
        <v>130</v>
      </c>
      <c r="M17" s="2">
        <v>19223.990000000002</v>
      </c>
      <c r="O17" s="152">
        <v>0</v>
      </c>
    </row>
    <row r="18" spans="2:15" x14ac:dyDescent="0.2">
      <c r="B18" t="s">
        <v>9</v>
      </c>
      <c r="C18" t="s">
        <v>117</v>
      </c>
      <c r="D18" t="s">
        <v>11</v>
      </c>
      <c r="E18" t="s">
        <v>120</v>
      </c>
      <c r="F18" t="s">
        <v>121</v>
      </c>
      <c r="G18" t="s">
        <v>1034</v>
      </c>
      <c r="H18" t="s">
        <v>15</v>
      </c>
      <c r="I18" s="1">
        <v>1</v>
      </c>
      <c r="J18" s="2">
        <v>301.72000000000003</v>
      </c>
      <c r="L18" s="140" t="s">
        <v>456</v>
      </c>
      <c r="M18" s="2">
        <v>41749.630000000012</v>
      </c>
      <c r="O18" s="152">
        <f t="shared" si="0"/>
        <v>834.99260000000027</v>
      </c>
    </row>
    <row r="19" spans="2:15" x14ac:dyDescent="0.2">
      <c r="B19" t="s">
        <v>9</v>
      </c>
      <c r="C19" t="s">
        <v>117</v>
      </c>
      <c r="D19" t="s">
        <v>11</v>
      </c>
      <c r="E19" t="s">
        <v>72</v>
      </c>
      <c r="F19" t="s">
        <v>73</v>
      </c>
      <c r="G19" t="s">
        <v>1034</v>
      </c>
      <c r="H19" t="s">
        <v>15</v>
      </c>
      <c r="I19" s="1">
        <v>1</v>
      </c>
      <c r="J19" s="2">
        <v>775.86</v>
      </c>
      <c r="L19" s="140" t="s">
        <v>386</v>
      </c>
      <c r="M19" s="2">
        <v>24784.350000000009</v>
      </c>
      <c r="O19" s="152">
        <f t="shared" si="0"/>
        <v>495.68700000000018</v>
      </c>
    </row>
    <row r="20" spans="2:15" x14ac:dyDescent="0.2">
      <c r="B20" t="s">
        <v>9</v>
      </c>
      <c r="C20" t="s">
        <v>117</v>
      </c>
      <c r="D20" t="s">
        <v>11</v>
      </c>
      <c r="E20" t="s">
        <v>122</v>
      </c>
      <c r="F20" t="s">
        <v>123</v>
      </c>
      <c r="G20" t="s">
        <v>1034</v>
      </c>
      <c r="H20" t="s">
        <v>15</v>
      </c>
      <c r="I20" s="1">
        <v>1</v>
      </c>
      <c r="J20" s="2">
        <v>387.93</v>
      </c>
      <c r="L20" s="140" t="s">
        <v>226</v>
      </c>
      <c r="M20" s="2">
        <v>25473.890000000007</v>
      </c>
      <c r="O20" s="152">
        <f t="shared" si="0"/>
        <v>509.47780000000017</v>
      </c>
    </row>
    <row r="21" spans="2:15" x14ac:dyDescent="0.2">
      <c r="B21" t="s">
        <v>9</v>
      </c>
      <c r="C21" t="s">
        <v>117</v>
      </c>
      <c r="D21" t="s">
        <v>11</v>
      </c>
      <c r="E21" t="s">
        <v>56</v>
      </c>
      <c r="F21" t="s">
        <v>57</v>
      </c>
      <c r="G21" t="s">
        <v>1034</v>
      </c>
      <c r="H21" t="s">
        <v>15</v>
      </c>
      <c r="I21" s="1">
        <v>3</v>
      </c>
      <c r="J21" s="2">
        <v>1293.0999999999999</v>
      </c>
      <c r="L21" s="140" t="s">
        <v>262</v>
      </c>
      <c r="M21" s="2">
        <v>40154.780000000021</v>
      </c>
      <c r="O21" s="152">
        <f t="shared" si="0"/>
        <v>803.09560000000045</v>
      </c>
    </row>
    <row r="22" spans="2:15" x14ac:dyDescent="0.2">
      <c r="B22" t="s">
        <v>9</v>
      </c>
      <c r="C22" t="s">
        <v>117</v>
      </c>
      <c r="D22" t="s">
        <v>11</v>
      </c>
      <c r="E22" t="s">
        <v>124</v>
      </c>
      <c r="F22" t="s">
        <v>125</v>
      </c>
      <c r="G22" t="s">
        <v>1034</v>
      </c>
      <c r="H22" t="s">
        <v>15</v>
      </c>
      <c r="I22" s="1">
        <v>1</v>
      </c>
      <c r="J22" s="2">
        <v>431.03</v>
      </c>
      <c r="L22" s="140" t="s">
        <v>532</v>
      </c>
      <c r="M22" s="2">
        <v>17111.93</v>
      </c>
      <c r="O22" s="152">
        <v>0</v>
      </c>
    </row>
    <row r="23" spans="2:15" x14ac:dyDescent="0.2">
      <c r="B23" t="s">
        <v>9</v>
      </c>
      <c r="C23" t="s">
        <v>117</v>
      </c>
      <c r="D23" t="s">
        <v>11</v>
      </c>
      <c r="E23" t="s">
        <v>61</v>
      </c>
      <c r="F23" t="s">
        <v>62</v>
      </c>
      <c r="G23" t="s">
        <v>1034</v>
      </c>
      <c r="H23" t="s">
        <v>15</v>
      </c>
      <c r="I23" s="1">
        <v>1</v>
      </c>
      <c r="J23" s="2">
        <v>172.41</v>
      </c>
      <c r="L23" s="140" t="s">
        <v>956</v>
      </c>
      <c r="M23" s="2">
        <v>49741.109999999993</v>
      </c>
      <c r="O23" s="152">
        <v>0</v>
      </c>
    </row>
    <row r="24" spans="2:15" x14ac:dyDescent="0.2">
      <c r="B24" t="s">
        <v>9</v>
      </c>
      <c r="C24" t="s">
        <v>135</v>
      </c>
      <c r="D24" t="s">
        <v>11</v>
      </c>
      <c r="E24" t="s">
        <v>72</v>
      </c>
      <c r="F24" t="s">
        <v>73</v>
      </c>
      <c r="G24" t="s">
        <v>1034</v>
      </c>
      <c r="H24" t="s">
        <v>15</v>
      </c>
      <c r="I24" s="1">
        <v>2</v>
      </c>
      <c r="J24" s="2">
        <v>1551.72</v>
      </c>
      <c r="L24" s="140" t="s">
        <v>616</v>
      </c>
      <c r="M24" s="2">
        <v>12930.869999999999</v>
      </c>
      <c r="O24" s="152">
        <v>0</v>
      </c>
    </row>
    <row r="25" spans="2:15" x14ac:dyDescent="0.2">
      <c r="B25" t="s">
        <v>9</v>
      </c>
      <c r="C25" t="s">
        <v>135</v>
      </c>
      <c r="D25" t="s">
        <v>11</v>
      </c>
      <c r="E25" t="s">
        <v>56</v>
      </c>
      <c r="F25" t="s">
        <v>57</v>
      </c>
      <c r="G25" t="s">
        <v>1034</v>
      </c>
      <c r="H25" t="s">
        <v>15</v>
      </c>
      <c r="I25" s="1">
        <v>3</v>
      </c>
      <c r="J25" s="2">
        <v>1293.0999999999999</v>
      </c>
      <c r="L25" s="140" t="s">
        <v>11</v>
      </c>
      <c r="M25" s="2">
        <v>33792.89</v>
      </c>
      <c r="O25" s="152">
        <f t="shared" si="0"/>
        <v>675.8578</v>
      </c>
    </row>
    <row r="26" spans="2:15" x14ac:dyDescent="0.2">
      <c r="B26" t="s">
        <v>9</v>
      </c>
      <c r="C26" t="s">
        <v>141</v>
      </c>
      <c r="D26" t="s">
        <v>11</v>
      </c>
      <c r="E26" t="s">
        <v>72</v>
      </c>
      <c r="F26" t="s">
        <v>73</v>
      </c>
      <c r="G26" t="s">
        <v>1034</v>
      </c>
      <c r="H26" t="s">
        <v>15</v>
      </c>
      <c r="I26" s="1">
        <v>1</v>
      </c>
      <c r="J26" s="2">
        <v>775.86</v>
      </c>
      <c r="L26" s="140" t="s">
        <v>825</v>
      </c>
      <c r="M26" s="2">
        <v>39042.820000000014</v>
      </c>
      <c r="O26" s="152">
        <f t="shared" si="0"/>
        <v>780.85640000000035</v>
      </c>
    </row>
    <row r="27" spans="2:15" x14ac:dyDescent="0.2">
      <c r="B27" t="s">
        <v>9</v>
      </c>
      <c r="C27" t="s">
        <v>141</v>
      </c>
      <c r="D27" t="s">
        <v>11</v>
      </c>
      <c r="E27" t="s">
        <v>56</v>
      </c>
      <c r="F27" t="s">
        <v>57</v>
      </c>
      <c r="G27" t="s">
        <v>1034</v>
      </c>
      <c r="H27" t="s">
        <v>15</v>
      </c>
      <c r="I27" s="1">
        <v>1</v>
      </c>
      <c r="J27" s="2">
        <v>431.03</v>
      </c>
      <c r="L27" s="140" t="s">
        <v>655</v>
      </c>
      <c r="M27" s="2">
        <v>17913.639999999992</v>
      </c>
      <c r="O27" s="152">
        <f t="shared" si="0"/>
        <v>358.27279999999985</v>
      </c>
    </row>
    <row r="28" spans="2:15" x14ac:dyDescent="0.2">
      <c r="B28" t="s">
        <v>9</v>
      </c>
      <c r="C28" t="s">
        <v>141</v>
      </c>
      <c r="D28" t="s">
        <v>11</v>
      </c>
      <c r="E28" t="s">
        <v>61</v>
      </c>
      <c r="F28" t="s">
        <v>62</v>
      </c>
      <c r="G28" t="s">
        <v>1034</v>
      </c>
      <c r="H28" t="s">
        <v>15</v>
      </c>
      <c r="I28" s="1">
        <v>3</v>
      </c>
      <c r="J28" s="2">
        <v>517.23</v>
      </c>
      <c r="L28" s="140" t="s">
        <v>1095</v>
      </c>
      <c r="M28" s="2">
        <v>572978.04000000015</v>
      </c>
      <c r="O28" s="152">
        <f>SUM(O8:O27)</f>
        <v>9479.4028000000035</v>
      </c>
    </row>
    <row r="29" spans="2:15" x14ac:dyDescent="0.2">
      <c r="B29" t="s">
        <v>9</v>
      </c>
      <c r="C29" t="s">
        <v>141</v>
      </c>
      <c r="D29" t="s">
        <v>11</v>
      </c>
      <c r="E29" t="s">
        <v>63</v>
      </c>
      <c r="F29" t="s">
        <v>64</v>
      </c>
      <c r="G29" t="s">
        <v>1034</v>
      </c>
      <c r="H29" t="s">
        <v>15</v>
      </c>
      <c r="I29" s="1">
        <v>2</v>
      </c>
      <c r="J29" s="2">
        <v>344.82</v>
      </c>
    </row>
    <row r="30" spans="2:15" x14ac:dyDescent="0.2">
      <c r="B30" t="s">
        <v>9</v>
      </c>
      <c r="C30" t="s">
        <v>144</v>
      </c>
      <c r="D30" t="s">
        <v>11</v>
      </c>
      <c r="E30" t="s">
        <v>46</v>
      </c>
      <c r="F30" t="s">
        <v>47</v>
      </c>
      <c r="G30" t="s">
        <v>1034</v>
      </c>
      <c r="H30" t="s">
        <v>15</v>
      </c>
      <c r="I30" s="1">
        <v>2</v>
      </c>
      <c r="J30" s="2">
        <v>603.44000000000005</v>
      </c>
    </row>
    <row r="31" spans="2:15" x14ac:dyDescent="0.2">
      <c r="B31" t="s">
        <v>9</v>
      </c>
      <c r="C31" t="s">
        <v>144</v>
      </c>
      <c r="D31" t="s">
        <v>11</v>
      </c>
      <c r="E31" t="s">
        <v>153</v>
      </c>
      <c r="F31" t="s">
        <v>154</v>
      </c>
      <c r="G31" t="s">
        <v>1034</v>
      </c>
      <c r="H31" t="s">
        <v>15</v>
      </c>
      <c r="I31" s="1">
        <v>1</v>
      </c>
      <c r="J31" s="2">
        <v>387.93</v>
      </c>
    </row>
    <row r="32" spans="2:15" x14ac:dyDescent="0.2">
      <c r="B32" t="s">
        <v>9</v>
      </c>
      <c r="C32" t="s">
        <v>144</v>
      </c>
      <c r="D32" t="s">
        <v>11</v>
      </c>
      <c r="E32" t="s">
        <v>38</v>
      </c>
      <c r="F32" t="s">
        <v>39</v>
      </c>
      <c r="G32" t="s">
        <v>1034</v>
      </c>
      <c r="H32" t="s">
        <v>15</v>
      </c>
      <c r="I32" s="1">
        <v>3</v>
      </c>
      <c r="J32" s="2">
        <v>1293.0899999999999</v>
      </c>
    </row>
    <row r="33" spans="2:10" x14ac:dyDescent="0.2">
      <c r="B33" t="s">
        <v>9</v>
      </c>
      <c r="C33" t="s">
        <v>144</v>
      </c>
      <c r="D33" t="s">
        <v>11</v>
      </c>
      <c r="E33" t="s">
        <v>56</v>
      </c>
      <c r="F33" t="s">
        <v>57</v>
      </c>
      <c r="G33" t="s">
        <v>1034</v>
      </c>
      <c r="H33" t="s">
        <v>15</v>
      </c>
      <c r="I33" s="1">
        <v>1</v>
      </c>
      <c r="J33" s="2">
        <v>431.03</v>
      </c>
    </row>
    <row r="34" spans="2:10" x14ac:dyDescent="0.2">
      <c r="B34" t="s">
        <v>9</v>
      </c>
      <c r="C34" t="s">
        <v>144</v>
      </c>
      <c r="D34" t="s">
        <v>11</v>
      </c>
      <c r="E34" t="s">
        <v>124</v>
      </c>
      <c r="F34" t="s">
        <v>125</v>
      </c>
      <c r="G34" t="s">
        <v>1034</v>
      </c>
      <c r="H34" t="s">
        <v>15</v>
      </c>
      <c r="I34" s="1">
        <v>1</v>
      </c>
      <c r="J34" s="2">
        <v>431.03</v>
      </c>
    </row>
    <row r="35" spans="2:10" x14ac:dyDescent="0.2">
      <c r="B35" t="s">
        <v>9</v>
      </c>
      <c r="C35" t="s">
        <v>144</v>
      </c>
      <c r="D35" t="s">
        <v>11</v>
      </c>
      <c r="E35" t="s">
        <v>163</v>
      </c>
      <c r="F35" t="s">
        <v>164</v>
      </c>
      <c r="G35" t="s">
        <v>1034</v>
      </c>
      <c r="H35" t="s">
        <v>15</v>
      </c>
      <c r="I35" s="1">
        <v>2</v>
      </c>
      <c r="J35" s="2">
        <v>862.07</v>
      </c>
    </row>
    <row r="36" spans="2:10" x14ac:dyDescent="0.2">
      <c r="B36" t="s">
        <v>9</v>
      </c>
      <c r="C36" t="s">
        <v>166</v>
      </c>
      <c r="D36" t="s">
        <v>11</v>
      </c>
      <c r="E36" t="s">
        <v>72</v>
      </c>
      <c r="F36" t="s">
        <v>73</v>
      </c>
      <c r="G36" t="s">
        <v>1034</v>
      </c>
      <c r="H36" t="s">
        <v>15</v>
      </c>
      <c r="I36" s="1">
        <v>1</v>
      </c>
      <c r="J36" s="2">
        <v>775.86</v>
      </c>
    </row>
    <row r="37" spans="2:10" x14ac:dyDescent="0.2">
      <c r="B37" t="s">
        <v>9</v>
      </c>
      <c r="C37" t="s">
        <v>185</v>
      </c>
      <c r="D37" t="s">
        <v>130</v>
      </c>
      <c r="E37" t="s">
        <v>46</v>
      </c>
      <c r="F37" t="s">
        <v>47</v>
      </c>
      <c r="G37" t="s">
        <v>1034</v>
      </c>
      <c r="H37" t="s">
        <v>15</v>
      </c>
      <c r="I37" s="1">
        <v>1</v>
      </c>
      <c r="J37" s="2">
        <v>301.72000000000003</v>
      </c>
    </row>
    <row r="38" spans="2:10" x14ac:dyDescent="0.2">
      <c r="B38" t="s">
        <v>9</v>
      </c>
      <c r="C38" t="s">
        <v>185</v>
      </c>
      <c r="D38" t="s">
        <v>130</v>
      </c>
      <c r="E38" t="s">
        <v>72</v>
      </c>
      <c r="F38" t="s">
        <v>73</v>
      </c>
      <c r="G38" t="s">
        <v>1034</v>
      </c>
      <c r="H38" t="s">
        <v>15</v>
      </c>
      <c r="I38" s="1">
        <v>1</v>
      </c>
      <c r="J38" s="2">
        <v>775.86</v>
      </c>
    </row>
    <row r="39" spans="2:10" x14ac:dyDescent="0.2">
      <c r="B39" t="s">
        <v>9</v>
      </c>
      <c r="C39" t="s">
        <v>186</v>
      </c>
      <c r="D39" t="s">
        <v>11</v>
      </c>
      <c r="E39" t="s">
        <v>120</v>
      </c>
      <c r="F39" t="s">
        <v>121</v>
      </c>
      <c r="G39" t="s">
        <v>1034</v>
      </c>
      <c r="H39" t="s">
        <v>15</v>
      </c>
      <c r="I39" s="1">
        <v>1</v>
      </c>
      <c r="J39" s="2">
        <v>301.72000000000003</v>
      </c>
    </row>
    <row r="40" spans="2:10" x14ac:dyDescent="0.2">
      <c r="B40" t="s">
        <v>9</v>
      </c>
      <c r="C40" t="s">
        <v>186</v>
      </c>
      <c r="D40" t="s">
        <v>11</v>
      </c>
      <c r="E40" t="s">
        <v>61</v>
      </c>
      <c r="F40" t="s">
        <v>62</v>
      </c>
      <c r="G40" t="s">
        <v>1034</v>
      </c>
      <c r="H40" t="s">
        <v>15</v>
      </c>
      <c r="I40" s="1">
        <v>5</v>
      </c>
      <c r="J40" s="2">
        <v>862.05</v>
      </c>
    </row>
    <row r="41" spans="2:10" x14ac:dyDescent="0.2">
      <c r="B41" t="s">
        <v>9</v>
      </c>
      <c r="C41" t="s">
        <v>186</v>
      </c>
      <c r="D41" t="s">
        <v>11</v>
      </c>
      <c r="E41" t="s">
        <v>63</v>
      </c>
      <c r="F41" t="s">
        <v>64</v>
      </c>
      <c r="G41" t="s">
        <v>1034</v>
      </c>
      <c r="H41" t="s">
        <v>15</v>
      </c>
      <c r="I41" s="1">
        <v>5</v>
      </c>
      <c r="J41" s="2">
        <v>862.05</v>
      </c>
    </row>
    <row r="42" spans="2:10" x14ac:dyDescent="0.2">
      <c r="B42" t="s">
        <v>9</v>
      </c>
      <c r="C42" t="s">
        <v>186</v>
      </c>
      <c r="D42" t="s">
        <v>11</v>
      </c>
      <c r="E42" t="s">
        <v>193</v>
      </c>
      <c r="F42" t="s">
        <v>194</v>
      </c>
      <c r="G42" t="s">
        <v>1034</v>
      </c>
      <c r="H42" t="s">
        <v>15</v>
      </c>
      <c r="I42" s="1">
        <v>1</v>
      </c>
      <c r="J42" s="2">
        <v>1293.0999999999999</v>
      </c>
    </row>
    <row r="43" spans="2:10" x14ac:dyDescent="0.2">
      <c r="B43" t="s">
        <v>9</v>
      </c>
      <c r="C43" t="s">
        <v>197</v>
      </c>
      <c r="D43" t="s">
        <v>11</v>
      </c>
      <c r="E43" t="s">
        <v>72</v>
      </c>
      <c r="F43" t="s">
        <v>73</v>
      </c>
      <c r="G43" t="s">
        <v>1034</v>
      </c>
      <c r="H43" t="s">
        <v>15</v>
      </c>
      <c r="I43" s="1">
        <v>2</v>
      </c>
      <c r="J43" s="2">
        <v>1551.72</v>
      </c>
    </row>
    <row r="44" spans="2:10" x14ac:dyDescent="0.2">
      <c r="B44" t="s">
        <v>9</v>
      </c>
      <c r="C44" t="s">
        <v>206</v>
      </c>
      <c r="D44" t="s">
        <v>11</v>
      </c>
      <c r="E44" t="s">
        <v>214</v>
      </c>
      <c r="F44" t="s">
        <v>215</v>
      </c>
      <c r="G44" t="s">
        <v>1034</v>
      </c>
      <c r="H44" t="s">
        <v>15</v>
      </c>
      <c r="I44" s="1">
        <v>1</v>
      </c>
      <c r="J44" s="2">
        <v>301.72000000000003</v>
      </c>
    </row>
    <row r="45" spans="2:10" x14ac:dyDescent="0.2">
      <c r="B45" t="s">
        <v>9</v>
      </c>
      <c r="C45" t="s">
        <v>206</v>
      </c>
      <c r="D45" t="s">
        <v>11</v>
      </c>
      <c r="E45" t="s">
        <v>36</v>
      </c>
      <c r="F45" t="s">
        <v>37</v>
      </c>
      <c r="G45" t="s">
        <v>1034</v>
      </c>
      <c r="H45" t="s">
        <v>15</v>
      </c>
      <c r="I45" s="1">
        <v>2</v>
      </c>
      <c r="J45" s="2">
        <v>603.44000000000005</v>
      </c>
    </row>
    <row r="46" spans="2:10" x14ac:dyDescent="0.2">
      <c r="B46" t="s">
        <v>9</v>
      </c>
      <c r="C46" t="s">
        <v>206</v>
      </c>
      <c r="D46" t="s">
        <v>11</v>
      </c>
      <c r="E46" t="s">
        <v>72</v>
      </c>
      <c r="F46" t="s">
        <v>73</v>
      </c>
      <c r="G46" t="s">
        <v>1034</v>
      </c>
      <c r="H46" t="s">
        <v>15</v>
      </c>
      <c r="I46" s="1">
        <v>1</v>
      </c>
      <c r="J46" s="2">
        <v>775.86</v>
      </c>
    </row>
    <row r="47" spans="2:10" x14ac:dyDescent="0.2">
      <c r="B47" t="s">
        <v>9</v>
      </c>
      <c r="C47" t="s">
        <v>220</v>
      </c>
      <c r="D47" t="s">
        <v>11</v>
      </c>
      <c r="E47" t="s">
        <v>221</v>
      </c>
      <c r="F47" t="s">
        <v>222</v>
      </c>
      <c r="G47" t="s">
        <v>1034</v>
      </c>
      <c r="H47" t="s">
        <v>15</v>
      </c>
      <c r="I47" s="1">
        <v>1</v>
      </c>
      <c r="J47" s="2">
        <v>431.03</v>
      </c>
    </row>
    <row r="48" spans="2:10" x14ac:dyDescent="0.2">
      <c r="B48" t="s">
        <v>9</v>
      </c>
      <c r="C48" t="s">
        <v>225</v>
      </c>
      <c r="D48" t="s">
        <v>226</v>
      </c>
      <c r="E48" t="s">
        <v>214</v>
      </c>
      <c r="F48" t="s">
        <v>215</v>
      </c>
      <c r="G48" t="s">
        <v>1034</v>
      </c>
      <c r="H48" t="s">
        <v>15</v>
      </c>
      <c r="I48" s="1">
        <v>1</v>
      </c>
      <c r="J48" s="2">
        <v>301.72000000000003</v>
      </c>
    </row>
    <row r="49" spans="2:10" x14ac:dyDescent="0.2">
      <c r="B49" t="s">
        <v>9</v>
      </c>
      <c r="C49" t="s">
        <v>225</v>
      </c>
      <c r="D49" t="s">
        <v>226</v>
      </c>
      <c r="E49" t="s">
        <v>36</v>
      </c>
      <c r="F49" t="s">
        <v>37</v>
      </c>
      <c r="G49" t="s">
        <v>1034</v>
      </c>
      <c r="H49" t="s">
        <v>15</v>
      </c>
      <c r="I49" s="1">
        <v>1</v>
      </c>
      <c r="J49" s="2">
        <v>301.72000000000003</v>
      </c>
    </row>
    <row r="50" spans="2:10" x14ac:dyDescent="0.2">
      <c r="B50" t="s">
        <v>9</v>
      </c>
      <c r="C50" t="s">
        <v>225</v>
      </c>
      <c r="D50" t="s">
        <v>226</v>
      </c>
      <c r="E50" t="s">
        <v>56</v>
      </c>
      <c r="F50" t="s">
        <v>57</v>
      </c>
      <c r="G50" t="s">
        <v>1034</v>
      </c>
      <c r="H50" t="s">
        <v>15</v>
      </c>
      <c r="I50" s="1">
        <v>1</v>
      </c>
      <c r="J50" s="2">
        <v>431.03</v>
      </c>
    </row>
    <row r="51" spans="2:10" x14ac:dyDescent="0.2">
      <c r="B51" t="s">
        <v>9</v>
      </c>
      <c r="C51" t="s">
        <v>225</v>
      </c>
      <c r="D51" t="s">
        <v>226</v>
      </c>
      <c r="E51" t="s">
        <v>61</v>
      </c>
      <c r="F51" t="s">
        <v>62</v>
      </c>
      <c r="G51" t="s">
        <v>1034</v>
      </c>
      <c r="H51" t="s">
        <v>15</v>
      </c>
      <c r="I51" s="1">
        <v>2</v>
      </c>
      <c r="J51" s="2">
        <v>344.82</v>
      </c>
    </row>
    <row r="52" spans="2:10" x14ac:dyDescent="0.2">
      <c r="B52" t="s">
        <v>9</v>
      </c>
      <c r="C52" t="s">
        <v>225</v>
      </c>
      <c r="D52" t="s">
        <v>226</v>
      </c>
      <c r="E52" t="s">
        <v>63</v>
      </c>
      <c r="F52" t="s">
        <v>64</v>
      </c>
      <c r="G52" t="s">
        <v>1034</v>
      </c>
      <c r="H52" t="s">
        <v>15</v>
      </c>
      <c r="I52" s="1">
        <v>1</v>
      </c>
      <c r="J52" s="2">
        <v>172.41</v>
      </c>
    </row>
    <row r="53" spans="2:10" x14ac:dyDescent="0.2">
      <c r="B53" t="s">
        <v>9</v>
      </c>
      <c r="C53" t="s">
        <v>227</v>
      </c>
      <c r="D53" t="s">
        <v>11</v>
      </c>
      <c r="E53" t="s">
        <v>72</v>
      </c>
      <c r="F53" t="s">
        <v>73</v>
      </c>
      <c r="G53" t="s">
        <v>1034</v>
      </c>
      <c r="H53" t="s">
        <v>15</v>
      </c>
      <c r="I53" s="1">
        <v>1</v>
      </c>
      <c r="J53" s="2">
        <v>775.86</v>
      </c>
    </row>
    <row r="54" spans="2:10" x14ac:dyDescent="0.2">
      <c r="B54" t="s">
        <v>9</v>
      </c>
      <c r="C54" t="s">
        <v>228</v>
      </c>
      <c r="D54" t="s">
        <v>11</v>
      </c>
      <c r="E54" t="s">
        <v>214</v>
      </c>
      <c r="F54" t="s">
        <v>215</v>
      </c>
      <c r="G54" t="s">
        <v>1034</v>
      </c>
      <c r="H54" t="s">
        <v>15</v>
      </c>
      <c r="I54" s="1">
        <v>1</v>
      </c>
      <c r="J54" s="2">
        <v>301.72000000000003</v>
      </c>
    </row>
    <row r="55" spans="2:10" x14ac:dyDescent="0.2">
      <c r="B55" t="s">
        <v>9</v>
      </c>
      <c r="C55" t="s">
        <v>228</v>
      </c>
      <c r="D55" t="s">
        <v>11</v>
      </c>
      <c r="E55" t="s">
        <v>153</v>
      </c>
      <c r="F55" t="s">
        <v>154</v>
      </c>
      <c r="G55" t="s">
        <v>1034</v>
      </c>
      <c r="H55" t="s">
        <v>15</v>
      </c>
      <c r="I55" s="1">
        <v>1</v>
      </c>
      <c r="J55" s="2">
        <v>387.93</v>
      </c>
    </row>
    <row r="56" spans="2:10" x14ac:dyDescent="0.2">
      <c r="B56" t="s">
        <v>9</v>
      </c>
      <c r="C56" t="s">
        <v>233</v>
      </c>
      <c r="D56" t="s">
        <v>11</v>
      </c>
      <c r="E56" t="s">
        <v>120</v>
      </c>
      <c r="F56" t="s">
        <v>121</v>
      </c>
      <c r="G56" t="s">
        <v>1034</v>
      </c>
      <c r="H56" t="s">
        <v>15</v>
      </c>
      <c r="I56" s="1">
        <v>1</v>
      </c>
      <c r="J56" s="2">
        <v>301.72000000000003</v>
      </c>
    </row>
    <row r="57" spans="2:10" x14ac:dyDescent="0.2">
      <c r="B57" t="s">
        <v>9</v>
      </c>
      <c r="C57" t="s">
        <v>236</v>
      </c>
      <c r="D57" t="s">
        <v>11</v>
      </c>
      <c r="E57" t="s">
        <v>12</v>
      </c>
      <c r="F57" t="s">
        <v>13</v>
      </c>
      <c r="G57" t="s">
        <v>1034</v>
      </c>
      <c r="H57" t="s">
        <v>15</v>
      </c>
      <c r="I57" s="1">
        <v>1</v>
      </c>
      <c r="J57" s="2">
        <v>1077.5899999999999</v>
      </c>
    </row>
    <row r="58" spans="2:10" x14ac:dyDescent="0.2">
      <c r="B58" t="s">
        <v>9</v>
      </c>
      <c r="C58" t="s">
        <v>236</v>
      </c>
      <c r="D58" t="s">
        <v>11</v>
      </c>
      <c r="E58" t="s">
        <v>72</v>
      </c>
      <c r="F58" t="s">
        <v>73</v>
      </c>
      <c r="G58" t="s">
        <v>1034</v>
      </c>
      <c r="H58" t="s">
        <v>15</v>
      </c>
      <c r="I58" s="1">
        <v>1</v>
      </c>
      <c r="J58" s="2">
        <v>775.86</v>
      </c>
    </row>
    <row r="59" spans="2:10" x14ac:dyDescent="0.2">
      <c r="B59" t="s">
        <v>9</v>
      </c>
      <c r="C59" t="s">
        <v>236</v>
      </c>
      <c r="D59" t="s">
        <v>11</v>
      </c>
      <c r="E59" t="s">
        <v>122</v>
      </c>
      <c r="F59" t="s">
        <v>123</v>
      </c>
      <c r="G59" t="s">
        <v>1034</v>
      </c>
      <c r="H59" t="s">
        <v>15</v>
      </c>
      <c r="I59" s="1">
        <v>1</v>
      </c>
      <c r="J59" s="2">
        <v>387.93</v>
      </c>
    </row>
    <row r="60" spans="2:10" x14ac:dyDescent="0.2">
      <c r="B60" t="s">
        <v>9</v>
      </c>
      <c r="C60" t="s">
        <v>236</v>
      </c>
      <c r="D60" t="s">
        <v>11</v>
      </c>
      <c r="E60" t="s">
        <v>61</v>
      </c>
      <c r="F60" t="s">
        <v>62</v>
      </c>
      <c r="G60" t="s">
        <v>1034</v>
      </c>
      <c r="H60" t="s">
        <v>15</v>
      </c>
      <c r="I60" s="1">
        <v>2</v>
      </c>
      <c r="J60" s="2">
        <v>344.82</v>
      </c>
    </row>
    <row r="61" spans="2:10" x14ac:dyDescent="0.2">
      <c r="B61" t="s">
        <v>9</v>
      </c>
      <c r="C61" t="s">
        <v>237</v>
      </c>
      <c r="D61" t="s">
        <v>11</v>
      </c>
      <c r="E61" t="s">
        <v>120</v>
      </c>
      <c r="F61" t="s">
        <v>121</v>
      </c>
      <c r="G61" t="s">
        <v>1034</v>
      </c>
      <c r="H61" t="s">
        <v>15</v>
      </c>
      <c r="I61" s="1">
        <v>1</v>
      </c>
      <c r="J61" s="2">
        <v>301.72000000000003</v>
      </c>
    </row>
    <row r="62" spans="2:10" x14ac:dyDescent="0.2">
      <c r="B62" t="s">
        <v>9</v>
      </c>
      <c r="C62" t="s">
        <v>248</v>
      </c>
      <c r="D62" t="s">
        <v>11</v>
      </c>
      <c r="E62" t="s">
        <v>253</v>
      </c>
      <c r="F62" t="s">
        <v>254</v>
      </c>
      <c r="G62" t="s">
        <v>1034</v>
      </c>
      <c r="H62" t="s">
        <v>15</v>
      </c>
      <c r="I62" s="1">
        <v>2</v>
      </c>
      <c r="J62" s="2">
        <v>1551.72</v>
      </c>
    </row>
    <row r="63" spans="2:10" x14ac:dyDescent="0.2">
      <c r="B63" t="s">
        <v>261</v>
      </c>
      <c r="C63" t="s">
        <v>10</v>
      </c>
      <c r="D63" t="s">
        <v>262</v>
      </c>
      <c r="E63" t="s">
        <v>214</v>
      </c>
      <c r="F63" t="s">
        <v>215</v>
      </c>
      <c r="G63" t="s">
        <v>1034</v>
      </c>
      <c r="H63" t="s">
        <v>15</v>
      </c>
      <c r="I63" s="1">
        <v>1</v>
      </c>
      <c r="J63" s="2">
        <v>301.72000000000003</v>
      </c>
    </row>
    <row r="64" spans="2:10" x14ac:dyDescent="0.2">
      <c r="B64" t="s">
        <v>261</v>
      </c>
      <c r="C64" t="s">
        <v>10</v>
      </c>
      <c r="D64" t="s">
        <v>262</v>
      </c>
      <c r="E64" t="s">
        <v>56</v>
      </c>
      <c r="F64" t="s">
        <v>57</v>
      </c>
      <c r="G64" t="s">
        <v>1034</v>
      </c>
      <c r="H64" t="s">
        <v>15</v>
      </c>
      <c r="I64" s="1">
        <v>1</v>
      </c>
      <c r="J64" s="2">
        <v>431.03</v>
      </c>
    </row>
    <row r="65" spans="2:10" x14ac:dyDescent="0.2">
      <c r="B65" t="s">
        <v>261</v>
      </c>
      <c r="C65" t="s">
        <v>10</v>
      </c>
      <c r="D65" t="s">
        <v>262</v>
      </c>
      <c r="E65" t="s">
        <v>163</v>
      </c>
      <c r="F65" t="s">
        <v>164</v>
      </c>
      <c r="G65" t="s">
        <v>1034</v>
      </c>
      <c r="H65" t="s">
        <v>15</v>
      </c>
      <c r="I65" s="1">
        <v>1</v>
      </c>
      <c r="J65" s="2">
        <v>431.03</v>
      </c>
    </row>
    <row r="66" spans="2:10" x14ac:dyDescent="0.2">
      <c r="B66" t="s">
        <v>261</v>
      </c>
      <c r="C66" t="s">
        <v>18</v>
      </c>
      <c r="D66" t="s">
        <v>262</v>
      </c>
      <c r="E66" t="s">
        <v>46</v>
      </c>
      <c r="F66" t="s">
        <v>47</v>
      </c>
      <c r="G66" t="s">
        <v>1034</v>
      </c>
      <c r="H66" t="s">
        <v>15</v>
      </c>
      <c r="I66" s="1">
        <v>1</v>
      </c>
      <c r="J66" s="2">
        <v>301.72000000000003</v>
      </c>
    </row>
    <row r="67" spans="2:10" x14ac:dyDescent="0.2">
      <c r="B67" t="s">
        <v>261</v>
      </c>
      <c r="C67" t="s">
        <v>18</v>
      </c>
      <c r="D67" t="s">
        <v>262</v>
      </c>
      <c r="E67" t="s">
        <v>267</v>
      </c>
      <c r="F67" t="s">
        <v>268</v>
      </c>
      <c r="G67" t="s">
        <v>1034</v>
      </c>
      <c r="H67" t="s">
        <v>15</v>
      </c>
      <c r="I67" s="1">
        <v>1</v>
      </c>
      <c r="J67" s="2">
        <v>258.62</v>
      </c>
    </row>
    <row r="68" spans="2:10" x14ac:dyDescent="0.2">
      <c r="B68" t="s">
        <v>261</v>
      </c>
      <c r="C68" t="s">
        <v>18</v>
      </c>
      <c r="D68" t="s">
        <v>262</v>
      </c>
      <c r="E68" t="s">
        <v>36</v>
      </c>
      <c r="F68" t="s">
        <v>37</v>
      </c>
      <c r="G68" t="s">
        <v>1034</v>
      </c>
      <c r="H68" t="s">
        <v>15</v>
      </c>
      <c r="I68" s="1">
        <v>3</v>
      </c>
      <c r="J68" s="2">
        <v>905.16000000000008</v>
      </c>
    </row>
    <row r="69" spans="2:10" x14ac:dyDescent="0.2">
      <c r="B69" t="s">
        <v>261</v>
      </c>
      <c r="C69" t="s">
        <v>18</v>
      </c>
      <c r="D69" t="s">
        <v>262</v>
      </c>
      <c r="E69" t="s">
        <v>163</v>
      </c>
      <c r="F69" t="s">
        <v>164</v>
      </c>
      <c r="G69" t="s">
        <v>1034</v>
      </c>
      <c r="H69" t="s">
        <v>15</v>
      </c>
      <c r="I69" s="1">
        <v>2</v>
      </c>
      <c r="J69" s="2">
        <v>862.06</v>
      </c>
    </row>
    <row r="70" spans="2:10" x14ac:dyDescent="0.2">
      <c r="B70" t="s">
        <v>261</v>
      </c>
      <c r="C70" t="s">
        <v>18</v>
      </c>
      <c r="D70" t="s">
        <v>262</v>
      </c>
      <c r="E70" t="s">
        <v>61</v>
      </c>
      <c r="F70" t="s">
        <v>62</v>
      </c>
      <c r="G70" t="s">
        <v>1034</v>
      </c>
      <c r="H70" t="s">
        <v>15</v>
      </c>
      <c r="I70" s="1">
        <v>1</v>
      </c>
      <c r="J70" s="2">
        <v>172.41</v>
      </c>
    </row>
    <row r="71" spans="2:10" x14ac:dyDescent="0.2">
      <c r="B71" t="s">
        <v>261</v>
      </c>
      <c r="C71" t="s">
        <v>18</v>
      </c>
      <c r="D71" t="s">
        <v>262</v>
      </c>
      <c r="E71" t="s">
        <v>63</v>
      </c>
      <c r="F71" t="s">
        <v>64</v>
      </c>
      <c r="G71" t="s">
        <v>1034</v>
      </c>
      <c r="H71" t="s">
        <v>15</v>
      </c>
      <c r="I71" s="1">
        <v>1</v>
      </c>
      <c r="J71" s="2">
        <v>172.41</v>
      </c>
    </row>
    <row r="72" spans="2:10" x14ac:dyDescent="0.2">
      <c r="B72" t="s">
        <v>261</v>
      </c>
      <c r="C72" t="s">
        <v>31</v>
      </c>
      <c r="D72" t="s">
        <v>262</v>
      </c>
      <c r="E72" t="s">
        <v>153</v>
      </c>
      <c r="F72" t="s">
        <v>154</v>
      </c>
      <c r="G72" t="s">
        <v>1034</v>
      </c>
      <c r="H72" t="s">
        <v>15</v>
      </c>
      <c r="I72" s="1">
        <v>1</v>
      </c>
      <c r="J72" s="2">
        <v>387.93</v>
      </c>
    </row>
    <row r="73" spans="2:10" x14ac:dyDescent="0.2">
      <c r="B73" t="s">
        <v>261</v>
      </c>
      <c r="C73" t="s">
        <v>40</v>
      </c>
      <c r="D73" t="s">
        <v>277</v>
      </c>
      <c r="E73" t="s">
        <v>122</v>
      </c>
      <c r="F73" t="s">
        <v>123</v>
      </c>
      <c r="G73" t="s">
        <v>1034</v>
      </c>
      <c r="H73" t="s">
        <v>15</v>
      </c>
      <c r="I73" s="1">
        <v>1</v>
      </c>
      <c r="J73" s="2">
        <v>387.93</v>
      </c>
    </row>
    <row r="74" spans="2:10" x14ac:dyDescent="0.2">
      <c r="B74" t="s">
        <v>261</v>
      </c>
      <c r="C74" t="s">
        <v>40</v>
      </c>
      <c r="D74" t="s">
        <v>277</v>
      </c>
      <c r="E74" t="s">
        <v>83</v>
      </c>
      <c r="F74" t="s">
        <v>84</v>
      </c>
      <c r="G74" t="s">
        <v>1034</v>
      </c>
      <c r="H74" t="s">
        <v>15</v>
      </c>
      <c r="I74" s="1">
        <v>1</v>
      </c>
      <c r="J74" s="2">
        <v>387.93</v>
      </c>
    </row>
    <row r="75" spans="2:10" x14ac:dyDescent="0.2">
      <c r="B75" t="s">
        <v>261</v>
      </c>
      <c r="C75" t="s">
        <v>51</v>
      </c>
      <c r="D75" t="s">
        <v>262</v>
      </c>
      <c r="E75" t="s">
        <v>120</v>
      </c>
      <c r="F75" t="s">
        <v>121</v>
      </c>
      <c r="G75" t="s">
        <v>1034</v>
      </c>
      <c r="H75" t="s">
        <v>15</v>
      </c>
      <c r="I75" s="1">
        <v>1</v>
      </c>
      <c r="J75" s="2">
        <v>301.72000000000003</v>
      </c>
    </row>
    <row r="76" spans="2:10" x14ac:dyDescent="0.2">
      <c r="B76" t="s">
        <v>261</v>
      </c>
      <c r="C76" t="s">
        <v>51</v>
      </c>
      <c r="D76" t="s">
        <v>262</v>
      </c>
      <c r="E76" t="s">
        <v>61</v>
      </c>
      <c r="F76" t="s">
        <v>62</v>
      </c>
      <c r="G76" t="s">
        <v>1034</v>
      </c>
      <c r="H76" t="s">
        <v>15</v>
      </c>
      <c r="I76" s="1">
        <v>2</v>
      </c>
      <c r="J76" s="2">
        <v>344.82</v>
      </c>
    </row>
    <row r="77" spans="2:10" x14ac:dyDescent="0.2">
      <c r="B77" t="s">
        <v>261</v>
      </c>
      <c r="C77" t="s">
        <v>65</v>
      </c>
      <c r="D77" t="s">
        <v>262</v>
      </c>
      <c r="E77" t="s">
        <v>46</v>
      </c>
      <c r="F77" t="s">
        <v>47</v>
      </c>
      <c r="G77" t="s">
        <v>1034</v>
      </c>
      <c r="H77" t="s">
        <v>15</v>
      </c>
      <c r="I77" s="1">
        <v>1</v>
      </c>
      <c r="J77" s="2">
        <v>301.72000000000003</v>
      </c>
    </row>
    <row r="78" spans="2:10" x14ac:dyDescent="0.2">
      <c r="B78" t="s">
        <v>261</v>
      </c>
      <c r="C78" t="s">
        <v>65</v>
      </c>
      <c r="D78" t="s">
        <v>262</v>
      </c>
      <c r="E78" t="s">
        <v>36</v>
      </c>
      <c r="F78" t="s">
        <v>37</v>
      </c>
      <c r="G78" t="s">
        <v>1034</v>
      </c>
      <c r="H78" t="s">
        <v>15</v>
      </c>
      <c r="I78" s="1">
        <v>3</v>
      </c>
      <c r="J78" s="2">
        <v>905.16000000000008</v>
      </c>
    </row>
    <row r="79" spans="2:10" x14ac:dyDescent="0.2">
      <c r="B79" t="s">
        <v>261</v>
      </c>
      <c r="C79" t="s">
        <v>65</v>
      </c>
      <c r="D79" t="s">
        <v>262</v>
      </c>
      <c r="E79" t="s">
        <v>63</v>
      </c>
      <c r="F79" t="s">
        <v>64</v>
      </c>
      <c r="G79" t="s">
        <v>1034</v>
      </c>
      <c r="H79" t="s">
        <v>15</v>
      </c>
      <c r="I79" s="1">
        <v>1</v>
      </c>
      <c r="J79" s="2">
        <v>172.41</v>
      </c>
    </row>
    <row r="80" spans="2:10" x14ac:dyDescent="0.2">
      <c r="B80" t="s">
        <v>261</v>
      </c>
      <c r="C80" t="s">
        <v>88</v>
      </c>
      <c r="D80" t="s">
        <v>262</v>
      </c>
      <c r="E80" t="s">
        <v>221</v>
      </c>
      <c r="F80" t="s">
        <v>222</v>
      </c>
      <c r="G80" t="s">
        <v>1034</v>
      </c>
      <c r="H80" t="s">
        <v>15</v>
      </c>
      <c r="I80" s="1">
        <v>1</v>
      </c>
      <c r="J80" s="2">
        <v>431.03</v>
      </c>
    </row>
    <row r="81" spans="2:10" x14ac:dyDescent="0.2">
      <c r="B81" t="s">
        <v>261</v>
      </c>
      <c r="C81" t="s">
        <v>88</v>
      </c>
      <c r="D81" t="s">
        <v>262</v>
      </c>
      <c r="E81" t="s">
        <v>214</v>
      </c>
      <c r="F81" t="s">
        <v>215</v>
      </c>
      <c r="G81" t="s">
        <v>1034</v>
      </c>
      <c r="H81" t="s">
        <v>15</v>
      </c>
      <c r="I81" s="1">
        <v>1</v>
      </c>
      <c r="J81" s="2">
        <v>301.72000000000003</v>
      </c>
    </row>
    <row r="82" spans="2:10" x14ac:dyDescent="0.2">
      <c r="B82" t="s">
        <v>261</v>
      </c>
      <c r="C82" t="s">
        <v>88</v>
      </c>
      <c r="D82" t="s">
        <v>262</v>
      </c>
      <c r="E82" t="s">
        <v>72</v>
      </c>
      <c r="F82" t="s">
        <v>73</v>
      </c>
      <c r="G82" t="s">
        <v>1034</v>
      </c>
      <c r="H82" t="s">
        <v>15</v>
      </c>
      <c r="I82" s="1">
        <v>1</v>
      </c>
      <c r="J82" s="2">
        <v>775.86</v>
      </c>
    </row>
    <row r="83" spans="2:10" x14ac:dyDescent="0.2">
      <c r="B83" t="s">
        <v>261</v>
      </c>
      <c r="C83" t="s">
        <v>88</v>
      </c>
      <c r="D83" t="s">
        <v>262</v>
      </c>
      <c r="E83" t="s">
        <v>38</v>
      </c>
      <c r="F83" t="s">
        <v>39</v>
      </c>
      <c r="G83" t="s">
        <v>1034</v>
      </c>
      <c r="H83" t="s">
        <v>15</v>
      </c>
      <c r="I83" s="1">
        <v>1</v>
      </c>
      <c r="J83" s="2">
        <v>431.03</v>
      </c>
    </row>
    <row r="84" spans="2:10" x14ac:dyDescent="0.2">
      <c r="B84" t="s">
        <v>261</v>
      </c>
      <c r="C84" t="s">
        <v>88</v>
      </c>
      <c r="D84" t="s">
        <v>262</v>
      </c>
      <c r="E84" t="s">
        <v>61</v>
      </c>
      <c r="F84" t="s">
        <v>62</v>
      </c>
      <c r="G84" t="s">
        <v>1034</v>
      </c>
      <c r="H84" t="s">
        <v>15</v>
      </c>
      <c r="I84" s="1">
        <v>16</v>
      </c>
      <c r="J84" s="2">
        <v>2758.56</v>
      </c>
    </row>
    <row r="85" spans="2:10" x14ac:dyDescent="0.2">
      <c r="B85" t="s">
        <v>261</v>
      </c>
      <c r="C85" t="s">
        <v>88</v>
      </c>
      <c r="D85" t="s">
        <v>262</v>
      </c>
      <c r="E85" t="s">
        <v>63</v>
      </c>
      <c r="F85" t="s">
        <v>64</v>
      </c>
      <c r="G85" t="s">
        <v>1034</v>
      </c>
      <c r="H85" t="s">
        <v>15</v>
      </c>
      <c r="I85" s="1">
        <v>2</v>
      </c>
      <c r="J85" s="2">
        <v>344.82</v>
      </c>
    </row>
    <row r="86" spans="2:10" x14ac:dyDescent="0.2">
      <c r="B86" t="s">
        <v>261</v>
      </c>
      <c r="C86" t="s">
        <v>117</v>
      </c>
      <c r="D86" t="s">
        <v>262</v>
      </c>
      <c r="E86" t="s">
        <v>214</v>
      </c>
      <c r="F86" t="s">
        <v>215</v>
      </c>
      <c r="G86" t="s">
        <v>1034</v>
      </c>
      <c r="H86" t="s">
        <v>15</v>
      </c>
      <c r="I86" s="1">
        <v>2</v>
      </c>
      <c r="J86" s="2">
        <v>603.44000000000005</v>
      </c>
    </row>
    <row r="87" spans="2:10" x14ac:dyDescent="0.2">
      <c r="B87" t="s">
        <v>261</v>
      </c>
      <c r="C87" t="s">
        <v>117</v>
      </c>
      <c r="D87" t="s">
        <v>262</v>
      </c>
      <c r="E87" t="s">
        <v>36</v>
      </c>
      <c r="F87" t="s">
        <v>37</v>
      </c>
      <c r="G87" t="s">
        <v>1034</v>
      </c>
      <c r="H87" t="s">
        <v>15</v>
      </c>
      <c r="I87" s="1">
        <v>2</v>
      </c>
      <c r="J87" s="2">
        <v>603.44000000000005</v>
      </c>
    </row>
    <row r="88" spans="2:10" x14ac:dyDescent="0.2">
      <c r="B88" t="s">
        <v>261</v>
      </c>
      <c r="C88" t="s">
        <v>117</v>
      </c>
      <c r="D88" t="s">
        <v>262</v>
      </c>
      <c r="E88" t="s">
        <v>72</v>
      </c>
      <c r="F88" t="s">
        <v>73</v>
      </c>
      <c r="G88" t="s">
        <v>1034</v>
      </c>
      <c r="H88" t="s">
        <v>15</v>
      </c>
      <c r="I88" s="1">
        <v>3</v>
      </c>
      <c r="J88" s="2">
        <v>2327.58</v>
      </c>
    </row>
    <row r="89" spans="2:10" x14ac:dyDescent="0.2">
      <c r="B89" t="s">
        <v>261</v>
      </c>
      <c r="C89" t="s">
        <v>117</v>
      </c>
      <c r="D89" t="s">
        <v>262</v>
      </c>
      <c r="E89" t="s">
        <v>61</v>
      </c>
      <c r="F89" t="s">
        <v>62</v>
      </c>
      <c r="G89" t="s">
        <v>1034</v>
      </c>
      <c r="H89" t="s">
        <v>15</v>
      </c>
      <c r="I89" s="1">
        <v>1</v>
      </c>
      <c r="J89" s="2">
        <v>172.41</v>
      </c>
    </row>
    <row r="90" spans="2:10" x14ac:dyDescent="0.2">
      <c r="B90" t="s">
        <v>261</v>
      </c>
      <c r="C90" t="s">
        <v>129</v>
      </c>
      <c r="D90" t="s">
        <v>262</v>
      </c>
      <c r="E90" t="s">
        <v>36</v>
      </c>
      <c r="F90" t="s">
        <v>37</v>
      </c>
      <c r="G90" t="s">
        <v>1034</v>
      </c>
      <c r="H90" t="s">
        <v>15</v>
      </c>
      <c r="I90" s="1">
        <v>1</v>
      </c>
      <c r="J90" s="2">
        <v>301.72000000000003</v>
      </c>
    </row>
    <row r="91" spans="2:10" x14ac:dyDescent="0.2">
      <c r="B91" t="s">
        <v>261</v>
      </c>
      <c r="C91" t="s">
        <v>129</v>
      </c>
      <c r="D91" t="s">
        <v>262</v>
      </c>
      <c r="E91" t="s">
        <v>83</v>
      </c>
      <c r="F91" t="s">
        <v>84</v>
      </c>
      <c r="G91" t="s">
        <v>1034</v>
      </c>
      <c r="H91" t="s">
        <v>15</v>
      </c>
      <c r="I91" s="1">
        <v>1</v>
      </c>
      <c r="J91" s="2">
        <v>387.93</v>
      </c>
    </row>
    <row r="92" spans="2:10" x14ac:dyDescent="0.2">
      <c r="B92" t="s">
        <v>261</v>
      </c>
      <c r="C92" t="s">
        <v>134</v>
      </c>
      <c r="D92" t="s">
        <v>262</v>
      </c>
      <c r="E92" t="s">
        <v>38</v>
      </c>
      <c r="F92" t="s">
        <v>39</v>
      </c>
      <c r="G92" t="s">
        <v>1034</v>
      </c>
      <c r="H92" t="s">
        <v>15</v>
      </c>
      <c r="I92" s="1">
        <v>1</v>
      </c>
      <c r="J92" s="2">
        <v>431.03</v>
      </c>
    </row>
    <row r="93" spans="2:10" x14ac:dyDescent="0.2">
      <c r="B93" t="s">
        <v>261</v>
      </c>
      <c r="C93" t="s">
        <v>134</v>
      </c>
      <c r="D93" t="s">
        <v>262</v>
      </c>
      <c r="E93" t="s">
        <v>61</v>
      </c>
      <c r="F93" t="s">
        <v>62</v>
      </c>
      <c r="G93" t="s">
        <v>1034</v>
      </c>
      <c r="H93" t="s">
        <v>15</v>
      </c>
      <c r="I93" s="1">
        <v>1</v>
      </c>
      <c r="J93" s="2">
        <v>172.41</v>
      </c>
    </row>
    <row r="94" spans="2:10" x14ac:dyDescent="0.2">
      <c r="B94" t="s">
        <v>261</v>
      </c>
      <c r="C94" t="s">
        <v>134</v>
      </c>
      <c r="D94" t="s">
        <v>262</v>
      </c>
      <c r="E94" t="s">
        <v>63</v>
      </c>
      <c r="F94" t="s">
        <v>64</v>
      </c>
      <c r="G94" t="s">
        <v>1034</v>
      </c>
      <c r="H94" t="s">
        <v>15</v>
      </c>
      <c r="I94" s="1">
        <v>1</v>
      </c>
      <c r="J94" s="2">
        <v>172.41</v>
      </c>
    </row>
    <row r="95" spans="2:10" x14ac:dyDescent="0.2">
      <c r="B95" t="s">
        <v>261</v>
      </c>
      <c r="C95" t="s">
        <v>135</v>
      </c>
      <c r="D95" t="s">
        <v>262</v>
      </c>
      <c r="E95" t="s">
        <v>36</v>
      </c>
      <c r="F95" t="s">
        <v>37</v>
      </c>
      <c r="G95" t="s">
        <v>1034</v>
      </c>
      <c r="H95" t="s">
        <v>15</v>
      </c>
      <c r="I95" s="1">
        <v>1</v>
      </c>
      <c r="J95" s="2">
        <v>301.72000000000003</v>
      </c>
    </row>
    <row r="96" spans="2:10" x14ac:dyDescent="0.2">
      <c r="B96" t="s">
        <v>261</v>
      </c>
      <c r="C96" t="s">
        <v>135</v>
      </c>
      <c r="D96" t="s">
        <v>262</v>
      </c>
      <c r="E96" t="s">
        <v>72</v>
      </c>
      <c r="F96" t="s">
        <v>73</v>
      </c>
      <c r="G96" t="s">
        <v>1034</v>
      </c>
      <c r="H96" t="s">
        <v>15</v>
      </c>
      <c r="I96" s="1">
        <v>1</v>
      </c>
      <c r="J96" s="2">
        <v>775.86</v>
      </c>
    </row>
    <row r="97" spans="2:10" x14ac:dyDescent="0.2">
      <c r="B97" t="s">
        <v>261</v>
      </c>
      <c r="C97" t="s">
        <v>135</v>
      </c>
      <c r="D97" t="s">
        <v>262</v>
      </c>
      <c r="E97" t="s">
        <v>56</v>
      </c>
      <c r="F97" t="s">
        <v>57</v>
      </c>
      <c r="G97" t="s">
        <v>1034</v>
      </c>
      <c r="H97" t="s">
        <v>15</v>
      </c>
      <c r="I97" s="1">
        <v>1</v>
      </c>
      <c r="J97" s="2">
        <v>431.03</v>
      </c>
    </row>
    <row r="98" spans="2:10" x14ac:dyDescent="0.2">
      <c r="B98" t="s">
        <v>261</v>
      </c>
      <c r="C98" t="s">
        <v>141</v>
      </c>
      <c r="D98" t="s">
        <v>262</v>
      </c>
      <c r="E98" t="s">
        <v>36</v>
      </c>
      <c r="F98" t="s">
        <v>37</v>
      </c>
      <c r="G98" t="s">
        <v>1034</v>
      </c>
      <c r="H98" t="s">
        <v>15</v>
      </c>
      <c r="I98" s="1">
        <v>1</v>
      </c>
      <c r="J98" s="2">
        <v>301.72000000000003</v>
      </c>
    </row>
    <row r="99" spans="2:10" x14ac:dyDescent="0.2">
      <c r="B99" t="s">
        <v>261</v>
      </c>
      <c r="C99" t="s">
        <v>141</v>
      </c>
      <c r="D99" t="s">
        <v>262</v>
      </c>
      <c r="E99" t="s">
        <v>83</v>
      </c>
      <c r="F99" t="s">
        <v>84</v>
      </c>
      <c r="G99" t="s">
        <v>1034</v>
      </c>
      <c r="H99" t="s">
        <v>15</v>
      </c>
      <c r="I99" s="1">
        <v>1</v>
      </c>
      <c r="J99" s="2">
        <v>387.93</v>
      </c>
    </row>
    <row r="100" spans="2:10" x14ac:dyDescent="0.2">
      <c r="B100" t="s">
        <v>261</v>
      </c>
      <c r="C100" t="s">
        <v>144</v>
      </c>
      <c r="D100" t="s">
        <v>262</v>
      </c>
      <c r="E100" t="s">
        <v>221</v>
      </c>
      <c r="F100" t="s">
        <v>222</v>
      </c>
      <c r="G100" t="s">
        <v>1034</v>
      </c>
      <c r="H100" t="s">
        <v>15</v>
      </c>
      <c r="I100" s="1">
        <v>1</v>
      </c>
      <c r="J100" s="2">
        <v>431.03</v>
      </c>
    </row>
    <row r="101" spans="2:10" x14ac:dyDescent="0.2">
      <c r="B101" t="s">
        <v>261</v>
      </c>
      <c r="C101" t="s">
        <v>165</v>
      </c>
      <c r="D101" t="s">
        <v>262</v>
      </c>
      <c r="E101" t="s">
        <v>46</v>
      </c>
      <c r="F101" t="s">
        <v>47</v>
      </c>
      <c r="G101" t="s">
        <v>1034</v>
      </c>
      <c r="H101" t="s">
        <v>15</v>
      </c>
      <c r="I101" s="1">
        <v>1</v>
      </c>
      <c r="J101" s="2">
        <v>301.72000000000003</v>
      </c>
    </row>
    <row r="102" spans="2:10" x14ac:dyDescent="0.2">
      <c r="B102" t="s">
        <v>261</v>
      </c>
      <c r="C102" t="s">
        <v>166</v>
      </c>
      <c r="D102" t="s">
        <v>262</v>
      </c>
      <c r="E102" t="s">
        <v>120</v>
      </c>
      <c r="F102" t="s">
        <v>121</v>
      </c>
      <c r="G102" t="s">
        <v>1034</v>
      </c>
      <c r="H102" t="s">
        <v>15</v>
      </c>
      <c r="I102" s="1">
        <v>1</v>
      </c>
      <c r="J102" s="2">
        <v>301.72000000000003</v>
      </c>
    </row>
    <row r="103" spans="2:10" x14ac:dyDescent="0.2">
      <c r="B103" t="s">
        <v>261</v>
      </c>
      <c r="C103" t="s">
        <v>166</v>
      </c>
      <c r="D103" t="s">
        <v>262</v>
      </c>
      <c r="E103" t="s">
        <v>36</v>
      </c>
      <c r="F103" t="s">
        <v>37</v>
      </c>
      <c r="G103" t="s">
        <v>1034</v>
      </c>
      <c r="H103" t="s">
        <v>15</v>
      </c>
      <c r="I103" s="1">
        <v>2</v>
      </c>
      <c r="J103" s="2">
        <v>603.44000000000005</v>
      </c>
    </row>
    <row r="104" spans="2:10" x14ac:dyDescent="0.2">
      <c r="B104" t="s">
        <v>261</v>
      </c>
      <c r="C104" t="s">
        <v>166</v>
      </c>
      <c r="D104" t="s">
        <v>262</v>
      </c>
      <c r="E104" t="s">
        <v>72</v>
      </c>
      <c r="F104" t="s">
        <v>73</v>
      </c>
      <c r="G104" t="s">
        <v>1034</v>
      </c>
      <c r="H104" t="s">
        <v>15</v>
      </c>
      <c r="I104" s="1">
        <v>3</v>
      </c>
      <c r="J104" s="2">
        <v>2327.58</v>
      </c>
    </row>
    <row r="105" spans="2:10" x14ac:dyDescent="0.2">
      <c r="B105" t="s">
        <v>261</v>
      </c>
      <c r="C105" t="s">
        <v>166</v>
      </c>
      <c r="D105" t="s">
        <v>262</v>
      </c>
      <c r="E105" t="s">
        <v>61</v>
      </c>
      <c r="F105" t="s">
        <v>62</v>
      </c>
      <c r="G105" t="s">
        <v>1034</v>
      </c>
      <c r="H105" t="s">
        <v>15</v>
      </c>
      <c r="I105" s="1">
        <v>1</v>
      </c>
      <c r="J105" s="2">
        <v>172.41</v>
      </c>
    </row>
    <row r="106" spans="2:10" x14ac:dyDescent="0.2">
      <c r="B106" t="s">
        <v>261</v>
      </c>
      <c r="C106" t="s">
        <v>185</v>
      </c>
      <c r="D106" t="s">
        <v>262</v>
      </c>
      <c r="E106" t="s">
        <v>120</v>
      </c>
      <c r="F106" t="s">
        <v>121</v>
      </c>
      <c r="G106" t="s">
        <v>1034</v>
      </c>
      <c r="H106" t="s">
        <v>15</v>
      </c>
      <c r="I106" s="1">
        <v>1</v>
      </c>
      <c r="J106" s="2">
        <v>301.72000000000003</v>
      </c>
    </row>
    <row r="107" spans="2:10" x14ac:dyDescent="0.2">
      <c r="B107" t="s">
        <v>261</v>
      </c>
      <c r="C107" t="s">
        <v>185</v>
      </c>
      <c r="D107" t="s">
        <v>262</v>
      </c>
      <c r="E107" t="s">
        <v>72</v>
      </c>
      <c r="F107" t="s">
        <v>73</v>
      </c>
      <c r="G107" t="s">
        <v>1034</v>
      </c>
      <c r="H107" t="s">
        <v>15</v>
      </c>
      <c r="I107" s="1">
        <v>1</v>
      </c>
      <c r="J107" s="2">
        <v>775.86</v>
      </c>
    </row>
    <row r="108" spans="2:10" x14ac:dyDescent="0.2">
      <c r="B108" t="s">
        <v>261</v>
      </c>
      <c r="C108" t="s">
        <v>335</v>
      </c>
      <c r="D108" t="s">
        <v>226</v>
      </c>
      <c r="E108" t="s">
        <v>214</v>
      </c>
      <c r="F108" t="s">
        <v>215</v>
      </c>
      <c r="G108" t="s">
        <v>1034</v>
      </c>
      <c r="H108" t="s">
        <v>15</v>
      </c>
      <c r="I108" s="1">
        <v>1</v>
      </c>
      <c r="J108" s="2">
        <v>301.72000000000003</v>
      </c>
    </row>
    <row r="109" spans="2:10" x14ac:dyDescent="0.2">
      <c r="B109" t="s">
        <v>261</v>
      </c>
      <c r="C109" t="s">
        <v>335</v>
      </c>
      <c r="D109" t="s">
        <v>226</v>
      </c>
      <c r="E109" t="s">
        <v>336</v>
      </c>
      <c r="F109" t="s">
        <v>337</v>
      </c>
      <c r="G109" t="s">
        <v>1034</v>
      </c>
      <c r="H109" t="s">
        <v>15</v>
      </c>
      <c r="I109" s="1">
        <v>1</v>
      </c>
      <c r="J109" s="2">
        <v>387.93</v>
      </c>
    </row>
    <row r="110" spans="2:10" x14ac:dyDescent="0.2">
      <c r="B110" t="s">
        <v>261</v>
      </c>
      <c r="C110" t="s">
        <v>186</v>
      </c>
      <c r="D110" t="s">
        <v>262</v>
      </c>
      <c r="E110" t="s">
        <v>214</v>
      </c>
      <c r="F110" t="s">
        <v>215</v>
      </c>
      <c r="G110" t="s">
        <v>1034</v>
      </c>
      <c r="H110" t="s">
        <v>15</v>
      </c>
      <c r="I110" s="1">
        <v>2</v>
      </c>
      <c r="J110" s="2">
        <v>603.44000000000005</v>
      </c>
    </row>
    <row r="111" spans="2:10" x14ac:dyDescent="0.2">
      <c r="B111" t="s">
        <v>261</v>
      </c>
      <c r="C111" t="s">
        <v>186</v>
      </c>
      <c r="D111" t="s">
        <v>262</v>
      </c>
      <c r="E111" t="s">
        <v>36</v>
      </c>
      <c r="F111" t="s">
        <v>37</v>
      </c>
      <c r="G111" t="s">
        <v>1034</v>
      </c>
      <c r="H111" t="s">
        <v>15</v>
      </c>
      <c r="I111" s="1">
        <v>1</v>
      </c>
      <c r="J111" s="2">
        <v>301.72000000000003</v>
      </c>
    </row>
    <row r="112" spans="2:10" x14ac:dyDescent="0.2">
      <c r="B112" t="s">
        <v>261</v>
      </c>
      <c r="C112" t="s">
        <v>197</v>
      </c>
      <c r="D112" t="s">
        <v>262</v>
      </c>
      <c r="E112" t="s">
        <v>214</v>
      </c>
      <c r="F112" t="s">
        <v>215</v>
      </c>
      <c r="G112" t="s">
        <v>1034</v>
      </c>
      <c r="H112" t="s">
        <v>15</v>
      </c>
      <c r="I112" s="1">
        <v>5</v>
      </c>
      <c r="J112" s="2">
        <v>1508.6000000000001</v>
      </c>
    </row>
    <row r="113" spans="2:10" x14ac:dyDescent="0.2">
      <c r="B113" t="s">
        <v>261</v>
      </c>
      <c r="C113" t="s">
        <v>197</v>
      </c>
      <c r="D113" t="s">
        <v>262</v>
      </c>
      <c r="E113" t="s">
        <v>72</v>
      </c>
      <c r="F113" t="s">
        <v>73</v>
      </c>
      <c r="G113" t="s">
        <v>1034</v>
      </c>
      <c r="H113" t="s">
        <v>15</v>
      </c>
      <c r="I113" s="1">
        <v>1</v>
      </c>
      <c r="J113" s="2">
        <v>775.86</v>
      </c>
    </row>
    <row r="114" spans="2:10" x14ac:dyDescent="0.2">
      <c r="B114" t="s">
        <v>261</v>
      </c>
      <c r="C114" t="s">
        <v>206</v>
      </c>
      <c r="D114" t="s">
        <v>262</v>
      </c>
      <c r="E114" t="s">
        <v>120</v>
      </c>
      <c r="F114" t="s">
        <v>121</v>
      </c>
      <c r="G114" t="s">
        <v>1034</v>
      </c>
      <c r="H114" t="s">
        <v>15</v>
      </c>
      <c r="I114" s="1">
        <v>3</v>
      </c>
      <c r="J114" s="2">
        <v>905.16000000000008</v>
      </c>
    </row>
    <row r="115" spans="2:10" x14ac:dyDescent="0.2">
      <c r="B115" t="s">
        <v>261</v>
      </c>
      <c r="C115" t="s">
        <v>206</v>
      </c>
      <c r="D115" t="s">
        <v>262</v>
      </c>
      <c r="E115" t="s">
        <v>72</v>
      </c>
      <c r="F115" t="s">
        <v>73</v>
      </c>
      <c r="G115" t="s">
        <v>1034</v>
      </c>
      <c r="H115" t="s">
        <v>15</v>
      </c>
      <c r="I115" s="1">
        <v>3</v>
      </c>
      <c r="J115" s="2">
        <v>2327.58</v>
      </c>
    </row>
    <row r="116" spans="2:10" x14ac:dyDescent="0.2">
      <c r="B116" t="s">
        <v>261</v>
      </c>
      <c r="C116" t="s">
        <v>206</v>
      </c>
      <c r="D116" t="s">
        <v>262</v>
      </c>
      <c r="E116" t="s">
        <v>193</v>
      </c>
      <c r="F116" t="s">
        <v>194</v>
      </c>
      <c r="G116" t="s">
        <v>1034</v>
      </c>
      <c r="H116" t="s">
        <v>15</v>
      </c>
      <c r="I116" s="1">
        <v>1</v>
      </c>
      <c r="J116" s="2">
        <v>1293.0999999999999</v>
      </c>
    </row>
    <row r="117" spans="2:10" x14ac:dyDescent="0.2">
      <c r="B117" t="s">
        <v>261</v>
      </c>
      <c r="C117" t="s">
        <v>220</v>
      </c>
      <c r="D117" t="s">
        <v>262</v>
      </c>
      <c r="E117" t="s">
        <v>72</v>
      </c>
      <c r="F117" t="s">
        <v>73</v>
      </c>
      <c r="G117" t="s">
        <v>1034</v>
      </c>
      <c r="H117" t="s">
        <v>15</v>
      </c>
      <c r="I117" s="1">
        <v>1</v>
      </c>
      <c r="J117" s="2">
        <v>775.86</v>
      </c>
    </row>
    <row r="118" spans="2:10" x14ac:dyDescent="0.2">
      <c r="B118" t="s">
        <v>261</v>
      </c>
      <c r="C118" t="s">
        <v>220</v>
      </c>
      <c r="D118" t="s">
        <v>262</v>
      </c>
      <c r="E118" t="s">
        <v>63</v>
      </c>
      <c r="F118" t="s">
        <v>64</v>
      </c>
      <c r="G118" t="s">
        <v>1034</v>
      </c>
      <c r="H118" t="s">
        <v>15</v>
      </c>
      <c r="I118" s="1">
        <v>2</v>
      </c>
      <c r="J118" s="2">
        <v>344.82</v>
      </c>
    </row>
    <row r="119" spans="2:10" x14ac:dyDescent="0.2">
      <c r="B119" t="s">
        <v>261</v>
      </c>
      <c r="C119" t="s">
        <v>225</v>
      </c>
      <c r="D119" t="s">
        <v>262</v>
      </c>
      <c r="E119" t="s">
        <v>46</v>
      </c>
      <c r="F119" t="s">
        <v>47</v>
      </c>
      <c r="G119" t="s">
        <v>1034</v>
      </c>
      <c r="H119" t="s">
        <v>15</v>
      </c>
      <c r="I119" s="1">
        <v>1</v>
      </c>
      <c r="J119" s="2">
        <v>301.72000000000003</v>
      </c>
    </row>
    <row r="120" spans="2:10" x14ac:dyDescent="0.2">
      <c r="B120" t="s">
        <v>261</v>
      </c>
      <c r="C120" t="s">
        <v>225</v>
      </c>
      <c r="D120" t="s">
        <v>262</v>
      </c>
      <c r="E120" t="s">
        <v>214</v>
      </c>
      <c r="F120" t="s">
        <v>215</v>
      </c>
      <c r="G120" t="s">
        <v>1034</v>
      </c>
      <c r="H120" t="s">
        <v>15</v>
      </c>
      <c r="I120" s="1">
        <v>1</v>
      </c>
      <c r="J120" s="2">
        <v>301.72000000000003</v>
      </c>
    </row>
    <row r="121" spans="2:10" x14ac:dyDescent="0.2">
      <c r="B121" t="s">
        <v>261</v>
      </c>
      <c r="C121" t="s">
        <v>225</v>
      </c>
      <c r="D121" t="s">
        <v>262</v>
      </c>
      <c r="E121" t="s">
        <v>38</v>
      </c>
      <c r="F121" t="s">
        <v>39</v>
      </c>
      <c r="G121" t="s">
        <v>1034</v>
      </c>
      <c r="H121" t="s">
        <v>15</v>
      </c>
      <c r="I121" s="1">
        <v>1</v>
      </c>
      <c r="J121" s="2">
        <v>431.03</v>
      </c>
    </row>
    <row r="122" spans="2:10" x14ac:dyDescent="0.2">
      <c r="B122" t="s">
        <v>261</v>
      </c>
      <c r="C122" t="s">
        <v>225</v>
      </c>
      <c r="D122" t="s">
        <v>262</v>
      </c>
      <c r="E122" t="s">
        <v>61</v>
      </c>
      <c r="F122" t="s">
        <v>62</v>
      </c>
      <c r="G122" t="s">
        <v>1034</v>
      </c>
      <c r="H122" t="s">
        <v>15</v>
      </c>
      <c r="I122" s="1">
        <v>1</v>
      </c>
      <c r="J122" s="2">
        <v>172.41</v>
      </c>
    </row>
    <row r="123" spans="2:10" x14ac:dyDescent="0.2">
      <c r="B123" t="s">
        <v>261</v>
      </c>
      <c r="C123" t="s">
        <v>225</v>
      </c>
      <c r="D123" t="s">
        <v>262</v>
      </c>
      <c r="E123" t="s">
        <v>63</v>
      </c>
      <c r="F123" t="s">
        <v>64</v>
      </c>
      <c r="G123" t="s">
        <v>1034</v>
      </c>
      <c r="H123" t="s">
        <v>15</v>
      </c>
      <c r="I123" s="1">
        <v>1</v>
      </c>
      <c r="J123" s="2">
        <v>172.41</v>
      </c>
    </row>
    <row r="124" spans="2:10" x14ac:dyDescent="0.2">
      <c r="B124" t="s">
        <v>261</v>
      </c>
      <c r="C124" t="s">
        <v>225</v>
      </c>
      <c r="D124" t="s">
        <v>262</v>
      </c>
      <c r="E124" t="s">
        <v>348</v>
      </c>
      <c r="F124" t="s">
        <v>349</v>
      </c>
      <c r="G124" t="s">
        <v>1034</v>
      </c>
      <c r="H124" t="s">
        <v>15</v>
      </c>
      <c r="I124" s="1">
        <v>1</v>
      </c>
      <c r="J124" s="2">
        <v>241.38</v>
      </c>
    </row>
    <row r="125" spans="2:10" x14ac:dyDescent="0.2">
      <c r="B125" t="s">
        <v>261</v>
      </c>
      <c r="C125" t="s">
        <v>227</v>
      </c>
      <c r="D125" t="s">
        <v>262</v>
      </c>
      <c r="E125" t="s">
        <v>120</v>
      </c>
      <c r="F125" t="s">
        <v>121</v>
      </c>
      <c r="G125" t="s">
        <v>1034</v>
      </c>
      <c r="H125" t="s">
        <v>15</v>
      </c>
      <c r="I125" s="1">
        <v>1</v>
      </c>
      <c r="J125" s="2">
        <v>301.72000000000003</v>
      </c>
    </row>
    <row r="126" spans="2:10" x14ac:dyDescent="0.2">
      <c r="B126" t="s">
        <v>261</v>
      </c>
      <c r="C126" t="s">
        <v>227</v>
      </c>
      <c r="D126" t="s">
        <v>262</v>
      </c>
      <c r="E126" t="s">
        <v>56</v>
      </c>
      <c r="F126" t="s">
        <v>57</v>
      </c>
      <c r="G126" t="s">
        <v>1034</v>
      </c>
      <c r="H126" t="s">
        <v>15</v>
      </c>
      <c r="I126" s="1">
        <v>1</v>
      </c>
      <c r="J126" s="2">
        <v>431.03</v>
      </c>
    </row>
    <row r="127" spans="2:10" x14ac:dyDescent="0.2">
      <c r="B127" t="s">
        <v>261</v>
      </c>
      <c r="C127" t="s">
        <v>228</v>
      </c>
      <c r="D127" t="s">
        <v>262</v>
      </c>
      <c r="E127" t="s">
        <v>38</v>
      </c>
      <c r="F127" t="s">
        <v>39</v>
      </c>
      <c r="G127" t="s">
        <v>1034</v>
      </c>
      <c r="H127" t="s">
        <v>15</v>
      </c>
      <c r="I127" s="1">
        <v>1</v>
      </c>
      <c r="J127" s="2">
        <v>431.03</v>
      </c>
    </row>
    <row r="128" spans="2:10" x14ac:dyDescent="0.2">
      <c r="B128" t="s">
        <v>261</v>
      </c>
      <c r="C128" t="s">
        <v>228</v>
      </c>
      <c r="D128" t="s">
        <v>262</v>
      </c>
      <c r="E128" t="s">
        <v>56</v>
      </c>
      <c r="F128" t="s">
        <v>57</v>
      </c>
      <c r="G128" t="s">
        <v>1034</v>
      </c>
      <c r="H128" t="s">
        <v>15</v>
      </c>
      <c r="I128" s="1">
        <v>3</v>
      </c>
      <c r="J128" s="2">
        <v>1293.0999999999999</v>
      </c>
    </row>
    <row r="129" spans="2:10" x14ac:dyDescent="0.2">
      <c r="B129" t="s">
        <v>261</v>
      </c>
      <c r="C129" t="s">
        <v>233</v>
      </c>
      <c r="D129" t="s">
        <v>262</v>
      </c>
      <c r="E129" t="s">
        <v>120</v>
      </c>
      <c r="F129" t="s">
        <v>121</v>
      </c>
      <c r="G129" t="s">
        <v>1034</v>
      </c>
      <c r="H129" t="s">
        <v>15</v>
      </c>
      <c r="I129" s="1">
        <v>1</v>
      </c>
      <c r="J129" s="2">
        <v>301.72000000000003</v>
      </c>
    </row>
    <row r="130" spans="2:10" x14ac:dyDescent="0.2">
      <c r="B130" t="s">
        <v>261</v>
      </c>
      <c r="C130" t="s">
        <v>233</v>
      </c>
      <c r="D130" t="s">
        <v>262</v>
      </c>
      <c r="E130" t="s">
        <v>214</v>
      </c>
      <c r="F130" t="s">
        <v>215</v>
      </c>
      <c r="G130" t="s">
        <v>1034</v>
      </c>
      <c r="H130" t="s">
        <v>15</v>
      </c>
      <c r="I130" s="1">
        <v>1</v>
      </c>
      <c r="J130" s="2">
        <v>301.72000000000003</v>
      </c>
    </row>
    <row r="131" spans="2:10" x14ac:dyDescent="0.2">
      <c r="B131" t="s">
        <v>261</v>
      </c>
      <c r="C131" t="s">
        <v>233</v>
      </c>
      <c r="D131" t="s">
        <v>262</v>
      </c>
      <c r="E131" t="s">
        <v>267</v>
      </c>
      <c r="F131" t="s">
        <v>268</v>
      </c>
      <c r="G131" t="s">
        <v>1034</v>
      </c>
      <c r="H131" t="s">
        <v>15</v>
      </c>
      <c r="I131" s="1">
        <v>1</v>
      </c>
      <c r="J131" s="2">
        <v>258.62</v>
      </c>
    </row>
    <row r="132" spans="2:10" x14ac:dyDescent="0.2">
      <c r="B132" t="s">
        <v>261</v>
      </c>
      <c r="C132" t="s">
        <v>233</v>
      </c>
      <c r="D132" t="s">
        <v>262</v>
      </c>
      <c r="E132" t="s">
        <v>72</v>
      </c>
      <c r="F132" t="s">
        <v>73</v>
      </c>
      <c r="G132" t="s">
        <v>1034</v>
      </c>
      <c r="H132" t="s">
        <v>15</v>
      </c>
      <c r="I132" s="1">
        <v>1</v>
      </c>
      <c r="J132" s="2">
        <v>775.86</v>
      </c>
    </row>
    <row r="133" spans="2:10" x14ac:dyDescent="0.2">
      <c r="B133" t="s">
        <v>261</v>
      </c>
      <c r="C133" t="s">
        <v>236</v>
      </c>
      <c r="D133" t="s">
        <v>277</v>
      </c>
      <c r="E133" t="s">
        <v>46</v>
      </c>
      <c r="F133" t="s">
        <v>47</v>
      </c>
      <c r="G133" t="s">
        <v>1034</v>
      </c>
      <c r="H133" t="s">
        <v>15</v>
      </c>
      <c r="I133" s="1">
        <v>1</v>
      </c>
      <c r="J133" s="2">
        <v>301.72000000000003</v>
      </c>
    </row>
    <row r="134" spans="2:10" x14ac:dyDescent="0.2">
      <c r="B134" t="s">
        <v>261</v>
      </c>
      <c r="C134" t="s">
        <v>236</v>
      </c>
      <c r="D134" t="s">
        <v>277</v>
      </c>
      <c r="E134" t="s">
        <v>38</v>
      </c>
      <c r="F134" t="s">
        <v>39</v>
      </c>
      <c r="G134" t="s">
        <v>1034</v>
      </c>
      <c r="H134" t="s">
        <v>15</v>
      </c>
      <c r="I134" s="1">
        <v>2</v>
      </c>
      <c r="J134" s="2">
        <v>862.06</v>
      </c>
    </row>
    <row r="135" spans="2:10" x14ac:dyDescent="0.2">
      <c r="B135" t="s">
        <v>261</v>
      </c>
      <c r="C135" t="s">
        <v>236</v>
      </c>
      <c r="D135" t="s">
        <v>277</v>
      </c>
      <c r="E135" t="s">
        <v>61</v>
      </c>
      <c r="F135" t="s">
        <v>62</v>
      </c>
      <c r="G135" t="s">
        <v>1034</v>
      </c>
      <c r="H135" t="s">
        <v>15</v>
      </c>
      <c r="I135" s="1">
        <v>1</v>
      </c>
      <c r="J135" s="2">
        <v>172.41</v>
      </c>
    </row>
    <row r="136" spans="2:10" x14ac:dyDescent="0.2">
      <c r="B136" t="s">
        <v>261</v>
      </c>
      <c r="C136" t="s">
        <v>237</v>
      </c>
      <c r="D136" t="s">
        <v>262</v>
      </c>
      <c r="E136" t="s">
        <v>46</v>
      </c>
      <c r="F136" t="s">
        <v>47</v>
      </c>
      <c r="G136" t="s">
        <v>1034</v>
      </c>
      <c r="H136" t="s">
        <v>15</v>
      </c>
      <c r="I136" s="1">
        <v>1</v>
      </c>
      <c r="J136" s="2">
        <v>301.72000000000003</v>
      </c>
    </row>
    <row r="137" spans="2:10" x14ac:dyDescent="0.2">
      <c r="B137" t="s">
        <v>261</v>
      </c>
      <c r="C137" t="s">
        <v>237</v>
      </c>
      <c r="D137" t="s">
        <v>262</v>
      </c>
      <c r="E137" t="s">
        <v>120</v>
      </c>
      <c r="F137" t="s">
        <v>121</v>
      </c>
      <c r="G137" t="s">
        <v>1034</v>
      </c>
      <c r="H137" t="s">
        <v>15</v>
      </c>
      <c r="I137" s="1">
        <v>1</v>
      </c>
      <c r="J137" s="2">
        <v>301.72000000000003</v>
      </c>
    </row>
    <row r="138" spans="2:10" x14ac:dyDescent="0.2">
      <c r="B138" t="s">
        <v>261</v>
      </c>
      <c r="C138" t="s">
        <v>237</v>
      </c>
      <c r="D138" t="s">
        <v>262</v>
      </c>
      <c r="E138" t="s">
        <v>61</v>
      </c>
      <c r="F138" t="s">
        <v>62</v>
      </c>
      <c r="G138" t="s">
        <v>1034</v>
      </c>
      <c r="H138" t="s">
        <v>15</v>
      </c>
      <c r="I138" s="1">
        <v>1</v>
      </c>
      <c r="J138" s="2">
        <v>172.41</v>
      </c>
    </row>
    <row r="139" spans="2:10" x14ac:dyDescent="0.2">
      <c r="B139" t="s">
        <v>261</v>
      </c>
      <c r="C139" t="s">
        <v>237</v>
      </c>
      <c r="D139" t="s">
        <v>262</v>
      </c>
      <c r="E139" t="s">
        <v>63</v>
      </c>
      <c r="F139" t="s">
        <v>64</v>
      </c>
      <c r="G139" t="s">
        <v>1034</v>
      </c>
      <c r="H139" t="s">
        <v>15</v>
      </c>
      <c r="I139" s="1">
        <v>1</v>
      </c>
      <c r="J139" s="2">
        <v>172.41</v>
      </c>
    </row>
    <row r="140" spans="2:10" x14ac:dyDescent="0.2">
      <c r="B140" t="s">
        <v>261</v>
      </c>
      <c r="C140" t="s">
        <v>248</v>
      </c>
      <c r="D140" t="s">
        <v>262</v>
      </c>
      <c r="E140" t="s">
        <v>72</v>
      </c>
      <c r="F140" t="s">
        <v>73</v>
      </c>
      <c r="G140" t="s">
        <v>1034</v>
      </c>
      <c r="H140" t="s">
        <v>15</v>
      </c>
      <c r="I140" s="1">
        <v>1</v>
      </c>
      <c r="J140" s="2">
        <v>775.86</v>
      </c>
    </row>
    <row r="141" spans="2:10" x14ac:dyDescent="0.2">
      <c r="B141" t="s">
        <v>376</v>
      </c>
      <c r="C141" t="s">
        <v>10</v>
      </c>
      <c r="D141" t="s">
        <v>32</v>
      </c>
      <c r="E141" t="s">
        <v>36</v>
      </c>
      <c r="F141" t="s">
        <v>37</v>
      </c>
      <c r="G141" t="s">
        <v>1034</v>
      </c>
      <c r="H141" t="s">
        <v>15</v>
      </c>
      <c r="I141" s="1">
        <v>1</v>
      </c>
      <c r="J141" s="2">
        <v>301.72000000000003</v>
      </c>
    </row>
    <row r="142" spans="2:10" x14ac:dyDescent="0.2">
      <c r="B142" t="s">
        <v>376</v>
      </c>
      <c r="C142" t="s">
        <v>10</v>
      </c>
      <c r="D142" t="s">
        <v>32</v>
      </c>
      <c r="E142" t="s">
        <v>122</v>
      </c>
      <c r="F142" t="s">
        <v>123</v>
      </c>
      <c r="G142" t="s">
        <v>1034</v>
      </c>
      <c r="H142" t="s">
        <v>15</v>
      </c>
      <c r="I142" s="1">
        <v>1</v>
      </c>
      <c r="J142" s="2">
        <v>387.93</v>
      </c>
    </row>
    <row r="143" spans="2:10" x14ac:dyDescent="0.2">
      <c r="B143" t="s">
        <v>376</v>
      </c>
      <c r="C143" t="s">
        <v>10</v>
      </c>
      <c r="D143" t="s">
        <v>32</v>
      </c>
      <c r="E143" t="s">
        <v>56</v>
      </c>
      <c r="F143" t="s">
        <v>57</v>
      </c>
      <c r="G143" t="s">
        <v>1034</v>
      </c>
      <c r="H143" t="s">
        <v>15</v>
      </c>
      <c r="I143" s="1">
        <v>1</v>
      </c>
      <c r="J143" s="2">
        <v>431.03</v>
      </c>
    </row>
    <row r="144" spans="2:10" x14ac:dyDescent="0.2">
      <c r="B144" t="s">
        <v>376</v>
      </c>
      <c r="C144" t="s">
        <v>18</v>
      </c>
      <c r="D144" t="s">
        <v>386</v>
      </c>
      <c r="E144" t="s">
        <v>46</v>
      </c>
      <c r="F144" t="s">
        <v>47</v>
      </c>
      <c r="G144" t="s">
        <v>1034</v>
      </c>
      <c r="H144" t="s">
        <v>15</v>
      </c>
      <c r="I144" s="1">
        <v>1</v>
      </c>
      <c r="J144" s="2">
        <v>301.72000000000003</v>
      </c>
    </row>
    <row r="145" spans="2:10" x14ac:dyDescent="0.2">
      <c r="B145" t="s">
        <v>376</v>
      </c>
      <c r="C145" t="s">
        <v>18</v>
      </c>
      <c r="D145" t="s">
        <v>386</v>
      </c>
      <c r="E145" t="s">
        <v>221</v>
      </c>
      <c r="F145" t="s">
        <v>222</v>
      </c>
      <c r="G145" t="s">
        <v>1034</v>
      </c>
      <c r="H145" t="s">
        <v>15</v>
      </c>
      <c r="I145" s="1">
        <v>1</v>
      </c>
      <c r="J145" s="2">
        <v>431.03</v>
      </c>
    </row>
    <row r="146" spans="2:10" x14ac:dyDescent="0.2">
      <c r="B146" t="s">
        <v>376</v>
      </c>
      <c r="C146" t="s">
        <v>18</v>
      </c>
      <c r="D146" t="s">
        <v>386</v>
      </c>
      <c r="E146" t="s">
        <v>12</v>
      </c>
      <c r="F146" t="s">
        <v>13</v>
      </c>
      <c r="G146" t="s">
        <v>1034</v>
      </c>
      <c r="H146" t="s">
        <v>15</v>
      </c>
      <c r="I146" s="1">
        <v>1</v>
      </c>
      <c r="J146" s="2">
        <v>1077.5899999999999</v>
      </c>
    </row>
    <row r="147" spans="2:10" x14ac:dyDescent="0.2">
      <c r="B147" t="s">
        <v>376</v>
      </c>
      <c r="C147" t="s">
        <v>18</v>
      </c>
      <c r="D147" t="s">
        <v>386</v>
      </c>
      <c r="E147" t="s">
        <v>253</v>
      </c>
      <c r="F147" t="s">
        <v>254</v>
      </c>
      <c r="G147" t="s">
        <v>1034</v>
      </c>
      <c r="H147" t="s">
        <v>15</v>
      </c>
      <c r="I147" s="1">
        <v>1</v>
      </c>
      <c r="J147" s="2">
        <v>775.86</v>
      </c>
    </row>
    <row r="148" spans="2:10" x14ac:dyDescent="0.2">
      <c r="B148" t="s">
        <v>376</v>
      </c>
      <c r="C148" t="s">
        <v>18</v>
      </c>
      <c r="D148" t="s">
        <v>386</v>
      </c>
      <c r="E148" t="s">
        <v>38</v>
      </c>
      <c r="F148" t="s">
        <v>39</v>
      </c>
      <c r="G148" t="s">
        <v>1034</v>
      </c>
      <c r="H148" t="s">
        <v>15</v>
      </c>
      <c r="I148" s="1">
        <v>1</v>
      </c>
      <c r="J148" s="2">
        <v>431.03</v>
      </c>
    </row>
    <row r="149" spans="2:10" x14ac:dyDescent="0.2">
      <c r="B149" t="s">
        <v>376</v>
      </c>
      <c r="C149" t="s">
        <v>31</v>
      </c>
      <c r="D149" t="s">
        <v>386</v>
      </c>
      <c r="E149" t="s">
        <v>56</v>
      </c>
      <c r="F149" t="s">
        <v>57</v>
      </c>
      <c r="G149" t="s">
        <v>1034</v>
      </c>
      <c r="H149" t="s">
        <v>15</v>
      </c>
      <c r="I149" s="1">
        <v>1</v>
      </c>
      <c r="J149" s="2">
        <v>431.03</v>
      </c>
    </row>
    <row r="150" spans="2:10" x14ac:dyDescent="0.2">
      <c r="B150" t="s">
        <v>376</v>
      </c>
      <c r="C150" t="s">
        <v>40</v>
      </c>
      <c r="D150" t="s">
        <v>386</v>
      </c>
      <c r="E150" t="s">
        <v>214</v>
      </c>
      <c r="F150" t="s">
        <v>215</v>
      </c>
      <c r="G150" t="s">
        <v>1034</v>
      </c>
      <c r="H150" t="s">
        <v>15</v>
      </c>
      <c r="I150" s="1">
        <v>1</v>
      </c>
      <c r="J150" s="2">
        <v>301.72000000000003</v>
      </c>
    </row>
    <row r="151" spans="2:10" x14ac:dyDescent="0.2">
      <c r="B151" t="s">
        <v>376</v>
      </c>
      <c r="C151" t="s">
        <v>51</v>
      </c>
      <c r="D151" t="s">
        <v>386</v>
      </c>
      <c r="E151" t="s">
        <v>153</v>
      </c>
      <c r="F151" t="s">
        <v>154</v>
      </c>
      <c r="G151" t="s">
        <v>1034</v>
      </c>
      <c r="H151" t="s">
        <v>15</v>
      </c>
      <c r="I151" s="1">
        <v>1</v>
      </c>
      <c r="J151" s="2">
        <v>387.93</v>
      </c>
    </row>
    <row r="152" spans="2:10" x14ac:dyDescent="0.2">
      <c r="B152" t="s">
        <v>376</v>
      </c>
      <c r="C152" t="s">
        <v>51</v>
      </c>
      <c r="D152" t="s">
        <v>386</v>
      </c>
      <c r="E152" t="s">
        <v>56</v>
      </c>
      <c r="F152" t="s">
        <v>57</v>
      </c>
      <c r="G152" t="s">
        <v>1034</v>
      </c>
      <c r="H152" t="s">
        <v>15</v>
      </c>
      <c r="I152" s="1">
        <v>1</v>
      </c>
      <c r="J152" s="2">
        <v>431.03</v>
      </c>
    </row>
    <row r="153" spans="2:10" x14ac:dyDescent="0.2">
      <c r="B153" t="s">
        <v>376</v>
      </c>
      <c r="C153" t="s">
        <v>65</v>
      </c>
      <c r="D153" t="s">
        <v>386</v>
      </c>
      <c r="E153" t="s">
        <v>122</v>
      </c>
      <c r="F153" t="s">
        <v>123</v>
      </c>
      <c r="G153" t="s">
        <v>1034</v>
      </c>
      <c r="H153" t="s">
        <v>15</v>
      </c>
      <c r="I153" s="1">
        <v>1</v>
      </c>
      <c r="J153" s="2">
        <v>387.93</v>
      </c>
    </row>
    <row r="154" spans="2:10" x14ac:dyDescent="0.2">
      <c r="B154" t="s">
        <v>376</v>
      </c>
      <c r="C154" t="s">
        <v>65</v>
      </c>
      <c r="D154" t="s">
        <v>386</v>
      </c>
      <c r="E154" t="s">
        <v>56</v>
      </c>
      <c r="F154" t="s">
        <v>57</v>
      </c>
      <c r="G154" t="s">
        <v>1034</v>
      </c>
      <c r="H154" t="s">
        <v>15</v>
      </c>
      <c r="I154" s="1">
        <v>1</v>
      </c>
      <c r="J154" s="2">
        <v>431.03</v>
      </c>
    </row>
    <row r="155" spans="2:10" x14ac:dyDescent="0.2">
      <c r="B155" t="s">
        <v>376</v>
      </c>
      <c r="C155" t="s">
        <v>88</v>
      </c>
      <c r="D155" t="s">
        <v>32</v>
      </c>
      <c r="E155" t="s">
        <v>267</v>
      </c>
      <c r="F155" t="s">
        <v>268</v>
      </c>
      <c r="G155" t="s">
        <v>1034</v>
      </c>
      <c r="H155" t="s">
        <v>15</v>
      </c>
      <c r="I155" s="1">
        <v>1</v>
      </c>
      <c r="J155" s="2">
        <v>258.62</v>
      </c>
    </row>
    <row r="156" spans="2:10" x14ac:dyDescent="0.2">
      <c r="B156" t="s">
        <v>376</v>
      </c>
      <c r="C156" t="s">
        <v>134</v>
      </c>
      <c r="D156" t="s">
        <v>32</v>
      </c>
      <c r="E156" t="s">
        <v>36</v>
      </c>
      <c r="F156" t="s">
        <v>37</v>
      </c>
      <c r="G156" t="s">
        <v>1034</v>
      </c>
      <c r="H156" t="s">
        <v>15</v>
      </c>
      <c r="I156" s="1">
        <v>1</v>
      </c>
      <c r="J156" s="2">
        <v>301.72000000000003</v>
      </c>
    </row>
    <row r="157" spans="2:10" x14ac:dyDescent="0.2">
      <c r="B157" t="s">
        <v>376</v>
      </c>
      <c r="C157" t="s">
        <v>134</v>
      </c>
      <c r="D157" t="s">
        <v>32</v>
      </c>
      <c r="E157" t="s">
        <v>56</v>
      </c>
      <c r="F157" t="s">
        <v>57</v>
      </c>
      <c r="G157" t="s">
        <v>1034</v>
      </c>
      <c r="H157" t="s">
        <v>15</v>
      </c>
      <c r="I157" s="1">
        <v>1</v>
      </c>
      <c r="J157" s="2">
        <v>431.03</v>
      </c>
    </row>
    <row r="158" spans="2:10" x14ac:dyDescent="0.2">
      <c r="B158" t="s">
        <v>376</v>
      </c>
      <c r="C158" t="s">
        <v>135</v>
      </c>
      <c r="D158" t="s">
        <v>386</v>
      </c>
      <c r="E158" t="s">
        <v>12</v>
      </c>
      <c r="F158" t="s">
        <v>13</v>
      </c>
      <c r="G158" t="s">
        <v>1034</v>
      </c>
      <c r="H158" t="s">
        <v>15</v>
      </c>
      <c r="I158" s="1">
        <v>1</v>
      </c>
      <c r="J158" s="2">
        <v>1077.5899999999999</v>
      </c>
    </row>
    <row r="159" spans="2:10" x14ac:dyDescent="0.2">
      <c r="B159" t="s">
        <v>376</v>
      </c>
      <c r="C159" t="s">
        <v>135</v>
      </c>
      <c r="D159" t="s">
        <v>386</v>
      </c>
      <c r="E159" t="s">
        <v>214</v>
      </c>
      <c r="F159" t="s">
        <v>215</v>
      </c>
      <c r="G159" t="s">
        <v>1034</v>
      </c>
      <c r="H159" t="s">
        <v>15</v>
      </c>
      <c r="I159" s="1">
        <v>1</v>
      </c>
      <c r="J159" s="2">
        <v>301.72000000000003</v>
      </c>
    </row>
    <row r="160" spans="2:10" x14ac:dyDescent="0.2">
      <c r="B160" t="s">
        <v>376</v>
      </c>
      <c r="C160" t="s">
        <v>135</v>
      </c>
      <c r="D160" t="s">
        <v>386</v>
      </c>
      <c r="E160" t="s">
        <v>36</v>
      </c>
      <c r="F160" t="s">
        <v>37</v>
      </c>
      <c r="G160" t="s">
        <v>1034</v>
      </c>
      <c r="H160" t="s">
        <v>15</v>
      </c>
      <c r="I160" s="1">
        <v>1</v>
      </c>
      <c r="J160" s="2">
        <v>301.72000000000003</v>
      </c>
    </row>
    <row r="161" spans="2:10" x14ac:dyDescent="0.2">
      <c r="B161" t="s">
        <v>376</v>
      </c>
      <c r="C161" t="s">
        <v>135</v>
      </c>
      <c r="D161" t="s">
        <v>386</v>
      </c>
      <c r="E161" t="s">
        <v>122</v>
      </c>
      <c r="F161" t="s">
        <v>123</v>
      </c>
      <c r="G161" t="s">
        <v>1034</v>
      </c>
      <c r="H161" t="s">
        <v>15</v>
      </c>
      <c r="I161" s="1">
        <v>1</v>
      </c>
      <c r="J161" s="2">
        <v>387.93</v>
      </c>
    </row>
    <row r="162" spans="2:10" x14ac:dyDescent="0.2">
      <c r="B162" t="s">
        <v>376</v>
      </c>
      <c r="C162" t="s">
        <v>135</v>
      </c>
      <c r="D162" t="s">
        <v>386</v>
      </c>
      <c r="E162" t="s">
        <v>83</v>
      </c>
      <c r="F162" t="s">
        <v>84</v>
      </c>
      <c r="G162" t="s">
        <v>1034</v>
      </c>
      <c r="H162" t="s">
        <v>15</v>
      </c>
      <c r="I162" s="1">
        <v>1</v>
      </c>
      <c r="J162" s="2">
        <v>387.93</v>
      </c>
    </row>
    <row r="163" spans="2:10" x14ac:dyDescent="0.2">
      <c r="B163" t="s">
        <v>376</v>
      </c>
      <c r="C163" t="s">
        <v>135</v>
      </c>
      <c r="D163" t="s">
        <v>386</v>
      </c>
      <c r="E163" t="s">
        <v>56</v>
      </c>
      <c r="F163" t="s">
        <v>57</v>
      </c>
      <c r="G163" t="s">
        <v>1034</v>
      </c>
      <c r="H163" t="s">
        <v>15</v>
      </c>
      <c r="I163" s="1">
        <v>1</v>
      </c>
      <c r="J163" s="2">
        <v>431.03</v>
      </c>
    </row>
    <row r="164" spans="2:10" x14ac:dyDescent="0.2">
      <c r="B164" t="s">
        <v>376</v>
      </c>
      <c r="C164" t="s">
        <v>141</v>
      </c>
      <c r="D164" t="s">
        <v>386</v>
      </c>
      <c r="E164" t="s">
        <v>12</v>
      </c>
      <c r="F164" t="s">
        <v>13</v>
      </c>
      <c r="G164" t="s">
        <v>1034</v>
      </c>
      <c r="H164" t="s">
        <v>15</v>
      </c>
      <c r="I164" s="1">
        <v>1</v>
      </c>
      <c r="J164" s="2">
        <v>1077.5899999999999</v>
      </c>
    </row>
    <row r="165" spans="2:10" x14ac:dyDescent="0.2">
      <c r="B165" t="s">
        <v>376</v>
      </c>
      <c r="C165" t="s">
        <v>141</v>
      </c>
      <c r="D165" t="s">
        <v>386</v>
      </c>
      <c r="E165" t="s">
        <v>83</v>
      </c>
      <c r="F165" t="s">
        <v>84</v>
      </c>
      <c r="G165" t="s">
        <v>1034</v>
      </c>
      <c r="H165" t="s">
        <v>15</v>
      </c>
      <c r="I165" s="1">
        <v>1</v>
      </c>
      <c r="J165" s="2">
        <v>387.93</v>
      </c>
    </row>
    <row r="166" spans="2:10" x14ac:dyDescent="0.2">
      <c r="B166" t="s">
        <v>376</v>
      </c>
      <c r="C166" t="s">
        <v>141</v>
      </c>
      <c r="D166" t="s">
        <v>386</v>
      </c>
      <c r="E166" t="s">
        <v>56</v>
      </c>
      <c r="F166" t="s">
        <v>57</v>
      </c>
      <c r="G166" t="s">
        <v>1034</v>
      </c>
      <c r="H166" t="s">
        <v>15</v>
      </c>
      <c r="I166" s="1">
        <v>1</v>
      </c>
      <c r="J166" s="2">
        <v>431.03</v>
      </c>
    </row>
    <row r="167" spans="2:10" x14ac:dyDescent="0.2">
      <c r="B167" t="s">
        <v>376</v>
      </c>
      <c r="C167" t="s">
        <v>165</v>
      </c>
      <c r="D167" t="s">
        <v>386</v>
      </c>
      <c r="E167" t="s">
        <v>46</v>
      </c>
      <c r="F167" t="s">
        <v>47</v>
      </c>
      <c r="G167" t="s">
        <v>1034</v>
      </c>
      <c r="H167" t="s">
        <v>15</v>
      </c>
      <c r="I167" s="1">
        <v>2</v>
      </c>
      <c r="J167" s="2">
        <v>603.44000000000005</v>
      </c>
    </row>
    <row r="168" spans="2:10" x14ac:dyDescent="0.2">
      <c r="B168" t="s">
        <v>376</v>
      </c>
      <c r="C168" t="s">
        <v>165</v>
      </c>
      <c r="D168" t="s">
        <v>386</v>
      </c>
      <c r="E168" t="s">
        <v>253</v>
      </c>
      <c r="F168" t="s">
        <v>254</v>
      </c>
      <c r="G168" t="s">
        <v>1034</v>
      </c>
      <c r="H168" t="s">
        <v>15</v>
      </c>
      <c r="I168" s="1">
        <v>1</v>
      </c>
      <c r="J168" s="2">
        <v>775.86</v>
      </c>
    </row>
    <row r="169" spans="2:10" x14ac:dyDescent="0.2">
      <c r="B169" t="s">
        <v>376</v>
      </c>
      <c r="C169" t="s">
        <v>165</v>
      </c>
      <c r="D169" t="s">
        <v>386</v>
      </c>
      <c r="E169" t="s">
        <v>72</v>
      </c>
      <c r="F169" t="s">
        <v>73</v>
      </c>
      <c r="G169" t="s">
        <v>1034</v>
      </c>
      <c r="H169" t="s">
        <v>15</v>
      </c>
      <c r="I169" s="1">
        <v>1</v>
      </c>
      <c r="J169" s="2">
        <v>775.86</v>
      </c>
    </row>
    <row r="170" spans="2:10" x14ac:dyDescent="0.2">
      <c r="B170" t="s">
        <v>376</v>
      </c>
      <c r="C170" t="s">
        <v>165</v>
      </c>
      <c r="D170" t="s">
        <v>386</v>
      </c>
      <c r="E170" t="s">
        <v>83</v>
      </c>
      <c r="F170" t="s">
        <v>84</v>
      </c>
      <c r="G170" t="s">
        <v>1034</v>
      </c>
      <c r="H170" t="s">
        <v>15</v>
      </c>
      <c r="I170" s="1">
        <v>1</v>
      </c>
      <c r="J170" s="2">
        <v>387.93</v>
      </c>
    </row>
    <row r="171" spans="2:10" x14ac:dyDescent="0.2">
      <c r="B171" t="s">
        <v>376</v>
      </c>
      <c r="C171" t="s">
        <v>166</v>
      </c>
      <c r="D171" t="s">
        <v>386</v>
      </c>
      <c r="E171" t="s">
        <v>46</v>
      </c>
      <c r="F171" t="s">
        <v>47</v>
      </c>
      <c r="G171" t="s">
        <v>1034</v>
      </c>
      <c r="H171" t="s">
        <v>15</v>
      </c>
      <c r="I171" s="1">
        <v>1</v>
      </c>
      <c r="J171" s="2">
        <v>301.72000000000003</v>
      </c>
    </row>
    <row r="172" spans="2:10" x14ac:dyDescent="0.2">
      <c r="B172" t="s">
        <v>376</v>
      </c>
      <c r="C172" t="s">
        <v>166</v>
      </c>
      <c r="D172" t="s">
        <v>386</v>
      </c>
      <c r="E172" t="s">
        <v>267</v>
      </c>
      <c r="F172" t="s">
        <v>268</v>
      </c>
      <c r="G172" t="s">
        <v>1034</v>
      </c>
      <c r="H172" t="s">
        <v>15</v>
      </c>
      <c r="I172" s="1">
        <v>1</v>
      </c>
      <c r="J172" s="2">
        <v>258.62</v>
      </c>
    </row>
    <row r="173" spans="2:10" x14ac:dyDescent="0.2">
      <c r="B173" t="s">
        <v>376</v>
      </c>
      <c r="C173" t="s">
        <v>166</v>
      </c>
      <c r="D173" t="s">
        <v>386</v>
      </c>
      <c r="E173" t="s">
        <v>72</v>
      </c>
      <c r="F173" t="s">
        <v>73</v>
      </c>
      <c r="G173" t="s">
        <v>1034</v>
      </c>
      <c r="H173" t="s">
        <v>15</v>
      </c>
      <c r="I173" s="1">
        <v>1</v>
      </c>
      <c r="J173" s="2">
        <v>775.86</v>
      </c>
    </row>
    <row r="174" spans="2:10" x14ac:dyDescent="0.2">
      <c r="B174" t="s">
        <v>376</v>
      </c>
      <c r="C174" t="s">
        <v>166</v>
      </c>
      <c r="D174" t="s">
        <v>386</v>
      </c>
      <c r="E174" t="s">
        <v>153</v>
      </c>
      <c r="F174" t="s">
        <v>154</v>
      </c>
      <c r="G174" t="s">
        <v>1034</v>
      </c>
      <c r="H174" t="s">
        <v>15</v>
      </c>
      <c r="I174" s="1">
        <v>1</v>
      </c>
      <c r="J174" s="2">
        <v>387.93</v>
      </c>
    </row>
    <row r="175" spans="2:10" x14ac:dyDescent="0.2">
      <c r="B175" t="s">
        <v>376</v>
      </c>
      <c r="C175" t="s">
        <v>185</v>
      </c>
      <c r="D175" t="s">
        <v>386</v>
      </c>
      <c r="E175" t="s">
        <v>214</v>
      </c>
      <c r="F175" t="s">
        <v>215</v>
      </c>
      <c r="G175" t="s">
        <v>1034</v>
      </c>
      <c r="H175" t="s">
        <v>15</v>
      </c>
      <c r="I175" s="1">
        <v>1</v>
      </c>
      <c r="J175" s="2">
        <v>301.72000000000003</v>
      </c>
    </row>
    <row r="176" spans="2:10" x14ac:dyDescent="0.2">
      <c r="B176" t="s">
        <v>376</v>
      </c>
      <c r="C176" t="s">
        <v>185</v>
      </c>
      <c r="D176" t="s">
        <v>386</v>
      </c>
      <c r="E176" t="s">
        <v>72</v>
      </c>
      <c r="F176" t="s">
        <v>73</v>
      </c>
      <c r="G176" t="s">
        <v>1034</v>
      </c>
      <c r="H176" t="s">
        <v>15</v>
      </c>
      <c r="I176" s="1">
        <v>2</v>
      </c>
      <c r="J176" s="2">
        <v>1551.72</v>
      </c>
    </row>
    <row r="177" spans="2:10" x14ac:dyDescent="0.2">
      <c r="B177" t="s">
        <v>376</v>
      </c>
      <c r="C177" t="s">
        <v>335</v>
      </c>
      <c r="D177" t="s">
        <v>386</v>
      </c>
      <c r="E177" t="s">
        <v>46</v>
      </c>
      <c r="F177" t="s">
        <v>47</v>
      </c>
      <c r="G177" t="s">
        <v>1034</v>
      </c>
      <c r="H177" t="s">
        <v>15</v>
      </c>
      <c r="I177" s="1">
        <v>1</v>
      </c>
      <c r="J177" s="2">
        <v>301.72000000000003</v>
      </c>
    </row>
    <row r="178" spans="2:10" x14ac:dyDescent="0.2">
      <c r="B178" t="s">
        <v>376</v>
      </c>
      <c r="C178" t="s">
        <v>335</v>
      </c>
      <c r="D178" t="s">
        <v>386</v>
      </c>
      <c r="E178" t="s">
        <v>120</v>
      </c>
      <c r="F178" t="s">
        <v>121</v>
      </c>
      <c r="G178" t="s">
        <v>1034</v>
      </c>
      <c r="H178" t="s">
        <v>15</v>
      </c>
      <c r="I178" s="1">
        <v>1</v>
      </c>
      <c r="J178" s="2">
        <v>301.72000000000003</v>
      </c>
    </row>
    <row r="179" spans="2:10" x14ac:dyDescent="0.2">
      <c r="B179" t="s">
        <v>376</v>
      </c>
      <c r="C179" t="s">
        <v>335</v>
      </c>
      <c r="D179" t="s">
        <v>386</v>
      </c>
      <c r="E179" t="s">
        <v>253</v>
      </c>
      <c r="F179" t="s">
        <v>254</v>
      </c>
      <c r="G179" t="s">
        <v>1034</v>
      </c>
      <c r="H179" t="s">
        <v>15</v>
      </c>
      <c r="I179" s="1">
        <v>1</v>
      </c>
      <c r="J179" s="2">
        <v>775.86</v>
      </c>
    </row>
    <row r="180" spans="2:10" x14ac:dyDescent="0.2">
      <c r="B180" t="s">
        <v>376</v>
      </c>
      <c r="C180" t="s">
        <v>335</v>
      </c>
      <c r="D180" t="s">
        <v>386</v>
      </c>
      <c r="E180" t="s">
        <v>72</v>
      </c>
      <c r="F180" t="s">
        <v>73</v>
      </c>
      <c r="G180" t="s">
        <v>1034</v>
      </c>
      <c r="H180" t="s">
        <v>15</v>
      </c>
      <c r="I180" s="1">
        <v>1</v>
      </c>
      <c r="J180" s="2">
        <v>775.86</v>
      </c>
    </row>
    <row r="181" spans="2:10" x14ac:dyDescent="0.2">
      <c r="B181" t="s">
        <v>376</v>
      </c>
      <c r="C181" t="s">
        <v>418</v>
      </c>
      <c r="D181" t="s">
        <v>386</v>
      </c>
      <c r="E181" t="s">
        <v>120</v>
      </c>
      <c r="F181" t="s">
        <v>121</v>
      </c>
      <c r="G181" t="s">
        <v>1034</v>
      </c>
      <c r="H181" t="s">
        <v>15</v>
      </c>
      <c r="I181" s="1">
        <v>1</v>
      </c>
      <c r="J181" s="2">
        <v>301.72000000000003</v>
      </c>
    </row>
    <row r="182" spans="2:10" x14ac:dyDescent="0.2">
      <c r="B182" t="s">
        <v>376</v>
      </c>
      <c r="C182" t="s">
        <v>197</v>
      </c>
      <c r="D182" t="s">
        <v>386</v>
      </c>
      <c r="E182" t="s">
        <v>56</v>
      </c>
      <c r="F182" t="s">
        <v>57</v>
      </c>
      <c r="G182" t="s">
        <v>1034</v>
      </c>
      <c r="H182" t="s">
        <v>15</v>
      </c>
      <c r="I182" s="1">
        <v>1</v>
      </c>
      <c r="J182" s="2">
        <v>431.03</v>
      </c>
    </row>
    <row r="183" spans="2:10" x14ac:dyDescent="0.2">
      <c r="B183" t="s">
        <v>376</v>
      </c>
      <c r="C183" t="s">
        <v>206</v>
      </c>
      <c r="D183" t="s">
        <v>386</v>
      </c>
      <c r="E183" t="s">
        <v>122</v>
      </c>
      <c r="F183" t="s">
        <v>123</v>
      </c>
      <c r="G183" t="s">
        <v>1034</v>
      </c>
      <c r="H183" t="s">
        <v>15</v>
      </c>
      <c r="I183" s="1">
        <v>1</v>
      </c>
      <c r="J183" s="2">
        <v>387.93</v>
      </c>
    </row>
    <row r="184" spans="2:10" x14ac:dyDescent="0.2">
      <c r="B184" t="s">
        <v>376</v>
      </c>
      <c r="C184" t="s">
        <v>206</v>
      </c>
      <c r="D184" t="s">
        <v>386</v>
      </c>
      <c r="E184" t="s">
        <v>61</v>
      </c>
      <c r="F184" t="s">
        <v>62</v>
      </c>
      <c r="G184" t="s">
        <v>1034</v>
      </c>
      <c r="H184" t="s">
        <v>15</v>
      </c>
      <c r="I184" s="1">
        <v>1</v>
      </c>
      <c r="J184" s="2">
        <v>172.41</v>
      </c>
    </row>
    <row r="185" spans="2:10" x14ac:dyDescent="0.2">
      <c r="B185" t="s">
        <v>376</v>
      </c>
      <c r="C185" t="s">
        <v>206</v>
      </c>
      <c r="D185" t="s">
        <v>386</v>
      </c>
      <c r="E185" t="s">
        <v>63</v>
      </c>
      <c r="F185" t="s">
        <v>64</v>
      </c>
      <c r="G185" t="s">
        <v>1034</v>
      </c>
      <c r="H185" t="s">
        <v>15</v>
      </c>
      <c r="I185" s="1">
        <v>2</v>
      </c>
      <c r="J185" s="2">
        <v>344.82</v>
      </c>
    </row>
    <row r="186" spans="2:10" x14ac:dyDescent="0.2">
      <c r="B186" t="s">
        <v>376</v>
      </c>
      <c r="C186" t="s">
        <v>220</v>
      </c>
      <c r="D186" t="s">
        <v>226</v>
      </c>
      <c r="E186" t="s">
        <v>214</v>
      </c>
      <c r="F186" t="s">
        <v>215</v>
      </c>
      <c r="G186" t="s">
        <v>1034</v>
      </c>
      <c r="H186" t="s">
        <v>15</v>
      </c>
      <c r="I186" s="1">
        <v>1</v>
      </c>
      <c r="J186" s="2">
        <v>301.72000000000003</v>
      </c>
    </row>
    <row r="187" spans="2:10" x14ac:dyDescent="0.2">
      <c r="B187" t="s">
        <v>376</v>
      </c>
      <c r="C187" t="s">
        <v>220</v>
      </c>
      <c r="D187" t="s">
        <v>226</v>
      </c>
      <c r="E187" t="s">
        <v>56</v>
      </c>
      <c r="F187" t="s">
        <v>57</v>
      </c>
      <c r="G187" t="s">
        <v>1034</v>
      </c>
      <c r="H187" t="s">
        <v>15</v>
      </c>
      <c r="I187" s="1">
        <v>2</v>
      </c>
      <c r="J187" s="2">
        <v>862.07</v>
      </c>
    </row>
    <row r="188" spans="2:10" x14ac:dyDescent="0.2">
      <c r="B188" t="s">
        <v>376</v>
      </c>
      <c r="C188" t="s">
        <v>220</v>
      </c>
      <c r="D188" t="s">
        <v>226</v>
      </c>
      <c r="E188" t="s">
        <v>61</v>
      </c>
      <c r="F188" t="s">
        <v>62</v>
      </c>
      <c r="G188" t="s">
        <v>1034</v>
      </c>
      <c r="H188" t="s">
        <v>15</v>
      </c>
      <c r="I188" s="1">
        <v>1</v>
      </c>
      <c r="J188" s="2">
        <v>172.41</v>
      </c>
    </row>
    <row r="189" spans="2:10" x14ac:dyDescent="0.2">
      <c r="B189" t="s">
        <v>376</v>
      </c>
      <c r="C189" t="s">
        <v>220</v>
      </c>
      <c r="D189" t="s">
        <v>226</v>
      </c>
      <c r="E189" t="s">
        <v>63</v>
      </c>
      <c r="F189" t="s">
        <v>64</v>
      </c>
      <c r="G189" t="s">
        <v>1034</v>
      </c>
      <c r="H189" t="s">
        <v>15</v>
      </c>
      <c r="I189" s="1">
        <v>1</v>
      </c>
      <c r="J189" s="2">
        <v>172.41</v>
      </c>
    </row>
    <row r="190" spans="2:10" x14ac:dyDescent="0.2">
      <c r="B190" t="s">
        <v>376</v>
      </c>
      <c r="C190" t="s">
        <v>225</v>
      </c>
      <c r="D190" t="s">
        <v>386</v>
      </c>
      <c r="E190" t="s">
        <v>153</v>
      </c>
      <c r="F190" t="s">
        <v>154</v>
      </c>
      <c r="G190" t="s">
        <v>1034</v>
      </c>
      <c r="H190" t="s">
        <v>15</v>
      </c>
      <c r="I190" s="1">
        <v>1</v>
      </c>
      <c r="J190" s="2">
        <v>387.93</v>
      </c>
    </row>
    <row r="191" spans="2:10" x14ac:dyDescent="0.2">
      <c r="B191" t="s">
        <v>376</v>
      </c>
      <c r="C191" t="s">
        <v>228</v>
      </c>
      <c r="D191" t="s">
        <v>386</v>
      </c>
      <c r="E191" t="s">
        <v>120</v>
      </c>
      <c r="F191" t="s">
        <v>121</v>
      </c>
      <c r="G191" t="s">
        <v>1034</v>
      </c>
      <c r="H191" t="s">
        <v>15</v>
      </c>
      <c r="I191" s="1">
        <v>1</v>
      </c>
      <c r="J191" s="2">
        <v>301.72000000000003</v>
      </c>
    </row>
    <row r="192" spans="2:10" x14ac:dyDescent="0.2">
      <c r="B192" t="s">
        <v>376</v>
      </c>
      <c r="C192" t="s">
        <v>236</v>
      </c>
      <c r="D192" t="s">
        <v>386</v>
      </c>
      <c r="E192" t="s">
        <v>120</v>
      </c>
      <c r="F192" t="s">
        <v>121</v>
      </c>
      <c r="G192" t="s">
        <v>1034</v>
      </c>
      <c r="H192" t="s">
        <v>15</v>
      </c>
      <c r="I192" s="1">
        <v>1</v>
      </c>
      <c r="J192" s="2">
        <v>301.72000000000003</v>
      </c>
    </row>
    <row r="193" spans="2:10" x14ac:dyDescent="0.2">
      <c r="B193" t="s">
        <v>376</v>
      </c>
      <c r="C193" t="s">
        <v>236</v>
      </c>
      <c r="D193" t="s">
        <v>386</v>
      </c>
      <c r="E193" t="s">
        <v>72</v>
      </c>
      <c r="F193" t="s">
        <v>73</v>
      </c>
      <c r="G193" t="s">
        <v>1034</v>
      </c>
      <c r="H193" t="s">
        <v>15</v>
      </c>
      <c r="I193" s="1">
        <v>1</v>
      </c>
      <c r="J193" s="2">
        <v>775.86</v>
      </c>
    </row>
    <row r="194" spans="2:10" x14ac:dyDescent="0.2">
      <c r="B194" t="s">
        <v>376</v>
      </c>
      <c r="C194" t="s">
        <v>236</v>
      </c>
      <c r="D194" t="s">
        <v>386</v>
      </c>
      <c r="E194" t="s">
        <v>83</v>
      </c>
      <c r="F194" t="s">
        <v>84</v>
      </c>
      <c r="G194" t="s">
        <v>1034</v>
      </c>
      <c r="H194" t="s">
        <v>15</v>
      </c>
      <c r="I194" s="1">
        <v>1</v>
      </c>
      <c r="J194" s="2">
        <v>387.93</v>
      </c>
    </row>
    <row r="195" spans="2:10" x14ac:dyDescent="0.2">
      <c r="B195" t="s">
        <v>376</v>
      </c>
      <c r="C195" t="s">
        <v>236</v>
      </c>
      <c r="D195" t="s">
        <v>386</v>
      </c>
      <c r="E195" t="s">
        <v>153</v>
      </c>
      <c r="F195" t="s">
        <v>154</v>
      </c>
      <c r="G195" t="s">
        <v>1034</v>
      </c>
      <c r="H195" t="s">
        <v>15</v>
      </c>
      <c r="I195" s="1">
        <v>1</v>
      </c>
      <c r="J195" s="2">
        <v>387.93</v>
      </c>
    </row>
    <row r="196" spans="2:10" x14ac:dyDescent="0.2">
      <c r="B196" t="s">
        <v>376</v>
      </c>
      <c r="C196" t="s">
        <v>237</v>
      </c>
      <c r="D196" t="s">
        <v>386</v>
      </c>
      <c r="E196" t="s">
        <v>83</v>
      </c>
      <c r="F196" t="s">
        <v>84</v>
      </c>
      <c r="G196" t="s">
        <v>1034</v>
      </c>
      <c r="H196" t="s">
        <v>15</v>
      </c>
      <c r="I196" s="1">
        <v>1</v>
      </c>
      <c r="J196" s="2">
        <v>387.93</v>
      </c>
    </row>
    <row r="197" spans="2:10" x14ac:dyDescent="0.2">
      <c r="B197" t="s">
        <v>376</v>
      </c>
      <c r="C197" t="s">
        <v>248</v>
      </c>
      <c r="D197" t="s">
        <v>386</v>
      </c>
      <c r="E197" t="s">
        <v>221</v>
      </c>
      <c r="F197" t="s">
        <v>222</v>
      </c>
      <c r="G197" t="s">
        <v>1034</v>
      </c>
      <c r="H197" t="s">
        <v>15</v>
      </c>
      <c r="I197" s="1">
        <v>1</v>
      </c>
      <c r="J197" s="2">
        <v>431.03</v>
      </c>
    </row>
    <row r="198" spans="2:10" x14ac:dyDescent="0.2">
      <c r="B198" t="s">
        <v>376</v>
      </c>
      <c r="C198" t="s">
        <v>248</v>
      </c>
      <c r="D198" t="s">
        <v>386</v>
      </c>
      <c r="E198" t="s">
        <v>120</v>
      </c>
      <c r="F198" t="s">
        <v>121</v>
      </c>
      <c r="G198" t="s">
        <v>1034</v>
      </c>
      <c r="H198" t="s">
        <v>15</v>
      </c>
      <c r="I198" s="1">
        <v>1</v>
      </c>
      <c r="J198" s="2">
        <v>301.72000000000003</v>
      </c>
    </row>
    <row r="199" spans="2:10" x14ac:dyDescent="0.2">
      <c r="B199" t="s">
        <v>376</v>
      </c>
      <c r="C199" t="s">
        <v>248</v>
      </c>
      <c r="D199" t="s">
        <v>386</v>
      </c>
      <c r="E199" t="s">
        <v>267</v>
      </c>
      <c r="F199" t="s">
        <v>268</v>
      </c>
      <c r="G199" t="s">
        <v>1034</v>
      </c>
      <c r="H199" t="s">
        <v>15</v>
      </c>
      <c r="I199" s="1">
        <v>1</v>
      </c>
      <c r="J199" s="2">
        <v>258.62</v>
      </c>
    </row>
    <row r="200" spans="2:10" x14ac:dyDescent="0.2">
      <c r="B200" t="s">
        <v>376</v>
      </c>
      <c r="C200" t="s">
        <v>248</v>
      </c>
      <c r="D200" t="s">
        <v>386</v>
      </c>
      <c r="E200" t="s">
        <v>72</v>
      </c>
      <c r="F200" t="s">
        <v>73</v>
      </c>
      <c r="G200" t="s">
        <v>1034</v>
      </c>
      <c r="H200" t="s">
        <v>15</v>
      </c>
      <c r="I200" s="1">
        <v>1</v>
      </c>
      <c r="J200" s="2">
        <v>775.86</v>
      </c>
    </row>
    <row r="201" spans="2:10" x14ac:dyDescent="0.2">
      <c r="B201" t="s">
        <v>453</v>
      </c>
      <c r="C201" t="s">
        <v>10</v>
      </c>
      <c r="D201" t="s">
        <v>277</v>
      </c>
      <c r="E201" t="s">
        <v>38</v>
      </c>
      <c r="F201" t="s">
        <v>39</v>
      </c>
      <c r="G201" t="s">
        <v>1034</v>
      </c>
      <c r="H201" t="s">
        <v>15</v>
      </c>
      <c r="I201" s="1">
        <v>1</v>
      </c>
      <c r="J201" s="2">
        <v>431.03</v>
      </c>
    </row>
    <row r="202" spans="2:10" x14ac:dyDescent="0.2">
      <c r="B202" t="s">
        <v>453</v>
      </c>
      <c r="C202" t="s">
        <v>10</v>
      </c>
      <c r="D202" t="s">
        <v>277</v>
      </c>
      <c r="E202" t="s">
        <v>56</v>
      </c>
      <c r="F202" t="s">
        <v>57</v>
      </c>
      <c r="G202" t="s">
        <v>1034</v>
      </c>
      <c r="H202" t="s">
        <v>15</v>
      </c>
      <c r="I202" s="1">
        <v>1</v>
      </c>
      <c r="J202" s="2">
        <v>431.03</v>
      </c>
    </row>
    <row r="203" spans="2:10" x14ac:dyDescent="0.2">
      <c r="B203" t="s">
        <v>453</v>
      </c>
      <c r="C203" t="s">
        <v>18</v>
      </c>
      <c r="D203" t="s">
        <v>456</v>
      </c>
      <c r="E203" t="s">
        <v>46</v>
      </c>
      <c r="F203" t="s">
        <v>47</v>
      </c>
      <c r="G203" t="s">
        <v>1034</v>
      </c>
      <c r="H203" t="s">
        <v>15</v>
      </c>
      <c r="I203" s="1">
        <v>3</v>
      </c>
      <c r="J203" s="2">
        <v>905.16000000000008</v>
      </c>
    </row>
    <row r="204" spans="2:10" x14ac:dyDescent="0.2">
      <c r="B204" t="s">
        <v>453</v>
      </c>
      <c r="C204" t="s">
        <v>18</v>
      </c>
      <c r="D204" t="s">
        <v>456</v>
      </c>
      <c r="E204" t="s">
        <v>221</v>
      </c>
      <c r="F204" t="s">
        <v>222</v>
      </c>
      <c r="G204" t="s">
        <v>1034</v>
      </c>
      <c r="H204" t="s">
        <v>15</v>
      </c>
      <c r="I204" s="1">
        <v>1</v>
      </c>
      <c r="J204" s="2">
        <v>431.03</v>
      </c>
    </row>
    <row r="205" spans="2:10" x14ac:dyDescent="0.2">
      <c r="B205" t="s">
        <v>453</v>
      </c>
      <c r="C205" t="s">
        <v>18</v>
      </c>
      <c r="D205" t="s">
        <v>456</v>
      </c>
      <c r="E205" t="s">
        <v>36</v>
      </c>
      <c r="F205" t="s">
        <v>37</v>
      </c>
      <c r="G205" t="s">
        <v>1034</v>
      </c>
      <c r="H205" t="s">
        <v>15</v>
      </c>
      <c r="I205" s="1">
        <v>2</v>
      </c>
      <c r="J205" s="2">
        <v>603.44000000000005</v>
      </c>
    </row>
    <row r="206" spans="2:10" x14ac:dyDescent="0.2">
      <c r="B206" t="s">
        <v>453</v>
      </c>
      <c r="C206" t="s">
        <v>18</v>
      </c>
      <c r="D206" t="s">
        <v>456</v>
      </c>
      <c r="E206" t="s">
        <v>72</v>
      </c>
      <c r="F206" t="s">
        <v>73</v>
      </c>
      <c r="G206" t="s">
        <v>1034</v>
      </c>
      <c r="H206" t="s">
        <v>15</v>
      </c>
      <c r="I206" s="1">
        <v>1</v>
      </c>
      <c r="J206" s="2">
        <v>775.86</v>
      </c>
    </row>
    <row r="207" spans="2:10" x14ac:dyDescent="0.2">
      <c r="B207" t="s">
        <v>453</v>
      </c>
      <c r="C207" t="s">
        <v>18</v>
      </c>
      <c r="D207" t="s">
        <v>456</v>
      </c>
      <c r="E207" t="s">
        <v>153</v>
      </c>
      <c r="F207" t="s">
        <v>154</v>
      </c>
      <c r="G207" t="s">
        <v>1034</v>
      </c>
      <c r="H207" t="s">
        <v>15</v>
      </c>
      <c r="I207" s="1">
        <v>2</v>
      </c>
      <c r="J207" s="2">
        <v>775.86</v>
      </c>
    </row>
    <row r="208" spans="2:10" x14ac:dyDescent="0.2">
      <c r="B208" t="s">
        <v>453</v>
      </c>
      <c r="C208" t="s">
        <v>18</v>
      </c>
      <c r="D208" t="s">
        <v>456</v>
      </c>
      <c r="E208" t="s">
        <v>61</v>
      </c>
      <c r="F208" t="s">
        <v>62</v>
      </c>
      <c r="G208" t="s">
        <v>1034</v>
      </c>
      <c r="H208" t="s">
        <v>15</v>
      </c>
      <c r="I208" s="1">
        <v>1</v>
      </c>
      <c r="J208" s="2">
        <v>172.41</v>
      </c>
    </row>
    <row r="209" spans="2:10" x14ac:dyDescent="0.2">
      <c r="B209" t="s">
        <v>453</v>
      </c>
      <c r="C209" t="s">
        <v>18</v>
      </c>
      <c r="D209" t="s">
        <v>456</v>
      </c>
      <c r="E209" t="s">
        <v>63</v>
      </c>
      <c r="F209" t="s">
        <v>64</v>
      </c>
      <c r="G209" t="s">
        <v>1034</v>
      </c>
      <c r="H209" t="s">
        <v>15</v>
      </c>
      <c r="I209" s="1">
        <v>1</v>
      </c>
      <c r="J209" s="2">
        <v>172.41</v>
      </c>
    </row>
    <row r="210" spans="2:10" x14ac:dyDescent="0.2">
      <c r="B210" t="s">
        <v>453</v>
      </c>
      <c r="C210" t="s">
        <v>31</v>
      </c>
      <c r="D210" t="s">
        <v>456</v>
      </c>
      <c r="E210" t="s">
        <v>72</v>
      </c>
      <c r="F210" t="s">
        <v>73</v>
      </c>
      <c r="G210" t="s">
        <v>1034</v>
      </c>
      <c r="H210" t="s">
        <v>15</v>
      </c>
      <c r="I210" s="1">
        <v>1</v>
      </c>
      <c r="J210" s="2">
        <v>775.86</v>
      </c>
    </row>
    <row r="211" spans="2:10" x14ac:dyDescent="0.2">
      <c r="B211" t="s">
        <v>453</v>
      </c>
      <c r="C211" t="s">
        <v>31</v>
      </c>
      <c r="D211" t="s">
        <v>456</v>
      </c>
      <c r="E211" t="s">
        <v>61</v>
      </c>
      <c r="F211" t="s">
        <v>62</v>
      </c>
      <c r="G211" t="s">
        <v>1034</v>
      </c>
      <c r="H211" t="s">
        <v>15</v>
      </c>
      <c r="I211" s="1">
        <v>2</v>
      </c>
      <c r="J211" s="2">
        <v>344.82</v>
      </c>
    </row>
    <row r="212" spans="2:10" x14ac:dyDescent="0.2">
      <c r="B212" t="s">
        <v>453</v>
      </c>
      <c r="C212" t="s">
        <v>31</v>
      </c>
      <c r="D212" t="s">
        <v>456</v>
      </c>
      <c r="E212" t="s">
        <v>63</v>
      </c>
      <c r="F212" t="s">
        <v>64</v>
      </c>
      <c r="G212" t="s">
        <v>1034</v>
      </c>
      <c r="H212" t="s">
        <v>15</v>
      </c>
      <c r="I212" s="1">
        <v>1</v>
      </c>
      <c r="J212" s="2">
        <v>172.41</v>
      </c>
    </row>
    <row r="213" spans="2:10" x14ac:dyDescent="0.2">
      <c r="B213" t="s">
        <v>453</v>
      </c>
      <c r="C213" t="s">
        <v>40</v>
      </c>
      <c r="D213" t="s">
        <v>456</v>
      </c>
      <c r="E213" t="s">
        <v>122</v>
      </c>
      <c r="F213" t="s">
        <v>123</v>
      </c>
      <c r="G213" t="s">
        <v>1034</v>
      </c>
      <c r="H213" t="s">
        <v>15</v>
      </c>
      <c r="I213" s="1">
        <v>1</v>
      </c>
      <c r="J213" s="2">
        <v>387.93</v>
      </c>
    </row>
    <row r="214" spans="2:10" x14ac:dyDescent="0.2">
      <c r="B214" t="s">
        <v>453</v>
      </c>
      <c r="C214" t="s">
        <v>40</v>
      </c>
      <c r="D214" t="s">
        <v>456</v>
      </c>
      <c r="E214" t="s">
        <v>61</v>
      </c>
      <c r="F214" t="s">
        <v>62</v>
      </c>
      <c r="G214" t="s">
        <v>1034</v>
      </c>
      <c r="H214" t="s">
        <v>15</v>
      </c>
      <c r="I214" s="1">
        <v>1</v>
      </c>
      <c r="J214" s="2">
        <v>172.41</v>
      </c>
    </row>
    <row r="215" spans="2:10" x14ac:dyDescent="0.2">
      <c r="B215" t="s">
        <v>453</v>
      </c>
      <c r="C215" t="s">
        <v>51</v>
      </c>
      <c r="D215" t="s">
        <v>456</v>
      </c>
      <c r="E215" t="s">
        <v>153</v>
      </c>
      <c r="F215" t="s">
        <v>154</v>
      </c>
      <c r="G215" t="s">
        <v>1034</v>
      </c>
      <c r="H215" t="s">
        <v>15</v>
      </c>
      <c r="I215" s="1">
        <v>1</v>
      </c>
      <c r="J215" s="2">
        <v>387.93</v>
      </c>
    </row>
    <row r="216" spans="2:10" x14ac:dyDescent="0.2">
      <c r="B216" t="s">
        <v>453</v>
      </c>
      <c r="C216" t="s">
        <v>65</v>
      </c>
      <c r="D216" t="s">
        <v>456</v>
      </c>
      <c r="E216" t="s">
        <v>46</v>
      </c>
      <c r="F216" t="s">
        <v>47</v>
      </c>
      <c r="G216" t="s">
        <v>1034</v>
      </c>
      <c r="H216" t="s">
        <v>15</v>
      </c>
      <c r="I216" s="1">
        <v>1</v>
      </c>
      <c r="J216" s="2">
        <v>301.72000000000003</v>
      </c>
    </row>
    <row r="217" spans="2:10" x14ac:dyDescent="0.2">
      <c r="B217" t="s">
        <v>453</v>
      </c>
      <c r="C217" t="s">
        <v>65</v>
      </c>
      <c r="D217" t="s">
        <v>456</v>
      </c>
      <c r="E217" t="s">
        <v>120</v>
      </c>
      <c r="F217" t="s">
        <v>121</v>
      </c>
      <c r="G217" t="s">
        <v>1034</v>
      </c>
      <c r="H217" t="s">
        <v>15</v>
      </c>
      <c r="I217" s="1">
        <v>1</v>
      </c>
      <c r="J217" s="2">
        <v>301.72000000000003</v>
      </c>
    </row>
    <row r="218" spans="2:10" x14ac:dyDescent="0.2">
      <c r="B218" t="s">
        <v>453</v>
      </c>
      <c r="C218" t="s">
        <v>65</v>
      </c>
      <c r="D218" t="s">
        <v>456</v>
      </c>
      <c r="E218" t="s">
        <v>214</v>
      </c>
      <c r="F218" t="s">
        <v>215</v>
      </c>
      <c r="G218" t="s">
        <v>1034</v>
      </c>
      <c r="H218" t="s">
        <v>15</v>
      </c>
      <c r="I218" s="1">
        <v>1</v>
      </c>
      <c r="J218" s="2">
        <v>301.72000000000003</v>
      </c>
    </row>
    <row r="219" spans="2:10" x14ac:dyDescent="0.2">
      <c r="B219" t="s">
        <v>453</v>
      </c>
      <c r="C219" t="s">
        <v>65</v>
      </c>
      <c r="D219" t="s">
        <v>456</v>
      </c>
      <c r="E219" t="s">
        <v>36</v>
      </c>
      <c r="F219" t="s">
        <v>37</v>
      </c>
      <c r="G219" t="s">
        <v>1034</v>
      </c>
      <c r="H219" t="s">
        <v>15</v>
      </c>
      <c r="I219" s="1">
        <v>1</v>
      </c>
      <c r="J219" s="2">
        <v>301.72000000000003</v>
      </c>
    </row>
    <row r="220" spans="2:10" x14ac:dyDescent="0.2">
      <c r="B220" t="s">
        <v>453</v>
      </c>
      <c r="C220" t="s">
        <v>65</v>
      </c>
      <c r="D220" t="s">
        <v>456</v>
      </c>
      <c r="E220" t="s">
        <v>124</v>
      </c>
      <c r="F220" t="s">
        <v>125</v>
      </c>
      <c r="G220" t="s">
        <v>1034</v>
      </c>
      <c r="H220" t="s">
        <v>15</v>
      </c>
      <c r="I220" s="1">
        <v>1</v>
      </c>
      <c r="J220" s="2">
        <v>431.03</v>
      </c>
    </row>
    <row r="221" spans="2:10" x14ac:dyDescent="0.2">
      <c r="B221" t="s">
        <v>453</v>
      </c>
      <c r="C221" t="s">
        <v>65</v>
      </c>
      <c r="D221" t="s">
        <v>456</v>
      </c>
      <c r="E221" t="s">
        <v>61</v>
      </c>
      <c r="F221" t="s">
        <v>62</v>
      </c>
      <c r="G221" t="s">
        <v>1034</v>
      </c>
      <c r="H221" t="s">
        <v>15</v>
      </c>
      <c r="I221" s="1">
        <v>1</v>
      </c>
      <c r="J221" s="2">
        <v>172.41</v>
      </c>
    </row>
    <row r="222" spans="2:10" x14ac:dyDescent="0.2">
      <c r="B222" t="s">
        <v>453</v>
      </c>
      <c r="C222" t="s">
        <v>65</v>
      </c>
      <c r="D222" t="s">
        <v>456</v>
      </c>
      <c r="E222" t="s">
        <v>63</v>
      </c>
      <c r="F222" t="s">
        <v>64</v>
      </c>
      <c r="G222" t="s">
        <v>1034</v>
      </c>
      <c r="H222" t="s">
        <v>15</v>
      </c>
      <c r="I222" s="1">
        <v>1</v>
      </c>
      <c r="J222" s="2">
        <v>172.41</v>
      </c>
    </row>
    <row r="223" spans="2:10" x14ac:dyDescent="0.2">
      <c r="B223" t="s">
        <v>453</v>
      </c>
      <c r="C223" t="s">
        <v>82</v>
      </c>
      <c r="D223" t="s">
        <v>456</v>
      </c>
      <c r="E223" t="s">
        <v>46</v>
      </c>
      <c r="F223" t="s">
        <v>47</v>
      </c>
      <c r="G223" t="s">
        <v>1034</v>
      </c>
      <c r="H223" t="s">
        <v>15</v>
      </c>
      <c r="I223" s="1">
        <v>1</v>
      </c>
      <c r="J223" s="2">
        <v>301.72000000000003</v>
      </c>
    </row>
    <row r="224" spans="2:10" x14ac:dyDescent="0.2">
      <c r="B224" t="s">
        <v>453</v>
      </c>
      <c r="C224" t="s">
        <v>82</v>
      </c>
      <c r="D224" t="s">
        <v>456</v>
      </c>
      <c r="E224" t="s">
        <v>214</v>
      </c>
      <c r="F224" t="s">
        <v>215</v>
      </c>
      <c r="G224" t="s">
        <v>1034</v>
      </c>
      <c r="H224" t="s">
        <v>15</v>
      </c>
      <c r="I224" s="1">
        <v>2</v>
      </c>
      <c r="J224" s="2">
        <v>603.44000000000005</v>
      </c>
    </row>
    <row r="225" spans="2:10" x14ac:dyDescent="0.2">
      <c r="B225" t="s">
        <v>453</v>
      </c>
      <c r="C225" t="s">
        <v>82</v>
      </c>
      <c r="D225" t="s">
        <v>456</v>
      </c>
      <c r="E225" t="s">
        <v>61</v>
      </c>
      <c r="F225" t="s">
        <v>62</v>
      </c>
      <c r="G225" t="s">
        <v>1034</v>
      </c>
      <c r="H225" t="s">
        <v>15</v>
      </c>
      <c r="I225" s="1">
        <v>1</v>
      </c>
      <c r="J225" s="2">
        <v>172.41</v>
      </c>
    </row>
    <row r="226" spans="2:10" x14ac:dyDescent="0.2">
      <c r="B226" t="s">
        <v>453</v>
      </c>
      <c r="C226" t="s">
        <v>82</v>
      </c>
      <c r="D226" t="s">
        <v>456</v>
      </c>
      <c r="E226" t="s">
        <v>63</v>
      </c>
      <c r="F226" t="s">
        <v>64</v>
      </c>
      <c r="G226" t="s">
        <v>1034</v>
      </c>
      <c r="H226" t="s">
        <v>15</v>
      </c>
      <c r="I226" s="1">
        <v>1</v>
      </c>
      <c r="J226" s="2">
        <v>172.41</v>
      </c>
    </row>
    <row r="227" spans="2:10" x14ac:dyDescent="0.2">
      <c r="B227" t="s">
        <v>453</v>
      </c>
      <c r="C227" t="s">
        <v>88</v>
      </c>
      <c r="D227" t="s">
        <v>456</v>
      </c>
      <c r="E227" t="s">
        <v>46</v>
      </c>
      <c r="F227" t="s">
        <v>47</v>
      </c>
      <c r="G227" t="s">
        <v>1034</v>
      </c>
      <c r="H227" t="s">
        <v>15</v>
      </c>
      <c r="I227" s="1">
        <v>1</v>
      </c>
      <c r="J227" s="2">
        <v>301.72000000000003</v>
      </c>
    </row>
    <row r="228" spans="2:10" x14ac:dyDescent="0.2">
      <c r="B228" t="s">
        <v>453</v>
      </c>
      <c r="C228" t="s">
        <v>88</v>
      </c>
      <c r="D228" t="s">
        <v>456</v>
      </c>
      <c r="E228" t="s">
        <v>12</v>
      </c>
      <c r="F228" t="s">
        <v>13</v>
      </c>
      <c r="G228" t="s">
        <v>1034</v>
      </c>
      <c r="H228" t="s">
        <v>15</v>
      </c>
      <c r="I228" s="1">
        <v>1</v>
      </c>
      <c r="J228" s="2">
        <v>1077.5899999999999</v>
      </c>
    </row>
    <row r="229" spans="2:10" x14ac:dyDescent="0.2">
      <c r="B229" t="s">
        <v>453</v>
      </c>
      <c r="C229" t="s">
        <v>88</v>
      </c>
      <c r="D229" t="s">
        <v>456</v>
      </c>
      <c r="E229" t="s">
        <v>36</v>
      </c>
      <c r="F229" t="s">
        <v>37</v>
      </c>
      <c r="G229" t="s">
        <v>1034</v>
      </c>
      <c r="H229" t="s">
        <v>15</v>
      </c>
      <c r="I229" s="1">
        <v>1</v>
      </c>
      <c r="J229" s="2">
        <v>301.72000000000003</v>
      </c>
    </row>
    <row r="230" spans="2:10" x14ac:dyDescent="0.2">
      <c r="B230" t="s">
        <v>453</v>
      </c>
      <c r="C230" t="s">
        <v>88</v>
      </c>
      <c r="D230" t="s">
        <v>456</v>
      </c>
      <c r="E230" t="s">
        <v>72</v>
      </c>
      <c r="F230" t="s">
        <v>73</v>
      </c>
      <c r="G230" t="s">
        <v>1034</v>
      </c>
      <c r="H230" t="s">
        <v>15</v>
      </c>
      <c r="I230" s="1">
        <v>1</v>
      </c>
      <c r="J230" s="2">
        <v>775.86</v>
      </c>
    </row>
    <row r="231" spans="2:10" x14ac:dyDescent="0.2">
      <c r="B231" t="s">
        <v>453</v>
      </c>
      <c r="C231" t="s">
        <v>88</v>
      </c>
      <c r="D231" t="s">
        <v>456</v>
      </c>
      <c r="E231" t="s">
        <v>63</v>
      </c>
      <c r="F231" t="s">
        <v>64</v>
      </c>
      <c r="G231" t="s">
        <v>1034</v>
      </c>
      <c r="H231" t="s">
        <v>15</v>
      </c>
      <c r="I231" s="1">
        <v>2</v>
      </c>
      <c r="J231" s="2">
        <v>344.82</v>
      </c>
    </row>
    <row r="232" spans="2:10" x14ac:dyDescent="0.2">
      <c r="B232" t="s">
        <v>453</v>
      </c>
      <c r="C232" t="s">
        <v>117</v>
      </c>
      <c r="D232" t="s">
        <v>277</v>
      </c>
      <c r="E232" t="s">
        <v>120</v>
      </c>
      <c r="F232" t="s">
        <v>121</v>
      </c>
      <c r="G232" t="s">
        <v>1034</v>
      </c>
      <c r="H232" t="s">
        <v>15</v>
      </c>
      <c r="I232" s="1">
        <v>1</v>
      </c>
      <c r="J232" s="2">
        <v>301.72000000000003</v>
      </c>
    </row>
    <row r="233" spans="2:10" x14ac:dyDescent="0.2">
      <c r="B233" t="s">
        <v>453</v>
      </c>
      <c r="C233" t="s">
        <v>117</v>
      </c>
      <c r="D233" t="s">
        <v>277</v>
      </c>
      <c r="E233" t="s">
        <v>36</v>
      </c>
      <c r="F233" t="s">
        <v>37</v>
      </c>
      <c r="G233" t="s">
        <v>1034</v>
      </c>
      <c r="H233" t="s">
        <v>15</v>
      </c>
      <c r="I233" s="1">
        <v>3</v>
      </c>
      <c r="J233" s="2">
        <v>905.16000000000008</v>
      </c>
    </row>
    <row r="234" spans="2:10" x14ac:dyDescent="0.2">
      <c r="B234" t="s">
        <v>453</v>
      </c>
      <c r="C234" t="s">
        <v>117</v>
      </c>
      <c r="D234" t="s">
        <v>277</v>
      </c>
      <c r="E234" t="s">
        <v>72</v>
      </c>
      <c r="F234" t="s">
        <v>73</v>
      </c>
      <c r="G234" t="s">
        <v>1034</v>
      </c>
      <c r="H234" t="s">
        <v>15</v>
      </c>
      <c r="I234" s="1">
        <v>1</v>
      </c>
      <c r="J234" s="2">
        <v>775.86</v>
      </c>
    </row>
    <row r="235" spans="2:10" x14ac:dyDescent="0.2">
      <c r="B235" t="s">
        <v>453</v>
      </c>
      <c r="C235" t="s">
        <v>117</v>
      </c>
      <c r="D235" t="s">
        <v>277</v>
      </c>
      <c r="E235" t="s">
        <v>56</v>
      </c>
      <c r="F235" t="s">
        <v>57</v>
      </c>
      <c r="G235" t="s">
        <v>1034</v>
      </c>
      <c r="H235" t="s">
        <v>15</v>
      </c>
      <c r="I235" s="1">
        <v>4</v>
      </c>
      <c r="J235" s="2">
        <v>1724.12</v>
      </c>
    </row>
    <row r="236" spans="2:10" x14ac:dyDescent="0.2">
      <c r="B236" t="s">
        <v>453</v>
      </c>
      <c r="C236" t="s">
        <v>129</v>
      </c>
      <c r="D236" t="s">
        <v>456</v>
      </c>
      <c r="E236" t="s">
        <v>36</v>
      </c>
      <c r="F236" t="s">
        <v>37</v>
      </c>
      <c r="G236" t="s">
        <v>1034</v>
      </c>
      <c r="H236" t="s">
        <v>15</v>
      </c>
      <c r="I236" s="1">
        <v>1</v>
      </c>
      <c r="J236" s="2">
        <v>301.72000000000003</v>
      </c>
    </row>
    <row r="237" spans="2:10" x14ac:dyDescent="0.2">
      <c r="B237" t="s">
        <v>453</v>
      </c>
      <c r="C237" t="s">
        <v>129</v>
      </c>
      <c r="D237" t="s">
        <v>456</v>
      </c>
      <c r="E237" t="s">
        <v>72</v>
      </c>
      <c r="F237" t="s">
        <v>73</v>
      </c>
      <c r="G237" t="s">
        <v>1034</v>
      </c>
      <c r="H237" t="s">
        <v>15</v>
      </c>
      <c r="I237" s="1">
        <v>1</v>
      </c>
      <c r="J237" s="2">
        <v>775.86</v>
      </c>
    </row>
    <row r="238" spans="2:10" x14ac:dyDescent="0.2">
      <c r="B238" t="s">
        <v>453</v>
      </c>
      <c r="C238" t="s">
        <v>129</v>
      </c>
      <c r="D238" t="s">
        <v>456</v>
      </c>
      <c r="E238" t="s">
        <v>56</v>
      </c>
      <c r="F238" t="s">
        <v>57</v>
      </c>
      <c r="G238" t="s">
        <v>1034</v>
      </c>
      <c r="H238" t="s">
        <v>15</v>
      </c>
      <c r="I238" s="1">
        <v>1</v>
      </c>
      <c r="J238" s="2">
        <v>431.03</v>
      </c>
    </row>
    <row r="239" spans="2:10" x14ac:dyDescent="0.2">
      <c r="B239" t="s">
        <v>453</v>
      </c>
      <c r="C239" t="s">
        <v>129</v>
      </c>
      <c r="D239" t="s">
        <v>456</v>
      </c>
      <c r="E239" t="s">
        <v>61</v>
      </c>
      <c r="F239" t="s">
        <v>62</v>
      </c>
      <c r="G239" t="s">
        <v>1034</v>
      </c>
      <c r="H239" t="s">
        <v>15</v>
      </c>
      <c r="I239" s="1">
        <v>1</v>
      </c>
      <c r="J239" s="2">
        <v>172.41</v>
      </c>
    </row>
    <row r="240" spans="2:10" x14ac:dyDescent="0.2">
      <c r="B240" t="s">
        <v>453</v>
      </c>
      <c r="C240" t="s">
        <v>129</v>
      </c>
      <c r="D240" t="s">
        <v>456</v>
      </c>
      <c r="E240" t="s">
        <v>63</v>
      </c>
      <c r="F240" t="s">
        <v>64</v>
      </c>
      <c r="G240" t="s">
        <v>1034</v>
      </c>
      <c r="H240" t="s">
        <v>15</v>
      </c>
      <c r="I240" s="1">
        <v>1</v>
      </c>
      <c r="J240" s="2">
        <v>172.41</v>
      </c>
    </row>
    <row r="241" spans="2:10" x14ac:dyDescent="0.2">
      <c r="B241" t="s">
        <v>453</v>
      </c>
      <c r="C241" t="s">
        <v>134</v>
      </c>
      <c r="D241" t="s">
        <v>456</v>
      </c>
      <c r="E241" t="s">
        <v>120</v>
      </c>
      <c r="F241" t="s">
        <v>121</v>
      </c>
      <c r="G241" t="s">
        <v>1034</v>
      </c>
      <c r="H241" t="s">
        <v>15</v>
      </c>
      <c r="I241" s="1">
        <v>1</v>
      </c>
      <c r="J241" s="2">
        <v>301.72000000000003</v>
      </c>
    </row>
    <row r="242" spans="2:10" x14ac:dyDescent="0.2">
      <c r="B242" t="s">
        <v>453</v>
      </c>
      <c r="C242" t="s">
        <v>134</v>
      </c>
      <c r="D242" t="s">
        <v>456</v>
      </c>
      <c r="E242" t="s">
        <v>12</v>
      </c>
      <c r="F242" t="s">
        <v>13</v>
      </c>
      <c r="G242" t="s">
        <v>1034</v>
      </c>
      <c r="H242" t="s">
        <v>15</v>
      </c>
      <c r="I242" s="1">
        <v>1</v>
      </c>
      <c r="J242" s="2">
        <v>1077.5899999999999</v>
      </c>
    </row>
    <row r="243" spans="2:10" x14ac:dyDescent="0.2">
      <c r="B243" t="s">
        <v>453</v>
      </c>
      <c r="C243" t="s">
        <v>134</v>
      </c>
      <c r="D243" t="s">
        <v>456</v>
      </c>
      <c r="E243" t="s">
        <v>214</v>
      </c>
      <c r="F243" t="s">
        <v>215</v>
      </c>
      <c r="G243" t="s">
        <v>1034</v>
      </c>
      <c r="H243" t="s">
        <v>15</v>
      </c>
      <c r="I243" s="1">
        <v>1</v>
      </c>
      <c r="J243" s="2">
        <v>301.72000000000003</v>
      </c>
    </row>
    <row r="244" spans="2:10" x14ac:dyDescent="0.2">
      <c r="B244" t="s">
        <v>453</v>
      </c>
      <c r="C244" t="s">
        <v>134</v>
      </c>
      <c r="D244" t="s">
        <v>456</v>
      </c>
      <c r="E244" t="s">
        <v>72</v>
      </c>
      <c r="F244" t="s">
        <v>73</v>
      </c>
      <c r="G244" t="s">
        <v>1034</v>
      </c>
      <c r="H244" t="s">
        <v>15</v>
      </c>
      <c r="I244" s="1">
        <v>1</v>
      </c>
      <c r="J244" s="2">
        <v>775.86</v>
      </c>
    </row>
    <row r="245" spans="2:10" x14ac:dyDescent="0.2">
      <c r="B245" t="s">
        <v>453</v>
      </c>
      <c r="C245" t="s">
        <v>134</v>
      </c>
      <c r="D245" t="s">
        <v>456</v>
      </c>
      <c r="E245" t="s">
        <v>56</v>
      </c>
      <c r="F245" t="s">
        <v>57</v>
      </c>
      <c r="G245" t="s">
        <v>1034</v>
      </c>
      <c r="H245" t="s">
        <v>15</v>
      </c>
      <c r="I245" s="1">
        <v>1</v>
      </c>
      <c r="J245" s="2">
        <v>431.03</v>
      </c>
    </row>
    <row r="246" spans="2:10" x14ac:dyDescent="0.2">
      <c r="B246" t="s">
        <v>453</v>
      </c>
      <c r="C246" t="s">
        <v>135</v>
      </c>
      <c r="D246" t="s">
        <v>277</v>
      </c>
      <c r="E246" t="s">
        <v>122</v>
      </c>
      <c r="F246" t="s">
        <v>123</v>
      </c>
      <c r="G246" t="s">
        <v>1034</v>
      </c>
      <c r="H246" t="s">
        <v>15</v>
      </c>
      <c r="I246" s="1">
        <v>1</v>
      </c>
      <c r="J246" s="2">
        <v>387.93</v>
      </c>
    </row>
    <row r="247" spans="2:10" x14ac:dyDescent="0.2">
      <c r="B247" t="s">
        <v>453</v>
      </c>
      <c r="C247" t="s">
        <v>141</v>
      </c>
      <c r="D247" t="s">
        <v>456</v>
      </c>
      <c r="E247" t="s">
        <v>214</v>
      </c>
      <c r="F247" t="s">
        <v>215</v>
      </c>
      <c r="G247" t="s">
        <v>1034</v>
      </c>
      <c r="H247" t="s">
        <v>15</v>
      </c>
      <c r="I247" s="1">
        <v>1</v>
      </c>
      <c r="J247" s="2">
        <v>301.72000000000003</v>
      </c>
    </row>
    <row r="248" spans="2:10" x14ac:dyDescent="0.2">
      <c r="B248" t="s">
        <v>453</v>
      </c>
      <c r="C248" t="s">
        <v>141</v>
      </c>
      <c r="D248" t="s">
        <v>456</v>
      </c>
      <c r="E248" t="s">
        <v>61</v>
      </c>
      <c r="F248" t="s">
        <v>62</v>
      </c>
      <c r="G248" t="s">
        <v>1034</v>
      </c>
      <c r="H248" t="s">
        <v>15</v>
      </c>
      <c r="I248" s="1">
        <v>1</v>
      </c>
      <c r="J248" s="2">
        <v>172.41</v>
      </c>
    </row>
    <row r="249" spans="2:10" x14ac:dyDescent="0.2">
      <c r="B249" t="s">
        <v>453</v>
      </c>
      <c r="C249" t="s">
        <v>141</v>
      </c>
      <c r="D249" t="s">
        <v>456</v>
      </c>
      <c r="E249" t="s">
        <v>63</v>
      </c>
      <c r="F249" t="s">
        <v>64</v>
      </c>
      <c r="G249" t="s">
        <v>1034</v>
      </c>
      <c r="H249" t="s">
        <v>15</v>
      </c>
      <c r="I249" s="1">
        <v>1</v>
      </c>
      <c r="J249" s="2">
        <v>172.41</v>
      </c>
    </row>
    <row r="250" spans="2:10" x14ac:dyDescent="0.2">
      <c r="B250" t="s">
        <v>453</v>
      </c>
      <c r="C250" t="s">
        <v>144</v>
      </c>
      <c r="D250" t="s">
        <v>456</v>
      </c>
      <c r="E250" t="s">
        <v>72</v>
      </c>
      <c r="F250" t="s">
        <v>73</v>
      </c>
      <c r="G250" t="s">
        <v>1034</v>
      </c>
      <c r="H250" t="s">
        <v>15</v>
      </c>
      <c r="I250" s="1">
        <v>1</v>
      </c>
      <c r="J250" s="2">
        <v>775.86</v>
      </c>
    </row>
    <row r="251" spans="2:10" x14ac:dyDescent="0.2">
      <c r="B251" t="s">
        <v>453</v>
      </c>
      <c r="C251" t="s">
        <v>165</v>
      </c>
      <c r="D251" t="s">
        <v>456</v>
      </c>
      <c r="E251" t="s">
        <v>120</v>
      </c>
      <c r="F251" t="s">
        <v>121</v>
      </c>
      <c r="G251" t="s">
        <v>1034</v>
      </c>
      <c r="H251" t="s">
        <v>15</v>
      </c>
      <c r="I251" s="1">
        <v>1</v>
      </c>
      <c r="J251" s="2">
        <v>301.72000000000003</v>
      </c>
    </row>
    <row r="252" spans="2:10" x14ac:dyDescent="0.2">
      <c r="B252" t="s">
        <v>453</v>
      </c>
      <c r="C252" t="s">
        <v>165</v>
      </c>
      <c r="D252" t="s">
        <v>456</v>
      </c>
      <c r="E252" t="s">
        <v>36</v>
      </c>
      <c r="F252" t="s">
        <v>37</v>
      </c>
      <c r="G252" t="s">
        <v>1034</v>
      </c>
      <c r="H252" t="s">
        <v>15</v>
      </c>
      <c r="I252" s="1">
        <v>1</v>
      </c>
      <c r="J252" s="2">
        <v>301.72000000000003</v>
      </c>
    </row>
    <row r="253" spans="2:10" x14ac:dyDescent="0.2">
      <c r="B253" t="s">
        <v>453</v>
      </c>
      <c r="C253" t="s">
        <v>165</v>
      </c>
      <c r="D253" t="s">
        <v>456</v>
      </c>
      <c r="E253" t="s">
        <v>72</v>
      </c>
      <c r="F253" t="s">
        <v>73</v>
      </c>
      <c r="G253" t="s">
        <v>1034</v>
      </c>
      <c r="H253" t="s">
        <v>15</v>
      </c>
      <c r="I253" s="1">
        <v>2</v>
      </c>
      <c r="J253" s="2">
        <v>1551.72</v>
      </c>
    </row>
    <row r="254" spans="2:10" x14ac:dyDescent="0.2">
      <c r="B254" t="s">
        <v>453</v>
      </c>
      <c r="C254" t="s">
        <v>165</v>
      </c>
      <c r="D254" t="s">
        <v>456</v>
      </c>
      <c r="E254" t="s">
        <v>122</v>
      </c>
      <c r="F254" t="s">
        <v>123</v>
      </c>
      <c r="G254" t="s">
        <v>1034</v>
      </c>
      <c r="H254" t="s">
        <v>15</v>
      </c>
      <c r="I254" s="1">
        <v>1</v>
      </c>
      <c r="J254" s="2">
        <v>387.93</v>
      </c>
    </row>
    <row r="255" spans="2:10" x14ac:dyDescent="0.2">
      <c r="B255" t="s">
        <v>453</v>
      </c>
      <c r="C255" t="s">
        <v>165</v>
      </c>
      <c r="D255" t="s">
        <v>456</v>
      </c>
      <c r="E255" t="s">
        <v>153</v>
      </c>
      <c r="F255" t="s">
        <v>154</v>
      </c>
      <c r="G255" t="s">
        <v>1034</v>
      </c>
      <c r="H255" t="s">
        <v>15</v>
      </c>
      <c r="I255" s="1">
        <v>1</v>
      </c>
      <c r="J255" s="2">
        <v>387.93</v>
      </c>
    </row>
    <row r="256" spans="2:10" x14ac:dyDescent="0.2">
      <c r="B256" t="s">
        <v>453</v>
      </c>
      <c r="C256" t="s">
        <v>165</v>
      </c>
      <c r="D256" t="s">
        <v>456</v>
      </c>
      <c r="E256" t="s">
        <v>61</v>
      </c>
      <c r="F256" t="s">
        <v>62</v>
      </c>
      <c r="G256" t="s">
        <v>1034</v>
      </c>
      <c r="H256" t="s">
        <v>15</v>
      </c>
      <c r="I256" s="1">
        <v>2</v>
      </c>
      <c r="J256" s="2">
        <v>344.82</v>
      </c>
    </row>
    <row r="257" spans="2:10" x14ac:dyDescent="0.2">
      <c r="B257" t="s">
        <v>453</v>
      </c>
      <c r="C257" t="s">
        <v>165</v>
      </c>
      <c r="D257" t="s">
        <v>456</v>
      </c>
      <c r="E257" t="s">
        <v>63</v>
      </c>
      <c r="F257" t="s">
        <v>64</v>
      </c>
      <c r="G257" t="s">
        <v>1034</v>
      </c>
      <c r="H257" t="s">
        <v>15</v>
      </c>
      <c r="I257" s="1">
        <v>2</v>
      </c>
      <c r="J257" s="2">
        <v>344.82</v>
      </c>
    </row>
    <row r="258" spans="2:10" x14ac:dyDescent="0.2">
      <c r="B258" t="s">
        <v>453</v>
      </c>
      <c r="C258" t="s">
        <v>166</v>
      </c>
      <c r="D258" t="s">
        <v>456</v>
      </c>
      <c r="E258" t="s">
        <v>72</v>
      </c>
      <c r="F258" t="s">
        <v>73</v>
      </c>
      <c r="G258" t="s">
        <v>1034</v>
      </c>
      <c r="H258" t="s">
        <v>15</v>
      </c>
      <c r="I258" s="1">
        <v>1</v>
      </c>
      <c r="J258" s="2">
        <v>775.86</v>
      </c>
    </row>
    <row r="259" spans="2:10" x14ac:dyDescent="0.2">
      <c r="B259" t="s">
        <v>453</v>
      </c>
      <c r="C259" t="s">
        <v>166</v>
      </c>
      <c r="D259" t="s">
        <v>456</v>
      </c>
      <c r="E259" t="s">
        <v>61</v>
      </c>
      <c r="F259" t="s">
        <v>62</v>
      </c>
      <c r="G259" t="s">
        <v>1034</v>
      </c>
      <c r="H259" t="s">
        <v>15</v>
      </c>
      <c r="I259" s="1">
        <v>2</v>
      </c>
      <c r="J259" s="2">
        <v>344.82</v>
      </c>
    </row>
    <row r="260" spans="2:10" x14ac:dyDescent="0.2">
      <c r="B260" t="s">
        <v>453</v>
      </c>
      <c r="C260" t="s">
        <v>166</v>
      </c>
      <c r="D260" t="s">
        <v>456</v>
      </c>
      <c r="E260" t="s">
        <v>63</v>
      </c>
      <c r="F260" t="s">
        <v>64</v>
      </c>
      <c r="G260" t="s">
        <v>1034</v>
      </c>
      <c r="H260" t="s">
        <v>15</v>
      </c>
      <c r="I260" s="1">
        <v>1</v>
      </c>
      <c r="J260" s="2">
        <v>172.41</v>
      </c>
    </row>
    <row r="261" spans="2:10" x14ac:dyDescent="0.2">
      <c r="B261" t="s">
        <v>453</v>
      </c>
      <c r="C261" t="s">
        <v>185</v>
      </c>
      <c r="D261" t="s">
        <v>456</v>
      </c>
      <c r="E261" t="s">
        <v>122</v>
      </c>
      <c r="F261" t="s">
        <v>123</v>
      </c>
      <c r="G261" t="s">
        <v>1034</v>
      </c>
      <c r="H261" t="s">
        <v>15</v>
      </c>
      <c r="I261" s="1">
        <v>1</v>
      </c>
      <c r="J261" s="2">
        <v>387.93</v>
      </c>
    </row>
    <row r="262" spans="2:10" x14ac:dyDescent="0.2">
      <c r="B262" t="s">
        <v>453</v>
      </c>
      <c r="C262" t="s">
        <v>185</v>
      </c>
      <c r="D262" t="s">
        <v>456</v>
      </c>
      <c r="E262" t="s">
        <v>56</v>
      </c>
      <c r="F262" t="s">
        <v>57</v>
      </c>
      <c r="G262" t="s">
        <v>1034</v>
      </c>
      <c r="H262" t="s">
        <v>15</v>
      </c>
      <c r="I262" s="1">
        <v>1</v>
      </c>
      <c r="J262" s="2">
        <v>431.03</v>
      </c>
    </row>
    <row r="263" spans="2:10" x14ac:dyDescent="0.2">
      <c r="B263" t="s">
        <v>453</v>
      </c>
      <c r="C263" t="s">
        <v>335</v>
      </c>
      <c r="D263" t="s">
        <v>456</v>
      </c>
      <c r="E263" t="s">
        <v>46</v>
      </c>
      <c r="F263" t="s">
        <v>47</v>
      </c>
      <c r="G263" t="s">
        <v>1034</v>
      </c>
      <c r="H263" t="s">
        <v>15</v>
      </c>
      <c r="I263" s="1">
        <v>1</v>
      </c>
      <c r="J263" s="2">
        <v>301.72000000000003</v>
      </c>
    </row>
    <row r="264" spans="2:10" x14ac:dyDescent="0.2">
      <c r="B264" t="s">
        <v>453</v>
      </c>
      <c r="C264" t="s">
        <v>335</v>
      </c>
      <c r="D264" t="s">
        <v>456</v>
      </c>
      <c r="E264" t="s">
        <v>120</v>
      </c>
      <c r="F264" t="s">
        <v>121</v>
      </c>
      <c r="G264" t="s">
        <v>1034</v>
      </c>
      <c r="H264" t="s">
        <v>15</v>
      </c>
      <c r="I264" s="1">
        <v>1</v>
      </c>
      <c r="J264" s="2">
        <v>301.72000000000003</v>
      </c>
    </row>
    <row r="265" spans="2:10" x14ac:dyDescent="0.2">
      <c r="B265" t="s">
        <v>453</v>
      </c>
      <c r="C265" t="s">
        <v>335</v>
      </c>
      <c r="D265" t="s">
        <v>456</v>
      </c>
      <c r="E265" t="s">
        <v>214</v>
      </c>
      <c r="F265" t="s">
        <v>215</v>
      </c>
      <c r="G265" t="s">
        <v>1034</v>
      </c>
      <c r="H265" t="s">
        <v>15</v>
      </c>
      <c r="I265" s="1">
        <v>1</v>
      </c>
      <c r="J265" s="2">
        <v>301.72000000000003</v>
      </c>
    </row>
    <row r="266" spans="2:10" x14ac:dyDescent="0.2">
      <c r="B266" t="s">
        <v>453</v>
      </c>
      <c r="C266" t="s">
        <v>335</v>
      </c>
      <c r="D266" t="s">
        <v>456</v>
      </c>
      <c r="E266" t="s">
        <v>36</v>
      </c>
      <c r="F266" t="s">
        <v>37</v>
      </c>
      <c r="G266" t="s">
        <v>1034</v>
      </c>
      <c r="H266" t="s">
        <v>15</v>
      </c>
      <c r="I266" s="1">
        <v>1</v>
      </c>
      <c r="J266" s="2">
        <v>301.72000000000003</v>
      </c>
    </row>
    <row r="267" spans="2:10" x14ac:dyDescent="0.2">
      <c r="B267" t="s">
        <v>453</v>
      </c>
      <c r="C267" t="s">
        <v>335</v>
      </c>
      <c r="D267" t="s">
        <v>456</v>
      </c>
      <c r="E267" t="s">
        <v>122</v>
      </c>
      <c r="F267" t="s">
        <v>123</v>
      </c>
      <c r="G267" t="s">
        <v>1034</v>
      </c>
      <c r="H267" t="s">
        <v>15</v>
      </c>
      <c r="I267" s="1">
        <v>1</v>
      </c>
      <c r="J267" s="2">
        <v>387.93</v>
      </c>
    </row>
    <row r="268" spans="2:10" x14ac:dyDescent="0.2">
      <c r="B268" t="s">
        <v>453</v>
      </c>
      <c r="C268" t="s">
        <v>335</v>
      </c>
      <c r="D268" t="s">
        <v>456</v>
      </c>
      <c r="E268" t="s">
        <v>61</v>
      </c>
      <c r="F268" t="s">
        <v>62</v>
      </c>
      <c r="G268" t="s">
        <v>1034</v>
      </c>
      <c r="H268" t="s">
        <v>15</v>
      </c>
      <c r="I268" s="1">
        <v>1</v>
      </c>
      <c r="J268" s="2">
        <v>172.41</v>
      </c>
    </row>
    <row r="269" spans="2:10" x14ac:dyDescent="0.2">
      <c r="B269" t="s">
        <v>453</v>
      </c>
      <c r="C269" t="s">
        <v>335</v>
      </c>
      <c r="D269" t="s">
        <v>456</v>
      </c>
      <c r="E269" t="s">
        <v>63</v>
      </c>
      <c r="F269" t="s">
        <v>64</v>
      </c>
      <c r="G269" t="s">
        <v>1034</v>
      </c>
      <c r="H269" t="s">
        <v>15</v>
      </c>
      <c r="I269" s="1">
        <v>2</v>
      </c>
      <c r="J269" s="2">
        <v>344.82</v>
      </c>
    </row>
    <row r="270" spans="2:10" x14ac:dyDescent="0.2">
      <c r="B270" t="s">
        <v>453</v>
      </c>
      <c r="C270" t="s">
        <v>335</v>
      </c>
      <c r="D270" t="s">
        <v>456</v>
      </c>
      <c r="E270" t="s">
        <v>193</v>
      </c>
      <c r="F270" t="s">
        <v>194</v>
      </c>
      <c r="G270" t="s">
        <v>1034</v>
      </c>
      <c r="H270" t="s">
        <v>15</v>
      </c>
      <c r="I270" s="1">
        <v>1</v>
      </c>
      <c r="J270" s="2">
        <v>1293.0999999999999</v>
      </c>
    </row>
    <row r="271" spans="2:10" x14ac:dyDescent="0.2">
      <c r="B271" t="s">
        <v>453</v>
      </c>
      <c r="C271" t="s">
        <v>418</v>
      </c>
      <c r="D271" t="s">
        <v>456</v>
      </c>
      <c r="E271" t="s">
        <v>36</v>
      </c>
      <c r="F271" t="s">
        <v>37</v>
      </c>
      <c r="G271" t="s">
        <v>1034</v>
      </c>
      <c r="H271" t="s">
        <v>15</v>
      </c>
      <c r="I271" s="1">
        <v>2</v>
      </c>
      <c r="J271" s="2">
        <v>603.44000000000005</v>
      </c>
    </row>
    <row r="272" spans="2:10" x14ac:dyDescent="0.2">
      <c r="B272" t="s">
        <v>453</v>
      </c>
      <c r="C272" t="s">
        <v>418</v>
      </c>
      <c r="D272" t="s">
        <v>456</v>
      </c>
      <c r="E272" t="s">
        <v>153</v>
      </c>
      <c r="F272" t="s">
        <v>154</v>
      </c>
      <c r="G272" t="s">
        <v>1034</v>
      </c>
      <c r="H272" t="s">
        <v>15</v>
      </c>
      <c r="I272" s="1">
        <v>1</v>
      </c>
      <c r="J272" s="2">
        <v>387.93</v>
      </c>
    </row>
    <row r="273" spans="2:10" x14ac:dyDescent="0.2">
      <c r="B273" t="s">
        <v>453</v>
      </c>
      <c r="C273" t="s">
        <v>186</v>
      </c>
      <c r="D273" t="s">
        <v>456</v>
      </c>
      <c r="E273" t="s">
        <v>221</v>
      </c>
      <c r="F273" t="s">
        <v>222</v>
      </c>
      <c r="G273" t="s">
        <v>1034</v>
      </c>
      <c r="H273" t="s">
        <v>15</v>
      </c>
      <c r="I273" s="1">
        <v>1</v>
      </c>
      <c r="J273" s="2">
        <v>431.03</v>
      </c>
    </row>
    <row r="274" spans="2:10" x14ac:dyDescent="0.2">
      <c r="B274" t="s">
        <v>453</v>
      </c>
      <c r="C274" t="s">
        <v>186</v>
      </c>
      <c r="D274" t="s">
        <v>456</v>
      </c>
      <c r="E274" t="s">
        <v>72</v>
      </c>
      <c r="F274" t="s">
        <v>73</v>
      </c>
      <c r="G274" t="s">
        <v>1034</v>
      </c>
      <c r="H274" t="s">
        <v>15</v>
      </c>
      <c r="I274" s="1">
        <v>1</v>
      </c>
      <c r="J274" s="2">
        <v>775.86</v>
      </c>
    </row>
    <row r="275" spans="2:10" x14ac:dyDescent="0.2">
      <c r="B275" t="s">
        <v>453</v>
      </c>
      <c r="C275" t="s">
        <v>197</v>
      </c>
      <c r="D275" t="s">
        <v>456</v>
      </c>
      <c r="E275" t="s">
        <v>46</v>
      </c>
      <c r="F275" t="s">
        <v>47</v>
      </c>
      <c r="G275" t="s">
        <v>1034</v>
      </c>
      <c r="H275" t="s">
        <v>15</v>
      </c>
      <c r="I275" s="1">
        <v>1</v>
      </c>
      <c r="J275" s="2">
        <v>301.72000000000003</v>
      </c>
    </row>
    <row r="276" spans="2:10" x14ac:dyDescent="0.2">
      <c r="B276" t="s">
        <v>453</v>
      </c>
      <c r="C276" t="s">
        <v>197</v>
      </c>
      <c r="D276" t="s">
        <v>456</v>
      </c>
      <c r="E276" t="s">
        <v>36</v>
      </c>
      <c r="F276" t="s">
        <v>37</v>
      </c>
      <c r="G276" t="s">
        <v>1034</v>
      </c>
      <c r="H276" t="s">
        <v>15</v>
      </c>
      <c r="I276" s="1">
        <v>1</v>
      </c>
      <c r="J276" s="2">
        <v>301.72000000000003</v>
      </c>
    </row>
    <row r="277" spans="2:10" x14ac:dyDescent="0.2">
      <c r="B277" t="s">
        <v>453</v>
      </c>
      <c r="C277" t="s">
        <v>197</v>
      </c>
      <c r="D277" t="s">
        <v>456</v>
      </c>
      <c r="E277" t="s">
        <v>122</v>
      </c>
      <c r="F277" t="s">
        <v>123</v>
      </c>
      <c r="G277" t="s">
        <v>1034</v>
      </c>
      <c r="H277" t="s">
        <v>15</v>
      </c>
      <c r="I277" s="1">
        <v>1</v>
      </c>
      <c r="J277" s="2">
        <v>387.93</v>
      </c>
    </row>
    <row r="278" spans="2:10" x14ac:dyDescent="0.2">
      <c r="B278" t="s">
        <v>453</v>
      </c>
      <c r="C278" t="s">
        <v>206</v>
      </c>
      <c r="D278" t="s">
        <v>456</v>
      </c>
      <c r="E278" t="s">
        <v>61</v>
      </c>
      <c r="F278" t="s">
        <v>62</v>
      </c>
      <c r="G278" t="s">
        <v>1034</v>
      </c>
      <c r="H278" t="s">
        <v>15</v>
      </c>
      <c r="I278" s="1">
        <v>1</v>
      </c>
      <c r="J278" s="2">
        <v>172.41</v>
      </c>
    </row>
    <row r="279" spans="2:10" x14ac:dyDescent="0.2">
      <c r="B279" t="s">
        <v>453</v>
      </c>
      <c r="C279" t="s">
        <v>220</v>
      </c>
      <c r="D279" t="s">
        <v>456</v>
      </c>
      <c r="E279" t="s">
        <v>46</v>
      </c>
      <c r="F279" t="s">
        <v>47</v>
      </c>
      <c r="G279" t="s">
        <v>1034</v>
      </c>
      <c r="H279" t="s">
        <v>15</v>
      </c>
      <c r="I279" s="1">
        <v>1</v>
      </c>
      <c r="J279" s="2">
        <v>301.72000000000003</v>
      </c>
    </row>
    <row r="280" spans="2:10" x14ac:dyDescent="0.2">
      <c r="B280" t="s">
        <v>453</v>
      </c>
      <c r="C280" t="s">
        <v>220</v>
      </c>
      <c r="D280" t="s">
        <v>456</v>
      </c>
      <c r="E280" t="s">
        <v>214</v>
      </c>
      <c r="F280" t="s">
        <v>215</v>
      </c>
      <c r="G280" t="s">
        <v>1034</v>
      </c>
      <c r="H280" t="s">
        <v>15</v>
      </c>
      <c r="I280" s="1">
        <v>1</v>
      </c>
      <c r="J280" s="2">
        <v>301.72000000000003</v>
      </c>
    </row>
    <row r="281" spans="2:10" x14ac:dyDescent="0.2">
      <c r="B281" t="s">
        <v>453</v>
      </c>
      <c r="C281" t="s">
        <v>220</v>
      </c>
      <c r="D281" t="s">
        <v>456</v>
      </c>
      <c r="E281" t="s">
        <v>72</v>
      </c>
      <c r="F281" t="s">
        <v>73</v>
      </c>
      <c r="G281" t="s">
        <v>1034</v>
      </c>
      <c r="H281" t="s">
        <v>15</v>
      </c>
      <c r="I281" s="1">
        <v>1</v>
      </c>
      <c r="J281" s="2">
        <v>775.86</v>
      </c>
    </row>
    <row r="282" spans="2:10" x14ac:dyDescent="0.2">
      <c r="B282" t="s">
        <v>453</v>
      </c>
      <c r="C282" t="s">
        <v>220</v>
      </c>
      <c r="D282" t="s">
        <v>456</v>
      </c>
      <c r="E282" t="s">
        <v>56</v>
      </c>
      <c r="F282" t="s">
        <v>57</v>
      </c>
      <c r="G282" t="s">
        <v>1034</v>
      </c>
      <c r="H282" t="s">
        <v>15</v>
      </c>
      <c r="I282" s="1">
        <v>1</v>
      </c>
      <c r="J282" s="2">
        <v>431.03</v>
      </c>
    </row>
    <row r="283" spans="2:10" x14ac:dyDescent="0.2">
      <c r="B283" t="s">
        <v>453</v>
      </c>
      <c r="C283" t="s">
        <v>220</v>
      </c>
      <c r="D283" t="s">
        <v>456</v>
      </c>
      <c r="E283" t="s">
        <v>61</v>
      </c>
      <c r="F283" t="s">
        <v>62</v>
      </c>
      <c r="G283" t="s">
        <v>1034</v>
      </c>
      <c r="H283" t="s">
        <v>15</v>
      </c>
      <c r="I283" s="1">
        <v>3</v>
      </c>
      <c r="J283" s="2">
        <v>517.23</v>
      </c>
    </row>
    <row r="284" spans="2:10" x14ac:dyDescent="0.2">
      <c r="B284" t="s">
        <v>453</v>
      </c>
      <c r="C284" t="s">
        <v>220</v>
      </c>
      <c r="D284" t="s">
        <v>456</v>
      </c>
      <c r="E284" t="s">
        <v>63</v>
      </c>
      <c r="F284" t="s">
        <v>64</v>
      </c>
      <c r="G284" t="s">
        <v>1034</v>
      </c>
      <c r="H284" t="s">
        <v>15</v>
      </c>
      <c r="I284" s="1">
        <v>1</v>
      </c>
      <c r="J284" s="2">
        <v>172.41</v>
      </c>
    </row>
    <row r="285" spans="2:10" x14ac:dyDescent="0.2">
      <c r="B285" t="s">
        <v>453</v>
      </c>
      <c r="C285" t="s">
        <v>225</v>
      </c>
      <c r="D285" t="s">
        <v>130</v>
      </c>
      <c r="E285" t="s">
        <v>120</v>
      </c>
      <c r="F285" t="s">
        <v>121</v>
      </c>
      <c r="G285" t="s">
        <v>1034</v>
      </c>
      <c r="H285" t="s">
        <v>15</v>
      </c>
      <c r="I285" s="1">
        <v>1</v>
      </c>
      <c r="J285" s="2">
        <v>301.72000000000003</v>
      </c>
    </row>
    <row r="286" spans="2:10" x14ac:dyDescent="0.2">
      <c r="B286" t="s">
        <v>453</v>
      </c>
      <c r="C286" t="s">
        <v>225</v>
      </c>
      <c r="D286" t="s">
        <v>130</v>
      </c>
      <c r="E286" t="s">
        <v>36</v>
      </c>
      <c r="F286" t="s">
        <v>37</v>
      </c>
      <c r="G286" t="s">
        <v>1034</v>
      </c>
      <c r="H286" t="s">
        <v>15</v>
      </c>
      <c r="I286" s="1">
        <v>2</v>
      </c>
      <c r="J286" s="2">
        <v>603.44000000000005</v>
      </c>
    </row>
    <row r="287" spans="2:10" x14ac:dyDescent="0.2">
      <c r="B287" t="s">
        <v>453</v>
      </c>
      <c r="C287" t="s">
        <v>225</v>
      </c>
      <c r="D287" t="s">
        <v>130</v>
      </c>
      <c r="E287" t="s">
        <v>56</v>
      </c>
      <c r="F287" t="s">
        <v>57</v>
      </c>
      <c r="G287" t="s">
        <v>1034</v>
      </c>
      <c r="H287" t="s">
        <v>15</v>
      </c>
      <c r="I287" s="1">
        <v>3</v>
      </c>
      <c r="J287" s="2">
        <v>1293.0999999999999</v>
      </c>
    </row>
    <row r="288" spans="2:10" x14ac:dyDescent="0.2">
      <c r="B288" t="s">
        <v>453</v>
      </c>
      <c r="C288" t="s">
        <v>225</v>
      </c>
      <c r="D288" t="s">
        <v>130</v>
      </c>
      <c r="E288" t="s">
        <v>124</v>
      </c>
      <c r="F288" t="s">
        <v>125</v>
      </c>
      <c r="G288" t="s">
        <v>1034</v>
      </c>
      <c r="H288" t="s">
        <v>15</v>
      </c>
      <c r="I288" s="1">
        <v>1</v>
      </c>
      <c r="J288" s="2">
        <v>431.03</v>
      </c>
    </row>
    <row r="289" spans="2:10" x14ac:dyDescent="0.2">
      <c r="B289" t="s">
        <v>453</v>
      </c>
      <c r="C289" t="s">
        <v>225</v>
      </c>
      <c r="D289" t="s">
        <v>130</v>
      </c>
      <c r="E289" t="s">
        <v>61</v>
      </c>
      <c r="F289" t="s">
        <v>62</v>
      </c>
      <c r="G289" t="s">
        <v>1034</v>
      </c>
      <c r="H289" t="s">
        <v>15</v>
      </c>
      <c r="I289" s="1">
        <v>2</v>
      </c>
      <c r="J289" s="2">
        <v>344.82</v>
      </c>
    </row>
    <row r="290" spans="2:10" x14ac:dyDescent="0.2">
      <c r="B290" t="s">
        <v>453</v>
      </c>
      <c r="C290" t="s">
        <v>225</v>
      </c>
      <c r="D290" t="s">
        <v>130</v>
      </c>
      <c r="E290" t="s">
        <v>63</v>
      </c>
      <c r="F290" t="s">
        <v>64</v>
      </c>
      <c r="G290" t="s">
        <v>1034</v>
      </c>
      <c r="H290" t="s">
        <v>15</v>
      </c>
      <c r="I290" s="1">
        <v>2</v>
      </c>
      <c r="J290" s="2">
        <v>344.82</v>
      </c>
    </row>
    <row r="291" spans="2:10" x14ac:dyDescent="0.2">
      <c r="B291" t="s">
        <v>453</v>
      </c>
      <c r="C291" t="s">
        <v>227</v>
      </c>
      <c r="D291" t="s">
        <v>456</v>
      </c>
      <c r="E291" t="s">
        <v>221</v>
      </c>
      <c r="F291" t="s">
        <v>222</v>
      </c>
      <c r="G291" t="s">
        <v>1034</v>
      </c>
      <c r="H291" t="s">
        <v>15</v>
      </c>
      <c r="I291" s="1">
        <v>1</v>
      </c>
      <c r="J291" s="2">
        <v>431.03</v>
      </c>
    </row>
    <row r="292" spans="2:10" x14ac:dyDescent="0.2">
      <c r="B292" t="s">
        <v>453</v>
      </c>
      <c r="C292" t="s">
        <v>227</v>
      </c>
      <c r="D292" t="s">
        <v>456</v>
      </c>
      <c r="E292" t="s">
        <v>61</v>
      </c>
      <c r="F292" t="s">
        <v>62</v>
      </c>
      <c r="G292" t="s">
        <v>1034</v>
      </c>
      <c r="H292" t="s">
        <v>15</v>
      </c>
      <c r="I292" s="1">
        <v>1</v>
      </c>
      <c r="J292" s="2">
        <v>172.41</v>
      </c>
    </row>
    <row r="293" spans="2:10" x14ac:dyDescent="0.2">
      <c r="B293" t="s">
        <v>453</v>
      </c>
      <c r="C293" t="s">
        <v>228</v>
      </c>
      <c r="D293" t="s">
        <v>456</v>
      </c>
      <c r="E293" t="s">
        <v>83</v>
      </c>
      <c r="F293" t="s">
        <v>84</v>
      </c>
      <c r="G293" t="s">
        <v>1034</v>
      </c>
      <c r="H293" t="s">
        <v>15</v>
      </c>
      <c r="I293" s="1">
        <v>1</v>
      </c>
      <c r="J293" s="2">
        <v>387.93</v>
      </c>
    </row>
    <row r="294" spans="2:10" x14ac:dyDescent="0.2">
      <c r="B294" t="s">
        <v>453</v>
      </c>
      <c r="C294" t="s">
        <v>228</v>
      </c>
      <c r="D294" t="s">
        <v>456</v>
      </c>
      <c r="E294" t="s">
        <v>61</v>
      </c>
      <c r="F294" t="s">
        <v>62</v>
      </c>
      <c r="G294" t="s">
        <v>1034</v>
      </c>
      <c r="H294" t="s">
        <v>15</v>
      </c>
      <c r="I294" s="1">
        <v>1</v>
      </c>
      <c r="J294" s="2">
        <v>172.41</v>
      </c>
    </row>
    <row r="295" spans="2:10" x14ac:dyDescent="0.2">
      <c r="B295" t="s">
        <v>453</v>
      </c>
      <c r="C295" t="s">
        <v>228</v>
      </c>
      <c r="D295" t="s">
        <v>456</v>
      </c>
      <c r="E295" t="s">
        <v>63</v>
      </c>
      <c r="F295" t="s">
        <v>64</v>
      </c>
      <c r="G295" t="s">
        <v>1034</v>
      </c>
      <c r="H295" t="s">
        <v>15</v>
      </c>
      <c r="I295" s="1">
        <v>4</v>
      </c>
      <c r="J295" s="2">
        <v>689.64</v>
      </c>
    </row>
    <row r="296" spans="2:10" x14ac:dyDescent="0.2">
      <c r="B296" t="s">
        <v>453</v>
      </c>
      <c r="C296" t="s">
        <v>233</v>
      </c>
      <c r="D296" t="s">
        <v>130</v>
      </c>
      <c r="E296" t="s">
        <v>36</v>
      </c>
      <c r="F296" t="s">
        <v>37</v>
      </c>
      <c r="G296" t="s">
        <v>1034</v>
      </c>
      <c r="H296" t="s">
        <v>15</v>
      </c>
      <c r="I296" s="1">
        <v>1</v>
      </c>
      <c r="J296" s="2">
        <v>301.72000000000003</v>
      </c>
    </row>
    <row r="297" spans="2:10" x14ac:dyDescent="0.2">
      <c r="B297" t="s">
        <v>453</v>
      </c>
      <c r="C297" t="s">
        <v>233</v>
      </c>
      <c r="D297" t="s">
        <v>130</v>
      </c>
      <c r="E297" t="s">
        <v>72</v>
      </c>
      <c r="F297" t="s">
        <v>73</v>
      </c>
      <c r="G297" t="s">
        <v>1034</v>
      </c>
      <c r="H297" t="s">
        <v>15</v>
      </c>
      <c r="I297" s="1">
        <v>1</v>
      </c>
      <c r="J297" s="2">
        <v>775.86</v>
      </c>
    </row>
    <row r="298" spans="2:10" x14ac:dyDescent="0.2">
      <c r="B298" t="s">
        <v>453</v>
      </c>
      <c r="C298" t="s">
        <v>233</v>
      </c>
      <c r="D298" t="s">
        <v>130</v>
      </c>
      <c r="E298" t="s">
        <v>122</v>
      </c>
      <c r="F298" t="s">
        <v>123</v>
      </c>
      <c r="G298" t="s">
        <v>1034</v>
      </c>
      <c r="H298" t="s">
        <v>15</v>
      </c>
      <c r="I298" s="1">
        <v>1</v>
      </c>
      <c r="J298" s="2">
        <v>387.93</v>
      </c>
    </row>
    <row r="299" spans="2:10" x14ac:dyDescent="0.2">
      <c r="B299" t="s">
        <v>453</v>
      </c>
      <c r="C299" t="s">
        <v>236</v>
      </c>
      <c r="D299" t="s">
        <v>456</v>
      </c>
      <c r="E299" t="s">
        <v>221</v>
      </c>
      <c r="F299" t="s">
        <v>222</v>
      </c>
      <c r="G299" t="s">
        <v>1034</v>
      </c>
      <c r="H299" t="s">
        <v>15</v>
      </c>
      <c r="I299" s="1">
        <v>1</v>
      </c>
      <c r="J299" s="2">
        <v>431.03</v>
      </c>
    </row>
    <row r="300" spans="2:10" x14ac:dyDescent="0.2">
      <c r="B300" t="s">
        <v>453</v>
      </c>
      <c r="C300" t="s">
        <v>236</v>
      </c>
      <c r="D300" t="s">
        <v>456</v>
      </c>
      <c r="E300" t="s">
        <v>120</v>
      </c>
      <c r="F300" t="s">
        <v>121</v>
      </c>
      <c r="G300" t="s">
        <v>1034</v>
      </c>
      <c r="H300" t="s">
        <v>15</v>
      </c>
      <c r="I300" s="1">
        <v>1</v>
      </c>
      <c r="J300" s="2">
        <v>301.72000000000003</v>
      </c>
    </row>
    <row r="301" spans="2:10" x14ac:dyDescent="0.2">
      <c r="B301" t="s">
        <v>453</v>
      </c>
      <c r="C301" t="s">
        <v>236</v>
      </c>
      <c r="D301" t="s">
        <v>456</v>
      </c>
      <c r="E301" t="s">
        <v>56</v>
      </c>
      <c r="F301" t="s">
        <v>57</v>
      </c>
      <c r="G301" t="s">
        <v>1034</v>
      </c>
      <c r="H301" t="s">
        <v>15</v>
      </c>
      <c r="I301" s="1">
        <v>1</v>
      </c>
      <c r="J301" s="2">
        <v>431.03</v>
      </c>
    </row>
    <row r="302" spans="2:10" x14ac:dyDescent="0.2">
      <c r="B302" t="s">
        <v>453</v>
      </c>
      <c r="C302" t="s">
        <v>236</v>
      </c>
      <c r="D302" t="s">
        <v>456</v>
      </c>
      <c r="E302" t="s">
        <v>63</v>
      </c>
      <c r="F302" t="s">
        <v>64</v>
      </c>
      <c r="G302" t="s">
        <v>1034</v>
      </c>
      <c r="H302" t="s">
        <v>15</v>
      </c>
      <c r="I302" s="1">
        <v>1</v>
      </c>
      <c r="J302" s="2">
        <v>172.41</v>
      </c>
    </row>
    <row r="303" spans="2:10" x14ac:dyDescent="0.2">
      <c r="B303" t="s">
        <v>453</v>
      </c>
      <c r="C303" t="s">
        <v>237</v>
      </c>
      <c r="D303" t="s">
        <v>456</v>
      </c>
      <c r="E303" t="s">
        <v>56</v>
      </c>
      <c r="F303" t="s">
        <v>57</v>
      </c>
      <c r="G303" t="s">
        <v>1034</v>
      </c>
      <c r="H303" t="s">
        <v>15</v>
      </c>
      <c r="I303" s="1">
        <v>1</v>
      </c>
      <c r="J303" s="2">
        <v>431.03</v>
      </c>
    </row>
    <row r="304" spans="2:10" x14ac:dyDescent="0.2">
      <c r="B304" t="s">
        <v>453</v>
      </c>
      <c r="C304" t="s">
        <v>237</v>
      </c>
      <c r="D304" t="s">
        <v>456</v>
      </c>
      <c r="E304" t="s">
        <v>527</v>
      </c>
      <c r="F304" t="s">
        <v>528</v>
      </c>
      <c r="G304" t="s">
        <v>1034</v>
      </c>
      <c r="H304" t="s">
        <v>15</v>
      </c>
      <c r="I304" s="1">
        <v>1</v>
      </c>
      <c r="J304" s="2">
        <v>241.38</v>
      </c>
    </row>
    <row r="305" spans="2:10" x14ac:dyDescent="0.2">
      <c r="B305" t="s">
        <v>453</v>
      </c>
      <c r="C305" t="s">
        <v>248</v>
      </c>
      <c r="D305" t="s">
        <v>456</v>
      </c>
      <c r="E305" t="s">
        <v>221</v>
      </c>
      <c r="F305" t="s">
        <v>222</v>
      </c>
      <c r="G305" t="s">
        <v>1034</v>
      </c>
      <c r="H305" t="s">
        <v>15</v>
      </c>
      <c r="I305" s="1">
        <v>1</v>
      </c>
      <c r="J305" s="2">
        <v>431.03</v>
      </c>
    </row>
    <row r="306" spans="2:10" x14ac:dyDescent="0.2">
      <c r="B306" t="s">
        <v>453</v>
      </c>
      <c r="C306" t="s">
        <v>248</v>
      </c>
      <c r="D306" t="s">
        <v>456</v>
      </c>
      <c r="E306" t="s">
        <v>12</v>
      </c>
      <c r="F306" t="s">
        <v>13</v>
      </c>
      <c r="G306" t="s">
        <v>1034</v>
      </c>
      <c r="H306" t="s">
        <v>15</v>
      </c>
      <c r="I306" s="1">
        <v>1</v>
      </c>
      <c r="J306" s="2">
        <v>1077.5899999999999</v>
      </c>
    </row>
    <row r="307" spans="2:10" x14ac:dyDescent="0.2">
      <c r="B307" t="s">
        <v>453</v>
      </c>
      <c r="C307" t="s">
        <v>248</v>
      </c>
      <c r="D307" t="s">
        <v>456</v>
      </c>
      <c r="E307" t="s">
        <v>36</v>
      </c>
      <c r="F307" t="s">
        <v>37</v>
      </c>
      <c r="G307" t="s">
        <v>1034</v>
      </c>
      <c r="H307" t="s">
        <v>15</v>
      </c>
      <c r="I307" s="1">
        <v>1</v>
      </c>
      <c r="J307" s="2">
        <v>301.72000000000003</v>
      </c>
    </row>
    <row r="308" spans="2:10" x14ac:dyDescent="0.2">
      <c r="B308" t="s">
        <v>453</v>
      </c>
      <c r="C308" t="s">
        <v>248</v>
      </c>
      <c r="D308" t="s">
        <v>456</v>
      </c>
      <c r="E308" t="s">
        <v>72</v>
      </c>
      <c r="F308" t="s">
        <v>73</v>
      </c>
      <c r="G308" t="s">
        <v>1034</v>
      </c>
      <c r="H308" t="s">
        <v>15</v>
      </c>
      <c r="I308" s="1">
        <v>2</v>
      </c>
      <c r="J308" s="2">
        <v>1551.72</v>
      </c>
    </row>
    <row r="309" spans="2:10" x14ac:dyDescent="0.2">
      <c r="B309" t="s">
        <v>453</v>
      </c>
      <c r="C309" t="s">
        <v>248</v>
      </c>
      <c r="D309" t="s">
        <v>456</v>
      </c>
      <c r="E309" t="s">
        <v>122</v>
      </c>
      <c r="F309" t="s">
        <v>123</v>
      </c>
      <c r="G309" t="s">
        <v>1034</v>
      </c>
      <c r="H309" t="s">
        <v>15</v>
      </c>
      <c r="I309" s="1">
        <v>1</v>
      </c>
      <c r="J309" s="2">
        <v>387.93</v>
      </c>
    </row>
    <row r="310" spans="2:10" x14ac:dyDescent="0.2">
      <c r="B310" t="s">
        <v>453</v>
      </c>
      <c r="C310" t="s">
        <v>248</v>
      </c>
      <c r="D310" t="s">
        <v>456</v>
      </c>
      <c r="E310" t="s">
        <v>56</v>
      </c>
      <c r="F310" t="s">
        <v>57</v>
      </c>
      <c r="G310" t="s">
        <v>1034</v>
      </c>
      <c r="H310" t="s">
        <v>15</v>
      </c>
      <c r="I310" s="1">
        <v>2</v>
      </c>
      <c r="J310" s="2">
        <v>862.06</v>
      </c>
    </row>
    <row r="311" spans="2:10" x14ac:dyDescent="0.2">
      <c r="B311" t="s">
        <v>531</v>
      </c>
      <c r="C311" t="s">
        <v>10</v>
      </c>
      <c r="D311" t="s">
        <v>532</v>
      </c>
      <c r="E311" t="s">
        <v>120</v>
      </c>
      <c r="F311" t="s">
        <v>121</v>
      </c>
      <c r="G311" t="s">
        <v>1034</v>
      </c>
      <c r="H311" t="s">
        <v>15</v>
      </c>
      <c r="I311" s="1">
        <v>1</v>
      </c>
      <c r="J311" s="2">
        <v>301.72000000000003</v>
      </c>
    </row>
    <row r="312" spans="2:10" x14ac:dyDescent="0.2">
      <c r="B312" t="s">
        <v>531</v>
      </c>
      <c r="C312" t="s">
        <v>10</v>
      </c>
      <c r="D312" t="s">
        <v>532</v>
      </c>
      <c r="E312" t="s">
        <v>36</v>
      </c>
      <c r="F312" t="s">
        <v>37</v>
      </c>
      <c r="G312" t="s">
        <v>1034</v>
      </c>
      <c r="H312" t="s">
        <v>15</v>
      </c>
      <c r="I312" s="1">
        <v>2</v>
      </c>
      <c r="J312" s="2">
        <v>603.44000000000005</v>
      </c>
    </row>
    <row r="313" spans="2:10" x14ac:dyDescent="0.2">
      <c r="B313" t="s">
        <v>531</v>
      </c>
      <c r="C313" t="s">
        <v>18</v>
      </c>
      <c r="D313" t="s">
        <v>532</v>
      </c>
      <c r="E313" t="s">
        <v>221</v>
      </c>
      <c r="F313" t="s">
        <v>222</v>
      </c>
      <c r="G313" t="s">
        <v>1034</v>
      </c>
      <c r="H313" t="s">
        <v>15</v>
      </c>
      <c r="I313" s="1">
        <v>1</v>
      </c>
      <c r="J313" s="2">
        <v>431.03</v>
      </c>
    </row>
    <row r="314" spans="2:10" x14ac:dyDescent="0.2">
      <c r="B314" t="s">
        <v>531</v>
      </c>
      <c r="C314" t="s">
        <v>18</v>
      </c>
      <c r="D314" t="s">
        <v>532</v>
      </c>
      <c r="E314" t="s">
        <v>120</v>
      </c>
      <c r="F314" t="s">
        <v>121</v>
      </c>
      <c r="G314" t="s">
        <v>1034</v>
      </c>
      <c r="H314" t="s">
        <v>15</v>
      </c>
      <c r="I314" s="1">
        <v>1</v>
      </c>
      <c r="J314" s="2">
        <v>301.72000000000003</v>
      </c>
    </row>
    <row r="315" spans="2:10" x14ac:dyDescent="0.2">
      <c r="B315" t="s">
        <v>531</v>
      </c>
      <c r="C315" t="s">
        <v>18</v>
      </c>
      <c r="D315" t="s">
        <v>532</v>
      </c>
      <c r="E315" t="s">
        <v>214</v>
      </c>
      <c r="F315" t="s">
        <v>215</v>
      </c>
      <c r="G315" t="s">
        <v>1034</v>
      </c>
      <c r="H315" t="s">
        <v>15</v>
      </c>
      <c r="I315" s="1">
        <v>2</v>
      </c>
      <c r="J315" s="2">
        <v>603.44000000000005</v>
      </c>
    </row>
    <row r="316" spans="2:10" x14ac:dyDescent="0.2">
      <c r="B316" t="s">
        <v>531</v>
      </c>
      <c r="C316" t="s">
        <v>18</v>
      </c>
      <c r="D316" t="s">
        <v>532</v>
      </c>
      <c r="E316" t="s">
        <v>336</v>
      </c>
      <c r="F316" t="s">
        <v>337</v>
      </c>
      <c r="G316" t="s">
        <v>1034</v>
      </c>
      <c r="H316" t="s">
        <v>15</v>
      </c>
      <c r="I316" s="1">
        <v>1</v>
      </c>
      <c r="J316" s="2">
        <v>387.93</v>
      </c>
    </row>
    <row r="317" spans="2:10" x14ac:dyDescent="0.2">
      <c r="B317" t="s">
        <v>531</v>
      </c>
      <c r="C317" t="s">
        <v>18</v>
      </c>
      <c r="D317" t="s">
        <v>532</v>
      </c>
      <c r="E317" t="s">
        <v>38</v>
      </c>
      <c r="F317" t="s">
        <v>39</v>
      </c>
      <c r="G317" t="s">
        <v>1034</v>
      </c>
      <c r="H317" t="s">
        <v>15</v>
      </c>
      <c r="I317" s="1">
        <v>1</v>
      </c>
      <c r="J317" s="2">
        <v>431.03</v>
      </c>
    </row>
    <row r="318" spans="2:10" x14ac:dyDescent="0.2">
      <c r="B318" t="s">
        <v>531</v>
      </c>
      <c r="C318" t="s">
        <v>18</v>
      </c>
      <c r="D318" t="s">
        <v>532</v>
      </c>
      <c r="E318" t="s">
        <v>193</v>
      </c>
      <c r="F318" t="s">
        <v>194</v>
      </c>
      <c r="G318" t="s">
        <v>1034</v>
      </c>
      <c r="H318" t="s">
        <v>15</v>
      </c>
      <c r="I318" s="1">
        <v>1</v>
      </c>
      <c r="J318" s="2">
        <v>1293.0999999999999</v>
      </c>
    </row>
    <row r="319" spans="2:10" x14ac:dyDescent="0.2">
      <c r="B319" t="s">
        <v>531</v>
      </c>
      <c r="C319" t="s">
        <v>31</v>
      </c>
      <c r="D319" t="s">
        <v>532</v>
      </c>
      <c r="E319" t="s">
        <v>153</v>
      </c>
      <c r="F319" t="s">
        <v>154</v>
      </c>
      <c r="G319" t="s">
        <v>1034</v>
      </c>
      <c r="H319" t="s">
        <v>15</v>
      </c>
      <c r="I319" s="1">
        <v>1</v>
      </c>
      <c r="J319" s="2">
        <v>387.93</v>
      </c>
    </row>
    <row r="320" spans="2:10" x14ac:dyDescent="0.2">
      <c r="B320" t="s">
        <v>531</v>
      </c>
      <c r="C320" t="s">
        <v>40</v>
      </c>
      <c r="D320" t="s">
        <v>532</v>
      </c>
      <c r="E320" t="s">
        <v>253</v>
      </c>
      <c r="F320" t="s">
        <v>254</v>
      </c>
      <c r="G320" t="s">
        <v>1034</v>
      </c>
      <c r="H320" t="s">
        <v>15</v>
      </c>
      <c r="I320" s="1">
        <v>1</v>
      </c>
      <c r="J320" s="2">
        <v>775.86</v>
      </c>
    </row>
    <row r="321" spans="2:10" x14ac:dyDescent="0.2">
      <c r="B321" t="s">
        <v>531</v>
      </c>
      <c r="C321" t="s">
        <v>40</v>
      </c>
      <c r="D321" t="s">
        <v>532</v>
      </c>
      <c r="E321" t="s">
        <v>56</v>
      </c>
      <c r="F321" t="s">
        <v>57</v>
      </c>
      <c r="G321" t="s">
        <v>1034</v>
      </c>
      <c r="H321" t="s">
        <v>15</v>
      </c>
      <c r="I321" s="1">
        <v>2</v>
      </c>
      <c r="J321" s="2">
        <v>862.07</v>
      </c>
    </row>
    <row r="322" spans="2:10" x14ac:dyDescent="0.2">
      <c r="B322" t="s">
        <v>531</v>
      </c>
      <c r="C322" t="s">
        <v>82</v>
      </c>
      <c r="D322" t="s">
        <v>532</v>
      </c>
      <c r="E322" t="s">
        <v>46</v>
      </c>
      <c r="F322" t="s">
        <v>47</v>
      </c>
      <c r="G322" t="s">
        <v>1034</v>
      </c>
      <c r="H322" t="s">
        <v>15</v>
      </c>
      <c r="I322" s="1">
        <v>1</v>
      </c>
      <c r="J322" s="2">
        <v>301.72000000000003</v>
      </c>
    </row>
    <row r="323" spans="2:10" x14ac:dyDescent="0.2">
      <c r="B323" t="s">
        <v>531</v>
      </c>
      <c r="C323" t="s">
        <v>82</v>
      </c>
      <c r="D323" t="s">
        <v>532</v>
      </c>
      <c r="E323" t="s">
        <v>221</v>
      </c>
      <c r="F323" t="s">
        <v>222</v>
      </c>
      <c r="G323" t="s">
        <v>1034</v>
      </c>
      <c r="H323" t="s">
        <v>15</v>
      </c>
      <c r="I323" s="1">
        <v>1</v>
      </c>
      <c r="J323" s="2">
        <v>431.03</v>
      </c>
    </row>
    <row r="324" spans="2:10" x14ac:dyDescent="0.2">
      <c r="B324" t="s">
        <v>531</v>
      </c>
      <c r="C324" t="s">
        <v>82</v>
      </c>
      <c r="D324" t="s">
        <v>532</v>
      </c>
      <c r="E324" t="s">
        <v>120</v>
      </c>
      <c r="F324" t="s">
        <v>121</v>
      </c>
      <c r="G324" t="s">
        <v>1034</v>
      </c>
      <c r="H324" t="s">
        <v>15</v>
      </c>
      <c r="I324" s="1">
        <v>1</v>
      </c>
      <c r="J324" s="2">
        <v>301.72000000000003</v>
      </c>
    </row>
    <row r="325" spans="2:10" x14ac:dyDescent="0.2">
      <c r="B325" t="s">
        <v>531</v>
      </c>
      <c r="C325" t="s">
        <v>82</v>
      </c>
      <c r="D325" t="s">
        <v>532</v>
      </c>
      <c r="E325" t="s">
        <v>122</v>
      </c>
      <c r="F325" t="s">
        <v>123</v>
      </c>
      <c r="G325" t="s">
        <v>1034</v>
      </c>
      <c r="H325" t="s">
        <v>15</v>
      </c>
      <c r="I325" s="1">
        <v>1</v>
      </c>
      <c r="J325" s="2">
        <v>387.93</v>
      </c>
    </row>
    <row r="326" spans="2:10" x14ac:dyDescent="0.2">
      <c r="B326" t="s">
        <v>531</v>
      </c>
      <c r="C326" t="s">
        <v>88</v>
      </c>
      <c r="D326" t="s">
        <v>532</v>
      </c>
      <c r="E326" t="s">
        <v>36</v>
      </c>
      <c r="F326" t="s">
        <v>37</v>
      </c>
      <c r="G326" t="s">
        <v>1034</v>
      </c>
      <c r="H326" t="s">
        <v>15</v>
      </c>
      <c r="I326" s="1">
        <v>1</v>
      </c>
      <c r="J326" s="2">
        <v>301.72000000000003</v>
      </c>
    </row>
    <row r="327" spans="2:10" x14ac:dyDescent="0.2">
      <c r="B327" t="s">
        <v>531</v>
      </c>
      <c r="C327" t="s">
        <v>88</v>
      </c>
      <c r="D327" t="s">
        <v>532</v>
      </c>
      <c r="E327" t="s">
        <v>72</v>
      </c>
      <c r="F327" t="s">
        <v>73</v>
      </c>
      <c r="G327" t="s">
        <v>1034</v>
      </c>
      <c r="H327" t="s">
        <v>15</v>
      </c>
      <c r="I327" s="1">
        <v>1</v>
      </c>
      <c r="J327" s="2">
        <v>775.86</v>
      </c>
    </row>
    <row r="328" spans="2:10" x14ac:dyDescent="0.2">
      <c r="B328" t="s">
        <v>531</v>
      </c>
      <c r="C328" t="s">
        <v>117</v>
      </c>
      <c r="D328" t="s">
        <v>532</v>
      </c>
      <c r="E328" t="s">
        <v>267</v>
      </c>
      <c r="F328" t="s">
        <v>268</v>
      </c>
      <c r="G328" t="s">
        <v>1034</v>
      </c>
      <c r="H328" t="s">
        <v>15</v>
      </c>
      <c r="I328" s="1">
        <v>1</v>
      </c>
      <c r="J328" s="2">
        <v>258.62</v>
      </c>
    </row>
    <row r="329" spans="2:10" x14ac:dyDescent="0.2">
      <c r="B329" t="s">
        <v>531</v>
      </c>
      <c r="C329" t="s">
        <v>117</v>
      </c>
      <c r="D329" t="s">
        <v>532</v>
      </c>
      <c r="E329" t="s">
        <v>56</v>
      </c>
      <c r="F329" t="s">
        <v>57</v>
      </c>
      <c r="G329" t="s">
        <v>1034</v>
      </c>
      <c r="H329" t="s">
        <v>15</v>
      </c>
      <c r="I329" s="1">
        <v>1</v>
      </c>
      <c r="J329" s="2">
        <v>431.03</v>
      </c>
    </row>
    <row r="330" spans="2:10" x14ac:dyDescent="0.2">
      <c r="B330" t="s">
        <v>531</v>
      </c>
      <c r="C330" t="s">
        <v>129</v>
      </c>
      <c r="D330" t="s">
        <v>532</v>
      </c>
      <c r="E330" t="s">
        <v>214</v>
      </c>
      <c r="F330" t="s">
        <v>215</v>
      </c>
      <c r="G330" t="s">
        <v>1034</v>
      </c>
      <c r="H330" t="s">
        <v>15</v>
      </c>
      <c r="I330" s="1">
        <v>1</v>
      </c>
      <c r="J330" s="2">
        <v>301.72000000000003</v>
      </c>
    </row>
    <row r="331" spans="2:10" x14ac:dyDescent="0.2">
      <c r="B331" t="s">
        <v>531</v>
      </c>
      <c r="C331" t="s">
        <v>134</v>
      </c>
      <c r="D331" t="s">
        <v>532</v>
      </c>
      <c r="E331" t="s">
        <v>46</v>
      </c>
      <c r="F331" t="s">
        <v>47</v>
      </c>
      <c r="G331" t="s">
        <v>1034</v>
      </c>
      <c r="H331" t="s">
        <v>15</v>
      </c>
      <c r="I331" s="1">
        <v>1</v>
      </c>
      <c r="J331" s="2">
        <v>301.72000000000003</v>
      </c>
    </row>
    <row r="332" spans="2:10" x14ac:dyDescent="0.2">
      <c r="B332" t="s">
        <v>531</v>
      </c>
      <c r="C332" t="s">
        <v>135</v>
      </c>
      <c r="D332" t="s">
        <v>532</v>
      </c>
      <c r="E332" t="s">
        <v>214</v>
      </c>
      <c r="F332" t="s">
        <v>215</v>
      </c>
      <c r="G332" t="s">
        <v>1034</v>
      </c>
      <c r="H332" t="s">
        <v>15</v>
      </c>
      <c r="I332" s="1">
        <v>1</v>
      </c>
      <c r="J332" s="2">
        <v>301.72000000000003</v>
      </c>
    </row>
    <row r="333" spans="2:10" x14ac:dyDescent="0.2">
      <c r="B333" t="s">
        <v>531</v>
      </c>
      <c r="C333" t="s">
        <v>141</v>
      </c>
      <c r="D333" t="s">
        <v>532</v>
      </c>
      <c r="E333" t="s">
        <v>36</v>
      </c>
      <c r="F333" t="s">
        <v>37</v>
      </c>
      <c r="G333" t="s">
        <v>1034</v>
      </c>
      <c r="H333" t="s">
        <v>15</v>
      </c>
      <c r="I333" s="1">
        <v>1</v>
      </c>
      <c r="J333" s="2">
        <v>301.72000000000003</v>
      </c>
    </row>
    <row r="334" spans="2:10" x14ac:dyDescent="0.2">
      <c r="B334" t="s">
        <v>531</v>
      </c>
      <c r="C334" t="s">
        <v>165</v>
      </c>
      <c r="D334" t="s">
        <v>532</v>
      </c>
      <c r="E334" t="s">
        <v>120</v>
      </c>
      <c r="F334" t="s">
        <v>121</v>
      </c>
      <c r="G334" t="s">
        <v>1034</v>
      </c>
      <c r="H334" t="s">
        <v>15</v>
      </c>
      <c r="I334" s="1">
        <v>1</v>
      </c>
      <c r="J334" s="2">
        <v>301.72000000000003</v>
      </c>
    </row>
    <row r="335" spans="2:10" x14ac:dyDescent="0.2">
      <c r="B335" t="s">
        <v>531</v>
      </c>
      <c r="C335" t="s">
        <v>166</v>
      </c>
      <c r="D335" t="s">
        <v>532</v>
      </c>
      <c r="E335" t="s">
        <v>56</v>
      </c>
      <c r="F335" t="s">
        <v>57</v>
      </c>
      <c r="G335" t="s">
        <v>1034</v>
      </c>
      <c r="H335" t="s">
        <v>15</v>
      </c>
      <c r="I335" s="1">
        <v>4</v>
      </c>
      <c r="J335" s="2">
        <v>1724.14</v>
      </c>
    </row>
    <row r="336" spans="2:10" x14ac:dyDescent="0.2">
      <c r="B336" t="s">
        <v>531</v>
      </c>
      <c r="C336" t="s">
        <v>185</v>
      </c>
      <c r="D336" t="s">
        <v>532</v>
      </c>
      <c r="E336" t="s">
        <v>61</v>
      </c>
      <c r="F336" t="s">
        <v>62</v>
      </c>
      <c r="G336" t="s">
        <v>1034</v>
      </c>
      <c r="H336" t="s">
        <v>15</v>
      </c>
      <c r="I336" s="1">
        <v>1</v>
      </c>
      <c r="J336" s="2">
        <v>172.41</v>
      </c>
    </row>
    <row r="337" spans="2:10" x14ac:dyDescent="0.2">
      <c r="B337" t="s">
        <v>531</v>
      </c>
      <c r="C337" t="s">
        <v>206</v>
      </c>
      <c r="D337" t="s">
        <v>532</v>
      </c>
      <c r="E337" t="s">
        <v>221</v>
      </c>
      <c r="F337" t="s">
        <v>222</v>
      </c>
      <c r="G337" t="s">
        <v>1034</v>
      </c>
      <c r="H337" t="s">
        <v>15</v>
      </c>
      <c r="I337" s="1">
        <v>1</v>
      </c>
      <c r="J337" s="2">
        <v>431.03</v>
      </c>
    </row>
    <row r="338" spans="2:10" x14ac:dyDescent="0.2">
      <c r="B338" t="s">
        <v>531</v>
      </c>
      <c r="C338" t="s">
        <v>206</v>
      </c>
      <c r="D338" t="s">
        <v>532</v>
      </c>
      <c r="E338" t="s">
        <v>124</v>
      </c>
      <c r="F338" t="s">
        <v>125</v>
      </c>
      <c r="G338" t="s">
        <v>1034</v>
      </c>
      <c r="H338" t="s">
        <v>15</v>
      </c>
      <c r="I338" s="1">
        <v>1</v>
      </c>
      <c r="J338" s="2">
        <v>431.03</v>
      </c>
    </row>
    <row r="339" spans="2:10" x14ac:dyDescent="0.2">
      <c r="B339" t="s">
        <v>531</v>
      </c>
      <c r="C339" t="s">
        <v>220</v>
      </c>
      <c r="D339" t="s">
        <v>532</v>
      </c>
      <c r="E339" t="s">
        <v>56</v>
      </c>
      <c r="F339" t="s">
        <v>57</v>
      </c>
      <c r="G339" t="s">
        <v>1034</v>
      </c>
      <c r="H339" t="s">
        <v>15</v>
      </c>
      <c r="I339" s="1">
        <v>2</v>
      </c>
      <c r="J339" s="2">
        <v>862.06</v>
      </c>
    </row>
    <row r="340" spans="2:10" x14ac:dyDescent="0.2">
      <c r="B340" t="s">
        <v>531</v>
      </c>
      <c r="C340" t="s">
        <v>227</v>
      </c>
      <c r="D340" t="s">
        <v>532</v>
      </c>
      <c r="E340" t="s">
        <v>38</v>
      </c>
      <c r="F340" t="s">
        <v>39</v>
      </c>
      <c r="G340" t="s">
        <v>1034</v>
      </c>
      <c r="H340" t="s">
        <v>15</v>
      </c>
      <c r="I340" s="1">
        <v>1</v>
      </c>
      <c r="J340" s="2">
        <v>431.03</v>
      </c>
    </row>
    <row r="341" spans="2:10" x14ac:dyDescent="0.2">
      <c r="B341" t="s">
        <v>531</v>
      </c>
      <c r="C341" t="s">
        <v>228</v>
      </c>
      <c r="D341" t="s">
        <v>532</v>
      </c>
      <c r="E341" t="s">
        <v>38</v>
      </c>
      <c r="F341" t="s">
        <v>39</v>
      </c>
      <c r="G341" t="s">
        <v>1034</v>
      </c>
      <c r="H341" t="s">
        <v>15</v>
      </c>
      <c r="I341" s="1">
        <v>1</v>
      </c>
      <c r="J341" s="2">
        <v>431.03</v>
      </c>
    </row>
    <row r="342" spans="2:10" x14ac:dyDescent="0.2">
      <c r="B342" t="s">
        <v>531</v>
      </c>
      <c r="C342" t="s">
        <v>228</v>
      </c>
      <c r="D342" t="s">
        <v>532</v>
      </c>
      <c r="E342" t="s">
        <v>61</v>
      </c>
      <c r="F342" t="s">
        <v>62</v>
      </c>
      <c r="G342" t="s">
        <v>1034</v>
      </c>
      <c r="H342" t="s">
        <v>15</v>
      </c>
      <c r="I342" s="1">
        <v>1</v>
      </c>
      <c r="J342" s="2">
        <v>172.41</v>
      </c>
    </row>
    <row r="343" spans="2:10" x14ac:dyDescent="0.2">
      <c r="B343" t="s">
        <v>531</v>
      </c>
      <c r="C343" t="s">
        <v>233</v>
      </c>
      <c r="D343" t="s">
        <v>532</v>
      </c>
      <c r="E343" t="s">
        <v>36</v>
      </c>
      <c r="F343" t="s">
        <v>37</v>
      </c>
      <c r="G343" t="s">
        <v>1034</v>
      </c>
      <c r="H343" t="s">
        <v>15</v>
      </c>
      <c r="I343" s="1">
        <v>1</v>
      </c>
      <c r="J343" s="2">
        <v>301.72000000000003</v>
      </c>
    </row>
    <row r="344" spans="2:10" x14ac:dyDescent="0.2">
      <c r="B344" t="s">
        <v>531</v>
      </c>
      <c r="C344" t="s">
        <v>236</v>
      </c>
      <c r="D344" t="s">
        <v>532</v>
      </c>
      <c r="E344" t="s">
        <v>46</v>
      </c>
      <c r="F344" t="s">
        <v>47</v>
      </c>
      <c r="G344" t="s">
        <v>1034</v>
      </c>
      <c r="H344" t="s">
        <v>15</v>
      </c>
      <c r="I344" s="1">
        <v>1</v>
      </c>
      <c r="J344" s="2">
        <v>301.72000000000003</v>
      </c>
    </row>
    <row r="345" spans="2:10" x14ac:dyDescent="0.2">
      <c r="B345" t="s">
        <v>531</v>
      </c>
      <c r="C345" t="s">
        <v>236</v>
      </c>
      <c r="D345" t="s">
        <v>532</v>
      </c>
      <c r="E345" t="s">
        <v>36</v>
      </c>
      <c r="F345" t="s">
        <v>37</v>
      </c>
      <c r="G345" t="s">
        <v>1034</v>
      </c>
      <c r="H345" t="s">
        <v>15</v>
      </c>
      <c r="I345" s="1">
        <v>1</v>
      </c>
      <c r="J345" s="2">
        <v>301.72000000000003</v>
      </c>
    </row>
    <row r="346" spans="2:10" x14ac:dyDescent="0.2">
      <c r="B346" t="s">
        <v>531</v>
      </c>
      <c r="C346" t="s">
        <v>248</v>
      </c>
      <c r="D346" t="s">
        <v>532</v>
      </c>
      <c r="E346" t="s">
        <v>36</v>
      </c>
      <c r="F346" t="s">
        <v>37</v>
      </c>
      <c r="G346" t="s">
        <v>1034</v>
      </c>
      <c r="H346" t="s">
        <v>15</v>
      </c>
      <c r="I346" s="1">
        <v>1</v>
      </c>
      <c r="J346" s="2">
        <v>301.72000000000003</v>
      </c>
    </row>
    <row r="347" spans="2:10" x14ac:dyDescent="0.2">
      <c r="B347" t="s">
        <v>531</v>
      </c>
      <c r="C347" t="s">
        <v>248</v>
      </c>
      <c r="D347" t="s">
        <v>532</v>
      </c>
      <c r="E347" t="s">
        <v>63</v>
      </c>
      <c r="F347" t="s">
        <v>64</v>
      </c>
      <c r="G347" t="s">
        <v>1034</v>
      </c>
      <c r="H347" t="s">
        <v>15</v>
      </c>
      <c r="I347" s="1">
        <v>1</v>
      </c>
      <c r="J347" s="2">
        <v>172.41</v>
      </c>
    </row>
    <row r="348" spans="2:10" x14ac:dyDescent="0.2">
      <c r="B348" t="s">
        <v>583</v>
      </c>
      <c r="C348" t="s">
        <v>10</v>
      </c>
      <c r="D348" t="s">
        <v>584</v>
      </c>
      <c r="E348" t="s">
        <v>63</v>
      </c>
      <c r="F348" t="s">
        <v>64</v>
      </c>
      <c r="G348" t="s">
        <v>1034</v>
      </c>
      <c r="H348" t="s">
        <v>15</v>
      </c>
      <c r="I348" s="1">
        <v>1</v>
      </c>
      <c r="J348" s="2">
        <v>172.41</v>
      </c>
    </row>
    <row r="349" spans="2:10" x14ac:dyDescent="0.2">
      <c r="B349" t="s">
        <v>583</v>
      </c>
      <c r="C349" t="s">
        <v>10</v>
      </c>
      <c r="D349" t="s">
        <v>584</v>
      </c>
      <c r="E349" t="s">
        <v>585</v>
      </c>
      <c r="F349" t="s">
        <v>586</v>
      </c>
      <c r="G349" t="s">
        <v>1034</v>
      </c>
      <c r="H349" t="s">
        <v>15</v>
      </c>
      <c r="I349" s="1">
        <v>1</v>
      </c>
      <c r="J349" s="2">
        <v>310.33999999999997</v>
      </c>
    </row>
    <row r="350" spans="2:10" x14ac:dyDescent="0.2">
      <c r="B350" t="s">
        <v>583</v>
      </c>
      <c r="C350" t="s">
        <v>18</v>
      </c>
      <c r="D350" t="s">
        <v>584</v>
      </c>
      <c r="E350" t="s">
        <v>56</v>
      </c>
      <c r="F350" t="s">
        <v>57</v>
      </c>
      <c r="G350" t="s">
        <v>1034</v>
      </c>
      <c r="H350" t="s">
        <v>15</v>
      </c>
      <c r="I350" s="1">
        <v>1</v>
      </c>
      <c r="J350" s="2">
        <v>431.03</v>
      </c>
    </row>
    <row r="351" spans="2:10" x14ac:dyDescent="0.2">
      <c r="B351" t="s">
        <v>583</v>
      </c>
      <c r="C351" t="s">
        <v>31</v>
      </c>
      <c r="D351" t="s">
        <v>584</v>
      </c>
      <c r="E351" t="s">
        <v>36</v>
      </c>
      <c r="F351" t="s">
        <v>37</v>
      </c>
      <c r="G351" t="s">
        <v>1034</v>
      </c>
      <c r="H351" t="s">
        <v>15</v>
      </c>
      <c r="I351" s="1">
        <v>1</v>
      </c>
      <c r="J351" s="2">
        <v>301.72000000000003</v>
      </c>
    </row>
    <row r="352" spans="2:10" x14ac:dyDescent="0.2">
      <c r="B352" t="s">
        <v>583</v>
      </c>
      <c r="C352" t="s">
        <v>40</v>
      </c>
      <c r="D352" t="s">
        <v>130</v>
      </c>
      <c r="E352" t="s">
        <v>36</v>
      </c>
      <c r="F352" t="s">
        <v>37</v>
      </c>
      <c r="G352" t="s">
        <v>1034</v>
      </c>
      <c r="H352" t="s">
        <v>15</v>
      </c>
      <c r="I352" s="1">
        <v>1</v>
      </c>
      <c r="J352" s="2">
        <v>301.72000000000003</v>
      </c>
    </row>
    <row r="353" spans="2:10" x14ac:dyDescent="0.2">
      <c r="B353" t="s">
        <v>583</v>
      </c>
      <c r="C353" t="s">
        <v>51</v>
      </c>
      <c r="D353" t="s">
        <v>584</v>
      </c>
      <c r="E353" t="s">
        <v>36</v>
      </c>
      <c r="F353" t="s">
        <v>37</v>
      </c>
      <c r="G353" t="s">
        <v>1034</v>
      </c>
      <c r="H353" t="s">
        <v>15</v>
      </c>
      <c r="I353" s="1">
        <v>1</v>
      </c>
      <c r="J353" s="2">
        <v>301.72000000000003</v>
      </c>
    </row>
    <row r="354" spans="2:10" x14ac:dyDescent="0.2">
      <c r="B354" t="s">
        <v>583</v>
      </c>
      <c r="C354" t="s">
        <v>65</v>
      </c>
      <c r="D354" t="s">
        <v>130</v>
      </c>
      <c r="E354" t="s">
        <v>36</v>
      </c>
      <c r="F354" t="s">
        <v>37</v>
      </c>
      <c r="G354" t="s">
        <v>1034</v>
      </c>
      <c r="H354" t="s">
        <v>15</v>
      </c>
      <c r="I354" s="1">
        <v>1</v>
      </c>
      <c r="J354" s="2">
        <v>301.72000000000003</v>
      </c>
    </row>
    <row r="355" spans="2:10" x14ac:dyDescent="0.2">
      <c r="B355" t="s">
        <v>583</v>
      </c>
      <c r="C355" t="s">
        <v>65</v>
      </c>
      <c r="D355" t="s">
        <v>130</v>
      </c>
      <c r="E355" t="s">
        <v>56</v>
      </c>
      <c r="F355" t="s">
        <v>57</v>
      </c>
      <c r="G355" t="s">
        <v>1034</v>
      </c>
      <c r="H355" t="s">
        <v>15</v>
      </c>
      <c r="I355" s="1">
        <v>1</v>
      </c>
      <c r="J355" s="2">
        <v>431.03</v>
      </c>
    </row>
    <row r="356" spans="2:10" x14ac:dyDescent="0.2">
      <c r="B356" t="s">
        <v>583</v>
      </c>
      <c r="C356" t="s">
        <v>82</v>
      </c>
      <c r="D356" t="s">
        <v>584</v>
      </c>
      <c r="E356" t="s">
        <v>120</v>
      </c>
      <c r="F356" t="s">
        <v>121</v>
      </c>
      <c r="G356" t="s">
        <v>1034</v>
      </c>
      <c r="H356" t="s">
        <v>15</v>
      </c>
      <c r="I356" s="1">
        <v>2</v>
      </c>
      <c r="J356" s="2">
        <v>603.44000000000005</v>
      </c>
    </row>
    <row r="357" spans="2:10" x14ac:dyDescent="0.2">
      <c r="B357" t="s">
        <v>583</v>
      </c>
      <c r="C357" t="s">
        <v>88</v>
      </c>
      <c r="D357" t="s">
        <v>584</v>
      </c>
      <c r="E357" t="s">
        <v>267</v>
      </c>
      <c r="F357" t="s">
        <v>268</v>
      </c>
      <c r="G357" t="s">
        <v>1034</v>
      </c>
      <c r="H357" t="s">
        <v>15</v>
      </c>
      <c r="I357" s="1">
        <v>1</v>
      </c>
      <c r="J357" s="2">
        <v>258.62</v>
      </c>
    </row>
    <row r="358" spans="2:10" x14ac:dyDescent="0.2">
      <c r="B358" t="s">
        <v>583</v>
      </c>
      <c r="C358" t="s">
        <v>88</v>
      </c>
      <c r="D358" t="s">
        <v>584</v>
      </c>
      <c r="E358" t="s">
        <v>122</v>
      </c>
      <c r="F358" t="s">
        <v>123</v>
      </c>
      <c r="G358" t="s">
        <v>1034</v>
      </c>
      <c r="H358" t="s">
        <v>15</v>
      </c>
      <c r="I358" s="1">
        <v>1</v>
      </c>
      <c r="J358" s="2">
        <v>387.93</v>
      </c>
    </row>
    <row r="359" spans="2:10" x14ac:dyDescent="0.2">
      <c r="B359" t="s">
        <v>583</v>
      </c>
      <c r="C359" t="s">
        <v>117</v>
      </c>
      <c r="D359" t="s">
        <v>584</v>
      </c>
      <c r="E359" t="s">
        <v>120</v>
      </c>
      <c r="F359" t="s">
        <v>121</v>
      </c>
      <c r="G359" t="s">
        <v>1034</v>
      </c>
      <c r="H359" t="s">
        <v>15</v>
      </c>
      <c r="I359" s="1">
        <v>2</v>
      </c>
      <c r="J359" s="2">
        <v>603.44000000000005</v>
      </c>
    </row>
    <row r="360" spans="2:10" x14ac:dyDescent="0.2">
      <c r="B360" t="s">
        <v>583</v>
      </c>
      <c r="C360" t="s">
        <v>117</v>
      </c>
      <c r="D360" t="s">
        <v>584</v>
      </c>
      <c r="E360" t="s">
        <v>122</v>
      </c>
      <c r="F360" t="s">
        <v>123</v>
      </c>
      <c r="G360" t="s">
        <v>1034</v>
      </c>
      <c r="H360" t="s">
        <v>15</v>
      </c>
      <c r="I360" s="1">
        <v>1</v>
      </c>
      <c r="J360" s="2">
        <v>387.93</v>
      </c>
    </row>
    <row r="361" spans="2:10" x14ac:dyDescent="0.2">
      <c r="B361" t="s">
        <v>583</v>
      </c>
      <c r="C361" t="s">
        <v>117</v>
      </c>
      <c r="D361" t="s">
        <v>584</v>
      </c>
      <c r="E361" t="s">
        <v>83</v>
      </c>
      <c r="F361" t="s">
        <v>84</v>
      </c>
      <c r="G361" t="s">
        <v>1034</v>
      </c>
      <c r="H361" t="s">
        <v>15</v>
      </c>
      <c r="I361" s="1">
        <v>1</v>
      </c>
      <c r="J361" s="2">
        <v>387.93</v>
      </c>
    </row>
    <row r="362" spans="2:10" x14ac:dyDescent="0.2">
      <c r="B362" t="s">
        <v>583</v>
      </c>
      <c r="C362" t="s">
        <v>117</v>
      </c>
      <c r="D362" t="s">
        <v>584</v>
      </c>
      <c r="E362" t="s">
        <v>63</v>
      </c>
      <c r="F362" t="s">
        <v>64</v>
      </c>
      <c r="G362" t="s">
        <v>1034</v>
      </c>
      <c r="H362" t="s">
        <v>15</v>
      </c>
      <c r="I362" s="1">
        <v>1</v>
      </c>
      <c r="J362" s="2">
        <v>172.41</v>
      </c>
    </row>
    <row r="363" spans="2:10" x14ac:dyDescent="0.2">
      <c r="B363" t="s">
        <v>583</v>
      </c>
      <c r="C363" t="s">
        <v>134</v>
      </c>
      <c r="D363" t="s">
        <v>584</v>
      </c>
      <c r="E363" t="s">
        <v>46</v>
      </c>
      <c r="F363" t="s">
        <v>47</v>
      </c>
      <c r="G363" t="s">
        <v>1034</v>
      </c>
      <c r="H363" t="s">
        <v>15</v>
      </c>
      <c r="I363" s="1">
        <v>1</v>
      </c>
      <c r="J363" s="2">
        <v>301.72000000000003</v>
      </c>
    </row>
    <row r="364" spans="2:10" x14ac:dyDescent="0.2">
      <c r="B364" t="s">
        <v>583</v>
      </c>
      <c r="C364" t="s">
        <v>134</v>
      </c>
      <c r="D364" t="s">
        <v>584</v>
      </c>
      <c r="E364" t="s">
        <v>83</v>
      </c>
      <c r="F364" t="s">
        <v>84</v>
      </c>
      <c r="G364" t="s">
        <v>1034</v>
      </c>
      <c r="H364" t="s">
        <v>15</v>
      </c>
      <c r="I364" s="1">
        <v>2</v>
      </c>
      <c r="J364" s="2">
        <v>775.86</v>
      </c>
    </row>
    <row r="365" spans="2:10" x14ac:dyDescent="0.2">
      <c r="B365" t="s">
        <v>583</v>
      </c>
      <c r="C365" t="s">
        <v>134</v>
      </c>
      <c r="D365" t="s">
        <v>584</v>
      </c>
      <c r="E365" t="s">
        <v>193</v>
      </c>
      <c r="F365" t="s">
        <v>194</v>
      </c>
      <c r="G365" t="s">
        <v>1034</v>
      </c>
      <c r="H365" t="s">
        <v>15</v>
      </c>
      <c r="I365" s="1">
        <v>1</v>
      </c>
      <c r="J365" s="2">
        <v>1293.0999999999999</v>
      </c>
    </row>
    <row r="366" spans="2:10" x14ac:dyDescent="0.2">
      <c r="B366" t="s">
        <v>583</v>
      </c>
      <c r="C366" t="s">
        <v>135</v>
      </c>
      <c r="D366" t="s">
        <v>584</v>
      </c>
      <c r="E366" t="s">
        <v>36</v>
      </c>
      <c r="F366" t="s">
        <v>37</v>
      </c>
      <c r="G366" t="s">
        <v>1034</v>
      </c>
      <c r="H366" t="s">
        <v>15</v>
      </c>
      <c r="I366" s="1">
        <v>1</v>
      </c>
      <c r="J366" s="2">
        <v>301.72000000000003</v>
      </c>
    </row>
    <row r="367" spans="2:10" x14ac:dyDescent="0.2">
      <c r="B367" t="s">
        <v>583</v>
      </c>
      <c r="C367" t="s">
        <v>135</v>
      </c>
      <c r="D367" t="s">
        <v>584</v>
      </c>
      <c r="E367" t="s">
        <v>56</v>
      </c>
      <c r="F367" t="s">
        <v>57</v>
      </c>
      <c r="G367" t="s">
        <v>1034</v>
      </c>
      <c r="H367" t="s">
        <v>15</v>
      </c>
      <c r="I367" s="1">
        <v>1</v>
      </c>
      <c r="J367" s="2">
        <v>431.03</v>
      </c>
    </row>
    <row r="368" spans="2:10" x14ac:dyDescent="0.2">
      <c r="B368" t="s">
        <v>583</v>
      </c>
      <c r="C368" t="s">
        <v>141</v>
      </c>
      <c r="D368" t="s">
        <v>130</v>
      </c>
      <c r="E368" t="s">
        <v>214</v>
      </c>
      <c r="F368" t="s">
        <v>215</v>
      </c>
      <c r="G368" t="s">
        <v>1034</v>
      </c>
      <c r="H368" t="s">
        <v>15</v>
      </c>
      <c r="I368" s="1">
        <v>1</v>
      </c>
      <c r="J368" s="2">
        <v>301.72000000000003</v>
      </c>
    </row>
    <row r="369" spans="2:10" x14ac:dyDescent="0.2">
      <c r="B369" t="s">
        <v>583</v>
      </c>
      <c r="C369" t="s">
        <v>144</v>
      </c>
      <c r="D369" t="s">
        <v>584</v>
      </c>
      <c r="E369" t="s">
        <v>120</v>
      </c>
      <c r="F369" t="s">
        <v>121</v>
      </c>
      <c r="G369" t="s">
        <v>1034</v>
      </c>
      <c r="H369" t="s">
        <v>15</v>
      </c>
      <c r="I369" s="1">
        <v>1</v>
      </c>
      <c r="J369" s="2">
        <v>301.72000000000003</v>
      </c>
    </row>
    <row r="370" spans="2:10" x14ac:dyDescent="0.2">
      <c r="B370" t="s">
        <v>583</v>
      </c>
      <c r="C370" t="s">
        <v>144</v>
      </c>
      <c r="D370" t="s">
        <v>584</v>
      </c>
      <c r="E370" t="s">
        <v>214</v>
      </c>
      <c r="F370" t="s">
        <v>215</v>
      </c>
      <c r="G370" t="s">
        <v>1034</v>
      </c>
      <c r="H370" t="s">
        <v>15</v>
      </c>
      <c r="I370" s="1">
        <v>1</v>
      </c>
      <c r="J370" s="2">
        <v>301.72000000000003</v>
      </c>
    </row>
    <row r="371" spans="2:10" x14ac:dyDescent="0.2">
      <c r="B371" t="s">
        <v>583</v>
      </c>
      <c r="C371" t="s">
        <v>144</v>
      </c>
      <c r="D371" t="s">
        <v>584</v>
      </c>
      <c r="E371" t="s">
        <v>72</v>
      </c>
      <c r="F371" t="s">
        <v>73</v>
      </c>
      <c r="G371" t="s">
        <v>1034</v>
      </c>
      <c r="H371" t="s">
        <v>15</v>
      </c>
      <c r="I371" s="1">
        <v>1</v>
      </c>
      <c r="J371" s="2">
        <v>775.86</v>
      </c>
    </row>
    <row r="372" spans="2:10" x14ac:dyDescent="0.2">
      <c r="B372" t="s">
        <v>583</v>
      </c>
      <c r="C372" t="s">
        <v>165</v>
      </c>
      <c r="D372" t="s">
        <v>584</v>
      </c>
      <c r="E372" t="s">
        <v>56</v>
      </c>
      <c r="F372" t="s">
        <v>57</v>
      </c>
      <c r="G372" t="s">
        <v>1034</v>
      </c>
      <c r="H372" t="s">
        <v>15</v>
      </c>
      <c r="I372" s="1">
        <v>1</v>
      </c>
      <c r="J372" s="2">
        <v>431.03</v>
      </c>
    </row>
    <row r="373" spans="2:10" x14ac:dyDescent="0.2">
      <c r="B373" t="s">
        <v>583</v>
      </c>
      <c r="C373" t="s">
        <v>165</v>
      </c>
      <c r="D373" t="s">
        <v>584</v>
      </c>
      <c r="E373" t="s">
        <v>63</v>
      </c>
      <c r="F373" t="s">
        <v>64</v>
      </c>
      <c r="G373" t="s">
        <v>1034</v>
      </c>
      <c r="H373" t="s">
        <v>15</v>
      </c>
      <c r="I373" s="1">
        <v>3</v>
      </c>
      <c r="J373" s="2">
        <v>517.23</v>
      </c>
    </row>
    <row r="374" spans="2:10" x14ac:dyDescent="0.2">
      <c r="B374" t="s">
        <v>583</v>
      </c>
      <c r="C374" t="s">
        <v>166</v>
      </c>
      <c r="D374" t="s">
        <v>584</v>
      </c>
      <c r="E374" t="s">
        <v>120</v>
      </c>
      <c r="F374" t="s">
        <v>121</v>
      </c>
      <c r="G374" t="s">
        <v>1034</v>
      </c>
      <c r="H374" t="s">
        <v>15</v>
      </c>
      <c r="I374" s="1">
        <v>1</v>
      </c>
      <c r="J374" s="2">
        <v>301.72000000000003</v>
      </c>
    </row>
    <row r="375" spans="2:10" x14ac:dyDescent="0.2">
      <c r="B375" t="s">
        <v>583</v>
      </c>
      <c r="C375" t="s">
        <v>166</v>
      </c>
      <c r="D375" t="s">
        <v>584</v>
      </c>
      <c r="E375" t="s">
        <v>253</v>
      </c>
      <c r="F375" t="s">
        <v>254</v>
      </c>
      <c r="G375" t="s">
        <v>1034</v>
      </c>
      <c r="H375" t="s">
        <v>15</v>
      </c>
      <c r="I375" s="1">
        <v>1</v>
      </c>
      <c r="J375" s="2">
        <v>775.86</v>
      </c>
    </row>
    <row r="376" spans="2:10" x14ac:dyDescent="0.2">
      <c r="B376" t="s">
        <v>583</v>
      </c>
      <c r="C376" t="s">
        <v>185</v>
      </c>
      <c r="D376" t="s">
        <v>584</v>
      </c>
      <c r="E376" t="s">
        <v>61</v>
      </c>
      <c r="F376" t="s">
        <v>62</v>
      </c>
      <c r="G376" t="s">
        <v>1034</v>
      </c>
      <c r="H376" t="s">
        <v>15</v>
      </c>
      <c r="I376" s="1">
        <v>1</v>
      </c>
      <c r="J376" s="2">
        <v>172.41</v>
      </c>
    </row>
    <row r="377" spans="2:10" x14ac:dyDescent="0.2">
      <c r="B377" t="s">
        <v>583</v>
      </c>
      <c r="C377" t="s">
        <v>335</v>
      </c>
      <c r="D377" t="s">
        <v>584</v>
      </c>
      <c r="E377" t="s">
        <v>38</v>
      </c>
      <c r="F377" t="s">
        <v>39</v>
      </c>
      <c r="G377" t="s">
        <v>1034</v>
      </c>
      <c r="H377" t="s">
        <v>15</v>
      </c>
      <c r="I377" s="1">
        <v>1</v>
      </c>
      <c r="J377" s="2">
        <v>431.03</v>
      </c>
    </row>
    <row r="378" spans="2:10" x14ac:dyDescent="0.2">
      <c r="B378" t="s">
        <v>583</v>
      </c>
      <c r="C378" t="s">
        <v>418</v>
      </c>
      <c r="D378" t="s">
        <v>226</v>
      </c>
      <c r="E378" t="s">
        <v>214</v>
      </c>
      <c r="F378" t="s">
        <v>215</v>
      </c>
      <c r="G378" t="s">
        <v>1034</v>
      </c>
      <c r="H378" t="s">
        <v>15</v>
      </c>
      <c r="I378" s="1">
        <v>1</v>
      </c>
      <c r="J378" s="2">
        <v>301.72000000000003</v>
      </c>
    </row>
    <row r="379" spans="2:10" x14ac:dyDescent="0.2">
      <c r="B379" t="s">
        <v>583</v>
      </c>
      <c r="C379" t="s">
        <v>418</v>
      </c>
      <c r="D379" t="s">
        <v>226</v>
      </c>
      <c r="E379" t="s">
        <v>38</v>
      </c>
      <c r="F379" t="s">
        <v>39</v>
      </c>
      <c r="G379" t="s">
        <v>1034</v>
      </c>
      <c r="H379" t="s">
        <v>15</v>
      </c>
      <c r="I379" s="1">
        <v>1</v>
      </c>
      <c r="J379" s="2">
        <v>431.03</v>
      </c>
    </row>
    <row r="380" spans="2:10" x14ac:dyDescent="0.2">
      <c r="B380" t="s">
        <v>583</v>
      </c>
      <c r="C380" t="s">
        <v>418</v>
      </c>
      <c r="D380" t="s">
        <v>226</v>
      </c>
      <c r="E380" t="s">
        <v>56</v>
      </c>
      <c r="F380" t="s">
        <v>57</v>
      </c>
      <c r="G380" t="s">
        <v>1034</v>
      </c>
      <c r="H380" t="s">
        <v>15</v>
      </c>
      <c r="I380" s="1">
        <v>1</v>
      </c>
      <c r="J380" s="2">
        <v>431.03</v>
      </c>
    </row>
    <row r="381" spans="2:10" x14ac:dyDescent="0.2">
      <c r="B381" t="s">
        <v>583</v>
      </c>
      <c r="C381" t="s">
        <v>186</v>
      </c>
      <c r="D381" t="s">
        <v>584</v>
      </c>
      <c r="E381" t="s">
        <v>83</v>
      </c>
      <c r="F381" t="s">
        <v>84</v>
      </c>
      <c r="G381" t="s">
        <v>1034</v>
      </c>
      <c r="H381" t="s">
        <v>15</v>
      </c>
      <c r="I381" s="1">
        <v>1</v>
      </c>
      <c r="J381" s="2">
        <v>387.93</v>
      </c>
    </row>
    <row r="382" spans="2:10" x14ac:dyDescent="0.2">
      <c r="B382" t="s">
        <v>583</v>
      </c>
      <c r="C382" t="s">
        <v>220</v>
      </c>
      <c r="D382" t="s">
        <v>584</v>
      </c>
      <c r="E382" t="s">
        <v>214</v>
      </c>
      <c r="F382" t="s">
        <v>215</v>
      </c>
      <c r="G382" t="s">
        <v>1034</v>
      </c>
      <c r="H382" t="s">
        <v>15</v>
      </c>
      <c r="I382" s="1">
        <v>1</v>
      </c>
      <c r="J382" s="2">
        <v>301.72000000000003</v>
      </c>
    </row>
    <row r="383" spans="2:10" x14ac:dyDescent="0.2">
      <c r="B383" t="s">
        <v>583</v>
      </c>
      <c r="C383" t="s">
        <v>220</v>
      </c>
      <c r="D383" t="s">
        <v>584</v>
      </c>
      <c r="E383" t="s">
        <v>336</v>
      </c>
      <c r="F383" t="s">
        <v>337</v>
      </c>
      <c r="G383" t="s">
        <v>1034</v>
      </c>
      <c r="H383" t="s">
        <v>15</v>
      </c>
      <c r="I383" s="1">
        <v>1</v>
      </c>
      <c r="J383" s="2">
        <v>387.93</v>
      </c>
    </row>
    <row r="384" spans="2:10" x14ac:dyDescent="0.2">
      <c r="B384" t="s">
        <v>583</v>
      </c>
      <c r="C384" t="s">
        <v>220</v>
      </c>
      <c r="D384" t="s">
        <v>584</v>
      </c>
      <c r="E384" t="s">
        <v>83</v>
      </c>
      <c r="F384" t="s">
        <v>84</v>
      </c>
      <c r="G384" t="s">
        <v>1034</v>
      </c>
      <c r="H384" t="s">
        <v>15</v>
      </c>
      <c r="I384" s="1">
        <v>1</v>
      </c>
      <c r="J384" s="2">
        <v>387.93</v>
      </c>
    </row>
    <row r="385" spans="2:10" x14ac:dyDescent="0.2">
      <c r="B385" t="s">
        <v>583</v>
      </c>
      <c r="C385" t="s">
        <v>227</v>
      </c>
      <c r="D385" t="s">
        <v>584</v>
      </c>
      <c r="E385" t="s">
        <v>46</v>
      </c>
      <c r="F385" t="s">
        <v>47</v>
      </c>
      <c r="G385" t="s">
        <v>1034</v>
      </c>
      <c r="H385" t="s">
        <v>15</v>
      </c>
      <c r="I385" s="1">
        <v>1</v>
      </c>
      <c r="J385" s="2">
        <v>301.72000000000003</v>
      </c>
    </row>
    <row r="386" spans="2:10" x14ac:dyDescent="0.2">
      <c r="B386" t="s">
        <v>583</v>
      </c>
      <c r="C386" t="s">
        <v>227</v>
      </c>
      <c r="D386" t="s">
        <v>584</v>
      </c>
      <c r="E386" t="s">
        <v>214</v>
      </c>
      <c r="F386" t="s">
        <v>215</v>
      </c>
      <c r="G386" t="s">
        <v>1034</v>
      </c>
      <c r="H386" t="s">
        <v>15</v>
      </c>
      <c r="I386" s="1">
        <v>1</v>
      </c>
      <c r="J386" s="2">
        <v>301.72000000000003</v>
      </c>
    </row>
    <row r="387" spans="2:10" x14ac:dyDescent="0.2">
      <c r="B387" t="s">
        <v>583</v>
      </c>
      <c r="C387" t="s">
        <v>227</v>
      </c>
      <c r="D387" t="s">
        <v>584</v>
      </c>
      <c r="E387" t="s">
        <v>61</v>
      </c>
      <c r="F387" t="s">
        <v>62</v>
      </c>
      <c r="G387" t="s">
        <v>1034</v>
      </c>
      <c r="H387" t="s">
        <v>15</v>
      </c>
      <c r="I387" s="1">
        <v>1</v>
      </c>
      <c r="J387" s="2">
        <v>172.41</v>
      </c>
    </row>
    <row r="388" spans="2:10" x14ac:dyDescent="0.2">
      <c r="B388" t="s">
        <v>583</v>
      </c>
      <c r="C388" t="s">
        <v>228</v>
      </c>
      <c r="D388" t="s">
        <v>130</v>
      </c>
      <c r="E388" t="s">
        <v>72</v>
      </c>
      <c r="F388" t="s">
        <v>73</v>
      </c>
      <c r="G388" t="s">
        <v>1034</v>
      </c>
      <c r="H388" t="s">
        <v>15</v>
      </c>
      <c r="I388" s="1">
        <v>1</v>
      </c>
      <c r="J388" s="2">
        <v>775.86</v>
      </c>
    </row>
    <row r="389" spans="2:10" x14ac:dyDescent="0.2">
      <c r="B389" t="s">
        <v>583</v>
      </c>
      <c r="C389" t="s">
        <v>236</v>
      </c>
      <c r="D389" t="s">
        <v>130</v>
      </c>
      <c r="E389" t="s">
        <v>267</v>
      </c>
      <c r="F389" t="s">
        <v>268</v>
      </c>
      <c r="G389" t="s">
        <v>1034</v>
      </c>
      <c r="H389" t="s">
        <v>15</v>
      </c>
      <c r="I389" s="1">
        <v>1</v>
      </c>
      <c r="J389" s="2">
        <v>258.62</v>
      </c>
    </row>
    <row r="390" spans="2:10" x14ac:dyDescent="0.2">
      <c r="B390" t="s">
        <v>583</v>
      </c>
      <c r="C390" t="s">
        <v>237</v>
      </c>
      <c r="D390" t="s">
        <v>584</v>
      </c>
      <c r="E390" t="s">
        <v>46</v>
      </c>
      <c r="F390" t="s">
        <v>47</v>
      </c>
      <c r="G390" t="s">
        <v>1034</v>
      </c>
      <c r="H390" t="s">
        <v>15</v>
      </c>
      <c r="I390" s="1">
        <v>1</v>
      </c>
      <c r="J390" s="2">
        <v>301.72000000000003</v>
      </c>
    </row>
    <row r="391" spans="2:10" x14ac:dyDescent="0.2">
      <c r="B391" t="s">
        <v>583</v>
      </c>
      <c r="C391" t="s">
        <v>237</v>
      </c>
      <c r="D391" t="s">
        <v>584</v>
      </c>
      <c r="E391" t="s">
        <v>613</v>
      </c>
      <c r="F391" t="s">
        <v>614</v>
      </c>
      <c r="G391" t="s">
        <v>1034</v>
      </c>
      <c r="H391" t="s">
        <v>15</v>
      </c>
      <c r="I391" s="1">
        <v>1</v>
      </c>
      <c r="J391" s="2">
        <v>431.03</v>
      </c>
    </row>
    <row r="392" spans="2:10" x14ac:dyDescent="0.2">
      <c r="B392" t="s">
        <v>583</v>
      </c>
      <c r="C392" t="s">
        <v>237</v>
      </c>
      <c r="D392" t="s">
        <v>584</v>
      </c>
      <c r="E392" t="s">
        <v>124</v>
      </c>
      <c r="F392" t="s">
        <v>125</v>
      </c>
      <c r="G392" t="s">
        <v>1034</v>
      </c>
      <c r="H392" t="s">
        <v>15</v>
      </c>
      <c r="I392" s="1">
        <v>1</v>
      </c>
      <c r="J392" s="2">
        <v>431.03</v>
      </c>
    </row>
    <row r="393" spans="2:10" x14ac:dyDescent="0.2">
      <c r="B393" t="s">
        <v>583</v>
      </c>
      <c r="C393" t="s">
        <v>248</v>
      </c>
      <c r="D393" t="s">
        <v>584</v>
      </c>
      <c r="E393" t="s">
        <v>63</v>
      </c>
      <c r="F393" t="s">
        <v>64</v>
      </c>
      <c r="G393" t="s">
        <v>1034</v>
      </c>
      <c r="H393" t="s">
        <v>15</v>
      </c>
      <c r="I393" s="1">
        <v>1</v>
      </c>
      <c r="J393" s="2">
        <v>172.41</v>
      </c>
    </row>
    <row r="394" spans="2:10" x14ac:dyDescent="0.2">
      <c r="B394" t="s">
        <v>583</v>
      </c>
      <c r="C394" t="s">
        <v>248</v>
      </c>
      <c r="D394" t="s">
        <v>584</v>
      </c>
      <c r="E394" t="s">
        <v>193</v>
      </c>
      <c r="F394" t="s">
        <v>194</v>
      </c>
      <c r="G394" t="s">
        <v>1034</v>
      </c>
      <c r="H394" t="s">
        <v>15</v>
      </c>
      <c r="I394" s="1">
        <v>1</v>
      </c>
      <c r="J394" s="2">
        <v>1293.0999999999999</v>
      </c>
    </row>
    <row r="395" spans="2:10" x14ac:dyDescent="0.2">
      <c r="B395" t="s">
        <v>615</v>
      </c>
      <c r="C395" t="s">
        <v>10</v>
      </c>
      <c r="D395" t="s">
        <v>616</v>
      </c>
      <c r="E395" t="s">
        <v>36</v>
      </c>
      <c r="F395" t="s">
        <v>37</v>
      </c>
      <c r="G395" t="s">
        <v>1034</v>
      </c>
      <c r="H395" t="s">
        <v>15</v>
      </c>
      <c r="I395" s="1">
        <v>1</v>
      </c>
      <c r="J395" s="2">
        <v>301.72000000000003</v>
      </c>
    </row>
    <row r="396" spans="2:10" x14ac:dyDescent="0.2">
      <c r="B396" t="s">
        <v>615</v>
      </c>
      <c r="C396" t="s">
        <v>10</v>
      </c>
      <c r="D396" t="s">
        <v>616</v>
      </c>
      <c r="E396" t="s">
        <v>122</v>
      </c>
      <c r="F396" t="s">
        <v>123</v>
      </c>
      <c r="G396" t="s">
        <v>1034</v>
      </c>
      <c r="H396" t="s">
        <v>15</v>
      </c>
      <c r="I396" s="1">
        <v>1</v>
      </c>
      <c r="J396" s="2">
        <v>387.93</v>
      </c>
    </row>
    <row r="397" spans="2:10" x14ac:dyDescent="0.2">
      <c r="B397" t="s">
        <v>615</v>
      </c>
      <c r="C397" t="s">
        <v>10</v>
      </c>
      <c r="D397" t="s">
        <v>616</v>
      </c>
      <c r="E397" t="s">
        <v>61</v>
      </c>
      <c r="F397" t="s">
        <v>62</v>
      </c>
      <c r="G397" t="s">
        <v>1034</v>
      </c>
      <c r="H397" t="s">
        <v>15</v>
      </c>
      <c r="I397" s="1">
        <v>2</v>
      </c>
      <c r="J397" s="2">
        <v>344.82</v>
      </c>
    </row>
    <row r="398" spans="2:10" x14ac:dyDescent="0.2">
      <c r="B398" t="s">
        <v>615</v>
      </c>
      <c r="C398" t="s">
        <v>10</v>
      </c>
      <c r="D398" t="s">
        <v>616</v>
      </c>
      <c r="E398" t="s">
        <v>63</v>
      </c>
      <c r="F398" t="s">
        <v>64</v>
      </c>
      <c r="G398" t="s">
        <v>1034</v>
      </c>
      <c r="H398" t="s">
        <v>15</v>
      </c>
      <c r="I398" s="1">
        <v>2</v>
      </c>
      <c r="J398" s="2">
        <v>344.82</v>
      </c>
    </row>
    <row r="399" spans="2:10" x14ac:dyDescent="0.2">
      <c r="B399" t="s">
        <v>615</v>
      </c>
      <c r="C399" t="s">
        <v>18</v>
      </c>
      <c r="D399" t="s">
        <v>616</v>
      </c>
      <c r="E399" t="s">
        <v>267</v>
      </c>
      <c r="F399" t="s">
        <v>268</v>
      </c>
      <c r="G399" t="s">
        <v>1034</v>
      </c>
      <c r="H399" t="s">
        <v>15</v>
      </c>
      <c r="I399" s="1">
        <v>1</v>
      </c>
      <c r="J399" s="2">
        <v>258.62</v>
      </c>
    </row>
    <row r="400" spans="2:10" x14ac:dyDescent="0.2">
      <c r="B400" t="s">
        <v>615</v>
      </c>
      <c r="C400" t="s">
        <v>18</v>
      </c>
      <c r="D400" t="s">
        <v>616</v>
      </c>
      <c r="E400" t="s">
        <v>38</v>
      </c>
      <c r="F400" t="s">
        <v>39</v>
      </c>
      <c r="G400" t="s">
        <v>1034</v>
      </c>
      <c r="H400" t="s">
        <v>15</v>
      </c>
      <c r="I400" s="1">
        <v>1</v>
      </c>
      <c r="J400" s="2">
        <v>431.03</v>
      </c>
    </row>
    <row r="401" spans="2:10" x14ac:dyDescent="0.2">
      <c r="B401" t="s">
        <v>615</v>
      </c>
      <c r="C401" t="s">
        <v>18</v>
      </c>
      <c r="D401" t="s">
        <v>616</v>
      </c>
      <c r="E401" t="s">
        <v>63</v>
      </c>
      <c r="F401" t="s">
        <v>64</v>
      </c>
      <c r="G401" t="s">
        <v>1034</v>
      </c>
      <c r="H401" t="s">
        <v>15</v>
      </c>
      <c r="I401" s="1">
        <v>2</v>
      </c>
      <c r="J401" s="2">
        <v>344.82</v>
      </c>
    </row>
    <row r="402" spans="2:10" x14ac:dyDescent="0.2">
      <c r="B402" t="s">
        <v>615</v>
      </c>
      <c r="C402" t="s">
        <v>31</v>
      </c>
      <c r="D402" t="s">
        <v>616</v>
      </c>
      <c r="E402" t="s">
        <v>267</v>
      </c>
      <c r="F402" t="s">
        <v>268</v>
      </c>
      <c r="G402" t="s">
        <v>1034</v>
      </c>
      <c r="H402" t="s">
        <v>15</v>
      </c>
      <c r="I402" s="1">
        <v>1</v>
      </c>
      <c r="J402" s="2">
        <v>258.62</v>
      </c>
    </row>
    <row r="403" spans="2:10" x14ac:dyDescent="0.2">
      <c r="B403" t="s">
        <v>615</v>
      </c>
      <c r="C403" t="s">
        <v>31</v>
      </c>
      <c r="D403" t="s">
        <v>616</v>
      </c>
      <c r="E403" t="s">
        <v>61</v>
      </c>
      <c r="F403" t="s">
        <v>62</v>
      </c>
      <c r="G403" t="s">
        <v>1034</v>
      </c>
      <c r="H403" t="s">
        <v>15</v>
      </c>
      <c r="I403" s="1">
        <v>1</v>
      </c>
      <c r="J403" s="2">
        <v>172.41</v>
      </c>
    </row>
    <row r="404" spans="2:10" x14ac:dyDescent="0.2">
      <c r="B404" t="s">
        <v>615</v>
      </c>
      <c r="C404" t="s">
        <v>40</v>
      </c>
      <c r="D404" t="s">
        <v>616</v>
      </c>
      <c r="E404" t="s">
        <v>61</v>
      </c>
      <c r="F404" t="s">
        <v>62</v>
      </c>
      <c r="G404" t="s">
        <v>1034</v>
      </c>
      <c r="H404" t="s">
        <v>15</v>
      </c>
      <c r="I404" s="1">
        <v>1</v>
      </c>
      <c r="J404" s="2">
        <v>172.41</v>
      </c>
    </row>
    <row r="405" spans="2:10" x14ac:dyDescent="0.2">
      <c r="B405" t="s">
        <v>615</v>
      </c>
      <c r="C405" t="s">
        <v>51</v>
      </c>
      <c r="D405" t="s">
        <v>616</v>
      </c>
      <c r="E405" t="s">
        <v>267</v>
      </c>
      <c r="F405" t="s">
        <v>268</v>
      </c>
      <c r="G405" t="s">
        <v>1034</v>
      </c>
      <c r="H405" t="s">
        <v>15</v>
      </c>
      <c r="I405" s="1">
        <v>1</v>
      </c>
      <c r="J405" s="2">
        <v>258.62</v>
      </c>
    </row>
    <row r="406" spans="2:10" x14ac:dyDescent="0.2">
      <c r="B406" t="s">
        <v>615</v>
      </c>
      <c r="C406" t="s">
        <v>65</v>
      </c>
      <c r="D406" t="s">
        <v>616</v>
      </c>
      <c r="E406" t="s">
        <v>267</v>
      </c>
      <c r="F406" t="s">
        <v>268</v>
      </c>
      <c r="G406" t="s">
        <v>1034</v>
      </c>
      <c r="H406" t="s">
        <v>15</v>
      </c>
      <c r="I406" s="1">
        <v>1</v>
      </c>
      <c r="J406" s="2">
        <v>258.62</v>
      </c>
    </row>
    <row r="407" spans="2:10" x14ac:dyDescent="0.2">
      <c r="B407" t="s">
        <v>615</v>
      </c>
      <c r="C407" t="s">
        <v>82</v>
      </c>
      <c r="D407" t="s">
        <v>616</v>
      </c>
      <c r="E407" t="s">
        <v>61</v>
      </c>
      <c r="F407" t="s">
        <v>62</v>
      </c>
      <c r="G407" t="s">
        <v>1034</v>
      </c>
      <c r="H407" t="s">
        <v>15</v>
      </c>
      <c r="I407" s="1">
        <v>1</v>
      </c>
      <c r="J407" s="2">
        <v>172.41</v>
      </c>
    </row>
    <row r="408" spans="2:10" x14ac:dyDescent="0.2">
      <c r="B408" t="s">
        <v>615</v>
      </c>
      <c r="C408" t="s">
        <v>82</v>
      </c>
      <c r="D408" t="s">
        <v>616</v>
      </c>
      <c r="E408" t="s">
        <v>63</v>
      </c>
      <c r="F408" t="s">
        <v>64</v>
      </c>
      <c r="G408" t="s">
        <v>1034</v>
      </c>
      <c r="H408" t="s">
        <v>15</v>
      </c>
      <c r="I408" s="1">
        <v>1</v>
      </c>
      <c r="J408" s="2">
        <v>172.41</v>
      </c>
    </row>
    <row r="409" spans="2:10" x14ac:dyDescent="0.2">
      <c r="B409" t="s">
        <v>615</v>
      </c>
      <c r="C409" t="s">
        <v>117</v>
      </c>
      <c r="D409" t="s">
        <v>616</v>
      </c>
      <c r="E409" t="s">
        <v>56</v>
      </c>
      <c r="F409" t="s">
        <v>57</v>
      </c>
      <c r="G409" t="s">
        <v>1034</v>
      </c>
      <c r="H409" t="s">
        <v>15</v>
      </c>
      <c r="I409" s="1">
        <v>1</v>
      </c>
      <c r="J409" s="2">
        <v>431.03</v>
      </c>
    </row>
    <row r="410" spans="2:10" x14ac:dyDescent="0.2">
      <c r="B410" t="s">
        <v>615</v>
      </c>
      <c r="C410" t="s">
        <v>129</v>
      </c>
      <c r="D410" t="s">
        <v>616</v>
      </c>
      <c r="E410" t="s">
        <v>61</v>
      </c>
      <c r="F410" t="s">
        <v>62</v>
      </c>
      <c r="G410" t="s">
        <v>1034</v>
      </c>
      <c r="H410" t="s">
        <v>15</v>
      </c>
      <c r="I410" s="1">
        <v>2</v>
      </c>
      <c r="J410" s="2">
        <v>344.82</v>
      </c>
    </row>
    <row r="411" spans="2:10" x14ac:dyDescent="0.2">
      <c r="B411" t="s">
        <v>615</v>
      </c>
      <c r="C411" t="s">
        <v>134</v>
      </c>
      <c r="D411" t="s">
        <v>277</v>
      </c>
      <c r="E411" t="s">
        <v>214</v>
      </c>
      <c r="F411" t="s">
        <v>215</v>
      </c>
      <c r="G411" t="s">
        <v>1034</v>
      </c>
      <c r="H411" t="s">
        <v>15</v>
      </c>
      <c r="I411" s="1">
        <v>1</v>
      </c>
      <c r="J411" s="2">
        <v>301.72000000000003</v>
      </c>
    </row>
    <row r="412" spans="2:10" x14ac:dyDescent="0.2">
      <c r="B412" t="s">
        <v>615</v>
      </c>
      <c r="C412" t="s">
        <v>166</v>
      </c>
      <c r="D412" t="s">
        <v>616</v>
      </c>
      <c r="E412" t="s">
        <v>120</v>
      </c>
      <c r="F412" t="s">
        <v>121</v>
      </c>
      <c r="G412" t="s">
        <v>1034</v>
      </c>
      <c r="H412" t="s">
        <v>15</v>
      </c>
      <c r="I412" s="1">
        <v>2</v>
      </c>
      <c r="J412" s="2">
        <v>603.44000000000005</v>
      </c>
    </row>
    <row r="413" spans="2:10" x14ac:dyDescent="0.2">
      <c r="B413" t="s">
        <v>615</v>
      </c>
      <c r="C413" t="s">
        <v>166</v>
      </c>
      <c r="D413" t="s">
        <v>616</v>
      </c>
      <c r="E413" t="s">
        <v>122</v>
      </c>
      <c r="F413" t="s">
        <v>123</v>
      </c>
      <c r="G413" t="s">
        <v>1034</v>
      </c>
      <c r="H413" t="s">
        <v>15</v>
      </c>
      <c r="I413" s="1">
        <v>1</v>
      </c>
      <c r="J413" s="2">
        <v>387.93</v>
      </c>
    </row>
    <row r="414" spans="2:10" x14ac:dyDescent="0.2">
      <c r="B414" t="s">
        <v>615</v>
      </c>
      <c r="C414" t="s">
        <v>166</v>
      </c>
      <c r="D414" t="s">
        <v>616</v>
      </c>
      <c r="E414" t="s">
        <v>83</v>
      </c>
      <c r="F414" t="s">
        <v>84</v>
      </c>
      <c r="G414" t="s">
        <v>1034</v>
      </c>
      <c r="H414" t="s">
        <v>15</v>
      </c>
      <c r="I414" s="1">
        <v>1</v>
      </c>
      <c r="J414" s="2">
        <v>387.93</v>
      </c>
    </row>
    <row r="415" spans="2:10" x14ac:dyDescent="0.2">
      <c r="B415" t="s">
        <v>615</v>
      </c>
      <c r="C415" t="s">
        <v>166</v>
      </c>
      <c r="D415" t="s">
        <v>616</v>
      </c>
      <c r="E415" t="s">
        <v>61</v>
      </c>
      <c r="F415" t="s">
        <v>62</v>
      </c>
      <c r="G415" t="s">
        <v>1034</v>
      </c>
      <c r="H415" t="s">
        <v>15</v>
      </c>
      <c r="I415" s="1">
        <v>3</v>
      </c>
      <c r="J415" s="2">
        <v>517.23</v>
      </c>
    </row>
    <row r="416" spans="2:10" x14ac:dyDescent="0.2">
      <c r="B416" t="s">
        <v>615</v>
      </c>
      <c r="C416" t="s">
        <v>166</v>
      </c>
      <c r="D416" t="s">
        <v>616</v>
      </c>
      <c r="E416" t="s">
        <v>63</v>
      </c>
      <c r="F416" t="s">
        <v>64</v>
      </c>
      <c r="G416" t="s">
        <v>1034</v>
      </c>
      <c r="H416" t="s">
        <v>15</v>
      </c>
      <c r="I416" s="1">
        <v>2</v>
      </c>
      <c r="J416" s="2">
        <v>344.82</v>
      </c>
    </row>
    <row r="417" spans="2:10" x14ac:dyDescent="0.2">
      <c r="B417" t="s">
        <v>615</v>
      </c>
      <c r="C417" t="s">
        <v>335</v>
      </c>
      <c r="D417" t="s">
        <v>130</v>
      </c>
      <c r="E417" t="s">
        <v>36</v>
      </c>
      <c r="F417" t="s">
        <v>37</v>
      </c>
      <c r="G417" t="s">
        <v>1034</v>
      </c>
      <c r="H417" t="s">
        <v>15</v>
      </c>
      <c r="I417" s="1">
        <v>1</v>
      </c>
      <c r="J417" s="2">
        <v>301.72000000000003</v>
      </c>
    </row>
    <row r="418" spans="2:10" x14ac:dyDescent="0.2">
      <c r="B418" t="s">
        <v>615</v>
      </c>
      <c r="C418" t="s">
        <v>418</v>
      </c>
      <c r="D418" t="s">
        <v>616</v>
      </c>
      <c r="E418" t="s">
        <v>120</v>
      </c>
      <c r="F418" t="s">
        <v>121</v>
      </c>
      <c r="G418" t="s">
        <v>1034</v>
      </c>
      <c r="H418" t="s">
        <v>15</v>
      </c>
      <c r="I418" s="1">
        <v>1</v>
      </c>
      <c r="J418" s="2">
        <v>301.72000000000003</v>
      </c>
    </row>
    <row r="419" spans="2:10" x14ac:dyDescent="0.2">
      <c r="B419" t="s">
        <v>615</v>
      </c>
      <c r="C419" t="s">
        <v>418</v>
      </c>
      <c r="D419" t="s">
        <v>616</v>
      </c>
      <c r="E419" t="s">
        <v>63</v>
      </c>
      <c r="F419" t="s">
        <v>64</v>
      </c>
      <c r="G419" t="s">
        <v>1034</v>
      </c>
      <c r="H419" t="s">
        <v>15</v>
      </c>
      <c r="I419" s="1">
        <v>1</v>
      </c>
      <c r="J419" s="2">
        <v>172.41</v>
      </c>
    </row>
    <row r="420" spans="2:10" x14ac:dyDescent="0.2">
      <c r="B420" t="s">
        <v>615</v>
      </c>
      <c r="C420" t="s">
        <v>186</v>
      </c>
      <c r="D420" t="s">
        <v>616</v>
      </c>
      <c r="E420" t="s">
        <v>61</v>
      </c>
      <c r="F420" t="s">
        <v>62</v>
      </c>
      <c r="G420" t="s">
        <v>1034</v>
      </c>
      <c r="H420" t="s">
        <v>15</v>
      </c>
      <c r="I420" s="1">
        <v>1</v>
      </c>
      <c r="J420" s="2">
        <v>172.41</v>
      </c>
    </row>
    <row r="421" spans="2:10" x14ac:dyDescent="0.2">
      <c r="B421" t="s">
        <v>615</v>
      </c>
      <c r="C421" t="s">
        <v>197</v>
      </c>
      <c r="D421" t="s">
        <v>616</v>
      </c>
      <c r="E421" t="s">
        <v>63</v>
      </c>
      <c r="F421" t="s">
        <v>64</v>
      </c>
      <c r="G421" t="s">
        <v>1034</v>
      </c>
      <c r="H421" t="s">
        <v>15</v>
      </c>
      <c r="I421" s="1">
        <v>1</v>
      </c>
      <c r="J421" s="2">
        <v>172.41</v>
      </c>
    </row>
    <row r="422" spans="2:10" x14ac:dyDescent="0.2">
      <c r="B422" t="s">
        <v>615</v>
      </c>
      <c r="C422" t="s">
        <v>206</v>
      </c>
      <c r="D422" t="s">
        <v>616</v>
      </c>
      <c r="E422" t="s">
        <v>120</v>
      </c>
      <c r="F422" t="s">
        <v>121</v>
      </c>
      <c r="G422" t="s">
        <v>1034</v>
      </c>
      <c r="H422" t="s">
        <v>15</v>
      </c>
      <c r="I422" s="1">
        <v>1</v>
      </c>
      <c r="J422" s="2">
        <v>301.72000000000003</v>
      </c>
    </row>
    <row r="423" spans="2:10" x14ac:dyDescent="0.2">
      <c r="B423" t="s">
        <v>615</v>
      </c>
      <c r="C423" t="s">
        <v>206</v>
      </c>
      <c r="D423" t="s">
        <v>616</v>
      </c>
      <c r="E423" t="s">
        <v>56</v>
      </c>
      <c r="F423" t="s">
        <v>57</v>
      </c>
      <c r="G423" t="s">
        <v>1034</v>
      </c>
      <c r="H423" t="s">
        <v>15</v>
      </c>
      <c r="I423" s="1">
        <v>2</v>
      </c>
      <c r="J423" s="2">
        <v>862.07</v>
      </c>
    </row>
    <row r="424" spans="2:10" x14ac:dyDescent="0.2">
      <c r="B424" t="s">
        <v>615</v>
      </c>
      <c r="C424" t="s">
        <v>206</v>
      </c>
      <c r="D424" t="s">
        <v>616</v>
      </c>
      <c r="E424" t="s">
        <v>61</v>
      </c>
      <c r="F424" t="s">
        <v>62</v>
      </c>
      <c r="G424" t="s">
        <v>1034</v>
      </c>
      <c r="H424" t="s">
        <v>15</v>
      </c>
      <c r="I424" s="1">
        <v>1</v>
      </c>
      <c r="J424" s="2">
        <v>172.41</v>
      </c>
    </row>
    <row r="425" spans="2:10" x14ac:dyDescent="0.2">
      <c r="B425" t="s">
        <v>615</v>
      </c>
      <c r="C425" t="s">
        <v>206</v>
      </c>
      <c r="D425" t="s">
        <v>616</v>
      </c>
      <c r="E425" t="s">
        <v>63</v>
      </c>
      <c r="F425" t="s">
        <v>64</v>
      </c>
      <c r="G425" t="s">
        <v>1034</v>
      </c>
      <c r="H425" t="s">
        <v>15</v>
      </c>
      <c r="I425" s="1">
        <v>1</v>
      </c>
      <c r="J425" s="2">
        <v>172.41</v>
      </c>
    </row>
    <row r="426" spans="2:10" x14ac:dyDescent="0.2">
      <c r="B426" t="s">
        <v>615</v>
      </c>
      <c r="C426" t="s">
        <v>220</v>
      </c>
      <c r="D426" t="s">
        <v>616</v>
      </c>
      <c r="E426" t="s">
        <v>214</v>
      </c>
      <c r="F426" t="s">
        <v>215</v>
      </c>
      <c r="G426" t="s">
        <v>1034</v>
      </c>
      <c r="H426" t="s">
        <v>15</v>
      </c>
      <c r="I426" s="1">
        <v>1</v>
      </c>
      <c r="J426" s="2">
        <v>301.72000000000003</v>
      </c>
    </row>
    <row r="427" spans="2:10" x14ac:dyDescent="0.2">
      <c r="B427" t="s">
        <v>615</v>
      </c>
      <c r="C427" t="s">
        <v>220</v>
      </c>
      <c r="D427" t="s">
        <v>616</v>
      </c>
      <c r="E427" t="s">
        <v>36</v>
      </c>
      <c r="F427" t="s">
        <v>37</v>
      </c>
      <c r="G427" t="s">
        <v>1034</v>
      </c>
      <c r="H427" t="s">
        <v>15</v>
      </c>
      <c r="I427" s="1">
        <v>1</v>
      </c>
      <c r="J427" s="2">
        <v>301.72000000000003</v>
      </c>
    </row>
    <row r="428" spans="2:10" x14ac:dyDescent="0.2">
      <c r="B428" t="s">
        <v>615</v>
      </c>
      <c r="C428" t="s">
        <v>225</v>
      </c>
      <c r="D428" t="s">
        <v>616</v>
      </c>
      <c r="E428" t="s">
        <v>120</v>
      </c>
      <c r="F428" t="s">
        <v>121</v>
      </c>
      <c r="G428" t="s">
        <v>1034</v>
      </c>
      <c r="H428" t="s">
        <v>15</v>
      </c>
      <c r="I428" s="1">
        <v>2</v>
      </c>
      <c r="J428" s="2">
        <v>603.44000000000005</v>
      </c>
    </row>
    <row r="429" spans="2:10" x14ac:dyDescent="0.2">
      <c r="B429" t="s">
        <v>615</v>
      </c>
      <c r="C429" t="s">
        <v>225</v>
      </c>
      <c r="D429" t="s">
        <v>616</v>
      </c>
      <c r="E429" t="s">
        <v>61</v>
      </c>
      <c r="F429" t="s">
        <v>62</v>
      </c>
      <c r="G429" t="s">
        <v>1034</v>
      </c>
      <c r="H429" t="s">
        <v>15</v>
      </c>
      <c r="I429" s="1">
        <v>1</v>
      </c>
      <c r="J429" s="2">
        <v>172.41</v>
      </c>
    </row>
    <row r="430" spans="2:10" x14ac:dyDescent="0.2">
      <c r="B430" t="s">
        <v>615</v>
      </c>
      <c r="C430" t="s">
        <v>227</v>
      </c>
      <c r="D430" t="s">
        <v>616</v>
      </c>
      <c r="E430" t="s">
        <v>61</v>
      </c>
      <c r="F430" t="s">
        <v>62</v>
      </c>
      <c r="G430" t="s">
        <v>1034</v>
      </c>
      <c r="H430" t="s">
        <v>15</v>
      </c>
      <c r="I430" s="1">
        <v>1</v>
      </c>
      <c r="J430" s="2">
        <v>172.41</v>
      </c>
    </row>
    <row r="431" spans="2:10" x14ac:dyDescent="0.2">
      <c r="B431" t="s">
        <v>615</v>
      </c>
      <c r="C431" t="s">
        <v>227</v>
      </c>
      <c r="D431" t="s">
        <v>616</v>
      </c>
      <c r="E431" t="s">
        <v>63</v>
      </c>
      <c r="F431" t="s">
        <v>64</v>
      </c>
      <c r="G431" t="s">
        <v>1034</v>
      </c>
      <c r="H431" t="s">
        <v>15</v>
      </c>
      <c r="I431" s="1">
        <v>1</v>
      </c>
      <c r="J431" s="2">
        <v>172.41</v>
      </c>
    </row>
    <row r="432" spans="2:10" x14ac:dyDescent="0.2">
      <c r="B432" t="s">
        <v>615</v>
      </c>
      <c r="C432" t="s">
        <v>228</v>
      </c>
      <c r="D432" t="s">
        <v>32</v>
      </c>
      <c r="E432" t="s">
        <v>38</v>
      </c>
      <c r="F432" t="s">
        <v>39</v>
      </c>
      <c r="G432" t="s">
        <v>1034</v>
      </c>
      <c r="H432" t="s">
        <v>15</v>
      </c>
      <c r="I432" s="1">
        <v>1</v>
      </c>
      <c r="J432" s="2">
        <v>431.03</v>
      </c>
    </row>
    <row r="433" spans="2:10" x14ac:dyDescent="0.2">
      <c r="B433" t="s">
        <v>615</v>
      </c>
      <c r="C433" t="s">
        <v>236</v>
      </c>
      <c r="D433" t="s">
        <v>616</v>
      </c>
      <c r="E433" t="s">
        <v>56</v>
      </c>
      <c r="F433" t="s">
        <v>57</v>
      </c>
      <c r="G433" t="s">
        <v>1034</v>
      </c>
      <c r="H433" t="s">
        <v>15</v>
      </c>
      <c r="I433" s="1">
        <v>1</v>
      </c>
      <c r="J433" s="2">
        <v>431.03</v>
      </c>
    </row>
    <row r="434" spans="2:10" x14ac:dyDescent="0.2">
      <c r="B434" t="s">
        <v>615</v>
      </c>
      <c r="C434" t="s">
        <v>237</v>
      </c>
      <c r="D434" t="s">
        <v>616</v>
      </c>
      <c r="E434" t="s">
        <v>122</v>
      </c>
      <c r="F434" t="s">
        <v>123</v>
      </c>
      <c r="G434" t="s">
        <v>1034</v>
      </c>
      <c r="H434" t="s">
        <v>15</v>
      </c>
      <c r="I434" s="1">
        <v>1</v>
      </c>
      <c r="J434" s="2">
        <v>387.93</v>
      </c>
    </row>
    <row r="435" spans="2:10" x14ac:dyDescent="0.2">
      <c r="B435" t="s">
        <v>615</v>
      </c>
      <c r="C435" t="s">
        <v>237</v>
      </c>
      <c r="D435" t="s">
        <v>616</v>
      </c>
      <c r="E435" t="s">
        <v>153</v>
      </c>
      <c r="F435" t="s">
        <v>154</v>
      </c>
      <c r="G435" t="s">
        <v>1034</v>
      </c>
      <c r="H435" t="s">
        <v>15</v>
      </c>
      <c r="I435" s="1">
        <v>1</v>
      </c>
      <c r="J435" s="2">
        <v>387.93</v>
      </c>
    </row>
    <row r="436" spans="2:10" x14ac:dyDescent="0.2">
      <c r="B436" t="s">
        <v>615</v>
      </c>
      <c r="C436" t="s">
        <v>237</v>
      </c>
      <c r="D436" t="s">
        <v>616</v>
      </c>
      <c r="E436" t="s">
        <v>61</v>
      </c>
      <c r="F436" t="s">
        <v>62</v>
      </c>
      <c r="G436" t="s">
        <v>1034</v>
      </c>
      <c r="H436" t="s">
        <v>15</v>
      </c>
      <c r="I436" s="1">
        <v>1</v>
      </c>
      <c r="J436" s="2">
        <v>172.41</v>
      </c>
    </row>
    <row r="437" spans="2:10" x14ac:dyDescent="0.2">
      <c r="B437" t="s">
        <v>615</v>
      </c>
      <c r="C437" t="s">
        <v>248</v>
      </c>
      <c r="D437" t="s">
        <v>616</v>
      </c>
      <c r="E437" t="s">
        <v>214</v>
      </c>
      <c r="F437" t="s">
        <v>215</v>
      </c>
      <c r="G437" t="s">
        <v>1034</v>
      </c>
      <c r="H437" t="s">
        <v>15</v>
      </c>
      <c r="I437" s="1">
        <v>2</v>
      </c>
      <c r="J437" s="2">
        <v>603.44000000000005</v>
      </c>
    </row>
    <row r="438" spans="2:10" x14ac:dyDescent="0.2">
      <c r="B438" t="s">
        <v>654</v>
      </c>
      <c r="C438" t="s">
        <v>10</v>
      </c>
      <c r="D438" t="s">
        <v>655</v>
      </c>
      <c r="E438" t="s">
        <v>72</v>
      </c>
      <c r="F438" t="s">
        <v>73</v>
      </c>
      <c r="G438" t="s">
        <v>1034</v>
      </c>
      <c r="H438" t="s">
        <v>15</v>
      </c>
      <c r="I438" s="1">
        <v>1</v>
      </c>
      <c r="J438" s="2">
        <v>775.86</v>
      </c>
    </row>
    <row r="439" spans="2:10" x14ac:dyDescent="0.2">
      <c r="B439" t="s">
        <v>654</v>
      </c>
      <c r="C439" t="s">
        <v>18</v>
      </c>
      <c r="D439" t="s">
        <v>655</v>
      </c>
      <c r="E439" t="s">
        <v>122</v>
      </c>
      <c r="F439" t="s">
        <v>123</v>
      </c>
      <c r="G439" t="s">
        <v>1034</v>
      </c>
      <c r="H439" t="s">
        <v>15</v>
      </c>
      <c r="I439" s="1">
        <v>1</v>
      </c>
      <c r="J439" s="2">
        <v>387.93</v>
      </c>
    </row>
    <row r="440" spans="2:10" x14ac:dyDescent="0.2">
      <c r="B440" t="s">
        <v>654</v>
      </c>
      <c r="C440" t="s">
        <v>18</v>
      </c>
      <c r="D440" t="s">
        <v>655</v>
      </c>
      <c r="E440" t="s">
        <v>63</v>
      </c>
      <c r="F440" t="s">
        <v>64</v>
      </c>
      <c r="G440" t="s">
        <v>1034</v>
      </c>
      <c r="H440" t="s">
        <v>15</v>
      </c>
      <c r="I440" s="1">
        <v>1</v>
      </c>
      <c r="J440" s="2">
        <v>172.41</v>
      </c>
    </row>
    <row r="441" spans="2:10" x14ac:dyDescent="0.2">
      <c r="B441" t="s">
        <v>654</v>
      </c>
      <c r="C441" t="s">
        <v>40</v>
      </c>
      <c r="D441" t="s">
        <v>655</v>
      </c>
      <c r="E441" t="s">
        <v>253</v>
      </c>
      <c r="F441" t="s">
        <v>254</v>
      </c>
      <c r="G441" t="s">
        <v>1034</v>
      </c>
      <c r="H441" t="s">
        <v>15</v>
      </c>
      <c r="I441" s="1">
        <v>1</v>
      </c>
      <c r="J441" s="2">
        <v>775.86</v>
      </c>
    </row>
    <row r="442" spans="2:10" x14ac:dyDescent="0.2">
      <c r="B442" t="s">
        <v>654</v>
      </c>
      <c r="C442" t="s">
        <v>40</v>
      </c>
      <c r="D442" t="s">
        <v>655</v>
      </c>
      <c r="E442" t="s">
        <v>72</v>
      </c>
      <c r="F442" t="s">
        <v>73</v>
      </c>
      <c r="G442" t="s">
        <v>1034</v>
      </c>
      <c r="H442" t="s">
        <v>15</v>
      </c>
      <c r="I442" s="1">
        <v>1</v>
      </c>
      <c r="J442" s="2">
        <v>775.86</v>
      </c>
    </row>
    <row r="443" spans="2:10" x14ac:dyDescent="0.2">
      <c r="B443" t="s">
        <v>654</v>
      </c>
      <c r="C443" t="s">
        <v>40</v>
      </c>
      <c r="D443" t="s">
        <v>655</v>
      </c>
      <c r="E443" t="s">
        <v>63</v>
      </c>
      <c r="F443" t="s">
        <v>64</v>
      </c>
      <c r="G443" t="s">
        <v>1034</v>
      </c>
      <c r="H443" t="s">
        <v>15</v>
      </c>
      <c r="I443" s="1">
        <v>1</v>
      </c>
      <c r="J443" s="2">
        <v>172.41</v>
      </c>
    </row>
    <row r="444" spans="2:10" x14ac:dyDescent="0.2">
      <c r="B444" t="s">
        <v>654</v>
      </c>
      <c r="C444" t="s">
        <v>40</v>
      </c>
      <c r="D444" t="s">
        <v>655</v>
      </c>
      <c r="E444" t="s">
        <v>348</v>
      </c>
      <c r="F444" t="s">
        <v>349</v>
      </c>
      <c r="G444" t="s">
        <v>1034</v>
      </c>
      <c r="H444" t="s">
        <v>15</v>
      </c>
      <c r="I444" s="1">
        <v>1</v>
      </c>
      <c r="J444" s="2">
        <v>241.38</v>
      </c>
    </row>
    <row r="445" spans="2:10" x14ac:dyDescent="0.2">
      <c r="B445" t="s">
        <v>654</v>
      </c>
      <c r="C445" t="s">
        <v>65</v>
      </c>
      <c r="D445" t="s">
        <v>655</v>
      </c>
      <c r="E445" t="s">
        <v>221</v>
      </c>
      <c r="F445" t="s">
        <v>222</v>
      </c>
      <c r="G445" t="s">
        <v>1034</v>
      </c>
      <c r="H445" t="s">
        <v>15</v>
      </c>
      <c r="I445" s="1">
        <v>2</v>
      </c>
      <c r="J445" s="2">
        <v>862.06</v>
      </c>
    </row>
    <row r="446" spans="2:10" x14ac:dyDescent="0.2">
      <c r="B446" t="s">
        <v>654</v>
      </c>
      <c r="C446" t="s">
        <v>65</v>
      </c>
      <c r="D446" t="s">
        <v>655</v>
      </c>
      <c r="E446" t="s">
        <v>336</v>
      </c>
      <c r="F446" t="s">
        <v>337</v>
      </c>
      <c r="G446" t="s">
        <v>1034</v>
      </c>
      <c r="H446" t="s">
        <v>15</v>
      </c>
      <c r="I446" s="1">
        <v>1</v>
      </c>
      <c r="J446" s="2">
        <v>387.93</v>
      </c>
    </row>
    <row r="447" spans="2:10" x14ac:dyDescent="0.2">
      <c r="B447" t="s">
        <v>654</v>
      </c>
      <c r="C447" t="s">
        <v>82</v>
      </c>
      <c r="D447" t="s">
        <v>655</v>
      </c>
      <c r="E447" t="s">
        <v>253</v>
      </c>
      <c r="F447" t="s">
        <v>254</v>
      </c>
      <c r="G447" t="s">
        <v>1034</v>
      </c>
      <c r="H447" t="s">
        <v>15</v>
      </c>
      <c r="I447" s="1">
        <v>1</v>
      </c>
      <c r="J447" s="2">
        <v>775.86</v>
      </c>
    </row>
    <row r="448" spans="2:10" x14ac:dyDescent="0.2">
      <c r="B448" t="s">
        <v>654</v>
      </c>
      <c r="C448" t="s">
        <v>82</v>
      </c>
      <c r="D448" t="s">
        <v>655</v>
      </c>
      <c r="E448" t="s">
        <v>72</v>
      </c>
      <c r="F448" t="s">
        <v>73</v>
      </c>
      <c r="G448" t="s">
        <v>1034</v>
      </c>
      <c r="H448" t="s">
        <v>15</v>
      </c>
      <c r="I448" s="1">
        <v>1</v>
      </c>
      <c r="J448" s="2">
        <v>775.86</v>
      </c>
    </row>
    <row r="449" spans="2:10" x14ac:dyDescent="0.2">
      <c r="B449" t="s">
        <v>654</v>
      </c>
      <c r="C449" t="s">
        <v>117</v>
      </c>
      <c r="D449" t="s">
        <v>655</v>
      </c>
      <c r="E449" t="s">
        <v>221</v>
      </c>
      <c r="F449" t="s">
        <v>222</v>
      </c>
      <c r="G449" t="s">
        <v>1034</v>
      </c>
      <c r="H449" t="s">
        <v>15</v>
      </c>
      <c r="I449" s="1">
        <v>1</v>
      </c>
      <c r="J449" s="2">
        <v>431.03</v>
      </c>
    </row>
    <row r="450" spans="2:10" x14ac:dyDescent="0.2">
      <c r="B450" t="s">
        <v>654</v>
      </c>
      <c r="C450" t="s">
        <v>117</v>
      </c>
      <c r="D450" t="s">
        <v>655</v>
      </c>
      <c r="E450" t="s">
        <v>63</v>
      </c>
      <c r="F450" t="s">
        <v>64</v>
      </c>
      <c r="G450" t="s">
        <v>1034</v>
      </c>
      <c r="H450" t="s">
        <v>15</v>
      </c>
      <c r="I450" s="1">
        <v>1</v>
      </c>
      <c r="J450" s="2">
        <v>172.41</v>
      </c>
    </row>
    <row r="451" spans="2:10" x14ac:dyDescent="0.2">
      <c r="B451" t="s">
        <v>654</v>
      </c>
      <c r="C451" t="s">
        <v>134</v>
      </c>
      <c r="D451" t="s">
        <v>655</v>
      </c>
      <c r="E451" t="s">
        <v>12</v>
      </c>
      <c r="F451" t="s">
        <v>13</v>
      </c>
      <c r="G451" t="s">
        <v>1034</v>
      </c>
      <c r="H451" t="s">
        <v>15</v>
      </c>
      <c r="I451" s="1">
        <v>1</v>
      </c>
      <c r="J451" s="2">
        <v>1077.5899999999999</v>
      </c>
    </row>
    <row r="452" spans="2:10" x14ac:dyDescent="0.2">
      <c r="B452" t="s">
        <v>654</v>
      </c>
      <c r="C452" t="s">
        <v>135</v>
      </c>
      <c r="D452" t="s">
        <v>655</v>
      </c>
      <c r="E452" t="s">
        <v>83</v>
      </c>
      <c r="F452" t="s">
        <v>84</v>
      </c>
      <c r="G452" t="s">
        <v>1034</v>
      </c>
      <c r="H452" t="s">
        <v>15</v>
      </c>
      <c r="I452" s="1">
        <v>1</v>
      </c>
      <c r="J452" s="2">
        <v>387.93</v>
      </c>
    </row>
    <row r="453" spans="2:10" x14ac:dyDescent="0.2">
      <c r="B453" t="s">
        <v>654</v>
      </c>
      <c r="C453" t="s">
        <v>141</v>
      </c>
      <c r="D453" t="s">
        <v>655</v>
      </c>
      <c r="E453" t="s">
        <v>221</v>
      </c>
      <c r="F453" t="s">
        <v>222</v>
      </c>
      <c r="G453" t="s">
        <v>1034</v>
      </c>
      <c r="H453" t="s">
        <v>15</v>
      </c>
      <c r="I453" s="1">
        <v>1</v>
      </c>
      <c r="J453" s="2">
        <v>431.03</v>
      </c>
    </row>
    <row r="454" spans="2:10" x14ac:dyDescent="0.2">
      <c r="B454" t="s">
        <v>654</v>
      </c>
      <c r="C454" t="s">
        <v>141</v>
      </c>
      <c r="D454" t="s">
        <v>655</v>
      </c>
      <c r="E454" t="s">
        <v>83</v>
      </c>
      <c r="F454" t="s">
        <v>84</v>
      </c>
      <c r="G454" t="s">
        <v>1034</v>
      </c>
      <c r="H454" t="s">
        <v>15</v>
      </c>
      <c r="I454" s="1">
        <v>1</v>
      </c>
      <c r="J454" s="2">
        <v>387.93</v>
      </c>
    </row>
    <row r="455" spans="2:10" x14ac:dyDescent="0.2">
      <c r="B455" t="s">
        <v>654</v>
      </c>
      <c r="C455" t="s">
        <v>144</v>
      </c>
      <c r="D455" t="s">
        <v>655</v>
      </c>
      <c r="E455" t="s">
        <v>122</v>
      </c>
      <c r="F455" t="s">
        <v>123</v>
      </c>
      <c r="G455" t="s">
        <v>1034</v>
      </c>
      <c r="H455" t="s">
        <v>15</v>
      </c>
      <c r="I455" s="1">
        <v>1</v>
      </c>
      <c r="J455" s="2">
        <v>387.93</v>
      </c>
    </row>
    <row r="456" spans="2:10" x14ac:dyDescent="0.2">
      <c r="B456" t="s">
        <v>654</v>
      </c>
      <c r="C456" t="s">
        <v>144</v>
      </c>
      <c r="D456" t="s">
        <v>655</v>
      </c>
      <c r="E456" t="s">
        <v>83</v>
      </c>
      <c r="F456" t="s">
        <v>84</v>
      </c>
      <c r="G456" t="s">
        <v>1034</v>
      </c>
      <c r="H456" t="s">
        <v>15</v>
      </c>
      <c r="I456" s="1">
        <v>1</v>
      </c>
      <c r="J456" s="2">
        <v>387.93</v>
      </c>
    </row>
    <row r="457" spans="2:10" x14ac:dyDescent="0.2">
      <c r="B457" t="s">
        <v>654</v>
      </c>
      <c r="C457" t="s">
        <v>144</v>
      </c>
      <c r="D457" t="s">
        <v>655</v>
      </c>
      <c r="E457" t="s">
        <v>63</v>
      </c>
      <c r="F457" t="s">
        <v>64</v>
      </c>
      <c r="G457" t="s">
        <v>1034</v>
      </c>
      <c r="H457" t="s">
        <v>15</v>
      </c>
      <c r="I457" s="1">
        <v>1</v>
      </c>
      <c r="J457" s="2">
        <v>172.41</v>
      </c>
    </row>
    <row r="458" spans="2:10" x14ac:dyDescent="0.2">
      <c r="B458" t="s">
        <v>654</v>
      </c>
      <c r="C458" t="s">
        <v>165</v>
      </c>
      <c r="D458" t="s">
        <v>655</v>
      </c>
      <c r="E458" t="s">
        <v>36</v>
      </c>
      <c r="F458" t="s">
        <v>37</v>
      </c>
      <c r="G458" t="s">
        <v>1034</v>
      </c>
      <c r="H458" t="s">
        <v>15</v>
      </c>
      <c r="I458" s="1">
        <v>1</v>
      </c>
      <c r="J458" s="2">
        <v>301.72000000000003</v>
      </c>
    </row>
    <row r="459" spans="2:10" x14ac:dyDescent="0.2">
      <c r="B459" t="s">
        <v>654</v>
      </c>
      <c r="C459" t="s">
        <v>165</v>
      </c>
      <c r="D459" t="s">
        <v>655</v>
      </c>
      <c r="E459" t="s">
        <v>61</v>
      </c>
      <c r="F459" t="s">
        <v>62</v>
      </c>
      <c r="G459" t="s">
        <v>1034</v>
      </c>
      <c r="H459" t="s">
        <v>15</v>
      </c>
      <c r="I459" s="1">
        <v>1</v>
      </c>
      <c r="J459" s="2">
        <v>172.41</v>
      </c>
    </row>
    <row r="460" spans="2:10" x14ac:dyDescent="0.2">
      <c r="B460" t="s">
        <v>654</v>
      </c>
      <c r="C460" t="s">
        <v>166</v>
      </c>
      <c r="D460" t="s">
        <v>655</v>
      </c>
      <c r="E460" t="s">
        <v>221</v>
      </c>
      <c r="F460" t="s">
        <v>222</v>
      </c>
      <c r="G460" t="s">
        <v>1034</v>
      </c>
      <c r="H460" t="s">
        <v>15</v>
      </c>
      <c r="I460" s="1">
        <v>1</v>
      </c>
      <c r="J460" s="2">
        <v>431.03</v>
      </c>
    </row>
    <row r="461" spans="2:10" x14ac:dyDescent="0.2">
      <c r="B461" t="s">
        <v>654</v>
      </c>
      <c r="C461" t="s">
        <v>186</v>
      </c>
      <c r="D461" t="s">
        <v>655</v>
      </c>
      <c r="E461" t="s">
        <v>122</v>
      </c>
      <c r="F461" t="s">
        <v>123</v>
      </c>
      <c r="G461" t="s">
        <v>1034</v>
      </c>
      <c r="H461" t="s">
        <v>15</v>
      </c>
      <c r="I461" s="1">
        <v>1</v>
      </c>
      <c r="J461" s="2">
        <v>387.93</v>
      </c>
    </row>
    <row r="462" spans="2:10" x14ac:dyDescent="0.2">
      <c r="B462" t="s">
        <v>654</v>
      </c>
      <c r="C462" t="s">
        <v>186</v>
      </c>
      <c r="D462" t="s">
        <v>655</v>
      </c>
      <c r="E462" t="s">
        <v>61</v>
      </c>
      <c r="F462" t="s">
        <v>62</v>
      </c>
      <c r="G462" t="s">
        <v>1034</v>
      </c>
      <c r="H462" t="s">
        <v>15</v>
      </c>
      <c r="I462" s="1">
        <v>3</v>
      </c>
      <c r="J462" s="2">
        <v>517.23</v>
      </c>
    </row>
    <row r="463" spans="2:10" x14ac:dyDescent="0.2">
      <c r="B463" t="s">
        <v>654</v>
      </c>
      <c r="C463" t="s">
        <v>197</v>
      </c>
      <c r="D463" t="s">
        <v>655</v>
      </c>
      <c r="E463" t="s">
        <v>122</v>
      </c>
      <c r="F463" t="s">
        <v>123</v>
      </c>
      <c r="G463" t="s">
        <v>1034</v>
      </c>
      <c r="H463" t="s">
        <v>15</v>
      </c>
      <c r="I463" s="1">
        <v>1</v>
      </c>
      <c r="J463" s="2">
        <v>387.93</v>
      </c>
    </row>
    <row r="464" spans="2:10" x14ac:dyDescent="0.2">
      <c r="B464" t="s">
        <v>654</v>
      </c>
      <c r="C464" t="s">
        <v>197</v>
      </c>
      <c r="D464" t="s">
        <v>655</v>
      </c>
      <c r="E464" t="s">
        <v>61</v>
      </c>
      <c r="F464" t="s">
        <v>62</v>
      </c>
      <c r="G464" t="s">
        <v>1034</v>
      </c>
      <c r="H464" t="s">
        <v>15</v>
      </c>
      <c r="I464" s="1">
        <v>1</v>
      </c>
      <c r="J464" s="2">
        <v>172.41</v>
      </c>
    </row>
    <row r="465" spans="2:10" x14ac:dyDescent="0.2">
      <c r="B465" t="s">
        <v>654</v>
      </c>
      <c r="C465" t="s">
        <v>206</v>
      </c>
      <c r="D465" t="s">
        <v>655</v>
      </c>
      <c r="E465" t="s">
        <v>46</v>
      </c>
      <c r="F465" t="s">
        <v>47</v>
      </c>
      <c r="G465" t="s">
        <v>1034</v>
      </c>
      <c r="H465" t="s">
        <v>15</v>
      </c>
      <c r="I465" s="1">
        <v>1</v>
      </c>
      <c r="J465" s="2">
        <v>301.72000000000003</v>
      </c>
    </row>
    <row r="466" spans="2:10" x14ac:dyDescent="0.2">
      <c r="B466" t="s">
        <v>654</v>
      </c>
      <c r="C466" t="s">
        <v>206</v>
      </c>
      <c r="D466" t="s">
        <v>655</v>
      </c>
      <c r="E466" t="s">
        <v>36</v>
      </c>
      <c r="F466" t="s">
        <v>37</v>
      </c>
      <c r="G466" t="s">
        <v>1034</v>
      </c>
      <c r="H466" t="s">
        <v>15</v>
      </c>
      <c r="I466" s="1">
        <v>1</v>
      </c>
      <c r="J466" s="2">
        <v>301.72000000000003</v>
      </c>
    </row>
    <row r="467" spans="2:10" x14ac:dyDescent="0.2">
      <c r="B467" t="s">
        <v>654</v>
      </c>
      <c r="C467" t="s">
        <v>206</v>
      </c>
      <c r="D467" t="s">
        <v>655</v>
      </c>
      <c r="E467" t="s">
        <v>153</v>
      </c>
      <c r="F467" t="s">
        <v>154</v>
      </c>
      <c r="G467" t="s">
        <v>1034</v>
      </c>
      <c r="H467" t="s">
        <v>15</v>
      </c>
      <c r="I467" s="1">
        <v>1</v>
      </c>
      <c r="J467" s="2">
        <v>387.93</v>
      </c>
    </row>
    <row r="468" spans="2:10" x14ac:dyDescent="0.2">
      <c r="B468" t="s">
        <v>654</v>
      </c>
      <c r="C468" t="s">
        <v>206</v>
      </c>
      <c r="D468" t="s">
        <v>655</v>
      </c>
      <c r="E468" t="s">
        <v>61</v>
      </c>
      <c r="F468" t="s">
        <v>62</v>
      </c>
      <c r="G468" t="s">
        <v>1034</v>
      </c>
      <c r="H468" t="s">
        <v>15</v>
      </c>
      <c r="I468" s="1">
        <v>2</v>
      </c>
      <c r="J468" s="2">
        <v>344.82</v>
      </c>
    </row>
    <row r="469" spans="2:10" x14ac:dyDescent="0.2">
      <c r="B469" t="s">
        <v>654</v>
      </c>
      <c r="C469" t="s">
        <v>220</v>
      </c>
      <c r="D469" t="s">
        <v>655</v>
      </c>
      <c r="E469" t="s">
        <v>63</v>
      </c>
      <c r="F469" t="s">
        <v>64</v>
      </c>
      <c r="G469" t="s">
        <v>1034</v>
      </c>
      <c r="H469" t="s">
        <v>15</v>
      </c>
      <c r="I469" s="1">
        <v>1</v>
      </c>
      <c r="J469" s="2">
        <v>172.41</v>
      </c>
    </row>
    <row r="470" spans="2:10" x14ac:dyDescent="0.2">
      <c r="B470" t="s">
        <v>654</v>
      </c>
      <c r="C470" t="s">
        <v>227</v>
      </c>
      <c r="D470" t="s">
        <v>655</v>
      </c>
      <c r="E470" t="s">
        <v>36</v>
      </c>
      <c r="F470" t="s">
        <v>37</v>
      </c>
      <c r="G470" t="s">
        <v>1034</v>
      </c>
      <c r="H470" t="s">
        <v>15</v>
      </c>
      <c r="I470" s="1">
        <v>1</v>
      </c>
      <c r="J470" s="2">
        <v>301.72000000000003</v>
      </c>
    </row>
    <row r="471" spans="2:10" x14ac:dyDescent="0.2">
      <c r="B471" t="s">
        <v>654</v>
      </c>
      <c r="C471" t="s">
        <v>228</v>
      </c>
      <c r="D471" t="s">
        <v>655</v>
      </c>
      <c r="E471" t="s">
        <v>36</v>
      </c>
      <c r="F471" t="s">
        <v>37</v>
      </c>
      <c r="G471" t="s">
        <v>1034</v>
      </c>
      <c r="H471" t="s">
        <v>15</v>
      </c>
      <c r="I471" s="1">
        <v>1</v>
      </c>
      <c r="J471" s="2">
        <v>301.72000000000003</v>
      </c>
    </row>
    <row r="472" spans="2:10" x14ac:dyDescent="0.2">
      <c r="B472" t="s">
        <v>654</v>
      </c>
      <c r="C472" t="s">
        <v>228</v>
      </c>
      <c r="D472" t="s">
        <v>655</v>
      </c>
      <c r="E472" t="s">
        <v>61</v>
      </c>
      <c r="F472" t="s">
        <v>62</v>
      </c>
      <c r="G472" t="s">
        <v>1034</v>
      </c>
      <c r="H472" t="s">
        <v>15</v>
      </c>
      <c r="I472" s="1">
        <v>1</v>
      </c>
      <c r="J472" s="2">
        <v>172.41</v>
      </c>
    </row>
    <row r="473" spans="2:10" x14ac:dyDescent="0.2">
      <c r="B473" t="s">
        <v>654</v>
      </c>
      <c r="C473" t="s">
        <v>233</v>
      </c>
      <c r="D473" t="s">
        <v>655</v>
      </c>
      <c r="E473" t="s">
        <v>36</v>
      </c>
      <c r="F473" t="s">
        <v>37</v>
      </c>
      <c r="G473" t="s">
        <v>1034</v>
      </c>
      <c r="H473" t="s">
        <v>15</v>
      </c>
      <c r="I473" s="1">
        <v>1</v>
      </c>
      <c r="J473" s="2">
        <v>301.72000000000003</v>
      </c>
    </row>
    <row r="474" spans="2:10" x14ac:dyDescent="0.2">
      <c r="B474" t="s">
        <v>654</v>
      </c>
      <c r="C474" t="s">
        <v>236</v>
      </c>
      <c r="D474" t="s">
        <v>655</v>
      </c>
      <c r="E474" t="s">
        <v>214</v>
      </c>
      <c r="F474" t="s">
        <v>215</v>
      </c>
      <c r="G474" t="s">
        <v>1034</v>
      </c>
      <c r="H474" t="s">
        <v>15</v>
      </c>
      <c r="I474" s="1">
        <v>1</v>
      </c>
      <c r="J474" s="2">
        <v>301.72000000000003</v>
      </c>
    </row>
    <row r="475" spans="2:10" x14ac:dyDescent="0.2">
      <c r="B475" t="s">
        <v>654</v>
      </c>
      <c r="C475" t="s">
        <v>236</v>
      </c>
      <c r="D475" t="s">
        <v>655</v>
      </c>
      <c r="E475" t="s">
        <v>83</v>
      </c>
      <c r="F475" t="s">
        <v>84</v>
      </c>
      <c r="G475" t="s">
        <v>1034</v>
      </c>
      <c r="H475" t="s">
        <v>15</v>
      </c>
      <c r="I475" s="1">
        <v>1</v>
      </c>
      <c r="J475" s="2">
        <v>387.93</v>
      </c>
    </row>
    <row r="476" spans="2:10" x14ac:dyDescent="0.2">
      <c r="B476" t="s">
        <v>654</v>
      </c>
      <c r="C476" t="s">
        <v>236</v>
      </c>
      <c r="D476" t="s">
        <v>655</v>
      </c>
      <c r="E476" t="s">
        <v>61</v>
      </c>
      <c r="F476" t="s">
        <v>62</v>
      </c>
      <c r="G476" t="s">
        <v>1034</v>
      </c>
      <c r="H476" t="s">
        <v>15</v>
      </c>
      <c r="I476" s="1">
        <v>1</v>
      </c>
      <c r="J476" s="2">
        <v>172.41</v>
      </c>
    </row>
    <row r="477" spans="2:10" x14ac:dyDescent="0.2">
      <c r="B477" t="s">
        <v>654</v>
      </c>
      <c r="C477" t="s">
        <v>236</v>
      </c>
      <c r="D477" t="s">
        <v>655</v>
      </c>
      <c r="E477" t="s">
        <v>63</v>
      </c>
      <c r="F477" t="s">
        <v>64</v>
      </c>
      <c r="G477" t="s">
        <v>1034</v>
      </c>
      <c r="H477" t="s">
        <v>15</v>
      </c>
      <c r="I477" s="1">
        <v>1</v>
      </c>
      <c r="J477" s="2">
        <v>172.41</v>
      </c>
    </row>
    <row r="478" spans="2:10" x14ac:dyDescent="0.2">
      <c r="B478" t="s">
        <v>654</v>
      </c>
      <c r="C478" t="s">
        <v>237</v>
      </c>
      <c r="D478" t="s">
        <v>655</v>
      </c>
      <c r="E478" t="s">
        <v>36</v>
      </c>
      <c r="F478" t="s">
        <v>37</v>
      </c>
      <c r="G478" t="s">
        <v>1034</v>
      </c>
      <c r="H478" t="s">
        <v>15</v>
      </c>
      <c r="I478" s="1">
        <v>1</v>
      </c>
      <c r="J478" s="2">
        <v>301.72000000000003</v>
      </c>
    </row>
    <row r="479" spans="2:10" x14ac:dyDescent="0.2">
      <c r="B479" t="s">
        <v>654</v>
      </c>
      <c r="C479" t="s">
        <v>237</v>
      </c>
      <c r="D479" t="s">
        <v>655</v>
      </c>
      <c r="E479" t="s">
        <v>153</v>
      </c>
      <c r="F479" t="s">
        <v>154</v>
      </c>
      <c r="G479" t="s">
        <v>1034</v>
      </c>
      <c r="H479" t="s">
        <v>15</v>
      </c>
      <c r="I479" s="1">
        <v>1</v>
      </c>
      <c r="J479" s="2">
        <v>387.93</v>
      </c>
    </row>
    <row r="480" spans="2:10" x14ac:dyDescent="0.2">
      <c r="B480" t="s">
        <v>654</v>
      </c>
      <c r="C480" t="s">
        <v>237</v>
      </c>
      <c r="D480" t="s">
        <v>655</v>
      </c>
      <c r="E480" t="s">
        <v>61</v>
      </c>
      <c r="F480" t="s">
        <v>62</v>
      </c>
      <c r="G480" t="s">
        <v>1034</v>
      </c>
      <c r="H480" t="s">
        <v>15</v>
      </c>
      <c r="I480" s="1">
        <v>1</v>
      </c>
      <c r="J480" s="2">
        <v>172.41</v>
      </c>
    </row>
    <row r="481" spans="2:10" x14ac:dyDescent="0.2">
      <c r="B481" t="s">
        <v>654</v>
      </c>
      <c r="C481" t="s">
        <v>248</v>
      </c>
      <c r="D481" t="s">
        <v>655</v>
      </c>
      <c r="E481" t="s">
        <v>36</v>
      </c>
      <c r="F481" t="s">
        <v>37</v>
      </c>
      <c r="G481" t="s">
        <v>1034</v>
      </c>
      <c r="H481" t="s">
        <v>15</v>
      </c>
      <c r="I481" s="1">
        <v>2</v>
      </c>
      <c r="J481" s="2">
        <v>603.44000000000005</v>
      </c>
    </row>
    <row r="482" spans="2:10" x14ac:dyDescent="0.2">
      <c r="B482" t="s">
        <v>654</v>
      </c>
      <c r="C482" t="s">
        <v>248</v>
      </c>
      <c r="D482" t="s">
        <v>655</v>
      </c>
      <c r="E482" t="s">
        <v>61</v>
      </c>
      <c r="F482" t="s">
        <v>62</v>
      </c>
      <c r="G482" t="s">
        <v>1034</v>
      </c>
      <c r="H482" t="s">
        <v>15</v>
      </c>
      <c r="I482" s="1">
        <v>3</v>
      </c>
      <c r="J482" s="2">
        <v>517.23</v>
      </c>
    </row>
    <row r="483" spans="2:10" x14ac:dyDescent="0.2">
      <c r="B483" t="s">
        <v>690</v>
      </c>
      <c r="C483" t="s">
        <v>10</v>
      </c>
      <c r="D483" t="s">
        <v>691</v>
      </c>
      <c r="E483" t="s">
        <v>61</v>
      </c>
      <c r="F483" t="s">
        <v>62</v>
      </c>
      <c r="G483" t="s">
        <v>1034</v>
      </c>
      <c r="H483" t="s">
        <v>15</v>
      </c>
      <c r="I483" s="1">
        <v>2</v>
      </c>
      <c r="J483" s="2">
        <v>344.82</v>
      </c>
    </row>
    <row r="484" spans="2:10" x14ac:dyDescent="0.2">
      <c r="B484" t="s">
        <v>690</v>
      </c>
      <c r="C484" t="s">
        <v>18</v>
      </c>
      <c r="D484" t="s">
        <v>691</v>
      </c>
      <c r="E484" t="s">
        <v>221</v>
      </c>
      <c r="F484" t="s">
        <v>222</v>
      </c>
      <c r="G484" t="s">
        <v>1034</v>
      </c>
      <c r="H484" t="s">
        <v>15</v>
      </c>
      <c r="I484" s="1">
        <v>1</v>
      </c>
      <c r="J484" s="2">
        <v>431.03</v>
      </c>
    </row>
    <row r="485" spans="2:10" x14ac:dyDescent="0.2">
      <c r="B485" t="s">
        <v>690</v>
      </c>
      <c r="C485" t="s">
        <v>40</v>
      </c>
      <c r="D485" t="s">
        <v>691</v>
      </c>
      <c r="E485" t="s">
        <v>72</v>
      </c>
      <c r="F485" t="s">
        <v>73</v>
      </c>
      <c r="G485" t="s">
        <v>1034</v>
      </c>
      <c r="H485" t="s">
        <v>15</v>
      </c>
      <c r="I485" s="1">
        <v>1</v>
      </c>
      <c r="J485" s="2">
        <v>775.86</v>
      </c>
    </row>
    <row r="486" spans="2:10" x14ac:dyDescent="0.2">
      <c r="B486" t="s">
        <v>690</v>
      </c>
      <c r="C486" t="s">
        <v>40</v>
      </c>
      <c r="D486" t="s">
        <v>691</v>
      </c>
      <c r="E486" t="s">
        <v>336</v>
      </c>
      <c r="F486" t="s">
        <v>337</v>
      </c>
      <c r="G486" t="s">
        <v>1034</v>
      </c>
      <c r="H486" t="s">
        <v>15</v>
      </c>
      <c r="I486" s="1">
        <v>1</v>
      </c>
      <c r="J486" s="2">
        <v>387.93</v>
      </c>
    </row>
    <row r="487" spans="2:10" x14ac:dyDescent="0.2">
      <c r="B487" t="s">
        <v>690</v>
      </c>
      <c r="C487" t="s">
        <v>40</v>
      </c>
      <c r="D487" t="s">
        <v>691</v>
      </c>
      <c r="E487" t="s">
        <v>38</v>
      </c>
      <c r="F487" t="s">
        <v>39</v>
      </c>
      <c r="G487" t="s">
        <v>1034</v>
      </c>
      <c r="H487" t="s">
        <v>15</v>
      </c>
      <c r="I487" s="1">
        <v>1</v>
      </c>
      <c r="J487" s="2">
        <v>431.03</v>
      </c>
    </row>
    <row r="488" spans="2:10" x14ac:dyDescent="0.2">
      <c r="B488" t="s">
        <v>690</v>
      </c>
      <c r="C488" t="s">
        <v>40</v>
      </c>
      <c r="D488" t="s">
        <v>691</v>
      </c>
      <c r="E488" t="s">
        <v>163</v>
      </c>
      <c r="F488" t="s">
        <v>164</v>
      </c>
      <c r="G488" t="s">
        <v>1034</v>
      </c>
      <c r="H488" t="s">
        <v>15</v>
      </c>
      <c r="I488" s="1">
        <v>1</v>
      </c>
      <c r="J488" s="2">
        <v>431.03</v>
      </c>
    </row>
    <row r="489" spans="2:10" x14ac:dyDescent="0.2">
      <c r="B489" t="s">
        <v>690</v>
      </c>
      <c r="C489" t="s">
        <v>40</v>
      </c>
      <c r="D489" t="s">
        <v>691</v>
      </c>
      <c r="E489" t="s">
        <v>61</v>
      </c>
      <c r="F489" t="s">
        <v>62</v>
      </c>
      <c r="G489" t="s">
        <v>1034</v>
      </c>
      <c r="H489" t="s">
        <v>15</v>
      </c>
      <c r="I489" s="1">
        <v>5</v>
      </c>
      <c r="J489" s="2">
        <v>862.05</v>
      </c>
    </row>
    <row r="490" spans="2:10" x14ac:dyDescent="0.2">
      <c r="B490" t="s">
        <v>690</v>
      </c>
      <c r="C490" t="s">
        <v>40</v>
      </c>
      <c r="D490" t="s">
        <v>691</v>
      </c>
      <c r="E490" t="s">
        <v>63</v>
      </c>
      <c r="F490" t="s">
        <v>64</v>
      </c>
      <c r="G490" t="s">
        <v>1034</v>
      </c>
      <c r="H490" t="s">
        <v>15</v>
      </c>
      <c r="I490" s="1">
        <v>4</v>
      </c>
      <c r="J490" s="2">
        <v>689.64</v>
      </c>
    </row>
    <row r="491" spans="2:10" x14ac:dyDescent="0.2">
      <c r="B491" t="s">
        <v>690</v>
      </c>
      <c r="C491" t="s">
        <v>51</v>
      </c>
      <c r="D491" t="s">
        <v>691</v>
      </c>
      <c r="E491" t="s">
        <v>72</v>
      </c>
      <c r="F491" t="s">
        <v>73</v>
      </c>
      <c r="G491" t="s">
        <v>1034</v>
      </c>
      <c r="H491" t="s">
        <v>15</v>
      </c>
      <c r="I491" s="1">
        <v>1</v>
      </c>
      <c r="J491" s="2">
        <v>775.86</v>
      </c>
    </row>
    <row r="492" spans="2:10" x14ac:dyDescent="0.2">
      <c r="B492" t="s">
        <v>690</v>
      </c>
      <c r="C492" t="s">
        <v>51</v>
      </c>
      <c r="D492" t="s">
        <v>691</v>
      </c>
      <c r="E492" t="s">
        <v>63</v>
      </c>
      <c r="F492" t="s">
        <v>64</v>
      </c>
      <c r="G492" t="s">
        <v>1034</v>
      </c>
      <c r="H492" t="s">
        <v>15</v>
      </c>
      <c r="I492" s="1">
        <v>1</v>
      </c>
      <c r="J492" s="2">
        <v>172.41</v>
      </c>
    </row>
    <row r="493" spans="2:10" x14ac:dyDescent="0.2">
      <c r="B493" t="s">
        <v>690</v>
      </c>
      <c r="C493" t="s">
        <v>65</v>
      </c>
      <c r="D493" t="s">
        <v>691</v>
      </c>
      <c r="E493" t="s">
        <v>36</v>
      </c>
      <c r="F493" t="s">
        <v>37</v>
      </c>
      <c r="G493" t="s">
        <v>1034</v>
      </c>
      <c r="H493" t="s">
        <v>15</v>
      </c>
      <c r="I493" s="1">
        <v>1</v>
      </c>
      <c r="J493" s="2">
        <v>301.72000000000003</v>
      </c>
    </row>
    <row r="494" spans="2:10" x14ac:dyDescent="0.2">
      <c r="B494" t="s">
        <v>690</v>
      </c>
      <c r="C494" t="s">
        <v>82</v>
      </c>
      <c r="D494" t="s">
        <v>691</v>
      </c>
      <c r="E494" t="s">
        <v>46</v>
      </c>
      <c r="F494" t="s">
        <v>47</v>
      </c>
      <c r="G494" t="s">
        <v>1034</v>
      </c>
      <c r="H494" t="s">
        <v>15</v>
      </c>
      <c r="I494" s="1">
        <v>1</v>
      </c>
      <c r="J494" s="2">
        <v>301.72000000000003</v>
      </c>
    </row>
    <row r="495" spans="2:10" x14ac:dyDescent="0.2">
      <c r="B495" t="s">
        <v>690</v>
      </c>
      <c r="C495" t="s">
        <v>82</v>
      </c>
      <c r="D495" t="s">
        <v>691</v>
      </c>
      <c r="E495" t="s">
        <v>120</v>
      </c>
      <c r="F495" t="s">
        <v>121</v>
      </c>
      <c r="G495" t="s">
        <v>1034</v>
      </c>
      <c r="H495" t="s">
        <v>15</v>
      </c>
      <c r="I495" s="1">
        <v>1</v>
      </c>
      <c r="J495" s="2">
        <v>301.72000000000003</v>
      </c>
    </row>
    <row r="496" spans="2:10" x14ac:dyDescent="0.2">
      <c r="B496" t="s">
        <v>690</v>
      </c>
      <c r="C496" t="s">
        <v>82</v>
      </c>
      <c r="D496" t="s">
        <v>691</v>
      </c>
      <c r="E496" t="s">
        <v>36</v>
      </c>
      <c r="F496" t="s">
        <v>37</v>
      </c>
      <c r="G496" t="s">
        <v>1034</v>
      </c>
      <c r="H496" t="s">
        <v>15</v>
      </c>
      <c r="I496" s="1">
        <v>2</v>
      </c>
      <c r="J496" s="2">
        <v>603.44000000000005</v>
      </c>
    </row>
    <row r="497" spans="2:10" x14ac:dyDescent="0.2">
      <c r="B497" t="s">
        <v>690</v>
      </c>
      <c r="C497" t="s">
        <v>82</v>
      </c>
      <c r="D497" t="s">
        <v>691</v>
      </c>
      <c r="E497" t="s">
        <v>72</v>
      </c>
      <c r="F497" t="s">
        <v>73</v>
      </c>
      <c r="G497" t="s">
        <v>1034</v>
      </c>
      <c r="H497" t="s">
        <v>15</v>
      </c>
      <c r="I497" s="1">
        <v>1</v>
      </c>
      <c r="J497" s="2">
        <v>775.86</v>
      </c>
    </row>
    <row r="498" spans="2:10" x14ac:dyDescent="0.2">
      <c r="B498" t="s">
        <v>690</v>
      </c>
      <c r="C498" t="s">
        <v>82</v>
      </c>
      <c r="D498" t="s">
        <v>691</v>
      </c>
      <c r="E498" t="s">
        <v>56</v>
      </c>
      <c r="F498" t="s">
        <v>57</v>
      </c>
      <c r="G498" t="s">
        <v>1034</v>
      </c>
      <c r="H498" t="s">
        <v>15</v>
      </c>
      <c r="I498" s="1">
        <v>1</v>
      </c>
      <c r="J498" s="2">
        <v>431.03</v>
      </c>
    </row>
    <row r="499" spans="2:10" x14ac:dyDescent="0.2">
      <c r="B499" t="s">
        <v>690</v>
      </c>
      <c r="C499" t="s">
        <v>82</v>
      </c>
      <c r="D499" t="s">
        <v>691</v>
      </c>
      <c r="E499" t="s">
        <v>193</v>
      </c>
      <c r="F499" t="s">
        <v>194</v>
      </c>
      <c r="G499" t="s">
        <v>1034</v>
      </c>
      <c r="H499" t="s">
        <v>15</v>
      </c>
      <c r="I499" s="1">
        <v>1</v>
      </c>
      <c r="J499" s="2">
        <v>1293.0999999999999</v>
      </c>
    </row>
    <row r="500" spans="2:10" x14ac:dyDescent="0.2">
      <c r="B500" t="s">
        <v>690</v>
      </c>
      <c r="C500" t="s">
        <v>117</v>
      </c>
      <c r="D500" t="s">
        <v>691</v>
      </c>
      <c r="E500" t="s">
        <v>12</v>
      </c>
      <c r="F500" t="s">
        <v>13</v>
      </c>
      <c r="G500" t="s">
        <v>1034</v>
      </c>
      <c r="H500" t="s">
        <v>15</v>
      </c>
      <c r="I500" s="1">
        <v>1</v>
      </c>
      <c r="J500" s="2">
        <v>1077.5899999999999</v>
      </c>
    </row>
    <row r="501" spans="2:10" x14ac:dyDescent="0.2">
      <c r="B501" t="s">
        <v>690</v>
      </c>
      <c r="C501" t="s">
        <v>117</v>
      </c>
      <c r="D501" t="s">
        <v>691</v>
      </c>
      <c r="E501" t="s">
        <v>63</v>
      </c>
      <c r="F501" t="s">
        <v>64</v>
      </c>
      <c r="G501" t="s">
        <v>1034</v>
      </c>
      <c r="H501" t="s">
        <v>15</v>
      </c>
      <c r="I501" s="1">
        <v>1</v>
      </c>
      <c r="J501" s="2">
        <v>172.41</v>
      </c>
    </row>
    <row r="502" spans="2:10" x14ac:dyDescent="0.2">
      <c r="B502" t="s">
        <v>690</v>
      </c>
      <c r="C502" t="s">
        <v>141</v>
      </c>
      <c r="D502" t="s">
        <v>691</v>
      </c>
      <c r="E502" t="s">
        <v>122</v>
      </c>
      <c r="F502" t="s">
        <v>123</v>
      </c>
      <c r="G502" t="s">
        <v>1034</v>
      </c>
      <c r="H502" t="s">
        <v>15</v>
      </c>
      <c r="I502" s="1">
        <v>1</v>
      </c>
      <c r="J502" s="2">
        <v>387.93</v>
      </c>
    </row>
    <row r="503" spans="2:10" x14ac:dyDescent="0.2">
      <c r="B503" t="s">
        <v>690</v>
      </c>
      <c r="C503" t="s">
        <v>141</v>
      </c>
      <c r="D503" t="s">
        <v>691</v>
      </c>
      <c r="E503" t="s">
        <v>63</v>
      </c>
      <c r="F503" t="s">
        <v>64</v>
      </c>
      <c r="G503" t="s">
        <v>1034</v>
      </c>
      <c r="H503" t="s">
        <v>15</v>
      </c>
      <c r="I503" s="1">
        <v>1</v>
      </c>
      <c r="J503" s="2">
        <v>172.41</v>
      </c>
    </row>
    <row r="504" spans="2:10" x14ac:dyDescent="0.2">
      <c r="B504" t="s">
        <v>690</v>
      </c>
      <c r="C504" t="s">
        <v>144</v>
      </c>
      <c r="D504" t="s">
        <v>691</v>
      </c>
      <c r="E504" t="s">
        <v>56</v>
      </c>
      <c r="F504" t="s">
        <v>57</v>
      </c>
      <c r="G504" t="s">
        <v>1034</v>
      </c>
      <c r="H504" t="s">
        <v>15</v>
      </c>
      <c r="I504" s="1">
        <v>1</v>
      </c>
      <c r="J504" s="2">
        <v>431.03</v>
      </c>
    </row>
    <row r="505" spans="2:10" x14ac:dyDescent="0.2">
      <c r="B505" t="s">
        <v>690</v>
      </c>
      <c r="C505" t="s">
        <v>144</v>
      </c>
      <c r="D505" t="s">
        <v>691</v>
      </c>
      <c r="E505" t="s">
        <v>63</v>
      </c>
      <c r="F505" t="s">
        <v>64</v>
      </c>
      <c r="G505" t="s">
        <v>1034</v>
      </c>
      <c r="H505" t="s">
        <v>15</v>
      </c>
      <c r="I505" s="1">
        <v>2</v>
      </c>
      <c r="J505" s="2">
        <v>344.82</v>
      </c>
    </row>
    <row r="506" spans="2:10" x14ac:dyDescent="0.2">
      <c r="B506" t="s">
        <v>690</v>
      </c>
      <c r="C506" t="s">
        <v>166</v>
      </c>
      <c r="D506" t="s">
        <v>691</v>
      </c>
      <c r="E506" t="s">
        <v>221</v>
      </c>
      <c r="F506" t="s">
        <v>222</v>
      </c>
      <c r="G506" t="s">
        <v>1034</v>
      </c>
      <c r="H506" t="s">
        <v>15</v>
      </c>
      <c r="I506" s="1">
        <v>1</v>
      </c>
      <c r="J506" s="2">
        <v>431.03</v>
      </c>
    </row>
    <row r="507" spans="2:10" x14ac:dyDescent="0.2">
      <c r="B507" t="s">
        <v>690</v>
      </c>
      <c r="C507" t="s">
        <v>166</v>
      </c>
      <c r="D507" t="s">
        <v>691</v>
      </c>
      <c r="E507" t="s">
        <v>36</v>
      </c>
      <c r="F507" t="s">
        <v>37</v>
      </c>
      <c r="G507" t="s">
        <v>1034</v>
      </c>
      <c r="H507" t="s">
        <v>15</v>
      </c>
      <c r="I507" s="1">
        <v>1</v>
      </c>
      <c r="J507" s="2">
        <v>301.72000000000003</v>
      </c>
    </row>
    <row r="508" spans="2:10" x14ac:dyDescent="0.2">
      <c r="B508" t="s">
        <v>690</v>
      </c>
      <c r="C508" t="s">
        <v>166</v>
      </c>
      <c r="D508" t="s">
        <v>691</v>
      </c>
      <c r="E508" t="s">
        <v>122</v>
      </c>
      <c r="F508" t="s">
        <v>123</v>
      </c>
      <c r="G508" t="s">
        <v>1034</v>
      </c>
      <c r="H508" t="s">
        <v>15</v>
      </c>
      <c r="I508" s="1">
        <v>1</v>
      </c>
      <c r="J508" s="2">
        <v>387.93</v>
      </c>
    </row>
    <row r="509" spans="2:10" x14ac:dyDescent="0.2">
      <c r="B509" t="s">
        <v>690</v>
      </c>
      <c r="C509" t="s">
        <v>166</v>
      </c>
      <c r="D509" t="s">
        <v>691</v>
      </c>
      <c r="E509" t="s">
        <v>153</v>
      </c>
      <c r="F509" t="s">
        <v>154</v>
      </c>
      <c r="G509" t="s">
        <v>1034</v>
      </c>
      <c r="H509" t="s">
        <v>15</v>
      </c>
      <c r="I509" s="1">
        <v>1</v>
      </c>
      <c r="J509" s="2">
        <v>387.93</v>
      </c>
    </row>
    <row r="510" spans="2:10" x14ac:dyDescent="0.2">
      <c r="B510" t="s">
        <v>690</v>
      </c>
      <c r="C510" t="s">
        <v>166</v>
      </c>
      <c r="D510" t="s">
        <v>691</v>
      </c>
      <c r="E510" t="s">
        <v>63</v>
      </c>
      <c r="F510" t="s">
        <v>64</v>
      </c>
      <c r="G510" t="s">
        <v>1034</v>
      </c>
      <c r="H510" t="s">
        <v>15</v>
      </c>
      <c r="I510" s="1">
        <v>1</v>
      </c>
      <c r="J510" s="2">
        <v>172.41</v>
      </c>
    </row>
    <row r="511" spans="2:10" x14ac:dyDescent="0.2">
      <c r="B511" t="s">
        <v>690</v>
      </c>
      <c r="C511" t="s">
        <v>335</v>
      </c>
      <c r="D511" t="s">
        <v>691</v>
      </c>
      <c r="E511" t="s">
        <v>72</v>
      </c>
      <c r="F511" t="s">
        <v>73</v>
      </c>
      <c r="G511" t="s">
        <v>1034</v>
      </c>
      <c r="H511" t="s">
        <v>15</v>
      </c>
      <c r="I511" s="1">
        <v>1</v>
      </c>
      <c r="J511" s="2">
        <v>775.86</v>
      </c>
    </row>
    <row r="512" spans="2:10" x14ac:dyDescent="0.2">
      <c r="B512" t="s">
        <v>690</v>
      </c>
      <c r="C512" t="s">
        <v>335</v>
      </c>
      <c r="D512" t="s">
        <v>691</v>
      </c>
      <c r="E512" t="s">
        <v>38</v>
      </c>
      <c r="F512" t="s">
        <v>39</v>
      </c>
      <c r="G512" t="s">
        <v>1034</v>
      </c>
      <c r="H512" t="s">
        <v>15</v>
      </c>
      <c r="I512" s="1">
        <v>1</v>
      </c>
      <c r="J512" s="2">
        <v>431.03</v>
      </c>
    </row>
    <row r="513" spans="2:10" x14ac:dyDescent="0.2">
      <c r="B513" t="s">
        <v>690</v>
      </c>
      <c r="C513" t="s">
        <v>335</v>
      </c>
      <c r="D513" t="s">
        <v>691</v>
      </c>
      <c r="E513" t="s">
        <v>61</v>
      </c>
      <c r="F513" t="s">
        <v>62</v>
      </c>
      <c r="G513" t="s">
        <v>1034</v>
      </c>
      <c r="H513" t="s">
        <v>15</v>
      </c>
      <c r="I513" s="1">
        <v>1</v>
      </c>
      <c r="J513" s="2">
        <v>172.41</v>
      </c>
    </row>
    <row r="514" spans="2:10" x14ac:dyDescent="0.2">
      <c r="B514" t="s">
        <v>690</v>
      </c>
      <c r="C514" t="s">
        <v>335</v>
      </c>
      <c r="D514" t="s">
        <v>691</v>
      </c>
      <c r="E514" t="s">
        <v>63</v>
      </c>
      <c r="F514" t="s">
        <v>64</v>
      </c>
      <c r="G514" t="s">
        <v>1034</v>
      </c>
      <c r="H514" t="s">
        <v>15</v>
      </c>
      <c r="I514" s="1">
        <v>1</v>
      </c>
      <c r="J514" s="2">
        <v>172.41</v>
      </c>
    </row>
    <row r="515" spans="2:10" x14ac:dyDescent="0.2">
      <c r="B515" t="s">
        <v>690</v>
      </c>
      <c r="C515" t="s">
        <v>197</v>
      </c>
      <c r="D515" t="s">
        <v>691</v>
      </c>
      <c r="E515" t="s">
        <v>12</v>
      </c>
      <c r="F515" t="s">
        <v>13</v>
      </c>
      <c r="G515" t="s">
        <v>1034</v>
      </c>
      <c r="H515" t="s">
        <v>15</v>
      </c>
      <c r="I515" s="1">
        <v>2</v>
      </c>
      <c r="J515" s="2">
        <v>2155.1799999999998</v>
      </c>
    </row>
    <row r="516" spans="2:10" x14ac:dyDescent="0.2">
      <c r="B516" t="s">
        <v>690</v>
      </c>
      <c r="C516" t="s">
        <v>197</v>
      </c>
      <c r="D516" t="s">
        <v>691</v>
      </c>
      <c r="E516" t="s">
        <v>72</v>
      </c>
      <c r="F516" t="s">
        <v>73</v>
      </c>
      <c r="G516" t="s">
        <v>1034</v>
      </c>
      <c r="H516" t="s">
        <v>15</v>
      </c>
      <c r="I516" s="1">
        <v>1</v>
      </c>
      <c r="J516" s="2">
        <v>775.86</v>
      </c>
    </row>
    <row r="517" spans="2:10" x14ac:dyDescent="0.2">
      <c r="B517" t="s">
        <v>690</v>
      </c>
      <c r="C517" t="s">
        <v>197</v>
      </c>
      <c r="D517" t="s">
        <v>691</v>
      </c>
      <c r="E517" t="s">
        <v>38</v>
      </c>
      <c r="F517" t="s">
        <v>39</v>
      </c>
      <c r="G517" t="s">
        <v>1034</v>
      </c>
      <c r="H517" t="s">
        <v>15</v>
      </c>
      <c r="I517" s="1">
        <v>4</v>
      </c>
      <c r="J517" s="2">
        <v>1724.12</v>
      </c>
    </row>
    <row r="518" spans="2:10" x14ac:dyDescent="0.2">
      <c r="B518" t="s">
        <v>690</v>
      </c>
      <c r="C518" t="s">
        <v>197</v>
      </c>
      <c r="D518" t="s">
        <v>691</v>
      </c>
      <c r="E518" t="s">
        <v>61</v>
      </c>
      <c r="F518" t="s">
        <v>62</v>
      </c>
      <c r="G518" t="s">
        <v>1034</v>
      </c>
      <c r="H518" t="s">
        <v>15</v>
      </c>
      <c r="I518" s="1">
        <v>3</v>
      </c>
      <c r="J518" s="2">
        <v>517.23</v>
      </c>
    </row>
    <row r="519" spans="2:10" x14ac:dyDescent="0.2">
      <c r="B519" t="s">
        <v>690</v>
      </c>
      <c r="C519" t="s">
        <v>197</v>
      </c>
      <c r="D519" t="s">
        <v>691</v>
      </c>
      <c r="E519" t="s">
        <v>63</v>
      </c>
      <c r="F519" t="s">
        <v>64</v>
      </c>
      <c r="G519" t="s">
        <v>1034</v>
      </c>
      <c r="H519" t="s">
        <v>15</v>
      </c>
      <c r="I519" s="1">
        <v>3</v>
      </c>
      <c r="J519" s="2">
        <v>517.23</v>
      </c>
    </row>
    <row r="520" spans="2:10" x14ac:dyDescent="0.2">
      <c r="B520" t="s">
        <v>690</v>
      </c>
      <c r="C520" t="s">
        <v>206</v>
      </c>
      <c r="D520" t="s">
        <v>691</v>
      </c>
      <c r="E520" t="s">
        <v>38</v>
      </c>
      <c r="F520" t="s">
        <v>39</v>
      </c>
      <c r="G520" t="s">
        <v>1034</v>
      </c>
      <c r="H520" t="s">
        <v>15</v>
      </c>
      <c r="I520" s="1">
        <v>1</v>
      </c>
      <c r="J520" s="2">
        <v>431.03</v>
      </c>
    </row>
    <row r="521" spans="2:10" x14ac:dyDescent="0.2">
      <c r="B521" t="s">
        <v>690</v>
      </c>
      <c r="C521" t="s">
        <v>227</v>
      </c>
      <c r="D521" t="s">
        <v>691</v>
      </c>
      <c r="E521" t="s">
        <v>36</v>
      </c>
      <c r="F521" t="s">
        <v>37</v>
      </c>
      <c r="G521" t="s">
        <v>1034</v>
      </c>
      <c r="H521" t="s">
        <v>15</v>
      </c>
      <c r="I521" s="1">
        <v>1</v>
      </c>
      <c r="J521" s="2">
        <v>301.72000000000003</v>
      </c>
    </row>
    <row r="522" spans="2:10" x14ac:dyDescent="0.2">
      <c r="B522" t="s">
        <v>690</v>
      </c>
      <c r="C522" t="s">
        <v>227</v>
      </c>
      <c r="D522" t="s">
        <v>691</v>
      </c>
      <c r="E522" t="s">
        <v>72</v>
      </c>
      <c r="F522" t="s">
        <v>73</v>
      </c>
      <c r="G522" t="s">
        <v>1034</v>
      </c>
      <c r="H522" t="s">
        <v>15</v>
      </c>
      <c r="I522" s="1">
        <v>1</v>
      </c>
      <c r="J522" s="2">
        <v>775.86</v>
      </c>
    </row>
    <row r="523" spans="2:10" x14ac:dyDescent="0.2">
      <c r="B523" t="s">
        <v>690</v>
      </c>
      <c r="C523" t="s">
        <v>227</v>
      </c>
      <c r="D523" t="s">
        <v>691</v>
      </c>
      <c r="E523" t="s">
        <v>56</v>
      </c>
      <c r="F523" t="s">
        <v>57</v>
      </c>
      <c r="G523" t="s">
        <v>1034</v>
      </c>
      <c r="H523" t="s">
        <v>15</v>
      </c>
      <c r="I523" s="1">
        <v>20</v>
      </c>
      <c r="J523" s="2">
        <v>8620.69</v>
      </c>
    </row>
    <row r="524" spans="2:10" x14ac:dyDescent="0.2">
      <c r="B524" t="s">
        <v>690</v>
      </c>
      <c r="C524" t="s">
        <v>228</v>
      </c>
      <c r="D524" t="s">
        <v>691</v>
      </c>
      <c r="E524" t="s">
        <v>122</v>
      </c>
      <c r="F524" t="s">
        <v>123</v>
      </c>
      <c r="G524" t="s">
        <v>1034</v>
      </c>
      <c r="H524" t="s">
        <v>15</v>
      </c>
      <c r="I524" s="1">
        <v>1</v>
      </c>
      <c r="J524" s="2">
        <v>387.93</v>
      </c>
    </row>
    <row r="525" spans="2:10" x14ac:dyDescent="0.2">
      <c r="B525" t="s">
        <v>690</v>
      </c>
      <c r="C525" t="s">
        <v>228</v>
      </c>
      <c r="D525" t="s">
        <v>691</v>
      </c>
      <c r="E525" t="s">
        <v>61</v>
      </c>
      <c r="F525" t="s">
        <v>62</v>
      </c>
      <c r="G525" t="s">
        <v>1034</v>
      </c>
      <c r="H525" t="s">
        <v>15</v>
      </c>
      <c r="I525" s="1">
        <v>1</v>
      </c>
      <c r="J525" s="2">
        <v>172.41</v>
      </c>
    </row>
    <row r="526" spans="2:10" x14ac:dyDescent="0.2">
      <c r="B526" t="s">
        <v>690</v>
      </c>
      <c r="C526" t="s">
        <v>228</v>
      </c>
      <c r="D526" t="s">
        <v>691</v>
      </c>
      <c r="E526" t="s">
        <v>63</v>
      </c>
      <c r="F526" t="s">
        <v>64</v>
      </c>
      <c r="G526" t="s">
        <v>1034</v>
      </c>
      <c r="H526" t="s">
        <v>15</v>
      </c>
      <c r="I526" s="1">
        <v>1</v>
      </c>
      <c r="J526" s="2">
        <v>172.41</v>
      </c>
    </row>
    <row r="527" spans="2:10" x14ac:dyDescent="0.2">
      <c r="B527" t="s">
        <v>690</v>
      </c>
      <c r="C527" t="s">
        <v>237</v>
      </c>
      <c r="D527" t="s">
        <v>691</v>
      </c>
      <c r="E527" t="s">
        <v>36</v>
      </c>
      <c r="F527" t="s">
        <v>37</v>
      </c>
      <c r="G527" t="s">
        <v>1034</v>
      </c>
      <c r="H527" t="s">
        <v>15</v>
      </c>
      <c r="I527" s="1">
        <v>1</v>
      </c>
      <c r="J527" s="2">
        <v>301.72000000000003</v>
      </c>
    </row>
    <row r="528" spans="2:10" x14ac:dyDescent="0.2">
      <c r="B528" t="s">
        <v>690</v>
      </c>
      <c r="C528" t="s">
        <v>237</v>
      </c>
      <c r="D528" t="s">
        <v>691</v>
      </c>
      <c r="E528" t="s">
        <v>38</v>
      </c>
      <c r="F528" t="s">
        <v>39</v>
      </c>
      <c r="G528" t="s">
        <v>1034</v>
      </c>
      <c r="H528" t="s">
        <v>15</v>
      </c>
      <c r="I528" s="1">
        <v>1</v>
      </c>
      <c r="J528" s="2">
        <v>431.03</v>
      </c>
    </row>
    <row r="529" spans="2:10" x14ac:dyDescent="0.2">
      <c r="B529" t="s">
        <v>690</v>
      </c>
      <c r="C529" t="s">
        <v>237</v>
      </c>
      <c r="D529" t="s">
        <v>691</v>
      </c>
      <c r="E529" t="s">
        <v>61</v>
      </c>
      <c r="F529" t="s">
        <v>62</v>
      </c>
      <c r="G529" t="s">
        <v>1034</v>
      </c>
      <c r="H529" t="s">
        <v>15</v>
      </c>
      <c r="I529" s="1">
        <v>1</v>
      </c>
      <c r="J529" s="2">
        <v>172.41</v>
      </c>
    </row>
    <row r="530" spans="2:10" x14ac:dyDescent="0.2">
      <c r="B530" t="s">
        <v>690</v>
      </c>
      <c r="C530" t="s">
        <v>237</v>
      </c>
      <c r="D530" t="s">
        <v>691</v>
      </c>
      <c r="E530" t="s">
        <v>63</v>
      </c>
      <c r="F530" t="s">
        <v>64</v>
      </c>
      <c r="G530" t="s">
        <v>1034</v>
      </c>
      <c r="H530" t="s">
        <v>15</v>
      </c>
      <c r="I530" s="1">
        <v>1</v>
      </c>
      <c r="J530" s="2">
        <v>172.41</v>
      </c>
    </row>
    <row r="531" spans="2:10" x14ac:dyDescent="0.2">
      <c r="B531" t="s">
        <v>690</v>
      </c>
      <c r="C531" t="s">
        <v>248</v>
      </c>
      <c r="D531" t="s">
        <v>691</v>
      </c>
      <c r="E531" t="s">
        <v>221</v>
      </c>
      <c r="F531" t="s">
        <v>222</v>
      </c>
      <c r="G531" t="s">
        <v>1034</v>
      </c>
      <c r="H531" t="s">
        <v>15</v>
      </c>
      <c r="I531" s="1">
        <v>1</v>
      </c>
      <c r="J531" s="2">
        <v>431.03</v>
      </c>
    </row>
    <row r="532" spans="2:10" x14ac:dyDescent="0.2">
      <c r="B532" t="s">
        <v>690</v>
      </c>
      <c r="C532" t="s">
        <v>248</v>
      </c>
      <c r="D532" t="s">
        <v>691</v>
      </c>
      <c r="E532" t="s">
        <v>120</v>
      </c>
      <c r="F532" t="s">
        <v>121</v>
      </c>
      <c r="G532" t="s">
        <v>1034</v>
      </c>
      <c r="H532" t="s">
        <v>15</v>
      </c>
      <c r="I532" s="1">
        <v>2</v>
      </c>
      <c r="J532" s="2">
        <v>603.44000000000005</v>
      </c>
    </row>
    <row r="533" spans="2:10" x14ac:dyDescent="0.2">
      <c r="B533" t="s">
        <v>690</v>
      </c>
      <c r="C533" t="s">
        <v>248</v>
      </c>
      <c r="D533" t="s">
        <v>691</v>
      </c>
      <c r="E533" t="s">
        <v>153</v>
      </c>
      <c r="F533" t="s">
        <v>154</v>
      </c>
      <c r="G533" t="s">
        <v>1034</v>
      </c>
      <c r="H533" t="s">
        <v>15</v>
      </c>
      <c r="I533" s="1">
        <v>1</v>
      </c>
      <c r="J533" s="2">
        <v>387.93</v>
      </c>
    </row>
    <row r="534" spans="2:10" x14ac:dyDescent="0.2">
      <c r="B534" t="s">
        <v>690</v>
      </c>
      <c r="C534" t="s">
        <v>248</v>
      </c>
      <c r="D534" t="s">
        <v>691</v>
      </c>
      <c r="E534" t="s">
        <v>38</v>
      </c>
      <c r="F534" t="s">
        <v>39</v>
      </c>
      <c r="G534" t="s">
        <v>1034</v>
      </c>
      <c r="H534" t="s">
        <v>15</v>
      </c>
      <c r="I534" s="1">
        <v>1</v>
      </c>
      <c r="J534" s="2">
        <v>431.03</v>
      </c>
    </row>
    <row r="535" spans="2:10" x14ac:dyDescent="0.2">
      <c r="B535" t="s">
        <v>690</v>
      </c>
      <c r="C535" t="s">
        <v>248</v>
      </c>
      <c r="D535" t="s">
        <v>691</v>
      </c>
      <c r="E535" t="s">
        <v>124</v>
      </c>
      <c r="F535" t="s">
        <v>125</v>
      </c>
      <c r="G535" t="s">
        <v>1034</v>
      </c>
      <c r="H535" t="s">
        <v>15</v>
      </c>
      <c r="I535" s="1">
        <v>1</v>
      </c>
      <c r="J535" s="2">
        <v>431.03</v>
      </c>
    </row>
    <row r="536" spans="2:10" x14ac:dyDescent="0.2">
      <c r="B536" t="s">
        <v>690</v>
      </c>
      <c r="C536" t="s">
        <v>248</v>
      </c>
      <c r="D536" t="s">
        <v>691</v>
      </c>
      <c r="E536" t="s">
        <v>63</v>
      </c>
      <c r="F536" t="s">
        <v>64</v>
      </c>
      <c r="G536" t="s">
        <v>1034</v>
      </c>
      <c r="H536" t="s">
        <v>15</v>
      </c>
      <c r="I536" s="1">
        <v>1</v>
      </c>
      <c r="J536" s="2">
        <v>172.41</v>
      </c>
    </row>
    <row r="537" spans="2:10" x14ac:dyDescent="0.2">
      <c r="B537" t="s">
        <v>740</v>
      </c>
      <c r="C537" t="s">
        <v>10</v>
      </c>
      <c r="D537" t="s">
        <v>130</v>
      </c>
      <c r="E537" t="s">
        <v>36</v>
      </c>
      <c r="F537" t="s">
        <v>37</v>
      </c>
      <c r="G537" t="s">
        <v>1034</v>
      </c>
      <c r="H537" t="s">
        <v>15</v>
      </c>
      <c r="I537" s="1">
        <v>2</v>
      </c>
      <c r="J537" s="2">
        <v>603.44000000000005</v>
      </c>
    </row>
    <row r="538" spans="2:10" x14ac:dyDescent="0.2">
      <c r="B538" t="s">
        <v>740</v>
      </c>
      <c r="C538" t="s">
        <v>18</v>
      </c>
      <c r="D538" t="s">
        <v>741</v>
      </c>
      <c r="E538" t="s">
        <v>46</v>
      </c>
      <c r="F538" t="s">
        <v>47</v>
      </c>
      <c r="G538" t="s">
        <v>1034</v>
      </c>
      <c r="H538" t="s">
        <v>15</v>
      </c>
      <c r="I538" s="1">
        <v>1</v>
      </c>
      <c r="J538" s="2">
        <v>301.72000000000003</v>
      </c>
    </row>
    <row r="539" spans="2:10" x14ac:dyDescent="0.2">
      <c r="B539" t="s">
        <v>740</v>
      </c>
      <c r="C539" t="s">
        <v>18</v>
      </c>
      <c r="D539" t="s">
        <v>741</v>
      </c>
      <c r="E539" t="s">
        <v>120</v>
      </c>
      <c r="F539" t="s">
        <v>121</v>
      </c>
      <c r="G539" t="s">
        <v>1034</v>
      </c>
      <c r="H539" t="s">
        <v>15</v>
      </c>
      <c r="I539" s="1">
        <v>1</v>
      </c>
      <c r="J539" s="2">
        <v>301.72000000000003</v>
      </c>
    </row>
    <row r="540" spans="2:10" x14ac:dyDescent="0.2">
      <c r="B540" t="s">
        <v>740</v>
      </c>
      <c r="C540" t="s">
        <v>18</v>
      </c>
      <c r="D540" t="s">
        <v>741</v>
      </c>
      <c r="E540" t="s">
        <v>214</v>
      </c>
      <c r="F540" t="s">
        <v>215</v>
      </c>
      <c r="G540" t="s">
        <v>1034</v>
      </c>
      <c r="H540" t="s">
        <v>15</v>
      </c>
      <c r="I540" s="1">
        <v>2</v>
      </c>
      <c r="J540" s="2">
        <v>603.44000000000005</v>
      </c>
    </row>
    <row r="541" spans="2:10" x14ac:dyDescent="0.2">
      <c r="B541" t="s">
        <v>740</v>
      </c>
      <c r="C541" t="s">
        <v>18</v>
      </c>
      <c r="D541" t="s">
        <v>741</v>
      </c>
      <c r="E541" t="s">
        <v>36</v>
      </c>
      <c r="F541" t="s">
        <v>37</v>
      </c>
      <c r="G541" t="s">
        <v>1034</v>
      </c>
      <c r="H541" t="s">
        <v>15</v>
      </c>
      <c r="I541" s="1">
        <v>1</v>
      </c>
      <c r="J541" s="2">
        <v>301.72000000000003</v>
      </c>
    </row>
    <row r="542" spans="2:10" x14ac:dyDescent="0.2">
      <c r="B542" t="s">
        <v>740</v>
      </c>
      <c r="C542" t="s">
        <v>18</v>
      </c>
      <c r="D542" t="s">
        <v>741</v>
      </c>
      <c r="E542" t="s">
        <v>56</v>
      </c>
      <c r="F542" t="s">
        <v>57</v>
      </c>
      <c r="G542" t="s">
        <v>1034</v>
      </c>
      <c r="H542" t="s">
        <v>15</v>
      </c>
      <c r="I542" s="1">
        <v>1</v>
      </c>
      <c r="J542" s="2">
        <v>431.03</v>
      </c>
    </row>
    <row r="543" spans="2:10" x14ac:dyDescent="0.2">
      <c r="B543" t="s">
        <v>740</v>
      </c>
      <c r="C543" t="s">
        <v>18</v>
      </c>
      <c r="D543" t="s">
        <v>741</v>
      </c>
      <c r="E543" t="s">
        <v>63</v>
      </c>
      <c r="F543" t="s">
        <v>64</v>
      </c>
      <c r="G543" t="s">
        <v>1034</v>
      </c>
      <c r="H543" t="s">
        <v>15</v>
      </c>
      <c r="I543" s="1">
        <v>4</v>
      </c>
      <c r="J543" s="2">
        <v>689.64</v>
      </c>
    </row>
    <row r="544" spans="2:10" x14ac:dyDescent="0.2">
      <c r="B544" t="s">
        <v>740</v>
      </c>
      <c r="C544" t="s">
        <v>40</v>
      </c>
      <c r="D544" t="s">
        <v>741</v>
      </c>
      <c r="E544" t="s">
        <v>12</v>
      </c>
      <c r="F544" t="s">
        <v>13</v>
      </c>
      <c r="G544" t="s">
        <v>1034</v>
      </c>
      <c r="H544" t="s">
        <v>15</v>
      </c>
      <c r="I544" s="1">
        <v>1</v>
      </c>
      <c r="J544" s="2">
        <v>1077.5899999999999</v>
      </c>
    </row>
    <row r="545" spans="2:10" x14ac:dyDescent="0.2">
      <c r="B545" t="s">
        <v>740</v>
      </c>
      <c r="C545" t="s">
        <v>40</v>
      </c>
      <c r="D545" t="s">
        <v>741</v>
      </c>
      <c r="E545" t="s">
        <v>36</v>
      </c>
      <c r="F545" t="s">
        <v>37</v>
      </c>
      <c r="G545" t="s">
        <v>1034</v>
      </c>
      <c r="H545" t="s">
        <v>15</v>
      </c>
      <c r="I545" s="1">
        <v>1</v>
      </c>
      <c r="J545" s="2">
        <v>301.72000000000003</v>
      </c>
    </row>
    <row r="546" spans="2:10" x14ac:dyDescent="0.2">
      <c r="B546" t="s">
        <v>740</v>
      </c>
      <c r="C546" t="s">
        <v>40</v>
      </c>
      <c r="D546" t="s">
        <v>741</v>
      </c>
      <c r="E546" t="s">
        <v>72</v>
      </c>
      <c r="F546" t="s">
        <v>73</v>
      </c>
      <c r="G546" t="s">
        <v>1034</v>
      </c>
      <c r="H546" t="s">
        <v>15</v>
      </c>
      <c r="I546" s="1">
        <v>1</v>
      </c>
      <c r="J546" s="2">
        <v>775.86</v>
      </c>
    </row>
    <row r="547" spans="2:10" x14ac:dyDescent="0.2">
      <c r="B547" t="s">
        <v>740</v>
      </c>
      <c r="C547" t="s">
        <v>40</v>
      </c>
      <c r="D547" t="s">
        <v>741</v>
      </c>
      <c r="E547" t="s">
        <v>124</v>
      </c>
      <c r="F547" t="s">
        <v>125</v>
      </c>
      <c r="G547" t="s">
        <v>1034</v>
      </c>
      <c r="H547" t="s">
        <v>15</v>
      </c>
      <c r="I547" s="1">
        <v>1</v>
      </c>
      <c r="J547" s="2">
        <v>431.03</v>
      </c>
    </row>
    <row r="548" spans="2:10" x14ac:dyDescent="0.2">
      <c r="B548" t="s">
        <v>740</v>
      </c>
      <c r="C548" t="s">
        <v>40</v>
      </c>
      <c r="D548" t="s">
        <v>741</v>
      </c>
      <c r="E548" t="s">
        <v>61</v>
      </c>
      <c r="F548" t="s">
        <v>62</v>
      </c>
      <c r="G548" t="s">
        <v>1034</v>
      </c>
      <c r="H548" t="s">
        <v>15</v>
      </c>
      <c r="I548" s="1">
        <v>1</v>
      </c>
      <c r="J548" s="2">
        <v>172.41</v>
      </c>
    </row>
    <row r="549" spans="2:10" x14ac:dyDescent="0.2">
      <c r="B549" t="s">
        <v>740</v>
      </c>
      <c r="C549" t="s">
        <v>40</v>
      </c>
      <c r="D549" t="s">
        <v>741</v>
      </c>
      <c r="E549" t="s">
        <v>63</v>
      </c>
      <c r="F549" t="s">
        <v>64</v>
      </c>
      <c r="G549" t="s">
        <v>1034</v>
      </c>
      <c r="H549" t="s">
        <v>15</v>
      </c>
      <c r="I549" s="1">
        <v>1</v>
      </c>
      <c r="J549" s="2">
        <v>172.41</v>
      </c>
    </row>
    <row r="550" spans="2:10" x14ac:dyDescent="0.2">
      <c r="B550" t="s">
        <v>740</v>
      </c>
      <c r="C550" t="s">
        <v>51</v>
      </c>
      <c r="D550" t="s">
        <v>130</v>
      </c>
      <c r="E550" t="s">
        <v>153</v>
      </c>
      <c r="F550" t="s">
        <v>154</v>
      </c>
      <c r="G550" t="s">
        <v>1034</v>
      </c>
      <c r="H550" t="s">
        <v>15</v>
      </c>
      <c r="I550" s="1">
        <v>1</v>
      </c>
      <c r="J550" s="2">
        <v>387.93</v>
      </c>
    </row>
    <row r="551" spans="2:10" x14ac:dyDescent="0.2">
      <c r="B551" t="s">
        <v>740</v>
      </c>
      <c r="C551" t="s">
        <v>65</v>
      </c>
      <c r="D551" t="s">
        <v>741</v>
      </c>
      <c r="E551" t="s">
        <v>120</v>
      </c>
      <c r="F551" t="s">
        <v>121</v>
      </c>
      <c r="G551" t="s">
        <v>1034</v>
      </c>
      <c r="H551" t="s">
        <v>15</v>
      </c>
      <c r="I551" s="1">
        <v>1</v>
      </c>
      <c r="J551" s="2">
        <v>301.72000000000003</v>
      </c>
    </row>
    <row r="552" spans="2:10" x14ac:dyDescent="0.2">
      <c r="B552" t="s">
        <v>740</v>
      </c>
      <c r="C552" t="s">
        <v>65</v>
      </c>
      <c r="D552" t="s">
        <v>741</v>
      </c>
      <c r="E552" t="s">
        <v>36</v>
      </c>
      <c r="F552" t="s">
        <v>37</v>
      </c>
      <c r="G552" t="s">
        <v>1034</v>
      </c>
      <c r="H552" t="s">
        <v>15</v>
      </c>
      <c r="I552" s="1">
        <v>2</v>
      </c>
      <c r="J552" s="2">
        <v>603.44000000000005</v>
      </c>
    </row>
    <row r="553" spans="2:10" x14ac:dyDescent="0.2">
      <c r="B553" t="s">
        <v>740</v>
      </c>
      <c r="C553" t="s">
        <v>65</v>
      </c>
      <c r="D553" t="s">
        <v>741</v>
      </c>
      <c r="E553" t="s">
        <v>72</v>
      </c>
      <c r="F553" t="s">
        <v>73</v>
      </c>
      <c r="G553" t="s">
        <v>1034</v>
      </c>
      <c r="H553" t="s">
        <v>15</v>
      </c>
      <c r="I553" s="1">
        <v>1</v>
      </c>
      <c r="J553" s="2">
        <v>775.86</v>
      </c>
    </row>
    <row r="554" spans="2:10" x14ac:dyDescent="0.2">
      <c r="B554" t="s">
        <v>740</v>
      </c>
      <c r="C554" t="s">
        <v>82</v>
      </c>
      <c r="D554" t="s">
        <v>741</v>
      </c>
      <c r="E554" t="s">
        <v>36</v>
      </c>
      <c r="F554" t="s">
        <v>37</v>
      </c>
      <c r="G554" t="s">
        <v>1034</v>
      </c>
      <c r="H554" t="s">
        <v>15</v>
      </c>
      <c r="I554" s="1">
        <v>1</v>
      </c>
      <c r="J554" s="2">
        <v>301.72000000000003</v>
      </c>
    </row>
    <row r="555" spans="2:10" x14ac:dyDescent="0.2">
      <c r="B555" t="s">
        <v>740</v>
      </c>
      <c r="C555" t="s">
        <v>82</v>
      </c>
      <c r="D555" t="s">
        <v>741</v>
      </c>
      <c r="E555" t="s">
        <v>56</v>
      </c>
      <c r="F555" t="s">
        <v>57</v>
      </c>
      <c r="G555" t="s">
        <v>1034</v>
      </c>
      <c r="H555" t="s">
        <v>15</v>
      </c>
      <c r="I555" s="1">
        <v>2</v>
      </c>
      <c r="J555" s="2">
        <v>862.06</v>
      </c>
    </row>
    <row r="556" spans="2:10" x14ac:dyDescent="0.2">
      <c r="B556" t="s">
        <v>740</v>
      </c>
      <c r="C556" t="s">
        <v>82</v>
      </c>
      <c r="D556" t="s">
        <v>741</v>
      </c>
      <c r="E556" t="s">
        <v>61</v>
      </c>
      <c r="F556" t="s">
        <v>62</v>
      </c>
      <c r="G556" t="s">
        <v>1034</v>
      </c>
      <c r="H556" t="s">
        <v>15</v>
      </c>
      <c r="I556" s="1">
        <v>1</v>
      </c>
      <c r="J556" s="2">
        <v>172.41</v>
      </c>
    </row>
    <row r="557" spans="2:10" x14ac:dyDescent="0.2">
      <c r="B557" t="s">
        <v>740</v>
      </c>
      <c r="C557" t="s">
        <v>88</v>
      </c>
      <c r="D557" t="s">
        <v>741</v>
      </c>
      <c r="E557" t="s">
        <v>46</v>
      </c>
      <c r="F557" t="s">
        <v>47</v>
      </c>
      <c r="G557" t="s">
        <v>1034</v>
      </c>
      <c r="H557" t="s">
        <v>15</v>
      </c>
      <c r="I557" s="1">
        <v>1</v>
      </c>
      <c r="J557" s="2">
        <v>301.72000000000003</v>
      </c>
    </row>
    <row r="558" spans="2:10" x14ac:dyDescent="0.2">
      <c r="B558" t="s">
        <v>740</v>
      </c>
      <c r="C558" t="s">
        <v>88</v>
      </c>
      <c r="D558" t="s">
        <v>741</v>
      </c>
      <c r="E558" t="s">
        <v>120</v>
      </c>
      <c r="F558" t="s">
        <v>121</v>
      </c>
      <c r="G558" t="s">
        <v>1034</v>
      </c>
      <c r="H558" t="s">
        <v>15</v>
      </c>
      <c r="I558" s="1">
        <v>1</v>
      </c>
      <c r="J558" s="2">
        <v>301.72000000000003</v>
      </c>
    </row>
    <row r="559" spans="2:10" x14ac:dyDescent="0.2">
      <c r="B559" t="s">
        <v>740</v>
      </c>
      <c r="C559" t="s">
        <v>88</v>
      </c>
      <c r="D559" t="s">
        <v>741</v>
      </c>
      <c r="E559" t="s">
        <v>56</v>
      </c>
      <c r="F559" t="s">
        <v>57</v>
      </c>
      <c r="G559" t="s">
        <v>1034</v>
      </c>
      <c r="H559" t="s">
        <v>15</v>
      </c>
      <c r="I559" s="1">
        <v>1</v>
      </c>
      <c r="J559" s="2">
        <v>431.03</v>
      </c>
    </row>
    <row r="560" spans="2:10" x14ac:dyDescent="0.2">
      <c r="B560" t="s">
        <v>740</v>
      </c>
      <c r="C560" t="s">
        <v>117</v>
      </c>
      <c r="D560" t="s">
        <v>741</v>
      </c>
      <c r="E560" t="s">
        <v>46</v>
      </c>
      <c r="F560" t="s">
        <v>47</v>
      </c>
      <c r="G560" t="s">
        <v>1034</v>
      </c>
      <c r="H560" t="s">
        <v>15</v>
      </c>
      <c r="I560" s="1">
        <v>1</v>
      </c>
      <c r="J560" s="2">
        <v>301.72000000000003</v>
      </c>
    </row>
    <row r="561" spans="2:10" x14ac:dyDescent="0.2">
      <c r="B561" t="s">
        <v>740</v>
      </c>
      <c r="C561" t="s">
        <v>117</v>
      </c>
      <c r="D561" t="s">
        <v>741</v>
      </c>
      <c r="E561" t="s">
        <v>613</v>
      </c>
      <c r="F561" t="s">
        <v>614</v>
      </c>
      <c r="G561" t="s">
        <v>1034</v>
      </c>
      <c r="H561" t="s">
        <v>15</v>
      </c>
      <c r="I561" s="1">
        <v>1</v>
      </c>
      <c r="J561" s="2">
        <v>431.03</v>
      </c>
    </row>
    <row r="562" spans="2:10" x14ac:dyDescent="0.2">
      <c r="B562" t="s">
        <v>740</v>
      </c>
      <c r="C562" t="s">
        <v>117</v>
      </c>
      <c r="D562" t="s">
        <v>741</v>
      </c>
      <c r="E562" t="s">
        <v>12</v>
      </c>
      <c r="F562" t="s">
        <v>13</v>
      </c>
      <c r="G562" t="s">
        <v>1034</v>
      </c>
      <c r="H562" t="s">
        <v>15</v>
      </c>
      <c r="I562" s="1">
        <v>1</v>
      </c>
      <c r="J562" s="2">
        <v>1077.5899999999999</v>
      </c>
    </row>
    <row r="563" spans="2:10" x14ac:dyDescent="0.2">
      <c r="B563" t="s">
        <v>740</v>
      </c>
      <c r="C563" t="s">
        <v>117</v>
      </c>
      <c r="D563" t="s">
        <v>741</v>
      </c>
      <c r="E563" t="s">
        <v>267</v>
      </c>
      <c r="F563" t="s">
        <v>268</v>
      </c>
      <c r="G563" t="s">
        <v>1034</v>
      </c>
      <c r="H563" t="s">
        <v>15</v>
      </c>
      <c r="I563" s="1">
        <v>1</v>
      </c>
      <c r="J563" s="2">
        <v>258.62</v>
      </c>
    </row>
    <row r="564" spans="2:10" x14ac:dyDescent="0.2">
      <c r="B564" t="s">
        <v>740</v>
      </c>
      <c r="C564" t="s">
        <v>117</v>
      </c>
      <c r="D564" t="s">
        <v>741</v>
      </c>
      <c r="E564" t="s">
        <v>72</v>
      </c>
      <c r="F564" t="s">
        <v>73</v>
      </c>
      <c r="G564" t="s">
        <v>1034</v>
      </c>
      <c r="H564" t="s">
        <v>15</v>
      </c>
      <c r="I564" s="1">
        <v>2</v>
      </c>
      <c r="J564" s="2">
        <v>1551.72</v>
      </c>
    </row>
    <row r="565" spans="2:10" x14ac:dyDescent="0.2">
      <c r="B565" t="s">
        <v>740</v>
      </c>
      <c r="C565" t="s">
        <v>117</v>
      </c>
      <c r="D565" t="s">
        <v>741</v>
      </c>
      <c r="E565" t="s">
        <v>122</v>
      </c>
      <c r="F565" t="s">
        <v>123</v>
      </c>
      <c r="G565" t="s">
        <v>1034</v>
      </c>
      <c r="H565" t="s">
        <v>15</v>
      </c>
      <c r="I565" s="1">
        <v>1</v>
      </c>
      <c r="J565" s="2">
        <v>387.93</v>
      </c>
    </row>
    <row r="566" spans="2:10" x14ac:dyDescent="0.2">
      <c r="B566" t="s">
        <v>740</v>
      </c>
      <c r="C566" t="s">
        <v>117</v>
      </c>
      <c r="D566" t="s">
        <v>741</v>
      </c>
      <c r="E566" t="s">
        <v>61</v>
      </c>
      <c r="F566" t="s">
        <v>62</v>
      </c>
      <c r="G566" t="s">
        <v>1034</v>
      </c>
      <c r="H566" t="s">
        <v>15</v>
      </c>
      <c r="I566" s="1">
        <v>2</v>
      </c>
      <c r="J566" s="2">
        <v>344.82</v>
      </c>
    </row>
    <row r="567" spans="2:10" x14ac:dyDescent="0.2">
      <c r="B567" t="s">
        <v>740</v>
      </c>
      <c r="C567" t="s">
        <v>117</v>
      </c>
      <c r="D567" t="s">
        <v>741</v>
      </c>
      <c r="E567" t="s">
        <v>63</v>
      </c>
      <c r="F567" t="s">
        <v>64</v>
      </c>
      <c r="G567" t="s">
        <v>1034</v>
      </c>
      <c r="H567" t="s">
        <v>15</v>
      </c>
      <c r="I567" s="1">
        <v>2</v>
      </c>
      <c r="J567" s="2">
        <v>344.82</v>
      </c>
    </row>
    <row r="568" spans="2:10" x14ac:dyDescent="0.2">
      <c r="B568" t="s">
        <v>740</v>
      </c>
      <c r="C568" t="s">
        <v>129</v>
      </c>
      <c r="D568" t="s">
        <v>741</v>
      </c>
      <c r="E568" t="s">
        <v>36</v>
      </c>
      <c r="F568" t="s">
        <v>37</v>
      </c>
      <c r="G568" t="s">
        <v>1034</v>
      </c>
      <c r="H568" t="s">
        <v>15</v>
      </c>
      <c r="I568" s="1">
        <v>3</v>
      </c>
      <c r="J568" s="2">
        <v>905.16000000000008</v>
      </c>
    </row>
    <row r="569" spans="2:10" x14ac:dyDescent="0.2">
      <c r="B569" t="s">
        <v>740</v>
      </c>
      <c r="C569" t="s">
        <v>129</v>
      </c>
      <c r="D569" t="s">
        <v>741</v>
      </c>
      <c r="E569" t="s">
        <v>61</v>
      </c>
      <c r="F569" t="s">
        <v>62</v>
      </c>
      <c r="G569" t="s">
        <v>1034</v>
      </c>
      <c r="H569" t="s">
        <v>15</v>
      </c>
      <c r="I569" s="1">
        <v>2</v>
      </c>
      <c r="J569" s="2">
        <v>344.82</v>
      </c>
    </row>
    <row r="570" spans="2:10" x14ac:dyDescent="0.2">
      <c r="B570" t="s">
        <v>740</v>
      </c>
      <c r="C570" t="s">
        <v>129</v>
      </c>
      <c r="D570" t="s">
        <v>741</v>
      </c>
      <c r="E570" t="s">
        <v>63</v>
      </c>
      <c r="F570" t="s">
        <v>64</v>
      </c>
      <c r="G570" t="s">
        <v>1034</v>
      </c>
      <c r="H570" t="s">
        <v>15</v>
      </c>
      <c r="I570" s="1">
        <v>3</v>
      </c>
      <c r="J570" s="2">
        <v>517.23</v>
      </c>
    </row>
    <row r="571" spans="2:10" x14ac:dyDescent="0.2">
      <c r="B571" t="s">
        <v>740</v>
      </c>
      <c r="C571" t="s">
        <v>134</v>
      </c>
      <c r="D571" t="s">
        <v>741</v>
      </c>
      <c r="E571" t="s">
        <v>46</v>
      </c>
      <c r="F571" t="s">
        <v>47</v>
      </c>
      <c r="G571" t="s">
        <v>1034</v>
      </c>
      <c r="H571" t="s">
        <v>15</v>
      </c>
      <c r="I571" s="1">
        <v>2</v>
      </c>
      <c r="J571" s="2">
        <v>603.44000000000005</v>
      </c>
    </row>
    <row r="572" spans="2:10" x14ac:dyDescent="0.2">
      <c r="B572" t="s">
        <v>740</v>
      </c>
      <c r="C572" t="s">
        <v>134</v>
      </c>
      <c r="D572" t="s">
        <v>741</v>
      </c>
      <c r="E572" t="s">
        <v>36</v>
      </c>
      <c r="F572" t="s">
        <v>37</v>
      </c>
      <c r="G572" t="s">
        <v>1034</v>
      </c>
      <c r="H572" t="s">
        <v>15</v>
      </c>
      <c r="I572" s="1">
        <v>1</v>
      </c>
      <c r="J572" s="2">
        <v>301.72000000000003</v>
      </c>
    </row>
    <row r="573" spans="2:10" x14ac:dyDescent="0.2">
      <c r="B573" t="s">
        <v>740</v>
      </c>
      <c r="C573" t="s">
        <v>134</v>
      </c>
      <c r="D573" t="s">
        <v>741</v>
      </c>
      <c r="E573" t="s">
        <v>72</v>
      </c>
      <c r="F573" t="s">
        <v>73</v>
      </c>
      <c r="G573" t="s">
        <v>1034</v>
      </c>
      <c r="H573" t="s">
        <v>15</v>
      </c>
      <c r="I573" s="1">
        <v>1</v>
      </c>
      <c r="J573" s="2">
        <v>775.86</v>
      </c>
    </row>
    <row r="574" spans="2:10" x14ac:dyDescent="0.2">
      <c r="B574" t="s">
        <v>740</v>
      </c>
      <c r="C574" t="s">
        <v>135</v>
      </c>
      <c r="D574" t="s">
        <v>741</v>
      </c>
      <c r="E574" t="s">
        <v>36</v>
      </c>
      <c r="F574" t="s">
        <v>37</v>
      </c>
      <c r="G574" t="s">
        <v>1034</v>
      </c>
      <c r="H574" t="s">
        <v>15</v>
      </c>
      <c r="I574" s="1">
        <v>2</v>
      </c>
      <c r="J574" s="2">
        <v>603.44000000000005</v>
      </c>
    </row>
    <row r="575" spans="2:10" x14ac:dyDescent="0.2">
      <c r="B575" t="s">
        <v>740</v>
      </c>
      <c r="C575" t="s">
        <v>141</v>
      </c>
      <c r="D575" t="s">
        <v>741</v>
      </c>
      <c r="E575" t="s">
        <v>56</v>
      </c>
      <c r="F575" t="s">
        <v>57</v>
      </c>
      <c r="G575" t="s">
        <v>1034</v>
      </c>
      <c r="H575" t="s">
        <v>15</v>
      </c>
      <c r="I575" s="1">
        <v>1</v>
      </c>
      <c r="J575" s="2">
        <v>431.03</v>
      </c>
    </row>
    <row r="576" spans="2:10" x14ac:dyDescent="0.2">
      <c r="B576" t="s">
        <v>740</v>
      </c>
      <c r="C576" t="s">
        <v>144</v>
      </c>
      <c r="D576" t="s">
        <v>741</v>
      </c>
      <c r="E576" t="s">
        <v>56</v>
      </c>
      <c r="F576" t="s">
        <v>57</v>
      </c>
      <c r="G576" t="s">
        <v>1034</v>
      </c>
      <c r="H576" t="s">
        <v>15</v>
      </c>
      <c r="I576" s="1">
        <v>1</v>
      </c>
      <c r="J576" s="2">
        <v>431.03</v>
      </c>
    </row>
    <row r="577" spans="2:10" x14ac:dyDescent="0.2">
      <c r="B577" t="s">
        <v>740</v>
      </c>
      <c r="C577" t="s">
        <v>165</v>
      </c>
      <c r="D577" t="s">
        <v>741</v>
      </c>
      <c r="E577" t="s">
        <v>267</v>
      </c>
      <c r="F577" t="s">
        <v>268</v>
      </c>
      <c r="G577" t="s">
        <v>1034</v>
      </c>
      <c r="H577" t="s">
        <v>15</v>
      </c>
      <c r="I577" s="1">
        <v>1</v>
      </c>
      <c r="J577" s="2">
        <v>258.62</v>
      </c>
    </row>
    <row r="578" spans="2:10" x14ac:dyDescent="0.2">
      <c r="B578" t="s">
        <v>740</v>
      </c>
      <c r="C578" t="s">
        <v>165</v>
      </c>
      <c r="D578" t="s">
        <v>741</v>
      </c>
      <c r="E578" t="s">
        <v>36</v>
      </c>
      <c r="F578" t="s">
        <v>37</v>
      </c>
      <c r="G578" t="s">
        <v>1034</v>
      </c>
      <c r="H578" t="s">
        <v>15</v>
      </c>
      <c r="I578" s="1">
        <v>3</v>
      </c>
      <c r="J578" s="2">
        <v>905.16000000000008</v>
      </c>
    </row>
    <row r="579" spans="2:10" x14ac:dyDescent="0.2">
      <c r="B579" t="s">
        <v>740</v>
      </c>
      <c r="C579" t="s">
        <v>165</v>
      </c>
      <c r="D579" t="s">
        <v>741</v>
      </c>
      <c r="E579" t="s">
        <v>72</v>
      </c>
      <c r="F579" t="s">
        <v>73</v>
      </c>
      <c r="G579" t="s">
        <v>1034</v>
      </c>
      <c r="H579" t="s">
        <v>15</v>
      </c>
      <c r="I579" s="1">
        <v>1</v>
      </c>
      <c r="J579" s="2">
        <v>775.86</v>
      </c>
    </row>
    <row r="580" spans="2:10" x14ac:dyDescent="0.2">
      <c r="B580" t="s">
        <v>740</v>
      </c>
      <c r="C580" t="s">
        <v>165</v>
      </c>
      <c r="D580" t="s">
        <v>741</v>
      </c>
      <c r="E580" t="s">
        <v>61</v>
      </c>
      <c r="F580" t="s">
        <v>62</v>
      </c>
      <c r="G580" t="s">
        <v>1034</v>
      </c>
      <c r="H580" t="s">
        <v>15</v>
      </c>
      <c r="I580" s="1">
        <v>2</v>
      </c>
      <c r="J580" s="2">
        <v>344.82</v>
      </c>
    </row>
    <row r="581" spans="2:10" x14ac:dyDescent="0.2">
      <c r="B581" t="s">
        <v>740</v>
      </c>
      <c r="C581" t="s">
        <v>165</v>
      </c>
      <c r="D581" t="s">
        <v>741</v>
      </c>
      <c r="E581" t="s">
        <v>63</v>
      </c>
      <c r="F581" t="s">
        <v>64</v>
      </c>
      <c r="G581" t="s">
        <v>1034</v>
      </c>
      <c r="H581" t="s">
        <v>15</v>
      </c>
      <c r="I581" s="1">
        <v>1</v>
      </c>
      <c r="J581" s="2">
        <v>172.41</v>
      </c>
    </row>
    <row r="582" spans="2:10" x14ac:dyDescent="0.2">
      <c r="B582" t="s">
        <v>740</v>
      </c>
      <c r="C582" t="s">
        <v>166</v>
      </c>
      <c r="D582" t="s">
        <v>741</v>
      </c>
      <c r="E582" t="s">
        <v>36</v>
      </c>
      <c r="F582" t="s">
        <v>37</v>
      </c>
      <c r="G582" t="s">
        <v>1034</v>
      </c>
      <c r="H582" t="s">
        <v>15</v>
      </c>
      <c r="I582" s="1">
        <v>1</v>
      </c>
      <c r="J582" s="2">
        <v>301.72000000000003</v>
      </c>
    </row>
    <row r="583" spans="2:10" x14ac:dyDescent="0.2">
      <c r="B583" t="s">
        <v>740</v>
      </c>
      <c r="C583" t="s">
        <v>166</v>
      </c>
      <c r="D583" t="s">
        <v>741</v>
      </c>
      <c r="E583" t="s">
        <v>72</v>
      </c>
      <c r="F583" t="s">
        <v>73</v>
      </c>
      <c r="G583" t="s">
        <v>1034</v>
      </c>
      <c r="H583" t="s">
        <v>15</v>
      </c>
      <c r="I583" s="1">
        <v>1</v>
      </c>
      <c r="J583" s="2">
        <v>775.86</v>
      </c>
    </row>
    <row r="584" spans="2:10" x14ac:dyDescent="0.2">
      <c r="B584" t="s">
        <v>740</v>
      </c>
      <c r="C584" t="s">
        <v>166</v>
      </c>
      <c r="D584" t="s">
        <v>741</v>
      </c>
      <c r="E584" t="s">
        <v>585</v>
      </c>
      <c r="F584" t="s">
        <v>586</v>
      </c>
      <c r="G584" t="s">
        <v>1034</v>
      </c>
      <c r="H584" t="s">
        <v>15</v>
      </c>
      <c r="I584" s="1">
        <v>1</v>
      </c>
      <c r="J584" s="2">
        <v>310.33999999999997</v>
      </c>
    </row>
    <row r="585" spans="2:10" x14ac:dyDescent="0.2">
      <c r="B585" t="s">
        <v>740</v>
      </c>
      <c r="C585" t="s">
        <v>185</v>
      </c>
      <c r="D585" t="s">
        <v>32</v>
      </c>
      <c r="E585" t="s">
        <v>214</v>
      </c>
      <c r="F585" t="s">
        <v>215</v>
      </c>
      <c r="G585" t="s">
        <v>1034</v>
      </c>
      <c r="H585" t="s">
        <v>15</v>
      </c>
      <c r="I585" s="1">
        <v>2</v>
      </c>
      <c r="J585" s="2">
        <v>603.44000000000005</v>
      </c>
    </row>
    <row r="586" spans="2:10" x14ac:dyDescent="0.2">
      <c r="B586" t="s">
        <v>740</v>
      </c>
      <c r="C586" t="s">
        <v>335</v>
      </c>
      <c r="D586" t="s">
        <v>741</v>
      </c>
      <c r="E586" t="s">
        <v>36</v>
      </c>
      <c r="F586" t="s">
        <v>37</v>
      </c>
      <c r="G586" t="s">
        <v>1034</v>
      </c>
      <c r="H586" t="s">
        <v>15</v>
      </c>
      <c r="I586" s="1">
        <v>1</v>
      </c>
      <c r="J586" s="2">
        <v>301.72000000000003</v>
      </c>
    </row>
    <row r="587" spans="2:10" x14ac:dyDescent="0.2">
      <c r="B587" t="s">
        <v>740</v>
      </c>
      <c r="C587" t="s">
        <v>418</v>
      </c>
      <c r="D587" t="s">
        <v>741</v>
      </c>
      <c r="E587" t="s">
        <v>193</v>
      </c>
      <c r="F587" t="s">
        <v>194</v>
      </c>
      <c r="G587" t="s">
        <v>1034</v>
      </c>
      <c r="H587" t="s">
        <v>15</v>
      </c>
      <c r="I587" s="1">
        <v>1</v>
      </c>
      <c r="J587" s="2">
        <v>1293.0999999999999</v>
      </c>
    </row>
    <row r="588" spans="2:10" x14ac:dyDescent="0.2">
      <c r="B588" t="s">
        <v>740</v>
      </c>
      <c r="C588" t="s">
        <v>186</v>
      </c>
      <c r="D588" t="s">
        <v>741</v>
      </c>
      <c r="E588" t="s">
        <v>214</v>
      </c>
      <c r="F588" t="s">
        <v>215</v>
      </c>
      <c r="G588" t="s">
        <v>1034</v>
      </c>
      <c r="H588" t="s">
        <v>15</v>
      </c>
      <c r="I588" s="1">
        <v>2</v>
      </c>
      <c r="J588" s="2">
        <v>603.44000000000005</v>
      </c>
    </row>
    <row r="589" spans="2:10" x14ac:dyDescent="0.2">
      <c r="B589" t="s">
        <v>740</v>
      </c>
      <c r="C589" t="s">
        <v>197</v>
      </c>
      <c r="D589" t="s">
        <v>130</v>
      </c>
      <c r="E589" t="s">
        <v>36</v>
      </c>
      <c r="F589" t="s">
        <v>37</v>
      </c>
      <c r="G589" t="s">
        <v>1034</v>
      </c>
      <c r="H589" t="s">
        <v>15</v>
      </c>
      <c r="I589" s="1">
        <v>1</v>
      </c>
      <c r="J589" s="2">
        <v>301.72000000000003</v>
      </c>
    </row>
    <row r="590" spans="2:10" x14ac:dyDescent="0.2">
      <c r="B590" t="s">
        <v>740</v>
      </c>
      <c r="C590" t="s">
        <v>197</v>
      </c>
      <c r="D590" t="s">
        <v>130</v>
      </c>
      <c r="E590" t="s">
        <v>163</v>
      </c>
      <c r="F590" t="s">
        <v>164</v>
      </c>
      <c r="G590" t="s">
        <v>1034</v>
      </c>
      <c r="H590" t="s">
        <v>15</v>
      </c>
      <c r="I590" s="1">
        <v>1</v>
      </c>
      <c r="J590" s="2">
        <v>431.03</v>
      </c>
    </row>
    <row r="591" spans="2:10" x14ac:dyDescent="0.2">
      <c r="B591" t="s">
        <v>740</v>
      </c>
      <c r="C591" t="s">
        <v>206</v>
      </c>
      <c r="D591" t="s">
        <v>741</v>
      </c>
      <c r="E591" t="s">
        <v>214</v>
      </c>
      <c r="F591" t="s">
        <v>215</v>
      </c>
      <c r="G591" t="s">
        <v>1034</v>
      </c>
      <c r="H591" t="s">
        <v>15</v>
      </c>
      <c r="I591" s="1">
        <v>1</v>
      </c>
      <c r="J591" s="2">
        <v>301.72000000000003</v>
      </c>
    </row>
    <row r="592" spans="2:10" x14ac:dyDescent="0.2">
      <c r="B592" t="s">
        <v>740</v>
      </c>
      <c r="C592" t="s">
        <v>206</v>
      </c>
      <c r="D592" t="s">
        <v>741</v>
      </c>
      <c r="E592" t="s">
        <v>36</v>
      </c>
      <c r="F592" t="s">
        <v>37</v>
      </c>
      <c r="G592" t="s">
        <v>1034</v>
      </c>
      <c r="H592" t="s">
        <v>15</v>
      </c>
      <c r="I592" s="1">
        <v>1</v>
      </c>
      <c r="J592" s="2">
        <v>301.72000000000003</v>
      </c>
    </row>
    <row r="593" spans="2:10" x14ac:dyDescent="0.2">
      <c r="B593" t="s">
        <v>740</v>
      </c>
      <c r="C593" t="s">
        <v>206</v>
      </c>
      <c r="D593" t="s">
        <v>741</v>
      </c>
      <c r="E593" t="s">
        <v>61</v>
      </c>
      <c r="F593" t="s">
        <v>62</v>
      </c>
      <c r="G593" t="s">
        <v>1034</v>
      </c>
      <c r="H593" t="s">
        <v>15</v>
      </c>
      <c r="I593" s="1">
        <v>1</v>
      </c>
      <c r="J593" s="2">
        <v>172.41</v>
      </c>
    </row>
    <row r="594" spans="2:10" x14ac:dyDescent="0.2">
      <c r="B594" t="s">
        <v>740</v>
      </c>
      <c r="C594" t="s">
        <v>206</v>
      </c>
      <c r="D594" t="s">
        <v>741</v>
      </c>
      <c r="E594" t="s">
        <v>63</v>
      </c>
      <c r="F594" t="s">
        <v>64</v>
      </c>
      <c r="G594" t="s">
        <v>1034</v>
      </c>
      <c r="H594" t="s">
        <v>15</v>
      </c>
      <c r="I594" s="1">
        <v>1</v>
      </c>
      <c r="J594" s="2">
        <v>172.41</v>
      </c>
    </row>
    <row r="595" spans="2:10" x14ac:dyDescent="0.2">
      <c r="B595" t="s">
        <v>740</v>
      </c>
      <c r="C595" t="s">
        <v>206</v>
      </c>
      <c r="D595" t="s">
        <v>741</v>
      </c>
      <c r="E595" t="s">
        <v>193</v>
      </c>
      <c r="F595" t="s">
        <v>194</v>
      </c>
      <c r="G595" t="s">
        <v>1034</v>
      </c>
      <c r="H595" t="s">
        <v>15</v>
      </c>
      <c r="I595" s="1">
        <v>1</v>
      </c>
      <c r="J595" s="2">
        <v>1293.0999999999999</v>
      </c>
    </row>
    <row r="596" spans="2:10" x14ac:dyDescent="0.2">
      <c r="B596" t="s">
        <v>740</v>
      </c>
      <c r="C596" t="s">
        <v>220</v>
      </c>
      <c r="D596" t="s">
        <v>741</v>
      </c>
      <c r="E596" t="s">
        <v>214</v>
      </c>
      <c r="F596" t="s">
        <v>215</v>
      </c>
      <c r="G596" t="s">
        <v>1034</v>
      </c>
      <c r="H596" t="s">
        <v>15</v>
      </c>
      <c r="I596" s="1">
        <v>1</v>
      </c>
      <c r="J596" s="2">
        <v>301.72000000000003</v>
      </c>
    </row>
    <row r="597" spans="2:10" x14ac:dyDescent="0.2">
      <c r="B597" t="s">
        <v>740</v>
      </c>
      <c r="C597" t="s">
        <v>220</v>
      </c>
      <c r="D597" t="s">
        <v>741</v>
      </c>
      <c r="E597" t="s">
        <v>36</v>
      </c>
      <c r="F597" t="s">
        <v>37</v>
      </c>
      <c r="G597" t="s">
        <v>1034</v>
      </c>
      <c r="H597" t="s">
        <v>15</v>
      </c>
      <c r="I597" s="1">
        <v>1</v>
      </c>
      <c r="J597" s="2">
        <v>301.72000000000003</v>
      </c>
    </row>
    <row r="598" spans="2:10" x14ac:dyDescent="0.2">
      <c r="B598" t="s">
        <v>740</v>
      </c>
      <c r="C598" t="s">
        <v>228</v>
      </c>
      <c r="D598" t="s">
        <v>741</v>
      </c>
      <c r="E598" t="s">
        <v>72</v>
      </c>
      <c r="F598" t="s">
        <v>73</v>
      </c>
      <c r="G598" t="s">
        <v>1034</v>
      </c>
      <c r="H598" t="s">
        <v>15</v>
      </c>
      <c r="I598" s="1">
        <v>2</v>
      </c>
      <c r="J598" s="2">
        <v>1551.72</v>
      </c>
    </row>
    <row r="599" spans="2:10" x14ac:dyDescent="0.2">
      <c r="B599" t="s">
        <v>740</v>
      </c>
      <c r="C599" t="s">
        <v>233</v>
      </c>
      <c r="D599" t="s">
        <v>32</v>
      </c>
      <c r="E599" t="s">
        <v>72</v>
      </c>
      <c r="F599" t="s">
        <v>73</v>
      </c>
      <c r="G599" t="s">
        <v>1034</v>
      </c>
      <c r="H599" t="s">
        <v>15</v>
      </c>
      <c r="I599" s="1">
        <v>1</v>
      </c>
      <c r="J599" s="2">
        <v>775.86</v>
      </c>
    </row>
    <row r="600" spans="2:10" x14ac:dyDescent="0.2">
      <c r="B600" t="s">
        <v>740</v>
      </c>
      <c r="C600" t="s">
        <v>236</v>
      </c>
      <c r="D600" t="s">
        <v>741</v>
      </c>
      <c r="E600" t="s">
        <v>56</v>
      </c>
      <c r="F600" t="s">
        <v>57</v>
      </c>
      <c r="G600" t="s">
        <v>1034</v>
      </c>
      <c r="H600" t="s">
        <v>15</v>
      </c>
      <c r="I600" s="1">
        <v>1</v>
      </c>
      <c r="J600" s="2">
        <v>431.03</v>
      </c>
    </row>
    <row r="601" spans="2:10" x14ac:dyDescent="0.2">
      <c r="B601" t="s">
        <v>740</v>
      </c>
      <c r="C601" t="s">
        <v>236</v>
      </c>
      <c r="D601" t="s">
        <v>741</v>
      </c>
      <c r="E601" t="s">
        <v>163</v>
      </c>
      <c r="F601" t="s">
        <v>164</v>
      </c>
      <c r="G601" t="s">
        <v>1034</v>
      </c>
      <c r="H601" t="s">
        <v>15</v>
      </c>
      <c r="I601" s="1">
        <v>1</v>
      </c>
      <c r="J601" s="2">
        <v>431.03</v>
      </c>
    </row>
    <row r="602" spans="2:10" x14ac:dyDescent="0.2">
      <c r="B602" t="s">
        <v>740</v>
      </c>
      <c r="C602" t="s">
        <v>237</v>
      </c>
      <c r="D602" t="s">
        <v>741</v>
      </c>
      <c r="E602" t="s">
        <v>221</v>
      </c>
      <c r="F602" t="s">
        <v>222</v>
      </c>
      <c r="G602" t="s">
        <v>1034</v>
      </c>
      <c r="H602" t="s">
        <v>15</v>
      </c>
      <c r="I602" s="1">
        <v>1</v>
      </c>
      <c r="J602" s="2">
        <v>431.03</v>
      </c>
    </row>
    <row r="603" spans="2:10" x14ac:dyDescent="0.2">
      <c r="B603" t="s">
        <v>740</v>
      </c>
      <c r="C603" t="s">
        <v>237</v>
      </c>
      <c r="D603" t="s">
        <v>741</v>
      </c>
      <c r="E603" t="s">
        <v>120</v>
      </c>
      <c r="F603" t="s">
        <v>121</v>
      </c>
      <c r="G603" t="s">
        <v>1034</v>
      </c>
      <c r="H603" t="s">
        <v>15</v>
      </c>
      <c r="I603" s="1">
        <v>1</v>
      </c>
      <c r="J603" s="2">
        <v>301.72000000000003</v>
      </c>
    </row>
    <row r="604" spans="2:10" x14ac:dyDescent="0.2">
      <c r="B604" t="s">
        <v>740</v>
      </c>
      <c r="C604" t="s">
        <v>237</v>
      </c>
      <c r="D604" t="s">
        <v>741</v>
      </c>
      <c r="E604" t="s">
        <v>214</v>
      </c>
      <c r="F604" t="s">
        <v>215</v>
      </c>
      <c r="G604" t="s">
        <v>1034</v>
      </c>
      <c r="H604" t="s">
        <v>15</v>
      </c>
      <c r="I604" s="1">
        <v>1</v>
      </c>
      <c r="J604" s="2">
        <v>301.72000000000003</v>
      </c>
    </row>
    <row r="605" spans="2:10" x14ac:dyDescent="0.2">
      <c r="B605" t="s">
        <v>740</v>
      </c>
      <c r="C605" t="s">
        <v>237</v>
      </c>
      <c r="D605" t="s">
        <v>741</v>
      </c>
      <c r="E605" t="s">
        <v>61</v>
      </c>
      <c r="F605" t="s">
        <v>62</v>
      </c>
      <c r="G605" t="s">
        <v>1034</v>
      </c>
      <c r="H605" t="s">
        <v>15</v>
      </c>
      <c r="I605" s="1">
        <v>2</v>
      </c>
      <c r="J605" s="2">
        <v>344.82</v>
      </c>
    </row>
    <row r="606" spans="2:10" x14ac:dyDescent="0.2">
      <c r="B606" t="s">
        <v>740</v>
      </c>
      <c r="C606" t="s">
        <v>237</v>
      </c>
      <c r="D606" t="s">
        <v>741</v>
      </c>
      <c r="E606" t="s">
        <v>63</v>
      </c>
      <c r="F606" t="s">
        <v>64</v>
      </c>
      <c r="G606" t="s">
        <v>1034</v>
      </c>
      <c r="H606" t="s">
        <v>15</v>
      </c>
      <c r="I606" s="1">
        <v>2</v>
      </c>
      <c r="J606" s="2">
        <v>344.82</v>
      </c>
    </row>
    <row r="607" spans="2:10" x14ac:dyDescent="0.2">
      <c r="B607" t="s">
        <v>740</v>
      </c>
      <c r="C607" t="s">
        <v>248</v>
      </c>
      <c r="D607" t="s">
        <v>741</v>
      </c>
      <c r="E607" t="s">
        <v>46</v>
      </c>
      <c r="F607" t="s">
        <v>47</v>
      </c>
      <c r="G607" t="s">
        <v>1034</v>
      </c>
      <c r="H607" t="s">
        <v>15</v>
      </c>
      <c r="I607" s="1">
        <v>1</v>
      </c>
      <c r="J607" s="2">
        <v>301.72000000000003</v>
      </c>
    </row>
    <row r="608" spans="2:10" x14ac:dyDescent="0.2">
      <c r="B608" t="s">
        <v>740</v>
      </c>
      <c r="C608" t="s">
        <v>248</v>
      </c>
      <c r="D608" t="s">
        <v>741</v>
      </c>
      <c r="E608" t="s">
        <v>336</v>
      </c>
      <c r="F608" t="s">
        <v>337</v>
      </c>
      <c r="G608" t="s">
        <v>1034</v>
      </c>
      <c r="H608" t="s">
        <v>15</v>
      </c>
      <c r="I608" s="1">
        <v>1</v>
      </c>
      <c r="J608" s="2">
        <v>387.93</v>
      </c>
    </row>
    <row r="609" spans="2:10" x14ac:dyDescent="0.2">
      <c r="B609" t="s">
        <v>740</v>
      </c>
      <c r="C609" t="s">
        <v>248</v>
      </c>
      <c r="D609" t="s">
        <v>741</v>
      </c>
      <c r="E609" t="s">
        <v>38</v>
      </c>
      <c r="F609" t="s">
        <v>39</v>
      </c>
      <c r="G609" t="s">
        <v>1034</v>
      </c>
      <c r="H609" t="s">
        <v>15</v>
      </c>
      <c r="I609" s="1">
        <v>1</v>
      </c>
      <c r="J609" s="2">
        <v>431.03</v>
      </c>
    </row>
    <row r="610" spans="2:10" x14ac:dyDescent="0.2">
      <c r="B610" t="s">
        <v>780</v>
      </c>
      <c r="C610" t="s">
        <v>10</v>
      </c>
      <c r="D610" t="s">
        <v>781</v>
      </c>
      <c r="E610" t="s">
        <v>46</v>
      </c>
      <c r="F610" t="s">
        <v>47</v>
      </c>
      <c r="G610" t="s">
        <v>1034</v>
      </c>
      <c r="H610" t="s">
        <v>15</v>
      </c>
      <c r="I610" s="1">
        <v>1</v>
      </c>
      <c r="J610" s="2">
        <v>301.72000000000003</v>
      </c>
    </row>
    <row r="611" spans="2:10" x14ac:dyDescent="0.2">
      <c r="B611" t="s">
        <v>780</v>
      </c>
      <c r="C611" t="s">
        <v>10</v>
      </c>
      <c r="D611" t="s">
        <v>781</v>
      </c>
      <c r="E611" t="s">
        <v>36</v>
      </c>
      <c r="F611" t="s">
        <v>37</v>
      </c>
      <c r="G611" t="s">
        <v>1034</v>
      </c>
      <c r="H611" t="s">
        <v>15</v>
      </c>
      <c r="I611" s="1">
        <v>1</v>
      </c>
      <c r="J611" s="2">
        <v>301.72000000000003</v>
      </c>
    </row>
    <row r="612" spans="2:10" x14ac:dyDescent="0.2">
      <c r="B612" t="s">
        <v>780</v>
      </c>
      <c r="C612" t="s">
        <v>10</v>
      </c>
      <c r="D612" t="s">
        <v>781</v>
      </c>
      <c r="E612" t="s">
        <v>72</v>
      </c>
      <c r="F612" t="s">
        <v>73</v>
      </c>
      <c r="G612" t="s">
        <v>1034</v>
      </c>
      <c r="H612" t="s">
        <v>15</v>
      </c>
      <c r="I612" s="1">
        <v>1</v>
      </c>
      <c r="J612" s="2">
        <v>775.86</v>
      </c>
    </row>
    <row r="613" spans="2:10" x14ac:dyDescent="0.2">
      <c r="B613" t="s">
        <v>780</v>
      </c>
      <c r="C613" t="s">
        <v>10</v>
      </c>
      <c r="D613" t="s">
        <v>781</v>
      </c>
      <c r="E613" t="s">
        <v>163</v>
      </c>
      <c r="F613" t="s">
        <v>164</v>
      </c>
      <c r="G613" t="s">
        <v>1034</v>
      </c>
      <c r="H613" t="s">
        <v>15</v>
      </c>
      <c r="I613" s="1">
        <v>1</v>
      </c>
      <c r="J613" s="2">
        <v>431.03</v>
      </c>
    </row>
    <row r="614" spans="2:10" x14ac:dyDescent="0.2">
      <c r="B614" t="s">
        <v>780</v>
      </c>
      <c r="C614" t="s">
        <v>10</v>
      </c>
      <c r="D614" t="s">
        <v>781</v>
      </c>
      <c r="E614" t="s">
        <v>61</v>
      </c>
      <c r="F614" t="s">
        <v>62</v>
      </c>
      <c r="G614" t="s">
        <v>1034</v>
      </c>
      <c r="H614" t="s">
        <v>15</v>
      </c>
      <c r="I614" s="1">
        <v>1</v>
      </c>
      <c r="J614" s="2">
        <v>172.41</v>
      </c>
    </row>
    <row r="615" spans="2:10" x14ac:dyDescent="0.2">
      <c r="B615" t="s">
        <v>780</v>
      </c>
      <c r="C615" t="s">
        <v>18</v>
      </c>
      <c r="D615" t="s">
        <v>781</v>
      </c>
      <c r="E615" t="s">
        <v>221</v>
      </c>
      <c r="F615" t="s">
        <v>222</v>
      </c>
      <c r="G615" t="s">
        <v>1034</v>
      </c>
      <c r="H615" t="s">
        <v>15</v>
      </c>
      <c r="I615" s="1">
        <v>2</v>
      </c>
      <c r="J615" s="2">
        <v>862.06</v>
      </c>
    </row>
    <row r="616" spans="2:10" x14ac:dyDescent="0.2">
      <c r="B616" t="s">
        <v>780</v>
      </c>
      <c r="C616" t="s">
        <v>18</v>
      </c>
      <c r="D616" t="s">
        <v>781</v>
      </c>
      <c r="E616" t="s">
        <v>36</v>
      </c>
      <c r="F616" t="s">
        <v>37</v>
      </c>
      <c r="G616" t="s">
        <v>1034</v>
      </c>
      <c r="H616" t="s">
        <v>15</v>
      </c>
      <c r="I616" s="1">
        <v>2</v>
      </c>
      <c r="J616" s="2">
        <v>603.44000000000005</v>
      </c>
    </row>
    <row r="617" spans="2:10" x14ac:dyDescent="0.2">
      <c r="B617" t="s">
        <v>780</v>
      </c>
      <c r="C617" t="s">
        <v>18</v>
      </c>
      <c r="D617" t="s">
        <v>781</v>
      </c>
      <c r="E617" t="s">
        <v>56</v>
      </c>
      <c r="F617" t="s">
        <v>57</v>
      </c>
      <c r="G617" t="s">
        <v>1034</v>
      </c>
      <c r="H617" t="s">
        <v>15</v>
      </c>
      <c r="I617" s="1">
        <v>1</v>
      </c>
      <c r="J617" s="2">
        <v>431.03</v>
      </c>
    </row>
    <row r="618" spans="2:10" x14ac:dyDescent="0.2">
      <c r="B618" t="s">
        <v>780</v>
      </c>
      <c r="C618" t="s">
        <v>31</v>
      </c>
      <c r="D618" t="s">
        <v>781</v>
      </c>
      <c r="E618" t="s">
        <v>163</v>
      </c>
      <c r="F618" t="s">
        <v>164</v>
      </c>
      <c r="G618" t="s">
        <v>1034</v>
      </c>
      <c r="H618" t="s">
        <v>15</v>
      </c>
      <c r="I618" s="1">
        <v>1</v>
      </c>
      <c r="J618" s="2">
        <v>431.03</v>
      </c>
    </row>
    <row r="619" spans="2:10" x14ac:dyDescent="0.2">
      <c r="B619" t="s">
        <v>780</v>
      </c>
      <c r="C619" t="s">
        <v>31</v>
      </c>
      <c r="D619" t="s">
        <v>781</v>
      </c>
      <c r="E619" t="s">
        <v>63</v>
      </c>
      <c r="F619" t="s">
        <v>64</v>
      </c>
      <c r="G619" t="s">
        <v>1034</v>
      </c>
      <c r="H619" t="s">
        <v>15</v>
      </c>
      <c r="I619" s="1">
        <v>1</v>
      </c>
      <c r="J619" s="2">
        <v>172.41</v>
      </c>
    </row>
    <row r="620" spans="2:10" x14ac:dyDescent="0.2">
      <c r="B620" t="s">
        <v>780</v>
      </c>
      <c r="C620" t="s">
        <v>51</v>
      </c>
      <c r="D620" t="s">
        <v>781</v>
      </c>
      <c r="E620" t="s">
        <v>214</v>
      </c>
      <c r="F620" t="s">
        <v>215</v>
      </c>
      <c r="G620" t="s">
        <v>1034</v>
      </c>
      <c r="H620" t="s">
        <v>15</v>
      </c>
      <c r="I620" s="1">
        <v>2</v>
      </c>
      <c r="J620" s="2">
        <v>603.44000000000005</v>
      </c>
    </row>
    <row r="621" spans="2:10" x14ac:dyDescent="0.2">
      <c r="B621" t="s">
        <v>780</v>
      </c>
      <c r="C621" t="s">
        <v>51</v>
      </c>
      <c r="D621" t="s">
        <v>781</v>
      </c>
      <c r="E621" t="s">
        <v>163</v>
      </c>
      <c r="F621" t="s">
        <v>164</v>
      </c>
      <c r="G621" t="s">
        <v>1034</v>
      </c>
      <c r="H621" t="s">
        <v>15</v>
      </c>
      <c r="I621" s="1">
        <v>1</v>
      </c>
      <c r="J621" s="2">
        <v>431.03</v>
      </c>
    </row>
    <row r="622" spans="2:10" x14ac:dyDescent="0.2">
      <c r="B622" t="s">
        <v>780</v>
      </c>
      <c r="C622" t="s">
        <v>51</v>
      </c>
      <c r="D622" t="s">
        <v>781</v>
      </c>
      <c r="E622" t="s">
        <v>61</v>
      </c>
      <c r="F622" t="s">
        <v>62</v>
      </c>
      <c r="G622" t="s">
        <v>1034</v>
      </c>
      <c r="H622" t="s">
        <v>15</v>
      </c>
      <c r="I622" s="1">
        <v>2</v>
      </c>
      <c r="J622" s="2">
        <v>344.82</v>
      </c>
    </row>
    <row r="623" spans="2:10" x14ac:dyDescent="0.2">
      <c r="B623" t="s">
        <v>780</v>
      </c>
      <c r="C623" t="s">
        <v>65</v>
      </c>
      <c r="D623" t="s">
        <v>781</v>
      </c>
      <c r="E623" t="s">
        <v>36</v>
      </c>
      <c r="F623" t="s">
        <v>37</v>
      </c>
      <c r="G623" t="s">
        <v>1034</v>
      </c>
      <c r="H623" t="s">
        <v>15</v>
      </c>
      <c r="I623" s="1">
        <v>1</v>
      </c>
      <c r="J623" s="2">
        <v>301.72000000000003</v>
      </c>
    </row>
    <row r="624" spans="2:10" x14ac:dyDescent="0.2">
      <c r="B624" t="s">
        <v>780</v>
      </c>
      <c r="C624" t="s">
        <v>65</v>
      </c>
      <c r="D624" t="s">
        <v>781</v>
      </c>
      <c r="E624" t="s">
        <v>56</v>
      </c>
      <c r="F624" t="s">
        <v>57</v>
      </c>
      <c r="G624" t="s">
        <v>1034</v>
      </c>
      <c r="H624" t="s">
        <v>15</v>
      </c>
      <c r="I624" s="1">
        <v>1</v>
      </c>
      <c r="J624" s="2">
        <v>431.03</v>
      </c>
    </row>
    <row r="625" spans="2:10" x14ac:dyDescent="0.2">
      <c r="B625" t="s">
        <v>780</v>
      </c>
      <c r="C625" t="s">
        <v>82</v>
      </c>
      <c r="D625" t="s">
        <v>781</v>
      </c>
      <c r="E625" t="s">
        <v>221</v>
      </c>
      <c r="F625" t="s">
        <v>222</v>
      </c>
      <c r="G625" t="s">
        <v>1034</v>
      </c>
      <c r="H625" t="s">
        <v>15</v>
      </c>
      <c r="I625" s="1">
        <v>1</v>
      </c>
      <c r="J625" s="2">
        <v>431.03</v>
      </c>
    </row>
    <row r="626" spans="2:10" x14ac:dyDescent="0.2">
      <c r="B626" t="s">
        <v>780</v>
      </c>
      <c r="C626" t="s">
        <v>82</v>
      </c>
      <c r="D626" t="s">
        <v>781</v>
      </c>
      <c r="E626" t="s">
        <v>36</v>
      </c>
      <c r="F626" t="s">
        <v>37</v>
      </c>
      <c r="G626" t="s">
        <v>1034</v>
      </c>
      <c r="H626" t="s">
        <v>15</v>
      </c>
      <c r="I626" s="1">
        <v>1</v>
      </c>
      <c r="J626" s="2">
        <v>301.72000000000003</v>
      </c>
    </row>
    <row r="627" spans="2:10" x14ac:dyDescent="0.2">
      <c r="B627" t="s">
        <v>780</v>
      </c>
      <c r="C627" t="s">
        <v>82</v>
      </c>
      <c r="D627" t="s">
        <v>781</v>
      </c>
      <c r="E627" t="s">
        <v>56</v>
      </c>
      <c r="F627" t="s">
        <v>57</v>
      </c>
      <c r="G627" t="s">
        <v>1034</v>
      </c>
      <c r="H627" t="s">
        <v>15</v>
      </c>
      <c r="I627" s="1">
        <v>1</v>
      </c>
      <c r="J627" s="2">
        <v>431.03</v>
      </c>
    </row>
    <row r="628" spans="2:10" x14ac:dyDescent="0.2">
      <c r="B628" t="s">
        <v>780</v>
      </c>
      <c r="C628" t="s">
        <v>88</v>
      </c>
      <c r="D628" t="s">
        <v>781</v>
      </c>
      <c r="E628" t="s">
        <v>83</v>
      </c>
      <c r="F628" t="s">
        <v>84</v>
      </c>
      <c r="G628" t="s">
        <v>1034</v>
      </c>
      <c r="H628" t="s">
        <v>15</v>
      </c>
      <c r="I628" s="1">
        <v>1</v>
      </c>
      <c r="J628" s="2">
        <v>387.93</v>
      </c>
    </row>
    <row r="629" spans="2:10" x14ac:dyDescent="0.2">
      <c r="B629" t="s">
        <v>780</v>
      </c>
      <c r="C629" t="s">
        <v>88</v>
      </c>
      <c r="D629" t="s">
        <v>781</v>
      </c>
      <c r="E629" t="s">
        <v>56</v>
      </c>
      <c r="F629" t="s">
        <v>57</v>
      </c>
      <c r="G629" t="s">
        <v>1034</v>
      </c>
      <c r="H629" t="s">
        <v>15</v>
      </c>
      <c r="I629" s="1">
        <v>1</v>
      </c>
      <c r="J629" s="2">
        <v>431.03</v>
      </c>
    </row>
    <row r="630" spans="2:10" x14ac:dyDescent="0.2">
      <c r="B630" t="s">
        <v>780</v>
      </c>
      <c r="C630" t="s">
        <v>88</v>
      </c>
      <c r="D630" t="s">
        <v>781</v>
      </c>
      <c r="E630" t="s">
        <v>63</v>
      </c>
      <c r="F630" t="s">
        <v>64</v>
      </c>
      <c r="G630" t="s">
        <v>1034</v>
      </c>
      <c r="H630" t="s">
        <v>15</v>
      </c>
      <c r="I630" s="1">
        <v>1</v>
      </c>
      <c r="J630" s="2">
        <v>172.41</v>
      </c>
    </row>
    <row r="631" spans="2:10" x14ac:dyDescent="0.2">
      <c r="B631" t="s">
        <v>780</v>
      </c>
      <c r="C631" t="s">
        <v>117</v>
      </c>
      <c r="D631" t="s">
        <v>781</v>
      </c>
      <c r="E631" t="s">
        <v>214</v>
      </c>
      <c r="F631" t="s">
        <v>215</v>
      </c>
      <c r="G631" t="s">
        <v>1034</v>
      </c>
      <c r="H631" t="s">
        <v>15</v>
      </c>
      <c r="I631" s="1">
        <v>1</v>
      </c>
      <c r="J631" s="2">
        <v>301.72000000000003</v>
      </c>
    </row>
    <row r="632" spans="2:10" x14ac:dyDescent="0.2">
      <c r="B632" t="s">
        <v>780</v>
      </c>
      <c r="C632" t="s">
        <v>117</v>
      </c>
      <c r="D632" t="s">
        <v>781</v>
      </c>
      <c r="E632" t="s">
        <v>36</v>
      </c>
      <c r="F632" t="s">
        <v>37</v>
      </c>
      <c r="G632" t="s">
        <v>1034</v>
      </c>
      <c r="H632" t="s">
        <v>15</v>
      </c>
      <c r="I632" s="1">
        <v>2</v>
      </c>
      <c r="J632" s="2">
        <v>603.44000000000005</v>
      </c>
    </row>
    <row r="633" spans="2:10" x14ac:dyDescent="0.2">
      <c r="B633" t="s">
        <v>780</v>
      </c>
      <c r="C633" t="s">
        <v>129</v>
      </c>
      <c r="D633" t="s">
        <v>781</v>
      </c>
      <c r="E633" t="s">
        <v>36</v>
      </c>
      <c r="F633" t="s">
        <v>37</v>
      </c>
      <c r="G633" t="s">
        <v>1034</v>
      </c>
      <c r="H633" t="s">
        <v>15</v>
      </c>
      <c r="I633" s="1">
        <v>1</v>
      </c>
      <c r="J633" s="2">
        <v>301.72000000000003</v>
      </c>
    </row>
    <row r="634" spans="2:10" x14ac:dyDescent="0.2">
      <c r="B634" t="s">
        <v>780</v>
      </c>
      <c r="C634" t="s">
        <v>129</v>
      </c>
      <c r="D634" t="s">
        <v>781</v>
      </c>
      <c r="E634" t="s">
        <v>61</v>
      </c>
      <c r="F634" t="s">
        <v>62</v>
      </c>
      <c r="G634" t="s">
        <v>1034</v>
      </c>
      <c r="H634" t="s">
        <v>15</v>
      </c>
      <c r="I634" s="1">
        <v>1</v>
      </c>
      <c r="J634" s="2">
        <v>172.41</v>
      </c>
    </row>
    <row r="635" spans="2:10" x14ac:dyDescent="0.2">
      <c r="B635" t="s">
        <v>780</v>
      </c>
      <c r="C635" t="s">
        <v>129</v>
      </c>
      <c r="D635" t="s">
        <v>781</v>
      </c>
      <c r="E635" t="s">
        <v>63</v>
      </c>
      <c r="F635" t="s">
        <v>64</v>
      </c>
      <c r="G635" t="s">
        <v>1034</v>
      </c>
      <c r="H635" t="s">
        <v>15</v>
      </c>
      <c r="I635" s="1">
        <v>1</v>
      </c>
      <c r="J635" s="2">
        <v>172.41</v>
      </c>
    </row>
    <row r="636" spans="2:10" x14ac:dyDescent="0.2">
      <c r="B636" t="s">
        <v>780</v>
      </c>
      <c r="C636" t="s">
        <v>134</v>
      </c>
      <c r="D636" t="s">
        <v>781</v>
      </c>
      <c r="E636" t="s">
        <v>214</v>
      </c>
      <c r="F636" t="s">
        <v>215</v>
      </c>
      <c r="G636" t="s">
        <v>1034</v>
      </c>
      <c r="H636" t="s">
        <v>15</v>
      </c>
      <c r="I636" s="1">
        <v>1</v>
      </c>
      <c r="J636" s="2">
        <v>301.72000000000003</v>
      </c>
    </row>
    <row r="637" spans="2:10" x14ac:dyDescent="0.2">
      <c r="B637" t="s">
        <v>780</v>
      </c>
      <c r="C637" t="s">
        <v>134</v>
      </c>
      <c r="D637" t="s">
        <v>781</v>
      </c>
      <c r="E637" t="s">
        <v>36</v>
      </c>
      <c r="F637" t="s">
        <v>37</v>
      </c>
      <c r="G637" t="s">
        <v>1034</v>
      </c>
      <c r="H637" t="s">
        <v>15</v>
      </c>
      <c r="I637" s="1">
        <v>1</v>
      </c>
      <c r="J637" s="2">
        <v>301.72000000000003</v>
      </c>
    </row>
    <row r="638" spans="2:10" x14ac:dyDescent="0.2">
      <c r="B638" t="s">
        <v>780</v>
      </c>
      <c r="C638" t="s">
        <v>144</v>
      </c>
      <c r="D638" t="s">
        <v>781</v>
      </c>
      <c r="E638" t="s">
        <v>61</v>
      </c>
      <c r="F638" t="s">
        <v>62</v>
      </c>
      <c r="G638" t="s">
        <v>1034</v>
      </c>
      <c r="H638" t="s">
        <v>15</v>
      </c>
      <c r="I638" s="1">
        <v>1</v>
      </c>
      <c r="J638" s="2">
        <v>172.41</v>
      </c>
    </row>
    <row r="639" spans="2:10" x14ac:dyDescent="0.2">
      <c r="B639" t="s">
        <v>780</v>
      </c>
      <c r="C639" t="s">
        <v>165</v>
      </c>
      <c r="D639" t="s">
        <v>781</v>
      </c>
      <c r="E639" t="s">
        <v>46</v>
      </c>
      <c r="F639" t="s">
        <v>47</v>
      </c>
      <c r="G639" t="s">
        <v>1034</v>
      </c>
      <c r="H639" t="s">
        <v>15</v>
      </c>
      <c r="I639" s="1">
        <v>1</v>
      </c>
      <c r="J639" s="2">
        <v>301.72000000000003</v>
      </c>
    </row>
    <row r="640" spans="2:10" x14ac:dyDescent="0.2">
      <c r="B640" t="s">
        <v>780</v>
      </c>
      <c r="C640" t="s">
        <v>165</v>
      </c>
      <c r="D640" t="s">
        <v>781</v>
      </c>
      <c r="E640" t="s">
        <v>221</v>
      </c>
      <c r="F640" t="s">
        <v>222</v>
      </c>
      <c r="G640" t="s">
        <v>1034</v>
      </c>
      <c r="H640" t="s">
        <v>15</v>
      </c>
      <c r="I640" s="1">
        <v>2</v>
      </c>
      <c r="J640" s="2">
        <v>862.06</v>
      </c>
    </row>
    <row r="641" spans="2:10" x14ac:dyDescent="0.2">
      <c r="B641" t="s">
        <v>780</v>
      </c>
      <c r="C641" t="s">
        <v>165</v>
      </c>
      <c r="D641" t="s">
        <v>781</v>
      </c>
      <c r="E641" t="s">
        <v>120</v>
      </c>
      <c r="F641" t="s">
        <v>121</v>
      </c>
      <c r="G641" t="s">
        <v>1034</v>
      </c>
      <c r="H641" t="s">
        <v>15</v>
      </c>
      <c r="I641" s="1">
        <v>1</v>
      </c>
      <c r="J641" s="2">
        <v>301.72000000000003</v>
      </c>
    </row>
    <row r="642" spans="2:10" x14ac:dyDescent="0.2">
      <c r="B642" t="s">
        <v>780</v>
      </c>
      <c r="C642" t="s">
        <v>165</v>
      </c>
      <c r="D642" t="s">
        <v>781</v>
      </c>
      <c r="E642" t="s">
        <v>38</v>
      </c>
      <c r="F642" t="s">
        <v>39</v>
      </c>
      <c r="G642" t="s">
        <v>1034</v>
      </c>
      <c r="H642" t="s">
        <v>15</v>
      </c>
      <c r="I642" s="1">
        <v>1</v>
      </c>
      <c r="J642" s="2">
        <v>431.03</v>
      </c>
    </row>
    <row r="643" spans="2:10" x14ac:dyDescent="0.2">
      <c r="B643" t="s">
        <v>780</v>
      </c>
      <c r="C643" t="s">
        <v>165</v>
      </c>
      <c r="D643" t="s">
        <v>781</v>
      </c>
      <c r="E643" t="s">
        <v>56</v>
      </c>
      <c r="F643" t="s">
        <v>57</v>
      </c>
      <c r="G643" t="s">
        <v>1034</v>
      </c>
      <c r="H643" t="s">
        <v>15</v>
      </c>
      <c r="I643" s="1">
        <v>1</v>
      </c>
      <c r="J643" s="2">
        <v>431.03</v>
      </c>
    </row>
    <row r="644" spans="2:10" x14ac:dyDescent="0.2">
      <c r="B644" t="s">
        <v>780</v>
      </c>
      <c r="C644" t="s">
        <v>166</v>
      </c>
      <c r="D644" t="s">
        <v>781</v>
      </c>
      <c r="E644" t="s">
        <v>56</v>
      </c>
      <c r="F644" t="s">
        <v>57</v>
      </c>
      <c r="G644" t="s">
        <v>1034</v>
      </c>
      <c r="H644" t="s">
        <v>15</v>
      </c>
      <c r="I644" s="1">
        <v>1</v>
      </c>
      <c r="J644" s="2">
        <v>431.03</v>
      </c>
    </row>
    <row r="645" spans="2:10" x14ac:dyDescent="0.2">
      <c r="B645" t="s">
        <v>780</v>
      </c>
      <c r="C645" t="s">
        <v>185</v>
      </c>
      <c r="D645" t="s">
        <v>781</v>
      </c>
      <c r="E645" t="s">
        <v>221</v>
      </c>
      <c r="F645" t="s">
        <v>222</v>
      </c>
      <c r="G645" t="s">
        <v>1034</v>
      </c>
      <c r="H645" t="s">
        <v>15</v>
      </c>
      <c r="I645" s="1">
        <v>1</v>
      </c>
      <c r="J645" s="2">
        <v>431.03</v>
      </c>
    </row>
    <row r="646" spans="2:10" x14ac:dyDescent="0.2">
      <c r="B646" t="s">
        <v>780</v>
      </c>
      <c r="C646" t="s">
        <v>185</v>
      </c>
      <c r="D646" t="s">
        <v>781</v>
      </c>
      <c r="E646" t="s">
        <v>72</v>
      </c>
      <c r="F646" t="s">
        <v>73</v>
      </c>
      <c r="G646" t="s">
        <v>1034</v>
      </c>
      <c r="H646" t="s">
        <v>15</v>
      </c>
      <c r="I646" s="1">
        <v>1</v>
      </c>
      <c r="J646" s="2">
        <v>775.86</v>
      </c>
    </row>
    <row r="647" spans="2:10" x14ac:dyDescent="0.2">
      <c r="B647" t="s">
        <v>780</v>
      </c>
      <c r="C647" t="s">
        <v>185</v>
      </c>
      <c r="D647" t="s">
        <v>781</v>
      </c>
      <c r="E647" t="s">
        <v>122</v>
      </c>
      <c r="F647" t="s">
        <v>123</v>
      </c>
      <c r="G647" t="s">
        <v>1034</v>
      </c>
      <c r="H647" t="s">
        <v>15</v>
      </c>
      <c r="I647" s="1">
        <v>1</v>
      </c>
      <c r="J647" s="2">
        <v>387.93</v>
      </c>
    </row>
    <row r="648" spans="2:10" x14ac:dyDescent="0.2">
      <c r="B648" t="s">
        <v>780</v>
      </c>
      <c r="C648" t="s">
        <v>335</v>
      </c>
      <c r="D648" t="s">
        <v>781</v>
      </c>
      <c r="E648" t="s">
        <v>120</v>
      </c>
      <c r="F648" t="s">
        <v>121</v>
      </c>
      <c r="G648" t="s">
        <v>1034</v>
      </c>
      <c r="H648" t="s">
        <v>15</v>
      </c>
      <c r="I648" s="1">
        <v>1</v>
      </c>
      <c r="J648" s="2">
        <v>301.72000000000003</v>
      </c>
    </row>
    <row r="649" spans="2:10" x14ac:dyDescent="0.2">
      <c r="B649" t="s">
        <v>780</v>
      </c>
      <c r="C649" t="s">
        <v>335</v>
      </c>
      <c r="D649" t="s">
        <v>781</v>
      </c>
      <c r="E649" t="s">
        <v>122</v>
      </c>
      <c r="F649" t="s">
        <v>123</v>
      </c>
      <c r="G649" t="s">
        <v>1034</v>
      </c>
      <c r="H649" t="s">
        <v>15</v>
      </c>
      <c r="I649" s="1">
        <v>1</v>
      </c>
      <c r="J649" s="2">
        <v>387.93</v>
      </c>
    </row>
    <row r="650" spans="2:10" x14ac:dyDescent="0.2">
      <c r="B650" t="s">
        <v>780</v>
      </c>
      <c r="C650" t="s">
        <v>418</v>
      </c>
      <c r="D650" t="s">
        <v>781</v>
      </c>
      <c r="E650" t="s">
        <v>56</v>
      </c>
      <c r="F650" t="s">
        <v>57</v>
      </c>
      <c r="G650" t="s">
        <v>1034</v>
      </c>
      <c r="H650" t="s">
        <v>15</v>
      </c>
      <c r="I650" s="1">
        <v>1</v>
      </c>
      <c r="J650" s="2">
        <v>431.03</v>
      </c>
    </row>
    <row r="651" spans="2:10" x14ac:dyDescent="0.2">
      <c r="B651" t="s">
        <v>780</v>
      </c>
      <c r="C651" t="s">
        <v>186</v>
      </c>
      <c r="D651" t="s">
        <v>226</v>
      </c>
      <c r="E651" t="s">
        <v>214</v>
      </c>
      <c r="F651" t="s">
        <v>215</v>
      </c>
      <c r="G651" t="s">
        <v>1034</v>
      </c>
      <c r="H651" t="s">
        <v>15</v>
      </c>
      <c r="I651" s="1">
        <v>1</v>
      </c>
      <c r="J651" s="2">
        <v>301.72000000000003</v>
      </c>
    </row>
    <row r="652" spans="2:10" x14ac:dyDescent="0.2">
      <c r="B652" t="s">
        <v>780</v>
      </c>
      <c r="C652" t="s">
        <v>197</v>
      </c>
      <c r="D652" t="s">
        <v>781</v>
      </c>
      <c r="E652" t="s">
        <v>221</v>
      </c>
      <c r="F652" t="s">
        <v>222</v>
      </c>
      <c r="G652" t="s">
        <v>1034</v>
      </c>
      <c r="H652" t="s">
        <v>15</v>
      </c>
      <c r="I652" s="1">
        <v>1</v>
      </c>
      <c r="J652" s="2">
        <v>431.03</v>
      </c>
    </row>
    <row r="653" spans="2:10" x14ac:dyDescent="0.2">
      <c r="B653" t="s">
        <v>780</v>
      </c>
      <c r="C653" t="s">
        <v>197</v>
      </c>
      <c r="D653" t="s">
        <v>781</v>
      </c>
      <c r="E653" t="s">
        <v>214</v>
      </c>
      <c r="F653" t="s">
        <v>215</v>
      </c>
      <c r="G653" t="s">
        <v>1034</v>
      </c>
      <c r="H653" t="s">
        <v>15</v>
      </c>
      <c r="I653" s="1">
        <v>1</v>
      </c>
      <c r="J653" s="2">
        <v>301.72000000000003</v>
      </c>
    </row>
    <row r="654" spans="2:10" x14ac:dyDescent="0.2">
      <c r="B654" t="s">
        <v>780</v>
      </c>
      <c r="C654" t="s">
        <v>197</v>
      </c>
      <c r="D654" t="s">
        <v>781</v>
      </c>
      <c r="E654" t="s">
        <v>72</v>
      </c>
      <c r="F654" t="s">
        <v>73</v>
      </c>
      <c r="G654" t="s">
        <v>1034</v>
      </c>
      <c r="H654" t="s">
        <v>15</v>
      </c>
      <c r="I654" s="1">
        <v>1</v>
      </c>
      <c r="J654" s="2">
        <v>775.86</v>
      </c>
    </row>
    <row r="655" spans="2:10" x14ac:dyDescent="0.2">
      <c r="B655" t="s">
        <v>780</v>
      </c>
      <c r="C655" t="s">
        <v>197</v>
      </c>
      <c r="D655" t="s">
        <v>781</v>
      </c>
      <c r="E655" t="s">
        <v>61</v>
      </c>
      <c r="F655" t="s">
        <v>62</v>
      </c>
      <c r="G655" t="s">
        <v>1034</v>
      </c>
      <c r="H655" t="s">
        <v>15</v>
      </c>
      <c r="I655" s="1">
        <v>2</v>
      </c>
      <c r="J655" s="2">
        <v>344.82</v>
      </c>
    </row>
    <row r="656" spans="2:10" x14ac:dyDescent="0.2">
      <c r="B656" t="s">
        <v>780</v>
      </c>
      <c r="C656" t="s">
        <v>197</v>
      </c>
      <c r="D656" t="s">
        <v>781</v>
      </c>
      <c r="E656" t="s">
        <v>63</v>
      </c>
      <c r="F656" t="s">
        <v>64</v>
      </c>
      <c r="G656" t="s">
        <v>1034</v>
      </c>
      <c r="H656" t="s">
        <v>15</v>
      </c>
      <c r="I656" s="1">
        <v>1</v>
      </c>
      <c r="J656" s="2">
        <v>172.41</v>
      </c>
    </row>
    <row r="657" spans="2:10" x14ac:dyDescent="0.2">
      <c r="B657" t="s">
        <v>780</v>
      </c>
      <c r="C657" t="s">
        <v>206</v>
      </c>
      <c r="D657" t="s">
        <v>781</v>
      </c>
      <c r="E657" t="s">
        <v>122</v>
      </c>
      <c r="F657" t="s">
        <v>123</v>
      </c>
      <c r="G657" t="s">
        <v>1034</v>
      </c>
      <c r="H657" t="s">
        <v>15</v>
      </c>
      <c r="I657" s="1">
        <v>1</v>
      </c>
      <c r="J657" s="2">
        <v>387.93</v>
      </c>
    </row>
    <row r="658" spans="2:10" x14ac:dyDescent="0.2">
      <c r="B658" t="s">
        <v>780</v>
      </c>
      <c r="C658" t="s">
        <v>206</v>
      </c>
      <c r="D658" t="s">
        <v>781</v>
      </c>
      <c r="E658" t="s">
        <v>61</v>
      </c>
      <c r="F658" t="s">
        <v>62</v>
      </c>
      <c r="G658" t="s">
        <v>1034</v>
      </c>
      <c r="H658" t="s">
        <v>15</v>
      </c>
      <c r="I658" s="1">
        <v>1</v>
      </c>
      <c r="J658" s="2">
        <v>172.41</v>
      </c>
    </row>
    <row r="659" spans="2:10" x14ac:dyDescent="0.2">
      <c r="B659" t="s">
        <v>780</v>
      </c>
      <c r="C659" t="s">
        <v>206</v>
      </c>
      <c r="D659" t="s">
        <v>781</v>
      </c>
      <c r="E659" t="s">
        <v>63</v>
      </c>
      <c r="F659" t="s">
        <v>64</v>
      </c>
      <c r="G659" t="s">
        <v>1034</v>
      </c>
      <c r="H659" t="s">
        <v>15</v>
      </c>
      <c r="I659" s="1">
        <v>1</v>
      </c>
      <c r="J659" s="2">
        <v>172.41</v>
      </c>
    </row>
    <row r="660" spans="2:10" x14ac:dyDescent="0.2">
      <c r="B660" t="s">
        <v>780</v>
      </c>
      <c r="C660" t="s">
        <v>220</v>
      </c>
      <c r="D660" t="s">
        <v>781</v>
      </c>
      <c r="E660" t="s">
        <v>63</v>
      </c>
      <c r="F660" t="s">
        <v>64</v>
      </c>
      <c r="G660" t="s">
        <v>1034</v>
      </c>
      <c r="H660" t="s">
        <v>15</v>
      </c>
      <c r="I660" s="1">
        <v>1</v>
      </c>
      <c r="J660" s="2">
        <v>172.41</v>
      </c>
    </row>
    <row r="661" spans="2:10" x14ac:dyDescent="0.2">
      <c r="B661" t="s">
        <v>780</v>
      </c>
      <c r="C661" t="s">
        <v>227</v>
      </c>
      <c r="D661" t="s">
        <v>781</v>
      </c>
      <c r="E661" t="s">
        <v>56</v>
      </c>
      <c r="F661" t="s">
        <v>57</v>
      </c>
      <c r="G661" t="s">
        <v>1034</v>
      </c>
      <c r="H661" t="s">
        <v>15</v>
      </c>
      <c r="I661" s="1">
        <v>1</v>
      </c>
      <c r="J661" s="2">
        <v>431.03</v>
      </c>
    </row>
    <row r="662" spans="2:10" x14ac:dyDescent="0.2">
      <c r="B662" t="s">
        <v>780</v>
      </c>
      <c r="C662" t="s">
        <v>228</v>
      </c>
      <c r="D662" t="s">
        <v>781</v>
      </c>
      <c r="E662" t="s">
        <v>122</v>
      </c>
      <c r="F662" t="s">
        <v>123</v>
      </c>
      <c r="G662" t="s">
        <v>1034</v>
      </c>
      <c r="H662" t="s">
        <v>15</v>
      </c>
      <c r="I662" s="1">
        <v>1</v>
      </c>
      <c r="J662" s="2">
        <v>387.93</v>
      </c>
    </row>
    <row r="663" spans="2:10" x14ac:dyDescent="0.2">
      <c r="B663" t="s">
        <v>780</v>
      </c>
      <c r="C663" t="s">
        <v>228</v>
      </c>
      <c r="D663" t="s">
        <v>781</v>
      </c>
      <c r="E663" t="s">
        <v>153</v>
      </c>
      <c r="F663" t="s">
        <v>154</v>
      </c>
      <c r="G663" t="s">
        <v>1034</v>
      </c>
      <c r="H663" t="s">
        <v>15</v>
      </c>
      <c r="I663" s="1">
        <v>1</v>
      </c>
      <c r="J663" s="2">
        <v>387.93</v>
      </c>
    </row>
    <row r="664" spans="2:10" x14ac:dyDescent="0.2">
      <c r="B664" t="s">
        <v>780</v>
      </c>
      <c r="C664" t="s">
        <v>233</v>
      </c>
      <c r="D664" t="s">
        <v>781</v>
      </c>
      <c r="E664" t="s">
        <v>56</v>
      </c>
      <c r="F664" t="s">
        <v>57</v>
      </c>
      <c r="G664" t="s">
        <v>1034</v>
      </c>
      <c r="H664" t="s">
        <v>15</v>
      </c>
      <c r="I664" s="1">
        <v>1</v>
      </c>
      <c r="J664" s="2">
        <v>431.03</v>
      </c>
    </row>
    <row r="665" spans="2:10" x14ac:dyDescent="0.2">
      <c r="B665" t="s">
        <v>780</v>
      </c>
      <c r="C665" t="s">
        <v>237</v>
      </c>
      <c r="D665" t="s">
        <v>277</v>
      </c>
      <c r="E665" t="s">
        <v>61</v>
      </c>
      <c r="F665" t="s">
        <v>62</v>
      </c>
      <c r="G665" t="s">
        <v>1034</v>
      </c>
      <c r="H665" t="s">
        <v>15</v>
      </c>
      <c r="I665" s="1">
        <v>1</v>
      </c>
      <c r="J665" s="2">
        <v>172.41</v>
      </c>
    </row>
    <row r="666" spans="2:10" x14ac:dyDescent="0.2">
      <c r="B666" t="s">
        <v>780</v>
      </c>
      <c r="C666" t="s">
        <v>248</v>
      </c>
      <c r="D666" t="s">
        <v>781</v>
      </c>
      <c r="E666" t="s">
        <v>122</v>
      </c>
      <c r="F666" t="s">
        <v>123</v>
      </c>
      <c r="G666" t="s">
        <v>1034</v>
      </c>
      <c r="H666" t="s">
        <v>15</v>
      </c>
      <c r="I666" s="1">
        <v>1</v>
      </c>
      <c r="J666" s="2">
        <v>387.93</v>
      </c>
    </row>
    <row r="667" spans="2:10" x14ac:dyDescent="0.2">
      <c r="B667" t="s">
        <v>780</v>
      </c>
      <c r="C667" t="s">
        <v>248</v>
      </c>
      <c r="D667" t="s">
        <v>781</v>
      </c>
      <c r="E667" t="s">
        <v>61</v>
      </c>
      <c r="F667" t="s">
        <v>62</v>
      </c>
      <c r="G667" t="s">
        <v>1034</v>
      </c>
      <c r="H667" t="s">
        <v>15</v>
      </c>
      <c r="I667" s="1">
        <v>1</v>
      </c>
      <c r="J667" s="2">
        <v>172.41</v>
      </c>
    </row>
    <row r="668" spans="2:10" x14ac:dyDescent="0.2">
      <c r="B668" t="s">
        <v>780</v>
      </c>
      <c r="C668" t="s">
        <v>248</v>
      </c>
      <c r="D668" t="s">
        <v>781</v>
      </c>
      <c r="E668" t="s">
        <v>63</v>
      </c>
      <c r="F668" t="s">
        <v>64</v>
      </c>
      <c r="G668" t="s">
        <v>1034</v>
      </c>
      <c r="H668" t="s">
        <v>15</v>
      </c>
      <c r="I668" s="1">
        <v>1</v>
      </c>
      <c r="J668" s="2">
        <v>172.41</v>
      </c>
    </row>
    <row r="669" spans="2:10" x14ac:dyDescent="0.2">
      <c r="B669" t="s">
        <v>824</v>
      </c>
      <c r="C669" t="s">
        <v>10</v>
      </c>
      <c r="D669" t="s">
        <v>825</v>
      </c>
      <c r="E669" t="s">
        <v>46</v>
      </c>
      <c r="F669" t="s">
        <v>47</v>
      </c>
      <c r="G669" t="s">
        <v>1034</v>
      </c>
      <c r="H669" t="s">
        <v>15</v>
      </c>
      <c r="I669" s="1">
        <v>1</v>
      </c>
      <c r="J669" s="2">
        <v>301.72000000000003</v>
      </c>
    </row>
    <row r="670" spans="2:10" x14ac:dyDescent="0.2">
      <c r="B670" t="s">
        <v>824</v>
      </c>
      <c r="C670" t="s">
        <v>10</v>
      </c>
      <c r="D670" t="s">
        <v>825</v>
      </c>
      <c r="E670" t="s">
        <v>221</v>
      </c>
      <c r="F670" t="s">
        <v>222</v>
      </c>
      <c r="G670" t="s">
        <v>1034</v>
      </c>
      <c r="H670" t="s">
        <v>15</v>
      </c>
      <c r="I670" s="1">
        <v>1</v>
      </c>
      <c r="J670" s="2">
        <v>431.03</v>
      </c>
    </row>
    <row r="671" spans="2:10" x14ac:dyDescent="0.2">
      <c r="B671" t="s">
        <v>824</v>
      </c>
      <c r="C671" t="s">
        <v>10</v>
      </c>
      <c r="D671" t="s">
        <v>825</v>
      </c>
      <c r="E671" t="s">
        <v>72</v>
      </c>
      <c r="F671" t="s">
        <v>73</v>
      </c>
      <c r="G671" t="s">
        <v>1034</v>
      </c>
      <c r="H671" t="s">
        <v>15</v>
      </c>
      <c r="I671" s="1">
        <v>1</v>
      </c>
      <c r="J671" s="2">
        <v>775.86</v>
      </c>
    </row>
    <row r="672" spans="2:10" x14ac:dyDescent="0.2">
      <c r="B672" t="s">
        <v>824</v>
      </c>
      <c r="C672" t="s">
        <v>10</v>
      </c>
      <c r="D672" t="s">
        <v>825</v>
      </c>
      <c r="E672" t="s">
        <v>122</v>
      </c>
      <c r="F672" t="s">
        <v>123</v>
      </c>
      <c r="G672" t="s">
        <v>1034</v>
      </c>
      <c r="H672" t="s">
        <v>15</v>
      </c>
      <c r="I672" s="1">
        <v>1</v>
      </c>
      <c r="J672" s="2">
        <v>387.93</v>
      </c>
    </row>
    <row r="673" spans="2:10" x14ac:dyDescent="0.2">
      <c r="B673" t="s">
        <v>824</v>
      </c>
      <c r="C673" t="s">
        <v>10</v>
      </c>
      <c r="D673" t="s">
        <v>825</v>
      </c>
      <c r="E673" t="s">
        <v>38</v>
      </c>
      <c r="F673" t="s">
        <v>39</v>
      </c>
      <c r="G673" t="s">
        <v>1034</v>
      </c>
      <c r="H673" t="s">
        <v>15</v>
      </c>
      <c r="I673" s="1">
        <v>1</v>
      </c>
      <c r="J673" s="2">
        <v>431.03</v>
      </c>
    </row>
    <row r="674" spans="2:10" x14ac:dyDescent="0.2">
      <c r="B674" t="s">
        <v>824</v>
      </c>
      <c r="C674" t="s">
        <v>10</v>
      </c>
      <c r="D674" t="s">
        <v>825</v>
      </c>
      <c r="E674" t="s">
        <v>56</v>
      </c>
      <c r="F674" t="s">
        <v>57</v>
      </c>
      <c r="G674" t="s">
        <v>1034</v>
      </c>
      <c r="H674" t="s">
        <v>15</v>
      </c>
      <c r="I674" s="1">
        <v>3</v>
      </c>
      <c r="J674" s="2">
        <v>1293.0999999999999</v>
      </c>
    </row>
    <row r="675" spans="2:10" x14ac:dyDescent="0.2">
      <c r="B675" t="s">
        <v>824</v>
      </c>
      <c r="C675" t="s">
        <v>10</v>
      </c>
      <c r="D675" t="s">
        <v>825</v>
      </c>
      <c r="E675" t="s">
        <v>63</v>
      </c>
      <c r="F675" t="s">
        <v>64</v>
      </c>
      <c r="G675" t="s">
        <v>1034</v>
      </c>
      <c r="H675" t="s">
        <v>15</v>
      </c>
      <c r="I675" s="1">
        <v>1</v>
      </c>
      <c r="J675" s="2">
        <v>172.41</v>
      </c>
    </row>
    <row r="676" spans="2:10" x14ac:dyDescent="0.2">
      <c r="B676" t="s">
        <v>824</v>
      </c>
      <c r="C676" t="s">
        <v>18</v>
      </c>
      <c r="D676" t="s">
        <v>825</v>
      </c>
      <c r="E676" t="s">
        <v>221</v>
      </c>
      <c r="F676" t="s">
        <v>222</v>
      </c>
      <c r="G676" t="s">
        <v>1034</v>
      </c>
      <c r="H676" t="s">
        <v>15</v>
      </c>
      <c r="I676" s="1">
        <v>1</v>
      </c>
      <c r="J676" s="2">
        <v>431.03</v>
      </c>
    </row>
    <row r="677" spans="2:10" x14ac:dyDescent="0.2">
      <c r="B677" t="s">
        <v>824</v>
      </c>
      <c r="C677" t="s">
        <v>18</v>
      </c>
      <c r="D677" t="s">
        <v>825</v>
      </c>
      <c r="E677" t="s">
        <v>36</v>
      </c>
      <c r="F677" t="s">
        <v>37</v>
      </c>
      <c r="G677" t="s">
        <v>1034</v>
      </c>
      <c r="H677" t="s">
        <v>15</v>
      </c>
      <c r="I677" s="1">
        <v>1</v>
      </c>
      <c r="J677" s="2">
        <v>301.72000000000003</v>
      </c>
    </row>
    <row r="678" spans="2:10" x14ac:dyDescent="0.2">
      <c r="B678" t="s">
        <v>824</v>
      </c>
      <c r="C678" t="s">
        <v>18</v>
      </c>
      <c r="D678" t="s">
        <v>825</v>
      </c>
      <c r="E678" t="s">
        <v>83</v>
      </c>
      <c r="F678" t="s">
        <v>84</v>
      </c>
      <c r="G678" t="s">
        <v>1034</v>
      </c>
      <c r="H678" t="s">
        <v>15</v>
      </c>
      <c r="I678" s="1">
        <v>1</v>
      </c>
      <c r="J678" s="2">
        <v>387.93</v>
      </c>
    </row>
    <row r="679" spans="2:10" x14ac:dyDescent="0.2">
      <c r="B679" t="s">
        <v>824</v>
      </c>
      <c r="C679" t="s">
        <v>18</v>
      </c>
      <c r="D679" t="s">
        <v>825</v>
      </c>
      <c r="E679" t="s">
        <v>193</v>
      </c>
      <c r="F679" t="s">
        <v>194</v>
      </c>
      <c r="G679" t="s">
        <v>1034</v>
      </c>
      <c r="H679" t="s">
        <v>15</v>
      </c>
      <c r="I679" s="1">
        <v>2</v>
      </c>
      <c r="J679" s="2">
        <v>2586.1999999999998</v>
      </c>
    </row>
    <row r="680" spans="2:10" x14ac:dyDescent="0.2">
      <c r="B680" t="s">
        <v>824</v>
      </c>
      <c r="C680" t="s">
        <v>31</v>
      </c>
      <c r="D680" t="s">
        <v>825</v>
      </c>
      <c r="E680" t="s">
        <v>253</v>
      </c>
      <c r="F680" t="s">
        <v>254</v>
      </c>
      <c r="G680" t="s">
        <v>1034</v>
      </c>
      <c r="H680" t="s">
        <v>15</v>
      </c>
      <c r="I680" s="1">
        <v>1</v>
      </c>
      <c r="J680" s="2">
        <v>775.86</v>
      </c>
    </row>
    <row r="681" spans="2:10" x14ac:dyDescent="0.2">
      <c r="B681" t="s">
        <v>824</v>
      </c>
      <c r="C681" t="s">
        <v>31</v>
      </c>
      <c r="D681" t="s">
        <v>825</v>
      </c>
      <c r="E681" t="s">
        <v>61</v>
      </c>
      <c r="F681" t="s">
        <v>62</v>
      </c>
      <c r="G681" t="s">
        <v>1034</v>
      </c>
      <c r="H681" t="s">
        <v>15</v>
      </c>
      <c r="I681" s="1">
        <v>2</v>
      </c>
      <c r="J681" s="2">
        <v>344.82</v>
      </c>
    </row>
    <row r="682" spans="2:10" x14ac:dyDescent="0.2">
      <c r="B682" t="s">
        <v>824</v>
      </c>
      <c r="C682" t="s">
        <v>65</v>
      </c>
      <c r="D682" t="s">
        <v>825</v>
      </c>
      <c r="E682" t="s">
        <v>72</v>
      </c>
      <c r="F682" t="s">
        <v>73</v>
      </c>
      <c r="G682" t="s">
        <v>1034</v>
      </c>
      <c r="H682" t="s">
        <v>15</v>
      </c>
      <c r="I682" s="1">
        <v>1</v>
      </c>
      <c r="J682" s="2">
        <v>775.86</v>
      </c>
    </row>
    <row r="683" spans="2:10" x14ac:dyDescent="0.2">
      <c r="B683" t="s">
        <v>824</v>
      </c>
      <c r="C683" t="s">
        <v>65</v>
      </c>
      <c r="D683" t="s">
        <v>825</v>
      </c>
      <c r="E683" t="s">
        <v>61</v>
      </c>
      <c r="F683" t="s">
        <v>62</v>
      </c>
      <c r="G683" t="s">
        <v>1034</v>
      </c>
      <c r="H683" t="s">
        <v>15</v>
      </c>
      <c r="I683" s="1">
        <v>1</v>
      </c>
      <c r="J683" s="2">
        <v>172.41</v>
      </c>
    </row>
    <row r="684" spans="2:10" x14ac:dyDescent="0.2">
      <c r="B684" t="s">
        <v>824</v>
      </c>
      <c r="C684" t="s">
        <v>82</v>
      </c>
      <c r="D684" t="s">
        <v>277</v>
      </c>
      <c r="E684" t="s">
        <v>221</v>
      </c>
      <c r="F684" t="s">
        <v>222</v>
      </c>
      <c r="G684" t="s">
        <v>1034</v>
      </c>
      <c r="H684" t="s">
        <v>15</v>
      </c>
      <c r="I684" s="1">
        <v>1</v>
      </c>
      <c r="J684" s="2">
        <v>431.03</v>
      </c>
    </row>
    <row r="685" spans="2:10" x14ac:dyDescent="0.2">
      <c r="B685" t="s">
        <v>824</v>
      </c>
      <c r="C685" t="s">
        <v>82</v>
      </c>
      <c r="D685" t="s">
        <v>277</v>
      </c>
      <c r="E685" t="s">
        <v>122</v>
      </c>
      <c r="F685" t="s">
        <v>123</v>
      </c>
      <c r="G685" t="s">
        <v>1034</v>
      </c>
      <c r="H685" t="s">
        <v>15</v>
      </c>
      <c r="I685" s="1">
        <v>1</v>
      </c>
      <c r="J685" s="2">
        <v>387.93</v>
      </c>
    </row>
    <row r="686" spans="2:10" x14ac:dyDescent="0.2">
      <c r="B686" t="s">
        <v>824</v>
      </c>
      <c r="C686" t="s">
        <v>82</v>
      </c>
      <c r="D686" t="s">
        <v>277</v>
      </c>
      <c r="E686" t="s">
        <v>38</v>
      </c>
      <c r="F686" t="s">
        <v>39</v>
      </c>
      <c r="G686" t="s">
        <v>1034</v>
      </c>
      <c r="H686" t="s">
        <v>15</v>
      </c>
      <c r="I686" s="1">
        <v>1</v>
      </c>
      <c r="J686" s="2">
        <v>431.03</v>
      </c>
    </row>
    <row r="687" spans="2:10" x14ac:dyDescent="0.2">
      <c r="B687" t="s">
        <v>824</v>
      </c>
      <c r="C687" t="s">
        <v>88</v>
      </c>
      <c r="D687" t="s">
        <v>825</v>
      </c>
      <c r="E687" t="s">
        <v>46</v>
      </c>
      <c r="F687" t="s">
        <v>47</v>
      </c>
      <c r="G687" t="s">
        <v>1034</v>
      </c>
      <c r="H687" t="s">
        <v>15</v>
      </c>
      <c r="I687" s="1">
        <v>1</v>
      </c>
      <c r="J687" s="2">
        <v>301.72000000000003</v>
      </c>
    </row>
    <row r="688" spans="2:10" x14ac:dyDescent="0.2">
      <c r="B688" t="s">
        <v>824</v>
      </c>
      <c r="C688" t="s">
        <v>88</v>
      </c>
      <c r="D688" t="s">
        <v>825</v>
      </c>
      <c r="E688" t="s">
        <v>83</v>
      </c>
      <c r="F688" t="s">
        <v>84</v>
      </c>
      <c r="G688" t="s">
        <v>1034</v>
      </c>
      <c r="H688" t="s">
        <v>15</v>
      </c>
      <c r="I688" s="1">
        <v>1</v>
      </c>
      <c r="J688" s="2">
        <v>387.93</v>
      </c>
    </row>
    <row r="689" spans="2:10" x14ac:dyDescent="0.2">
      <c r="B689" t="s">
        <v>824</v>
      </c>
      <c r="C689" t="s">
        <v>88</v>
      </c>
      <c r="D689" t="s">
        <v>825</v>
      </c>
      <c r="E689" t="s">
        <v>56</v>
      </c>
      <c r="F689" t="s">
        <v>57</v>
      </c>
      <c r="G689" t="s">
        <v>1034</v>
      </c>
      <c r="H689" t="s">
        <v>15</v>
      </c>
      <c r="I689" s="1">
        <v>2</v>
      </c>
      <c r="J689" s="2">
        <v>862.06</v>
      </c>
    </row>
    <row r="690" spans="2:10" x14ac:dyDescent="0.2">
      <c r="B690" t="s">
        <v>824</v>
      </c>
      <c r="C690" t="s">
        <v>88</v>
      </c>
      <c r="D690" t="s">
        <v>825</v>
      </c>
      <c r="E690" t="s">
        <v>61</v>
      </c>
      <c r="F690" t="s">
        <v>62</v>
      </c>
      <c r="G690" t="s">
        <v>1034</v>
      </c>
      <c r="H690" t="s">
        <v>15</v>
      </c>
      <c r="I690" s="1">
        <v>1</v>
      </c>
      <c r="J690" s="2">
        <v>172.41</v>
      </c>
    </row>
    <row r="691" spans="2:10" x14ac:dyDescent="0.2">
      <c r="B691" t="s">
        <v>824</v>
      </c>
      <c r="C691" t="s">
        <v>117</v>
      </c>
      <c r="D691" t="s">
        <v>825</v>
      </c>
      <c r="E691" t="s">
        <v>36</v>
      </c>
      <c r="F691" t="s">
        <v>37</v>
      </c>
      <c r="G691" t="s">
        <v>1034</v>
      </c>
      <c r="H691" t="s">
        <v>15</v>
      </c>
      <c r="I691" s="1">
        <v>1</v>
      </c>
      <c r="J691" s="2">
        <v>301.72000000000003</v>
      </c>
    </row>
    <row r="692" spans="2:10" x14ac:dyDescent="0.2">
      <c r="B692" t="s">
        <v>824</v>
      </c>
      <c r="C692" t="s">
        <v>117</v>
      </c>
      <c r="D692" t="s">
        <v>825</v>
      </c>
      <c r="E692" t="s">
        <v>56</v>
      </c>
      <c r="F692" t="s">
        <v>57</v>
      </c>
      <c r="G692" t="s">
        <v>1034</v>
      </c>
      <c r="H692" t="s">
        <v>15</v>
      </c>
      <c r="I692" s="1">
        <v>2</v>
      </c>
      <c r="J692" s="2">
        <v>862.06</v>
      </c>
    </row>
    <row r="693" spans="2:10" x14ac:dyDescent="0.2">
      <c r="B693" t="s">
        <v>824</v>
      </c>
      <c r="C693" t="s">
        <v>129</v>
      </c>
      <c r="D693" t="s">
        <v>825</v>
      </c>
      <c r="E693" t="s">
        <v>122</v>
      </c>
      <c r="F693" t="s">
        <v>123</v>
      </c>
      <c r="G693" t="s">
        <v>1034</v>
      </c>
      <c r="H693" t="s">
        <v>15</v>
      </c>
      <c r="I693" s="1">
        <v>1</v>
      </c>
      <c r="J693" s="2">
        <v>387.93</v>
      </c>
    </row>
    <row r="694" spans="2:10" x14ac:dyDescent="0.2">
      <c r="B694" t="s">
        <v>824</v>
      </c>
      <c r="C694" t="s">
        <v>134</v>
      </c>
      <c r="D694" t="s">
        <v>825</v>
      </c>
      <c r="E694" t="s">
        <v>221</v>
      </c>
      <c r="F694" t="s">
        <v>222</v>
      </c>
      <c r="G694" t="s">
        <v>1034</v>
      </c>
      <c r="H694" t="s">
        <v>15</v>
      </c>
      <c r="I694" s="1">
        <v>1</v>
      </c>
      <c r="J694" s="2">
        <v>431.03</v>
      </c>
    </row>
    <row r="695" spans="2:10" x14ac:dyDescent="0.2">
      <c r="B695" t="s">
        <v>824</v>
      </c>
      <c r="C695" t="s">
        <v>134</v>
      </c>
      <c r="D695" t="s">
        <v>825</v>
      </c>
      <c r="E695" t="s">
        <v>61</v>
      </c>
      <c r="F695" t="s">
        <v>62</v>
      </c>
      <c r="G695" t="s">
        <v>1034</v>
      </c>
      <c r="H695" t="s">
        <v>15</v>
      </c>
      <c r="I695" s="1">
        <v>1</v>
      </c>
      <c r="J695" s="2">
        <v>172.41</v>
      </c>
    </row>
    <row r="696" spans="2:10" x14ac:dyDescent="0.2">
      <c r="B696" t="s">
        <v>824</v>
      </c>
      <c r="C696" t="s">
        <v>135</v>
      </c>
      <c r="D696" t="s">
        <v>825</v>
      </c>
      <c r="E696" t="s">
        <v>122</v>
      </c>
      <c r="F696" t="s">
        <v>123</v>
      </c>
      <c r="G696" t="s">
        <v>1034</v>
      </c>
      <c r="H696" t="s">
        <v>15</v>
      </c>
      <c r="I696" s="1">
        <v>1</v>
      </c>
      <c r="J696" s="2">
        <v>387.93</v>
      </c>
    </row>
    <row r="697" spans="2:10" x14ac:dyDescent="0.2">
      <c r="B697" t="s">
        <v>824</v>
      </c>
      <c r="C697" t="s">
        <v>135</v>
      </c>
      <c r="D697" t="s">
        <v>825</v>
      </c>
      <c r="E697" t="s">
        <v>56</v>
      </c>
      <c r="F697" t="s">
        <v>57</v>
      </c>
      <c r="G697" t="s">
        <v>1034</v>
      </c>
      <c r="H697" t="s">
        <v>15</v>
      </c>
      <c r="I697" s="1">
        <v>1</v>
      </c>
      <c r="J697" s="2">
        <v>431.03</v>
      </c>
    </row>
    <row r="698" spans="2:10" x14ac:dyDescent="0.2">
      <c r="B698" t="s">
        <v>824</v>
      </c>
      <c r="C698" t="s">
        <v>135</v>
      </c>
      <c r="D698" t="s">
        <v>825</v>
      </c>
      <c r="E698" t="s">
        <v>193</v>
      </c>
      <c r="F698" t="s">
        <v>194</v>
      </c>
      <c r="G698" t="s">
        <v>1034</v>
      </c>
      <c r="H698" t="s">
        <v>15</v>
      </c>
      <c r="I698" s="1">
        <v>1</v>
      </c>
      <c r="J698" s="2">
        <v>1293.0999999999999</v>
      </c>
    </row>
    <row r="699" spans="2:10" x14ac:dyDescent="0.2">
      <c r="B699" t="s">
        <v>824</v>
      </c>
      <c r="C699" t="s">
        <v>141</v>
      </c>
      <c r="D699" t="s">
        <v>825</v>
      </c>
      <c r="E699" t="s">
        <v>72</v>
      </c>
      <c r="F699" t="s">
        <v>73</v>
      </c>
      <c r="G699" t="s">
        <v>1034</v>
      </c>
      <c r="H699" t="s">
        <v>15</v>
      </c>
      <c r="I699" s="1">
        <v>2</v>
      </c>
      <c r="J699" s="2">
        <v>1551.72</v>
      </c>
    </row>
    <row r="700" spans="2:10" x14ac:dyDescent="0.2">
      <c r="B700" t="s">
        <v>824</v>
      </c>
      <c r="C700" t="s">
        <v>141</v>
      </c>
      <c r="D700" t="s">
        <v>825</v>
      </c>
      <c r="E700" t="s">
        <v>56</v>
      </c>
      <c r="F700" t="s">
        <v>57</v>
      </c>
      <c r="G700" t="s">
        <v>1034</v>
      </c>
      <c r="H700" t="s">
        <v>15</v>
      </c>
      <c r="I700" s="1">
        <v>3</v>
      </c>
      <c r="J700" s="2">
        <v>1293.0999999999999</v>
      </c>
    </row>
    <row r="701" spans="2:10" x14ac:dyDescent="0.2">
      <c r="B701" t="s">
        <v>824</v>
      </c>
      <c r="C701" t="s">
        <v>144</v>
      </c>
      <c r="D701" t="s">
        <v>277</v>
      </c>
      <c r="E701" t="s">
        <v>120</v>
      </c>
      <c r="F701" t="s">
        <v>121</v>
      </c>
      <c r="G701" t="s">
        <v>1034</v>
      </c>
      <c r="H701" t="s">
        <v>15</v>
      </c>
      <c r="I701" s="1">
        <v>1</v>
      </c>
      <c r="J701" s="2">
        <v>301.72000000000003</v>
      </c>
    </row>
    <row r="702" spans="2:10" x14ac:dyDescent="0.2">
      <c r="B702" t="s">
        <v>824</v>
      </c>
      <c r="C702" t="s">
        <v>144</v>
      </c>
      <c r="D702" t="s">
        <v>277</v>
      </c>
      <c r="E702" t="s">
        <v>214</v>
      </c>
      <c r="F702" t="s">
        <v>215</v>
      </c>
      <c r="G702" t="s">
        <v>1034</v>
      </c>
      <c r="H702" t="s">
        <v>15</v>
      </c>
      <c r="I702" s="1">
        <v>1</v>
      </c>
      <c r="J702" s="2">
        <v>301.72000000000003</v>
      </c>
    </row>
    <row r="703" spans="2:10" x14ac:dyDescent="0.2">
      <c r="B703" t="s">
        <v>824</v>
      </c>
      <c r="C703" t="s">
        <v>144</v>
      </c>
      <c r="D703" t="s">
        <v>277</v>
      </c>
      <c r="E703" t="s">
        <v>72</v>
      </c>
      <c r="F703" t="s">
        <v>73</v>
      </c>
      <c r="G703" t="s">
        <v>1034</v>
      </c>
      <c r="H703" t="s">
        <v>15</v>
      </c>
      <c r="I703" s="1">
        <v>1</v>
      </c>
      <c r="J703" s="2">
        <v>775.86</v>
      </c>
    </row>
    <row r="704" spans="2:10" x14ac:dyDescent="0.2">
      <c r="B704" t="s">
        <v>824</v>
      </c>
      <c r="C704" t="s">
        <v>144</v>
      </c>
      <c r="D704" t="s">
        <v>277</v>
      </c>
      <c r="E704" t="s">
        <v>122</v>
      </c>
      <c r="F704" t="s">
        <v>123</v>
      </c>
      <c r="G704" t="s">
        <v>1034</v>
      </c>
      <c r="H704" t="s">
        <v>15</v>
      </c>
      <c r="I704" s="1">
        <v>1</v>
      </c>
      <c r="J704" s="2">
        <v>387.93</v>
      </c>
    </row>
    <row r="705" spans="2:10" x14ac:dyDescent="0.2">
      <c r="B705" t="s">
        <v>824</v>
      </c>
      <c r="C705" t="s">
        <v>144</v>
      </c>
      <c r="D705" t="s">
        <v>277</v>
      </c>
      <c r="E705" t="s">
        <v>56</v>
      </c>
      <c r="F705" t="s">
        <v>57</v>
      </c>
      <c r="G705" t="s">
        <v>1034</v>
      </c>
      <c r="H705" t="s">
        <v>15</v>
      </c>
      <c r="I705" s="1">
        <v>1</v>
      </c>
      <c r="J705" s="2">
        <v>431.03</v>
      </c>
    </row>
    <row r="706" spans="2:10" x14ac:dyDescent="0.2">
      <c r="B706" t="s">
        <v>824</v>
      </c>
      <c r="C706" t="s">
        <v>165</v>
      </c>
      <c r="D706" t="s">
        <v>825</v>
      </c>
      <c r="E706" t="s">
        <v>12</v>
      </c>
      <c r="F706" t="s">
        <v>13</v>
      </c>
      <c r="G706" t="s">
        <v>1034</v>
      </c>
      <c r="H706" t="s">
        <v>15</v>
      </c>
      <c r="I706" s="1">
        <v>1</v>
      </c>
      <c r="J706" s="2">
        <v>1077.5899999999999</v>
      </c>
    </row>
    <row r="707" spans="2:10" x14ac:dyDescent="0.2">
      <c r="B707" t="s">
        <v>824</v>
      </c>
      <c r="C707" t="s">
        <v>165</v>
      </c>
      <c r="D707" t="s">
        <v>825</v>
      </c>
      <c r="E707" t="s">
        <v>36</v>
      </c>
      <c r="F707" t="s">
        <v>37</v>
      </c>
      <c r="G707" t="s">
        <v>1034</v>
      </c>
      <c r="H707" t="s">
        <v>15</v>
      </c>
      <c r="I707" s="1">
        <v>1</v>
      </c>
      <c r="J707" s="2">
        <v>301.72000000000003</v>
      </c>
    </row>
    <row r="708" spans="2:10" x14ac:dyDescent="0.2">
      <c r="B708" t="s">
        <v>824</v>
      </c>
      <c r="C708" t="s">
        <v>165</v>
      </c>
      <c r="D708" t="s">
        <v>825</v>
      </c>
      <c r="E708" t="s">
        <v>72</v>
      </c>
      <c r="F708" t="s">
        <v>73</v>
      </c>
      <c r="G708" t="s">
        <v>1034</v>
      </c>
      <c r="H708" t="s">
        <v>15</v>
      </c>
      <c r="I708" s="1">
        <v>1</v>
      </c>
      <c r="J708" s="2">
        <v>775.86</v>
      </c>
    </row>
    <row r="709" spans="2:10" x14ac:dyDescent="0.2">
      <c r="B709" t="s">
        <v>824</v>
      </c>
      <c r="C709" t="s">
        <v>165</v>
      </c>
      <c r="D709" t="s">
        <v>825</v>
      </c>
      <c r="E709" t="s">
        <v>122</v>
      </c>
      <c r="F709" t="s">
        <v>123</v>
      </c>
      <c r="G709" t="s">
        <v>1034</v>
      </c>
      <c r="H709" t="s">
        <v>15</v>
      </c>
      <c r="I709" s="1">
        <v>1</v>
      </c>
      <c r="J709" s="2">
        <v>387.93</v>
      </c>
    </row>
    <row r="710" spans="2:10" x14ac:dyDescent="0.2">
      <c r="B710" t="s">
        <v>824</v>
      </c>
      <c r="C710" t="s">
        <v>165</v>
      </c>
      <c r="D710" t="s">
        <v>825</v>
      </c>
      <c r="E710" t="s">
        <v>61</v>
      </c>
      <c r="F710" t="s">
        <v>62</v>
      </c>
      <c r="G710" t="s">
        <v>1034</v>
      </c>
      <c r="H710" t="s">
        <v>15</v>
      </c>
      <c r="I710" s="1">
        <v>1</v>
      </c>
      <c r="J710" s="2">
        <v>172.41</v>
      </c>
    </row>
    <row r="711" spans="2:10" x14ac:dyDescent="0.2">
      <c r="B711" t="s">
        <v>824</v>
      </c>
      <c r="C711" t="s">
        <v>166</v>
      </c>
      <c r="D711" t="s">
        <v>825</v>
      </c>
      <c r="E711" t="s">
        <v>63</v>
      </c>
      <c r="F711" t="s">
        <v>64</v>
      </c>
      <c r="G711" t="s">
        <v>1034</v>
      </c>
      <c r="H711" t="s">
        <v>15</v>
      </c>
      <c r="I711" s="1">
        <v>1</v>
      </c>
      <c r="J711" s="2">
        <v>172.41</v>
      </c>
    </row>
    <row r="712" spans="2:10" x14ac:dyDescent="0.2">
      <c r="B712" t="s">
        <v>824</v>
      </c>
      <c r="C712" t="s">
        <v>166</v>
      </c>
      <c r="D712" t="s">
        <v>825</v>
      </c>
      <c r="E712" t="s">
        <v>585</v>
      </c>
      <c r="F712" t="s">
        <v>586</v>
      </c>
      <c r="G712" t="s">
        <v>1034</v>
      </c>
      <c r="H712" t="s">
        <v>15</v>
      </c>
      <c r="I712" s="1">
        <v>1</v>
      </c>
      <c r="J712" s="2">
        <v>310.33999999999997</v>
      </c>
    </row>
    <row r="713" spans="2:10" x14ac:dyDescent="0.2">
      <c r="B713" t="s">
        <v>824</v>
      </c>
      <c r="C713" t="s">
        <v>185</v>
      </c>
      <c r="D713" t="s">
        <v>825</v>
      </c>
      <c r="E713" t="s">
        <v>36</v>
      </c>
      <c r="F713" t="s">
        <v>37</v>
      </c>
      <c r="G713" t="s">
        <v>1034</v>
      </c>
      <c r="H713" t="s">
        <v>15</v>
      </c>
      <c r="I713" s="1">
        <v>1</v>
      </c>
      <c r="J713" s="2">
        <v>301.72000000000003</v>
      </c>
    </row>
    <row r="714" spans="2:10" x14ac:dyDescent="0.2">
      <c r="B714" t="s">
        <v>824</v>
      </c>
      <c r="C714" t="s">
        <v>185</v>
      </c>
      <c r="D714" t="s">
        <v>825</v>
      </c>
      <c r="E714" t="s">
        <v>61</v>
      </c>
      <c r="F714" t="s">
        <v>62</v>
      </c>
      <c r="G714" t="s">
        <v>1034</v>
      </c>
      <c r="H714" t="s">
        <v>15</v>
      </c>
      <c r="I714" s="1">
        <v>1</v>
      </c>
      <c r="J714" s="2">
        <v>172.41</v>
      </c>
    </row>
    <row r="715" spans="2:10" x14ac:dyDescent="0.2">
      <c r="B715" t="s">
        <v>824</v>
      </c>
      <c r="C715" t="s">
        <v>185</v>
      </c>
      <c r="D715" t="s">
        <v>825</v>
      </c>
      <c r="E715" t="s">
        <v>63</v>
      </c>
      <c r="F715" t="s">
        <v>64</v>
      </c>
      <c r="G715" t="s">
        <v>1034</v>
      </c>
      <c r="H715" t="s">
        <v>15</v>
      </c>
      <c r="I715" s="1">
        <v>1</v>
      </c>
      <c r="J715" s="2">
        <v>172.41</v>
      </c>
    </row>
    <row r="716" spans="2:10" x14ac:dyDescent="0.2">
      <c r="B716" t="s">
        <v>824</v>
      </c>
      <c r="C716" t="s">
        <v>335</v>
      </c>
      <c r="D716" t="s">
        <v>825</v>
      </c>
      <c r="E716" t="s">
        <v>36</v>
      </c>
      <c r="F716" t="s">
        <v>37</v>
      </c>
      <c r="G716" t="s">
        <v>1034</v>
      </c>
      <c r="H716" t="s">
        <v>15</v>
      </c>
      <c r="I716" s="1">
        <v>1</v>
      </c>
      <c r="J716" s="2">
        <v>301.72000000000003</v>
      </c>
    </row>
    <row r="717" spans="2:10" x14ac:dyDescent="0.2">
      <c r="B717" t="s">
        <v>824</v>
      </c>
      <c r="C717" t="s">
        <v>335</v>
      </c>
      <c r="D717" t="s">
        <v>825</v>
      </c>
      <c r="E717" t="s">
        <v>72</v>
      </c>
      <c r="F717" t="s">
        <v>73</v>
      </c>
      <c r="G717" t="s">
        <v>1034</v>
      </c>
      <c r="H717" t="s">
        <v>15</v>
      </c>
      <c r="I717" s="1">
        <v>1</v>
      </c>
      <c r="J717" s="2">
        <v>775.86</v>
      </c>
    </row>
    <row r="718" spans="2:10" x14ac:dyDescent="0.2">
      <c r="B718" t="s">
        <v>824</v>
      </c>
      <c r="C718" t="s">
        <v>335</v>
      </c>
      <c r="D718" t="s">
        <v>825</v>
      </c>
      <c r="E718" t="s">
        <v>61</v>
      </c>
      <c r="F718" t="s">
        <v>62</v>
      </c>
      <c r="G718" t="s">
        <v>1034</v>
      </c>
      <c r="H718" t="s">
        <v>15</v>
      </c>
      <c r="I718" s="1">
        <v>1</v>
      </c>
      <c r="J718" s="2">
        <v>172.41</v>
      </c>
    </row>
    <row r="719" spans="2:10" x14ac:dyDescent="0.2">
      <c r="B719" t="s">
        <v>824</v>
      </c>
      <c r="C719" t="s">
        <v>335</v>
      </c>
      <c r="D719" t="s">
        <v>825</v>
      </c>
      <c r="E719" t="s">
        <v>63</v>
      </c>
      <c r="F719" t="s">
        <v>64</v>
      </c>
      <c r="G719" t="s">
        <v>1034</v>
      </c>
      <c r="H719" t="s">
        <v>15</v>
      </c>
      <c r="I719" s="1">
        <v>2</v>
      </c>
      <c r="J719" s="2">
        <v>344.82</v>
      </c>
    </row>
    <row r="720" spans="2:10" x14ac:dyDescent="0.2">
      <c r="B720" t="s">
        <v>824</v>
      </c>
      <c r="C720" t="s">
        <v>335</v>
      </c>
      <c r="D720" t="s">
        <v>825</v>
      </c>
      <c r="E720" t="s">
        <v>193</v>
      </c>
      <c r="F720" t="s">
        <v>194</v>
      </c>
      <c r="G720" t="s">
        <v>1034</v>
      </c>
      <c r="H720" t="s">
        <v>15</v>
      </c>
      <c r="I720" s="1">
        <v>1</v>
      </c>
      <c r="J720" s="2">
        <v>1293.0999999999999</v>
      </c>
    </row>
    <row r="721" spans="2:10" x14ac:dyDescent="0.2">
      <c r="B721" t="s">
        <v>824</v>
      </c>
      <c r="C721" t="s">
        <v>335</v>
      </c>
      <c r="D721" t="s">
        <v>825</v>
      </c>
      <c r="E721" t="s">
        <v>527</v>
      </c>
      <c r="F721" t="s">
        <v>528</v>
      </c>
      <c r="G721" t="s">
        <v>1034</v>
      </c>
      <c r="H721" t="s">
        <v>15</v>
      </c>
      <c r="I721" s="1">
        <v>1</v>
      </c>
      <c r="J721" s="2">
        <v>241.38</v>
      </c>
    </row>
    <row r="722" spans="2:10" x14ac:dyDescent="0.2">
      <c r="B722" t="s">
        <v>824</v>
      </c>
      <c r="C722" t="s">
        <v>186</v>
      </c>
      <c r="D722" t="s">
        <v>825</v>
      </c>
      <c r="E722" t="s">
        <v>63</v>
      </c>
      <c r="F722" t="s">
        <v>64</v>
      </c>
      <c r="G722" t="s">
        <v>1034</v>
      </c>
      <c r="H722" t="s">
        <v>15</v>
      </c>
      <c r="I722" s="1">
        <v>2</v>
      </c>
      <c r="J722" s="2">
        <v>344.82</v>
      </c>
    </row>
    <row r="723" spans="2:10" x14ac:dyDescent="0.2">
      <c r="B723" t="s">
        <v>824</v>
      </c>
      <c r="C723" t="s">
        <v>197</v>
      </c>
      <c r="D723" t="s">
        <v>277</v>
      </c>
      <c r="E723" t="s">
        <v>214</v>
      </c>
      <c r="F723" t="s">
        <v>215</v>
      </c>
      <c r="G723" t="s">
        <v>1034</v>
      </c>
      <c r="H723" t="s">
        <v>15</v>
      </c>
      <c r="I723" s="1">
        <v>1</v>
      </c>
      <c r="J723" s="2">
        <v>301.72000000000003</v>
      </c>
    </row>
    <row r="724" spans="2:10" x14ac:dyDescent="0.2">
      <c r="B724" t="s">
        <v>824</v>
      </c>
      <c r="C724" t="s">
        <v>206</v>
      </c>
      <c r="D724" t="s">
        <v>825</v>
      </c>
      <c r="E724" t="s">
        <v>83</v>
      </c>
      <c r="F724" t="s">
        <v>84</v>
      </c>
      <c r="G724" t="s">
        <v>1034</v>
      </c>
      <c r="H724" t="s">
        <v>15</v>
      </c>
      <c r="I724" s="1">
        <v>1</v>
      </c>
      <c r="J724" s="2">
        <v>387.93</v>
      </c>
    </row>
    <row r="725" spans="2:10" x14ac:dyDescent="0.2">
      <c r="B725" t="s">
        <v>824</v>
      </c>
      <c r="C725" t="s">
        <v>206</v>
      </c>
      <c r="D725" t="s">
        <v>825</v>
      </c>
      <c r="E725" t="s">
        <v>56</v>
      </c>
      <c r="F725" t="s">
        <v>57</v>
      </c>
      <c r="G725" t="s">
        <v>1034</v>
      </c>
      <c r="H725" t="s">
        <v>15</v>
      </c>
      <c r="I725" s="1">
        <v>1</v>
      </c>
      <c r="J725" s="2">
        <v>431.03</v>
      </c>
    </row>
    <row r="726" spans="2:10" x14ac:dyDescent="0.2">
      <c r="B726" t="s">
        <v>824</v>
      </c>
      <c r="C726" t="s">
        <v>220</v>
      </c>
      <c r="D726" t="s">
        <v>825</v>
      </c>
      <c r="E726" t="s">
        <v>46</v>
      </c>
      <c r="F726" t="s">
        <v>47</v>
      </c>
      <c r="G726" t="s">
        <v>1034</v>
      </c>
      <c r="H726" t="s">
        <v>15</v>
      </c>
      <c r="I726" s="1">
        <v>1</v>
      </c>
      <c r="J726" s="2">
        <v>301.72000000000003</v>
      </c>
    </row>
    <row r="727" spans="2:10" x14ac:dyDescent="0.2">
      <c r="B727" t="s">
        <v>824</v>
      </c>
      <c r="C727" t="s">
        <v>220</v>
      </c>
      <c r="D727" t="s">
        <v>825</v>
      </c>
      <c r="E727" t="s">
        <v>120</v>
      </c>
      <c r="F727" t="s">
        <v>121</v>
      </c>
      <c r="G727" t="s">
        <v>1034</v>
      </c>
      <c r="H727" t="s">
        <v>15</v>
      </c>
      <c r="I727" s="1">
        <v>1</v>
      </c>
      <c r="J727" s="2">
        <v>301.72000000000003</v>
      </c>
    </row>
    <row r="728" spans="2:10" x14ac:dyDescent="0.2">
      <c r="B728" t="s">
        <v>824</v>
      </c>
      <c r="C728" t="s">
        <v>220</v>
      </c>
      <c r="D728" t="s">
        <v>825</v>
      </c>
      <c r="E728" t="s">
        <v>36</v>
      </c>
      <c r="F728" t="s">
        <v>37</v>
      </c>
      <c r="G728" t="s">
        <v>1034</v>
      </c>
      <c r="H728" t="s">
        <v>15</v>
      </c>
      <c r="I728" s="1">
        <v>1</v>
      </c>
      <c r="J728" s="2">
        <v>301.72000000000003</v>
      </c>
    </row>
    <row r="729" spans="2:10" x14ac:dyDescent="0.2">
      <c r="B729" t="s">
        <v>824</v>
      </c>
      <c r="C729" t="s">
        <v>220</v>
      </c>
      <c r="D729" t="s">
        <v>825</v>
      </c>
      <c r="E729" t="s">
        <v>83</v>
      </c>
      <c r="F729" t="s">
        <v>84</v>
      </c>
      <c r="G729" t="s">
        <v>1034</v>
      </c>
      <c r="H729" t="s">
        <v>15</v>
      </c>
      <c r="I729" s="1">
        <v>1</v>
      </c>
      <c r="J729" s="2">
        <v>387.93</v>
      </c>
    </row>
    <row r="730" spans="2:10" x14ac:dyDescent="0.2">
      <c r="B730" t="s">
        <v>824</v>
      </c>
      <c r="C730" t="s">
        <v>225</v>
      </c>
      <c r="D730" t="s">
        <v>825</v>
      </c>
      <c r="E730" t="s">
        <v>46</v>
      </c>
      <c r="F730" t="s">
        <v>47</v>
      </c>
      <c r="G730" t="s">
        <v>1034</v>
      </c>
      <c r="H730" t="s">
        <v>15</v>
      </c>
      <c r="I730" s="1">
        <v>1</v>
      </c>
      <c r="J730" s="2">
        <v>301.72000000000003</v>
      </c>
    </row>
    <row r="731" spans="2:10" x14ac:dyDescent="0.2">
      <c r="B731" t="s">
        <v>824</v>
      </c>
      <c r="C731" t="s">
        <v>225</v>
      </c>
      <c r="D731" t="s">
        <v>825</v>
      </c>
      <c r="E731" t="s">
        <v>221</v>
      </c>
      <c r="F731" t="s">
        <v>222</v>
      </c>
      <c r="G731" t="s">
        <v>1034</v>
      </c>
      <c r="H731" t="s">
        <v>15</v>
      </c>
      <c r="I731" s="1">
        <v>1</v>
      </c>
      <c r="J731" s="2">
        <v>431.03</v>
      </c>
    </row>
    <row r="732" spans="2:10" x14ac:dyDescent="0.2">
      <c r="B732" t="s">
        <v>824</v>
      </c>
      <c r="C732" t="s">
        <v>225</v>
      </c>
      <c r="D732" t="s">
        <v>825</v>
      </c>
      <c r="E732" t="s">
        <v>336</v>
      </c>
      <c r="F732" t="s">
        <v>337</v>
      </c>
      <c r="G732" t="s">
        <v>1034</v>
      </c>
      <c r="H732" t="s">
        <v>15</v>
      </c>
      <c r="I732" s="1">
        <v>1</v>
      </c>
      <c r="J732" s="2">
        <v>387.93</v>
      </c>
    </row>
    <row r="733" spans="2:10" x14ac:dyDescent="0.2">
      <c r="B733" t="s">
        <v>824</v>
      </c>
      <c r="C733" t="s">
        <v>227</v>
      </c>
      <c r="D733" t="s">
        <v>825</v>
      </c>
      <c r="E733" t="s">
        <v>36</v>
      </c>
      <c r="F733" t="s">
        <v>37</v>
      </c>
      <c r="G733" t="s">
        <v>1034</v>
      </c>
      <c r="H733" t="s">
        <v>15</v>
      </c>
      <c r="I733" s="1">
        <v>1</v>
      </c>
      <c r="J733" s="2">
        <v>301.72000000000003</v>
      </c>
    </row>
    <row r="734" spans="2:10" x14ac:dyDescent="0.2">
      <c r="B734" t="s">
        <v>824</v>
      </c>
      <c r="C734" t="s">
        <v>228</v>
      </c>
      <c r="D734" t="s">
        <v>825</v>
      </c>
      <c r="E734" t="s">
        <v>46</v>
      </c>
      <c r="F734" t="s">
        <v>47</v>
      </c>
      <c r="G734" t="s">
        <v>1034</v>
      </c>
      <c r="H734" t="s">
        <v>15</v>
      </c>
      <c r="I734" s="1">
        <v>1</v>
      </c>
      <c r="J734" s="2">
        <v>301.72000000000003</v>
      </c>
    </row>
    <row r="735" spans="2:10" x14ac:dyDescent="0.2">
      <c r="B735" t="s">
        <v>824</v>
      </c>
      <c r="C735" t="s">
        <v>228</v>
      </c>
      <c r="D735" t="s">
        <v>825</v>
      </c>
      <c r="E735" t="s">
        <v>214</v>
      </c>
      <c r="F735" t="s">
        <v>215</v>
      </c>
      <c r="G735" t="s">
        <v>1034</v>
      </c>
      <c r="H735" t="s">
        <v>15</v>
      </c>
      <c r="I735" s="1">
        <v>1</v>
      </c>
      <c r="J735" s="2">
        <v>301.72000000000003</v>
      </c>
    </row>
    <row r="736" spans="2:10" x14ac:dyDescent="0.2">
      <c r="B736" t="s">
        <v>824</v>
      </c>
      <c r="C736" t="s">
        <v>228</v>
      </c>
      <c r="D736" t="s">
        <v>825</v>
      </c>
      <c r="E736" t="s">
        <v>122</v>
      </c>
      <c r="F736" t="s">
        <v>123</v>
      </c>
      <c r="G736" t="s">
        <v>1034</v>
      </c>
      <c r="H736" t="s">
        <v>15</v>
      </c>
      <c r="I736" s="1">
        <v>1</v>
      </c>
      <c r="J736" s="2">
        <v>387.93</v>
      </c>
    </row>
    <row r="737" spans="2:10" x14ac:dyDescent="0.2">
      <c r="B737" t="s">
        <v>824</v>
      </c>
      <c r="C737" t="s">
        <v>228</v>
      </c>
      <c r="D737" t="s">
        <v>825</v>
      </c>
      <c r="E737" t="s">
        <v>56</v>
      </c>
      <c r="F737" t="s">
        <v>57</v>
      </c>
      <c r="G737" t="s">
        <v>1034</v>
      </c>
      <c r="H737" t="s">
        <v>15</v>
      </c>
      <c r="I737" s="1">
        <v>1</v>
      </c>
      <c r="J737" s="2">
        <v>431.03</v>
      </c>
    </row>
    <row r="738" spans="2:10" x14ac:dyDescent="0.2">
      <c r="B738" t="s">
        <v>824</v>
      </c>
      <c r="C738" t="s">
        <v>228</v>
      </c>
      <c r="D738" t="s">
        <v>825</v>
      </c>
      <c r="E738" t="s">
        <v>61</v>
      </c>
      <c r="F738" t="s">
        <v>62</v>
      </c>
      <c r="G738" t="s">
        <v>1034</v>
      </c>
      <c r="H738" t="s">
        <v>15</v>
      </c>
      <c r="I738" s="1">
        <v>1</v>
      </c>
      <c r="J738" s="2">
        <v>172.41</v>
      </c>
    </row>
    <row r="739" spans="2:10" x14ac:dyDescent="0.2">
      <c r="B739" t="s">
        <v>824</v>
      </c>
      <c r="C739" t="s">
        <v>233</v>
      </c>
      <c r="D739" t="s">
        <v>277</v>
      </c>
      <c r="E739" t="s">
        <v>56</v>
      </c>
      <c r="F739" t="s">
        <v>57</v>
      </c>
      <c r="G739" t="s">
        <v>1034</v>
      </c>
      <c r="H739" t="s">
        <v>15</v>
      </c>
      <c r="I739" s="1">
        <v>1</v>
      </c>
      <c r="J739" s="2">
        <v>431.03</v>
      </c>
    </row>
    <row r="740" spans="2:10" x14ac:dyDescent="0.2">
      <c r="B740" t="s">
        <v>824</v>
      </c>
      <c r="C740" t="s">
        <v>233</v>
      </c>
      <c r="D740" t="s">
        <v>277</v>
      </c>
      <c r="E740" t="s">
        <v>61</v>
      </c>
      <c r="F740" t="s">
        <v>62</v>
      </c>
      <c r="G740" t="s">
        <v>1034</v>
      </c>
      <c r="H740" t="s">
        <v>15</v>
      </c>
      <c r="I740" s="1">
        <v>1</v>
      </c>
      <c r="J740" s="2">
        <v>172.41</v>
      </c>
    </row>
    <row r="741" spans="2:10" x14ac:dyDescent="0.2">
      <c r="B741" t="s">
        <v>824</v>
      </c>
      <c r="C741" t="s">
        <v>236</v>
      </c>
      <c r="D741" t="s">
        <v>825</v>
      </c>
      <c r="E741" t="s">
        <v>221</v>
      </c>
      <c r="F741" t="s">
        <v>222</v>
      </c>
      <c r="G741" t="s">
        <v>1034</v>
      </c>
      <c r="H741" t="s">
        <v>15</v>
      </c>
      <c r="I741" s="1">
        <v>1</v>
      </c>
      <c r="J741" s="2">
        <v>431.03</v>
      </c>
    </row>
    <row r="742" spans="2:10" x14ac:dyDescent="0.2">
      <c r="B742" t="s">
        <v>824</v>
      </c>
      <c r="C742" t="s">
        <v>236</v>
      </c>
      <c r="D742" t="s">
        <v>825</v>
      </c>
      <c r="E742" t="s">
        <v>72</v>
      </c>
      <c r="F742" t="s">
        <v>73</v>
      </c>
      <c r="G742" t="s">
        <v>1034</v>
      </c>
      <c r="H742" t="s">
        <v>15</v>
      </c>
      <c r="I742" s="1">
        <v>1</v>
      </c>
      <c r="J742" s="2">
        <v>775.86</v>
      </c>
    </row>
    <row r="743" spans="2:10" x14ac:dyDescent="0.2">
      <c r="B743" t="s">
        <v>824</v>
      </c>
      <c r="C743" t="s">
        <v>236</v>
      </c>
      <c r="D743" t="s">
        <v>825</v>
      </c>
      <c r="E743" t="s">
        <v>38</v>
      </c>
      <c r="F743" t="s">
        <v>39</v>
      </c>
      <c r="G743" t="s">
        <v>1034</v>
      </c>
      <c r="H743" t="s">
        <v>15</v>
      </c>
      <c r="I743" s="1">
        <v>1</v>
      </c>
      <c r="J743" s="2">
        <v>431.03</v>
      </c>
    </row>
    <row r="744" spans="2:10" x14ac:dyDescent="0.2">
      <c r="B744" t="s">
        <v>824</v>
      </c>
      <c r="C744" t="s">
        <v>236</v>
      </c>
      <c r="D744" t="s">
        <v>825</v>
      </c>
      <c r="E744" t="s">
        <v>61</v>
      </c>
      <c r="F744" t="s">
        <v>62</v>
      </c>
      <c r="G744" t="s">
        <v>1034</v>
      </c>
      <c r="H744" t="s">
        <v>15</v>
      </c>
      <c r="I744" s="1">
        <v>2</v>
      </c>
      <c r="J744" s="2">
        <v>344.82</v>
      </c>
    </row>
    <row r="745" spans="2:10" x14ac:dyDescent="0.2">
      <c r="B745" t="s">
        <v>824</v>
      </c>
      <c r="C745" t="s">
        <v>237</v>
      </c>
      <c r="D745" t="s">
        <v>825</v>
      </c>
      <c r="E745" t="s">
        <v>46</v>
      </c>
      <c r="F745" t="s">
        <v>47</v>
      </c>
      <c r="G745" t="s">
        <v>1034</v>
      </c>
      <c r="H745" t="s">
        <v>15</v>
      </c>
      <c r="I745" s="1">
        <v>1</v>
      </c>
      <c r="J745" s="2">
        <v>301.72000000000003</v>
      </c>
    </row>
    <row r="746" spans="2:10" x14ac:dyDescent="0.2">
      <c r="B746" t="s">
        <v>824</v>
      </c>
      <c r="C746" t="s">
        <v>237</v>
      </c>
      <c r="D746" t="s">
        <v>825</v>
      </c>
      <c r="E746" t="s">
        <v>221</v>
      </c>
      <c r="F746" t="s">
        <v>222</v>
      </c>
      <c r="G746" t="s">
        <v>1034</v>
      </c>
      <c r="H746" t="s">
        <v>15</v>
      </c>
      <c r="I746" s="1">
        <v>1</v>
      </c>
      <c r="J746" s="2">
        <v>431.03</v>
      </c>
    </row>
    <row r="747" spans="2:10" x14ac:dyDescent="0.2">
      <c r="B747" t="s">
        <v>824</v>
      </c>
      <c r="C747" t="s">
        <v>237</v>
      </c>
      <c r="D747" t="s">
        <v>825</v>
      </c>
      <c r="E747" t="s">
        <v>56</v>
      </c>
      <c r="F747" t="s">
        <v>57</v>
      </c>
      <c r="G747" t="s">
        <v>1034</v>
      </c>
      <c r="H747" t="s">
        <v>15</v>
      </c>
      <c r="I747" s="1">
        <v>4</v>
      </c>
      <c r="J747" s="2">
        <v>1724.1299999999999</v>
      </c>
    </row>
    <row r="748" spans="2:10" x14ac:dyDescent="0.2">
      <c r="B748" t="s">
        <v>824</v>
      </c>
      <c r="C748" t="s">
        <v>248</v>
      </c>
      <c r="D748" t="s">
        <v>825</v>
      </c>
      <c r="E748" t="s">
        <v>46</v>
      </c>
      <c r="F748" t="s">
        <v>47</v>
      </c>
      <c r="G748" t="s">
        <v>1034</v>
      </c>
      <c r="H748" t="s">
        <v>15</v>
      </c>
      <c r="I748" s="1">
        <v>3</v>
      </c>
      <c r="J748" s="2">
        <v>905.16000000000008</v>
      </c>
    </row>
    <row r="749" spans="2:10" x14ac:dyDescent="0.2">
      <c r="B749" t="s">
        <v>824</v>
      </c>
      <c r="C749" t="s">
        <v>248</v>
      </c>
      <c r="D749" t="s">
        <v>825</v>
      </c>
      <c r="E749" t="s">
        <v>36</v>
      </c>
      <c r="F749" t="s">
        <v>37</v>
      </c>
      <c r="G749" t="s">
        <v>1034</v>
      </c>
      <c r="H749" t="s">
        <v>15</v>
      </c>
      <c r="I749" s="1">
        <v>1</v>
      </c>
      <c r="J749" s="2">
        <v>301.72000000000003</v>
      </c>
    </row>
    <row r="750" spans="2:10" x14ac:dyDescent="0.2">
      <c r="B750" t="s">
        <v>824</v>
      </c>
      <c r="C750" t="s">
        <v>248</v>
      </c>
      <c r="D750" t="s">
        <v>825</v>
      </c>
      <c r="E750" t="s">
        <v>72</v>
      </c>
      <c r="F750" t="s">
        <v>73</v>
      </c>
      <c r="G750" t="s">
        <v>1034</v>
      </c>
      <c r="H750" t="s">
        <v>15</v>
      </c>
      <c r="I750" s="1">
        <v>2</v>
      </c>
      <c r="J750" s="2">
        <v>1551.72</v>
      </c>
    </row>
    <row r="751" spans="2:10" x14ac:dyDescent="0.2">
      <c r="B751" t="s">
        <v>824</v>
      </c>
      <c r="C751" t="s">
        <v>248</v>
      </c>
      <c r="D751" t="s">
        <v>825</v>
      </c>
      <c r="E751" t="s">
        <v>122</v>
      </c>
      <c r="F751" t="s">
        <v>123</v>
      </c>
      <c r="G751" t="s">
        <v>1034</v>
      </c>
      <c r="H751" t="s">
        <v>15</v>
      </c>
      <c r="I751" s="1">
        <v>1</v>
      </c>
      <c r="J751" s="2">
        <v>387.93</v>
      </c>
    </row>
    <row r="752" spans="2:10" x14ac:dyDescent="0.2">
      <c r="B752" t="s">
        <v>824</v>
      </c>
      <c r="C752" t="s">
        <v>248</v>
      </c>
      <c r="D752" t="s">
        <v>825</v>
      </c>
      <c r="E752" t="s">
        <v>56</v>
      </c>
      <c r="F752" t="s">
        <v>57</v>
      </c>
      <c r="G752" t="s">
        <v>1034</v>
      </c>
      <c r="H752" t="s">
        <v>15</v>
      </c>
      <c r="I752" s="1">
        <v>1</v>
      </c>
      <c r="J752" s="2">
        <v>431.03</v>
      </c>
    </row>
    <row r="753" spans="2:10" x14ac:dyDescent="0.2">
      <c r="B753" t="s">
        <v>824</v>
      </c>
      <c r="C753" t="s">
        <v>248</v>
      </c>
      <c r="D753" t="s">
        <v>825</v>
      </c>
      <c r="E753" t="s">
        <v>61</v>
      </c>
      <c r="F753" t="s">
        <v>62</v>
      </c>
      <c r="G753" t="s">
        <v>1034</v>
      </c>
      <c r="H753" t="s">
        <v>15</v>
      </c>
      <c r="I753" s="1">
        <v>1</v>
      </c>
      <c r="J753" s="2">
        <v>172.41</v>
      </c>
    </row>
    <row r="754" spans="2:10" x14ac:dyDescent="0.2">
      <c r="B754" t="s">
        <v>866</v>
      </c>
      <c r="C754" t="s">
        <v>10</v>
      </c>
      <c r="D754" t="s">
        <v>226</v>
      </c>
      <c r="E754" t="s">
        <v>72</v>
      </c>
      <c r="F754" t="s">
        <v>73</v>
      </c>
      <c r="G754" t="s">
        <v>1034</v>
      </c>
      <c r="H754" t="s">
        <v>15</v>
      </c>
      <c r="I754" s="1">
        <v>2</v>
      </c>
      <c r="J754" s="2">
        <v>1551.72</v>
      </c>
    </row>
    <row r="755" spans="2:10" x14ac:dyDescent="0.2">
      <c r="B755" t="s">
        <v>866</v>
      </c>
      <c r="C755" t="s">
        <v>10</v>
      </c>
      <c r="D755" t="s">
        <v>226</v>
      </c>
      <c r="E755" t="s">
        <v>56</v>
      </c>
      <c r="F755" t="s">
        <v>57</v>
      </c>
      <c r="G755" t="s">
        <v>1034</v>
      </c>
      <c r="H755" t="s">
        <v>15</v>
      </c>
      <c r="I755" s="1">
        <v>1</v>
      </c>
      <c r="J755" s="2">
        <v>431.03</v>
      </c>
    </row>
    <row r="756" spans="2:10" x14ac:dyDescent="0.2">
      <c r="B756" t="s">
        <v>866</v>
      </c>
      <c r="C756" t="s">
        <v>10</v>
      </c>
      <c r="D756" t="s">
        <v>226</v>
      </c>
      <c r="E756" t="s">
        <v>61</v>
      </c>
      <c r="F756" t="s">
        <v>62</v>
      </c>
      <c r="G756" t="s">
        <v>1034</v>
      </c>
      <c r="H756" t="s">
        <v>15</v>
      </c>
      <c r="I756" s="1">
        <v>3</v>
      </c>
      <c r="J756" s="2">
        <v>517.23</v>
      </c>
    </row>
    <row r="757" spans="2:10" x14ac:dyDescent="0.2">
      <c r="B757" t="s">
        <v>866</v>
      </c>
      <c r="C757" t="s">
        <v>18</v>
      </c>
      <c r="D757" t="s">
        <v>226</v>
      </c>
      <c r="E757" t="s">
        <v>72</v>
      </c>
      <c r="F757" t="s">
        <v>73</v>
      </c>
      <c r="G757" t="s">
        <v>1034</v>
      </c>
      <c r="H757" t="s">
        <v>15</v>
      </c>
      <c r="I757" s="1">
        <v>1</v>
      </c>
      <c r="J757" s="2">
        <v>775.86</v>
      </c>
    </row>
    <row r="758" spans="2:10" x14ac:dyDescent="0.2">
      <c r="B758" t="s">
        <v>866</v>
      </c>
      <c r="C758" t="s">
        <v>18</v>
      </c>
      <c r="D758" t="s">
        <v>226</v>
      </c>
      <c r="E758" t="s">
        <v>61</v>
      </c>
      <c r="F758" t="s">
        <v>62</v>
      </c>
      <c r="G758" t="s">
        <v>1034</v>
      </c>
      <c r="H758" t="s">
        <v>15</v>
      </c>
      <c r="I758" s="1">
        <v>1</v>
      </c>
      <c r="J758" s="2">
        <v>172.41</v>
      </c>
    </row>
    <row r="759" spans="2:10" x14ac:dyDescent="0.2">
      <c r="B759" t="s">
        <v>866</v>
      </c>
      <c r="C759" t="s">
        <v>18</v>
      </c>
      <c r="D759" t="s">
        <v>226</v>
      </c>
      <c r="E759" t="s">
        <v>63</v>
      </c>
      <c r="F759" t="s">
        <v>64</v>
      </c>
      <c r="G759" t="s">
        <v>1034</v>
      </c>
      <c r="H759" t="s">
        <v>15</v>
      </c>
      <c r="I759" s="1">
        <v>1</v>
      </c>
      <c r="J759" s="2">
        <v>172.41</v>
      </c>
    </row>
    <row r="760" spans="2:10" x14ac:dyDescent="0.2">
      <c r="B760" t="s">
        <v>866</v>
      </c>
      <c r="C760" t="s">
        <v>31</v>
      </c>
      <c r="D760" t="s">
        <v>226</v>
      </c>
      <c r="E760" t="s">
        <v>38</v>
      </c>
      <c r="F760" t="s">
        <v>39</v>
      </c>
      <c r="G760" t="s">
        <v>1034</v>
      </c>
      <c r="H760" t="s">
        <v>15</v>
      </c>
      <c r="I760" s="1">
        <v>1</v>
      </c>
      <c r="J760" s="2">
        <v>431.03</v>
      </c>
    </row>
    <row r="761" spans="2:10" x14ac:dyDescent="0.2">
      <c r="B761" t="s">
        <v>866</v>
      </c>
      <c r="C761" t="s">
        <v>40</v>
      </c>
      <c r="D761" t="s">
        <v>226</v>
      </c>
      <c r="E761" t="s">
        <v>214</v>
      </c>
      <c r="F761" t="s">
        <v>215</v>
      </c>
      <c r="G761" t="s">
        <v>1034</v>
      </c>
      <c r="H761" t="s">
        <v>15</v>
      </c>
      <c r="I761" s="1">
        <v>1</v>
      </c>
      <c r="J761" s="2">
        <v>301.72000000000003</v>
      </c>
    </row>
    <row r="762" spans="2:10" x14ac:dyDescent="0.2">
      <c r="B762" t="s">
        <v>866</v>
      </c>
      <c r="C762" t="s">
        <v>40</v>
      </c>
      <c r="D762" t="s">
        <v>226</v>
      </c>
      <c r="E762" t="s">
        <v>336</v>
      </c>
      <c r="F762" t="s">
        <v>337</v>
      </c>
      <c r="G762" t="s">
        <v>1034</v>
      </c>
      <c r="H762" t="s">
        <v>15</v>
      </c>
      <c r="I762" s="1">
        <v>1</v>
      </c>
      <c r="J762" s="2">
        <v>387.93</v>
      </c>
    </row>
    <row r="763" spans="2:10" x14ac:dyDescent="0.2">
      <c r="B763" t="s">
        <v>866</v>
      </c>
      <c r="C763" t="s">
        <v>40</v>
      </c>
      <c r="D763" t="s">
        <v>226</v>
      </c>
      <c r="E763" t="s">
        <v>56</v>
      </c>
      <c r="F763" t="s">
        <v>57</v>
      </c>
      <c r="G763" t="s">
        <v>1034</v>
      </c>
      <c r="H763" t="s">
        <v>15</v>
      </c>
      <c r="I763" s="1">
        <v>2</v>
      </c>
      <c r="J763" s="2">
        <v>862.06</v>
      </c>
    </row>
    <row r="764" spans="2:10" x14ac:dyDescent="0.2">
      <c r="B764" t="s">
        <v>866</v>
      </c>
      <c r="C764" t="s">
        <v>40</v>
      </c>
      <c r="D764" t="s">
        <v>226</v>
      </c>
      <c r="E764" t="s">
        <v>61</v>
      </c>
      <c r="F764" t="s">
        <v>62</v>
      </c>
      <c r="G764" t="s">
        <v>1034</v>
      </c>
      <c r="H764" t="s">
        <v>15</v>
      </c>
      <c r="I764" s="1">
        <v>2</v>
      </c>
      <c r="J764" s="2">
        <v>344.82</v>
      </c>
    </row>
    <row r="765" spans="2:10" x14ac:dyDescent="0.2">
      <c r="B765" t="s">
        <v>866</v>
      </c>
      <c r="C765" t="s">
        <v>51</v>
      </c>
      <c r="D765" t="s">
        <v>226</v>
      </c>
      <c r="E765" t="s">
        <v>120</v>
      </c>
      <c r="F765" t="s">
        <v>121</v>
      </c>
      <c r="G765" t="s">
        <v>1034</v>
      </c>
      <c r="H765" t="s">
        <v>15</v>
      </c>
      <c r="I765" s="1">
        <v>1</v>
      </c>
      <c r="J765" s="2">
        <v>301.72000000000003</v>
      </c>
    </row>
    <row r="766" spans="2:10" x14ac:dyDescent="0.2">
      <c r="B766" t="s">
        <v>866</v>
      </c>
      <c r="C766" t="s">
        <v>51</v>
      </c>
      <c r="D766" t="s">
        <v>226</v>
      </c>
      <c r="E766" t="s">
        <v>253</v>
      </c>
      <c r="F766" t="s">
        <v>254</v>
      </c>
      <c r="G766" t="s">
        <v>1034</v>
      </c>
      <c r="H766" t="s">
        <v>15</v>
      </c>
      <c r="I766" s="1">
        <v>1</v>
      </c>
      <c r="J766" s="2">
        <v>775.86</v>
      </c>
    </row>
    <row r="767" spans="2:10" x14ac:dyDescent="0.2">
      <c r="B767" t="s">
        <v>866</v>
      </c>
      <c r="C767" t="s">
        <v>51</v>
      </c>
      <c r="D767" t="s">
        <v>226</v>
      </c>
      <c r="E767" t="s">
        <v>36</v>
      </c>
      <c r="F767" t="s">
        <v>37</v>
      </c>
      <c r="G767" t="s">
        <v>1034</v>
      </c>
      <c r="H767" t="s">
        <v>15</v>
      </c>
      <c r="I767" s="1">
        <v>1</v>
      </c>
      <c r="J767" s="2">
        <v>301.72000000000003</v>
      </c>
    </row>
    <row r="768" spans="2:10" x14ac:dyDescent="0.2">
      <c r="B768" t="s">
        <v>866</v>
      </c>
      <c r="C768" t="s">
        <v>51</v>
      </c>
      <c r="D768" t="s">
        <v>226</v>
      </c>
      <c r="E768" t="s">
        <v>72</v>
      </c>
      <c r="F768" t="s">
        <v>73</v>
      </c>
      <c r="G768" t="s">
        <v>1034</v>
      </c>
      <c r="H768" t="s">
        <v>15</v>
      </c>
      <c r="I768" s="1">
        <v>1</v>
      </c>
      <c r="J768" s="2">
        <v>775.86</v>
      </c>
    </row>
    <row r="769" spans="2:10" x14ac:dyDescent="0.2">
      <c r="B769" t="s">
        <v>866</v>
      </c>
      <c r="C769" t="s">
        <v>51</v>
      </c>
      <c r="D769" t="s">
        <v>226</v>
      </c>
      <c r="E769" t="s">
        <v>38</v>
      </c>
      <c r="F769" t="s">
        <v>39</v>
      </c>
      <c r="G769" t="s">
        <v>1034</v>
      </c>
      <c r="H769" t="s">
        <v>15</v>
      </c>
      <c r="I769" s="1">
        <v>1</v>
      </c>
      <c r="J769" s="2">
        <v>431.03</v>
      </c>
    </row>
    <row r="770" spans="2:10" x14ac:dyDescent="0.2">
      <c r="B770" t="s">
        <v>866</v>
      </c>
      <c r="C770" t="s">
        <v>51</v>
      </c>
      <c r="D770" t="s">
        <v>226</v>
      </c>
      <c r="E770" t="s">
        <v>61</v>
      </c>
      <c r="F770" t="s">
        <v>62</v>
      </c>
      <c r="G770" t="s">
        <v>1034</v>
      </c>
      <c r="H770" t="s">
        <v>15</v>
      </c>
      <c r="I770" s="1">
        <v>1</v>
      </c>
      <c r="J770" s="2">
        <v>172.41</v>
      </c>
    </row>
    <row r="771" spans="2:10" x14ac:dyDescent="0.2">
      <c r="B771" t="s">
        <v>866</v>
      </c>
      <c r="C771" t="s">
        <v>65</v>
      </c>
      <c r="D771" t="s">
        <v>226</v>
      </c>
      <c r="E771" t="s">
        <v>72</v>
      </c>
      <c r="F771" t="s">
        <v>73</v>
      </c>
      <c r="G771" t="s">
        <v>1034</v>
      </c>
      <c r="H771" t="s">
        <v>15</v>
      </c>
      <c r="I771" s="1">
        <v>1</v>
      </c>
      <c r="J771" s="2">
        <v>775.86</v>
      </c>
    </row>
    <row r="772" spans="2:10" x14ac:dyDescent="0.2">
      <c r="B772" t="s">
        <v>866</v>
      </c>
      <c r="C772" t="s">
        <v>65</v>
      </c>
      <c r="D772" t="s">
        <v>226</v>
      </c>
      <c r="E772" t="s">
        <v>56</v>
      </c>
      <c r="F772" t="s">
        <v>57</v>
      </c>
      <c r="G772" t="s">
        <v>1034</v>
      </c>
      <c r="H772" t="s">
        <v>15</v>
      </c>
      <c r="I772" s="1">
        <v>2</v>
      </c>
      <c r="J772" s="2">
        <v>862.06</v>
      </c>
    </row>
    <row r="773" spans="2:10" x14ac:dyDescent="0.2">
      <c r="B773" t="s">
        <v>866</v>
      </c>
      <c r="C773" t="s">
        <v>82</v>
      </c>
      <c r="D773" t="s">
        <v>130</v>
      </c>
      <c r="E773" t="s">
        <v>214</v>
      </c>
      <c r="F773" t="s">
        <v>215</v>
      </c>
      <c r="G773" t="s">
        <v>1034</v>
      </c>
      <c r="H773" t="s">
        <v>15</v>
      </c>
      <c r="I773" s="1">
        <v>1</v>
      </c>
      <c r="J773" s="2">
        <v>301.72000000000003</v>
      </c>
    </row>
    <row r="774" spans="2:10" x14ac:dyDescent="0.2">
      <c r="B774" t="s">
        <v>866</v>
      </c>
      <c r="C774" t="s">
        <v>82</v>
      </c>
      <c r="D774" t="s">
        <v>130</v>
      </c>
      <c r="E774" t="s">
        <v>38</v>
      </c>
      <c r="F774" t="s">
        <v>39</v>
      </c>
      <c r="G774" t="s">
        <v>1034</v>
      </c>
      <c r="H774" t="s">
        <v>15</v>
      </c>
      <c r="I774" s="1">
        <v>1</v>
      </c>
      <c r="J774" s="2">
        <v>431.03</v>
      </c>
    </row>
    <row r="775" spans="2:10" x14ac:dyDescent="0.2">
      <c r="B775" t="s">
        <v>866</v>
      </c>
      <c r="C775" t="s">
        <v>82</v>
      </c>
      <c r="D775" t="s">
        <v>130</v>
      </c>
      <c r="E775" t="s">
        <v>56</v>
      </c>
      <c r="F775" t="s">
        <v>57</v>
      </c>
      <c r="G775" t="s">
        <v>1034</v>
      </c>
      <c r="H775" t="s">
        <v>15</v>
      </c>
      <c r="I775" s="1">
        <v>3</v>
      </c>
      <c r="J775" s="2">
        <v>1293.0999999999999</v>
      </c>
    </row>
    <row r="776" spans="2:10" x14ac:dyDescent="0.2">
      <c r="B776" t="s">
        <v>866</v>
      </c>
      <c r="C776" t="s">
        <v>88</v>
      </c>
      <c r="D776" t="s">
        <v>226</v>
      </c>
      <c r="E776" t="s">
        <v>221</v>
      </c>
      <c r="F776" t="s">
        <v>222</v>
      </c>
      <c r="G776" t="s">
        <v>1034</v>
      </c>
      <c r="H776" t="s">
        <v>15</v>
      </c>
      <c r="I776" s="1">
        <v>1</v>
      </c>
      <c r="J776" s="2">
        <v>431.03</v>
      </c>
    </row>
    <row r="777" spans="2:10" x14ac:dyDescent="0.2">
      <c r="B777" t="s">
        <v>866</v>
      </c>
      <c r="C777" t="s">
        <v>88</v>
      </c>
      <c r="D777" t="s">
        <v>226</v>
      </c>
      <c r="E777" t="s">
        <v>120</v>
      </c>
      <c r="F777" t="s">
        <v>121</v>
      </c>
      <c r="G777" t="s">
        <v>1034</v>
      </c>
      <c r="H777" t="s">
        <v>15</v>
      </c>
      <c r="I777" s="1">
        <v>2</v>
      </c>
      <c r="J777" s="2">
        <v>603.44000000000005</v>
      </c>
    </row>
    <row r="778" spans="2:10" x14ac:dyDescent="0.2">
      <c r="B778" t="s">
        <v>866</v>
      </c>
      <c r="C778" t="s">
        <v>88</v>
      </c>
      <c r="D778" t="s">
        <v>226</v>
      </c>
      <c r="E778" t="s">
        <v>72</v>
      </c>
      <c r="F778" t="s">
        <v>73</v>
      </c>
      <c r="G778" t="s">
        <v>1034</v>
      </c>
      <c r="H778" t="s">
        <v>15</v>
      </c>
      <c r="I778" s="1">
        <v>1</v>
      </c>
      <c r="J778" s="2">
        <v>775.86</v>
      </c>
    </row>
    <row r="779" spans="2:10" x14ac:dyDescent="0.2">
      <c r="B779" t="s">
        <v>866</v>
      </c>
      <c r="C779" t="s">
        <v>88</v>
      </c>
      <c r="D779" t="s">
        <v>226</v>
      </c>
      <c r="E779" t="s">
        <v>38</v>
      </c>
      <c r="F779" t="s">
        <v>39</v>
      </c>
      <c r="G779" t="s">
        <v>1034</v>
      </c>
      <c r="H779" t="s">
        <v>15</v>
      </c>
      <c r="I779" s="1">
        <v>3</v>
      </c>
      <c r="J779" s="2">
        <v>1293.0899999999999</v>
      </c>
    </row>
    <row r="780" spans="2:10" x14ac:dyDescent="0.2">
      <c r="B780" t="s">
        <v>866</v>
      </c>
      <c r="C780" t="s">
        <v>88</v>
      </c>
      <c r="D780" t="s">
        <v>226</v>
      </c>
      <c r="E780" t="s">
        <v>56</v>
      </c>
      <c r="F780" t="s">
        <v>57</v>
      </c>
      <c r="G780" t="s">
        <v>1034</v>
      </c>
      <c r="H780" t="s">
        <v>15</v>
      </c>
      <c r="I780" s="1">
        <v>1</v>
      </c>
      <c r="J780" s="2">
        <v>431.03</v>
      </c>
    </row>
    <row r="781" spans="2:10" x14ac:dyDescent="0.2">
      <c r="B781" t="s">
        <v>866</v>
      </c>
      <c r="C781" t="s">
        <v>117</v>
      </c>
      <c r="D781" t="s">
        <v>226</v>
      </c>
      <c r="E781" t="s">
        <v>56</v>
      </c>
      <c r="F781" t="s">
        <v>57</v>
      </c>
      <c r="G781" t="s">
        <v>1034</v>
      </c>
      <c r="H781" t="s">
        <v>15</v>
      </c>
      <c r="I781" s="1">
        <v>2</v>
      </c>
      <c r="J781" s="2">
        <v>862.06</v>
      </c>
    </row>
    <row r="782" spans="2:10" x14ac:dyDescent="0.2">
      <c r="B782" t="s">
        <v>866</v>
      </c>
      <c r="C782" t="s">
        <v>117</v>
      </c>
      <c r="D782" t="s">
        <v>226</v>
      </c>
      <c r="E782" t="s">
        <v>61</v>
      </c>
      <c r="F782" t="s">
        <v>62</v>
      </c>
      <c r="G782" t="s">
        <v>1034</v>
      </c>
      <c r="H782" t="s">
        <v>15</v>
      </c>
      <c r="I782" s="1">
        <v>1</v>
      </c>
      <c r="J782" s="2">
        <v>172.41</v>
      </c>
    </row>
    <row r="783" spans="2:10" x14ac:dyDescent="0.2">
      <c r="B783" t="s">
        <v>866</v>
      </c>
      <c r="C783" t="s">
        <v>117</v>
      </c>
      <c r="D783" t="s">
        <v>226</v>
      </c>
      <c r="E783" t="s">
        <v>63</v>
      </c>
      <c r="F783" t="s">
        <v>64</v>
      </c>
      <c r="G783" t="s">
        <v>1034</v>
      </c>
      <c r="H783" t="s">
        <v>15</v>
      </c>
      <c r="I783" s="1">
        <v>1</v>
      </c>
      <c r="J783" s="2">
        <v>172.41</v>
      </c>
    </row>
    <row r="784" spans="2:10" x14ac:dyDescent="0.2">
      <c r="B784" t="s">
        <v>866</v>
      </c>
      <c r="C784" t="s">
        <v>129</v>
      </c>
      <c r="D784" t="s">
        <v>226</v>
      </c>
      <c r="E784" t="s">
        <v>120</v>
      </c>
      <c r="F784" t="s">
        <v>121</v>
      </c>
      <c r="G784" t="s">
        <v>1034</v>
      </c>
      <c r="H784" t="s">
        <v>15</v>
      </c>
      <c r="I784" s="1">
        <v>1</v>
      </c>
      <c r="J784" s="2">
        <v>301.72000000000003</v>
      </c>
    </row>
    <row r="785" spans="2:10" x14ac:dyDescent="0.2">
      <c r="B785" t="s">
        <v>866</v>
      </c>
      <c r="C785" t="s">
        <v>129</v>
      </c>
      <c r="D785" t="s">
        <v>226</v>
      </c>
      <c r="E785" t="s">
        <v>61</v>
      </c>
      <c r="F785" t="s">
        <v>62</v>
      </c>
      <c r="G785" t="s">
        <v>1034</v>
      </c>
      <c r="H785" t="s">
        <v>15</v>
      </c>
      <c r="I785" s="1">
        <v>1</v>
      </c>
      <c r="J785" s="2">
        <v>172.41</v>
      </c>
    </row>
    <row r="786" spans="2:10" x14ac:dyDescent="0.2">
      <c r="B786" t="s">
        <v>866</v>
      </c>
      <c r="C786" t="s">
        <v>134</v>
      </c>
      <c r="D786" t="s">
        <v>226</v>
      </c>
      <c r="E786" t="s">
        <v>214</v>
      </c>
      <c r="F786" t="s">
        <v>215</v>
      </c>
      <c r="G786" t="s">
        <v>1034</v>
      </c>
      <c r="H786" t="s">
        <v>15</v>
      </c>
      <c r="I786" s="1">
        <v>1</v>
      </c>
      <c r="J786" s="2">
        <v>301.72000000000003</v>
      </c>
    </row>
    <row r="787" spans="2:10" x14ac:dyDescent="0.2">
      <c r="B787" t="s">
        <v>866</v>
      </c>
      <c r="C787" t="s">
        <v>134</v>
      </c>
      <c r="D787" t="s">
        <v>226</v>
      </c>
      <c r="E787" t="s">
        <v>56</v>
      </c>
      <c r="F787" t="s">
        <v>57</v>
      </c>
      <c r="G787" t="s">
        <v>1034</v>
      </c>
      <c r="H787" t="s">
        <v>15</v>
      </c>
      <c r="I787" s="1">
        <v>1</v>
      </c>
      <c r="J787" s="2">
        <v>431.03</v>
      </c>
    </row>
    <row r="788" spans="2:10" x14ac:dyDescent="0.2">
      <c r="B788" t="s">
        <v>866</v>
      </c>
      <c r="C788" t="s">
        <v>135</v>
      </c>
      <c r="D788" t="s">
        <v>32</v>
      </c>
      <c r="E788" t="s">
        <v>214</v>
      </c>
      <c r="F788" t="s">
        <v>215</v>
      </c>
      <c r="G788" t="s">
        <v>1034</v>
      </c>
      <c r="H788" t="s">
        <v>15</v>
      </c>
      <c r="I788" s="1">
        <v>2</v>
      </c>
      <c r="J788" s="2">
        <v>603.44000000000005</v>
      </c>
    </row>
    <row r="789" spans="2:10" x14ac:dyDescent="0.2">
      <c r="B789" t="s">
        <v>866</v>
      </c>
      <c r="C789" t="s">
        <v>135</v>
      </c>
      <c r="D789" t="s">
        <v>32</v>
      </c>
      <c r="E789" t="s">
        <v>38</v>
      </c>
      <c r="F789" t="s">
        <v>39</v>
      </c>
      <c r="G789" t="s">
        <v>1034</v>
      </c>
      <c r="H789" t="s">
        <v>15</v>
      </c>
      <c r="I789" s="1">
        <v>3</v>
      </c>
      <c r="J789" s="2">
        <v>1293.0899999999999</v>
      </c>
    </row>
    <row r="790" spans="2:10" x14ac:dyDescent="0.2">
      <c r="B790" t="s">
        <v>866</v>
      </c>
      <c r="C790" t="s">
        <v>141</v>
      </c>
      <c r="D790" t="s">
        <v>277</v>
      </c>
      <c r="E790" t="s">
        <v>12</v>
      </c>
      <c r="F790" t="s">
        <v>13</v>
      </c>
      <c r="G790" t="s">
        <v>1034</v>
      </c>
      <c r="H790" t="s">
        <v>15</v>
      </c>
      <c r="I790" s="1">
        <v>1</v>
      </c>
      <c r="J790" s="2">
        <v>1077.5899999999999</v>
      </c>
    </row>
    <row r="791" spans="2:10" x14ac:dyDescent="0.2">
      <c r="B791" t="s">
        <v>866</v>
      </c>
      <c r="C791" t="s">
        <v>141</v>
      </c>
      <c r="D791" t="s">
        <v>277</v>
      </c>
      <c r="E791" t="s">
        <v>214</v>
      </c>
      <c r="F791" t="s">
        <v>215</v>
      </c>
      <c r="G791" t="s">
        <v>1034</v>
      </c>
      <c r="H791" t="s">
        <v>15</v>
      </c>
      <c r="I791" s="1">
        <v>1</v>
      </c>
      <c r="J791" s="2">
        <v>301.72000000000003</v>
      </c>
    </row>
    <row r="792" spans="2:10" x14ac:dyDescent="0.2">
      <c r="B792" t="s">
        <v>866</v>
      </c>
      <c r="C792" t="s">
        <v>141</v>
      </c>
      <c r="D792" t="s">
        <v>277</v>
      </c>
      <c r="E792" t="s">
        <v>38</v>
      </c>
      <c r="F792" t="s">
        <v>39</v>
      </c>
      <c r="G792" t="s">
        <v>1034</v>
      </c>
      <c r="H792" t="s">
        <v>15</v>
      </c>
      <c r="I792" s="1">
        <v>1</v>
      </c>
      <c r="J792" s="2">
        <v>431.03</v>
      </c>
    </row>
    <row r="793" spans="2:10" x14ac:dyDescent="0.2">
      <c r="B793" t="s">
        <v>866</v>
      </c>
      <c r="C793" t="s">
        <v>141</v>
      </c>
      <c r="D793" t="s">
        <v>277</v>
      </c>
      <c r="E793" t="s">
        <v>56</v>
      </c>
      <c r="F793" t="s">
        <v>57</v>
      </c>
      <c r="G793" t="s">
        <v>1034</v>
      </c>
      <c r="H793" t="s">
        <v>15</v>
      </c>
      <c r="I793" s="1">
        <v>3</v>
      </c>
      <c r="J793" s="2">
        <v>1293.0899999999999</v>
      </c>
    </row>
    <row r="794" spans="2:10" x14ac:dyDescent="0.2">
      <c r="B794" t="s">
        <v>866</v>
      </c>
      <c r="C794" t="s">
        <v>141</v>
      </c>
      <c r="D794" t="s">
        <v>277</v>
      </c>
      <c r="E794" t="s">
        <v>61</v>
      </c>
      <c r="F794" t="s">
        <v>62</v>
      </c>
      <c r="G794" t="s">
        <v>1034</v>
      </c>
      <c r="H794" t="s">
        <v>15</v>
      </c>
      <c r="I794" s="1">
        <v>1</v>
      </c>
      <c r="J794" s="2">
        <v>172.41</v>
      </c>
    </row>
    <row r="795" spans="2:10" x14ac:dyDescent="0.2">
      <c r="B795" t="s">
        <v>866</v>
      </c>
      <c r="C795" t="s">
        <v>144</v>
      </c>
      <c r="D795" t="s">
        <v>32</v>
      </c>
      <c r="E795" t="s">
        <v>56</v>
      </c>
      <c r="F795" t="s">
        <v>57</v>
      </c>
      <c r="G795" t="s">
        <v>1034</v>
      </c>
      <c r="H795" t="s">
        <v>15</v>
      </c>
      <c r="I795" s="1">
        <v>2</v>
      </c>
      <c r="J795" s="2">
        <v>862.06</v>
      </c>
    </row>
    <row r="796" spans="2:10" x14ac:dyDescent="0.2">
      <c r="B796" t="s">
        <v>866</v>
      </c>
      <c r="C796" t="s">
        <v>165</v>
      </c>
      <c r="D796" t="s">
        <v>32</v>
      </c>
      <c r="E796" t="s">
        <v>120</v>
      </c>
      <c r="F796" t="s">
        <v>121</v>
      </c>
      <c r="G796" t="s">
        <v>1034</v>
      </c>
      <c r="H796" t="s">
        <v>15</v>
      </c>
      <c r="I796" s="1">
        <v>1</v>
      </c>
      <c r="J796" s="2">
        <v>301.72000000000003</v>
      </c>
    </row>
    <row r="797" spans="2:10" x14ac:dyDescent="0.2">
      <c r="B797" t="s">
        <v>866</v>
      </c>
      <c r="C797" t="s">
        <v>165</v>
      </c>
      <c r="D797" t="s">
        <v>32</v>
      </c>
      <c r="E797" t="s">
        <v>214</v>
      </c>
      <c r="F797" t="s">
        <v>215</v>
      </c>
      <c r="G797" t="s">
        <v>1034</v>
      </c>
      <c r="H797" t="s">
        <v>15</v>
      </c>
      <c r="I797" s="1">
        <v>1</v>
      </c>
      <c r="J797" s="2">
        <v>301.72000000000003</v>
      </c>
    </row>
    <row r="798" spans="2:10" x14ac:dyDescent="0.2">
      <c r="B798" t="s">
        <v>866</v>
      </c>
      <c r="C798" t="s">
        <v>165</v>
      </c>
      <c r="D798" t="s">
        <v>32</v>
      </c>
      <c r="E798" t="s">
        <v>56</v>
      </c>
      <c r="F798" t="s">
        <v>57</v>
      </c>
      <c r="G798" t="s">
        <v>1034</v>
      </c>
      <c r="H798" t="s">
        <v>15</v>
      </c>
      <c r="I798" s="1">
        <v>1</v>
      </c>
      <c r="J798" s="2">
        <v>431.03</v>
      </c>
    </row>
    <row r="799" spans="2:10" x14ac:dyDescent="0.2">
      <c r="B799" t="s">
        <v>866</v>
      </c>
      <c r="C799" t="s">
        <v>165</v>
      </c>
      <c r="D799" t="s">
        <v>32</v>
      </c>
      <c r="E799" t="s">
        <v>63</v>
      </c>
      <c r="F799" t="s">
        <v>64</v>
      </c>
      <c r="G799" t="s">
        <v>1034</v>
      </c>
      <c r="H799" t="s">
        <v>15</v>
      </c>
      <c r="I799" s="1">
        <v>1</v>
      </c>
      <c r="J799" s="2">
        <v>172.41</v>
      </c>
    </row>
    <row r="800" spans="2:10" x14ac:dyDescent="0.2">
      <c r="B800" t="s">
        <v>866</v>
      </c>
      <c r="C800" t="s">
        <v>166</v>
      </c>
      <c r="D800" t="s">
        <v>277</v>
      </c>
      <c r="E800" t="s">
        <v>120</v>
      </c>
      <c r="F800" t="s">
        <v>121</v>
      </c>
      <c r="G800" t="s">
        <v>1034</v>
      </c>
      <c r="H800" t="s">
        <v>15</v>
      </c>
      <c r="I800" s="1">
        <v>1</v>
      </c>
      <c r="J800" s="2">
        <v>301.72000000000003</v>
      </c>
    </row>
    <row r="801" spans="2:10" x14ac:dyDescent="0.2">
      <c r="B801" t="s">
        <v>866</v>
      </c>
      <c r="C801" t="s">
        <v>166</v>
      </c>
      <c r="D801" t="s">
        <v>277</v>
      </c>
      <c r="E801" t="s">
        <v>214</v>
      </c>
      <c r="F801" t="s">
        <v>215</v>
      </c>
      <c r="G801" t="s">
        <v>1034</v>
      </c>
      <c r="H801" t="s">
        <v>15</v>
      </c>
      <c r="I801" s="1">
        <v>1</v>
      </c>
      <c r="J801" s="2">
        <v>301.72000000000003</v>
      </c>
    </row>
    <row r="802" spans="2:10" x14ac:dyDescent="0.2">
      <c r="B802" t="s">
        <v>866</v>
      </c>
      <c r="C802" t="s">
        <v>166</v>
      </c>
      <c r="D802" t="s">
        <v>277</v>
      </c>
      <c r="E802" t="s">
        <v>163</v>
      </c>
      <c r="F802" t="s">
        <v>164</v>
      </c>
      <c r="G802" t="s">
        <v>1034</v>
      </c>
      <c r="H802" t="s">
        <v>15</v>
      </c>
      <c r="I802" s="1">
        <v>1</v>
      </c>
      <c r="J802" s="2">
        <v>431.03</v>
      </c>
    </row>
    <row r="803" spans="2:10" x14ac:dyDescent="0.2">
      <c r="B803" t="s">
        <v>866</v>
      </c>
      <c r="C803" t="s">
        <v>166</v>
      </c>
      <c r="D803" t="s">
        <v>277</v>
      </c>
      <c r="E803" t="s">
        <v>61</v>
      </c>
      <c r="F803" t="s">
        <v>62</v>
      </c>
      <c r="G803" t="s">
        <v>1034</v>
      </c>
      <c r="H803" t="s">
        <v>15</v>
      </c>
      <c r="I803" s="1">
        <v>1</v>
      </c>
      <c r="J803" s="2">
        <v>172.41</v>
      </c>
    </row>
    <row r="804" spans="2:10" x14ac:dyDescent="0.2">
      <c r="B804" t="s">
        <v>866</v>
      </c>
      <c r="C804" t="s">
        <v>335</v>
      </c>
      <c r="D804" t="s">
        <v>277</v>
      </c>
      <c r="E804" t="s">
        <v>120</v>
      </c>
      <c r="F804" t="s">
        <v>121</v>
      </c>
      <c r="G804" t="s">
        <v>1034</v>
      </c>
      <c r="H804" t="s">
        <v>15</v>
      </c>
      <c r="I804" s="1">
        <v>1</v>
      </c>
      <c r="J804" s="2">
        <v>301.72000000000003</v>
      </c>
    </row>
    <row r="805" spans="2:10" x14ac:dyDescent="0.2">
      <c r="B805" t="s">
        <v>866</v>
      </c>
      <c r="C805" t="s">
        <v>335</v>
      </c>
      <c r="D805" t="s">
        <v>277</v>
      </c>
      <c r="E805" t="s">
        <v>267</v>
      </c>
      <c r="F805" t="s">
        <v>268</v>
      </c>
      <c r="G805" t="s">
        <v>1034</v>
      </c>
      <c r="H805" t="s">
        <v>15</v>
      </c>
      <c r="I805" s="1">
        <v>1</v>
      </c>
      <c r="J805" s="2">
        <v>258.62</v>
      </c>
    </row>
    <row r="806" spans="2:10" x14ac:dyDescent="0.2">
      <c r="B806" t="s">
        <v>866</v>
      </c>
      <c r="C806" t="s">
        <v>418</v>
      </c>
      <c r="D806" t="s">
        <v>32</v>
      </c>
      <c r="E806" t="s">
        <v>214</v>
      </c>
      <c r="F806" t="s">
        <v>215</v>
      </c>
      <c r="G806" t="s">
        <v>1034</v>
      </c>
      <c r="H806" t="s">
        <v>15</v>
      </c>
      <c r="I806" s="1">
        <v>1</v>
      </c>
      <c r="J806" s="2">
        <v>301.72000000000003</v>
      </c>
    </row>
    <row r="807" spans="2:10" x14ac:dyDescent="0.2">
      <c r="B807" t="s">
        <v>866</v>
      </c>
      <c r="C807" t="s">
        <v>197</v>
      </c>
      <c r="D807" t="s">
        <v>32</v>
      </c>
      <c r="E807" t="s">
        <v>221</v>
      </c>
      <c r="F807" t="s">
        <v>222</v>
      </c>
      <c r="G807" t="s">
        <v>1034</v>
      </c>
      <c r="H807" t="s">
        <v>15</v>
      </c>
      <c r="I807" s="1">
        <v>1</v>
      </c>
      <c r="J807" s="2">
        <v>431.03</v>
      </c>
    </row>
    <row r="808" spans="2:10" x14ac:dyDescent="0.2">
      <c r="B808" t="s">
        <v>866</v>
      </c>
      <c r="C808" t="s">
        <v>197</v>
      </c>
      <c r="D808" t="s">
        <v>32</v>
      </c>
      <c r="E808" t="s">
        <v>120</v>
      </c>
      <c r="F808" t="s">
        <v>121</v>
      </c>
      <c r="G808" t="s">
        <v>1034</v>
      </c>
      <c r="H808" t="s">
        <v>15</v>
      </c>
      <c r="I808" s="1">
        <v>2</v>
      </c>
      <c r="J808" s="2">
        <v>603.44000000000005</v>
      </c>
    </row>
    <row r="809" spans="2:10" x14ac:dyDescent="0.2">
      <c r="B809" t="s">
        <v>866</v>
      </c>
      <c r="C809" t="s">
        <v>197</v>
      </c>
      <c r="D809" t="s">
        <v>32</v>
      </c>
      <c r="E809" t="s">
        <v>38</v>
      </c>
      <c r="F809" t="s">
        <v>39</v>
      </c>
      <c r="G809" t="s">
        <v>1034</v>
      </c>
      <c r="H809" t="s">
        <v>15</v>
      </c>
      <c r="I809" s="1">
        <v>1</v>
      </c>
      <c r="J809" s="2">
        <v>431.03</v>
      </c>
    </row>
    <row r="810" spans="2:10" x14ac:dyDescent="0.2">
      <c r="B810" t="s">
        <v>866</v>
      </c>
      <c r="C810" t="s">
        <v>197</v>
      </c>
      <c r="D810" t="s">
        <v>32</v>
      </c>
      <c r="E810" t="s">
        <v>56</v>
      </c>
      <c r="F810" t="s">
        <v>57</v>
      </c>
      <c r="G810" t="s">
        <v>1034</v>
      </c>
      <c r="H810" t="s">
        <v>15</v>
      </c>
      <c r="I810" s="1">
        <v>1</v>
      </c>
      <c r="J810" s="2">
        <v>431.03</v>
      </c>
    </row>
    <row r="811" spans="2:10" x14ac:dyDescent="0.2">
      <c r="B811" t="s">
        <v>866</v>
      </c>
      <c r="C811" t="s">
        <v>206</v>
      </c>
      <c r="D811" t="s">
        <v>32</v>
      </c>
      <c r="E811" t="s">
        <v>120</v>
      </c>
      <c r="F811" t="s">
        <v>121</v>
      </c>
      <c r="G811" t="s">
        <v>1034</v>
      </c>
      <c r="H811" t="s">
        <v>15</v>
      </c>
      <c r="I811" s="1">
        <v>2</v>
      </c>
      <c r="J811" s="2">
        <v>603.44000000000005</v>
      </c>
    </row>
    <row r="812" spans="2:10" x14ac:dyDescent="0.2">
      <c r="B812" t="s">
        <v>866</v>
      </c>
      <c r="C812" t="s">
        <v>206</v>
      </c>
      <c r="D812" t="s">
        <v>32</v>
      </c>
      <c r="E812" t="s">
        <v>214</v>
      </c>
      <c r="F812" t="s">
        <v>215</v>
      </c>
      <c r="G812" t="s">
        <v>1034</v>
      </c>
      <c r="H812" t="s">
        <v>15</v>
      </c>
      <c r="I812" s="1">
        <v>1</v>
      </c>
      <c r="J812" s="2">
        <v>301.72000000000003</v>
      </c>
    </row>
    <row r="813" spans="2:10" x14ac:dyDescent="0.2">
      <c r="B813" t="s">
        <v>866</v>
      </c>
      <c r="C813" t="s">
        <v>220</v>
      </c>
      <c r="D813" t="s">
        <v>32</v>
      </c>
      <c r="E813" t="s">
        <v>46</v>
      </c>
      <c r="F813" t="s">
        <v>47</v>
      </c>
      <c r="G813" t="s">
        <v>1034</v>
      </c>
      <c r="H813" t="s">
        <v>15</v>
      </c>
      <c r="I813" s="1">
        <v>1</v>
      </c>
      <c r="J813" s="2">
        <v>301.72000000000003</v>
      </c>
    </row>
    <row r="814" spans="2:10" x14ac:dyDescent="0.2">
      <c r="B814" t="s">
        <v>866</v>
      </c>
      <c r="C814" t="s">
        <v>220</v>
      </c>
      <c r="D814" t="s">
        <v>32</v>
      </c>
      <c r="E814" t="s">
        <v>120</v>
      </c>
      <c r="F814" t="s">
        <v>121</v>
      </c>
      <c r="G814" t="s">
        <v>1034</v>
      </c>
      <c r="H814" t="s">
        <v>15</v>
      </c>
      <c r="I814" s="1">
        <v>1</v>
      </c>
      <c r="J814" s="2">
        <v>301.72000000000003</v>
      </c>
    </row>
    <row r="815" spans="2:10" x14ac:dyDescent="0.2">
      <c r="B815" t="s">
        <v>866</v>
      </c>
      <c r="C815" t="s">
        <v>220</v>
      </c>
      <c r="D815" t="s">
        <v>32</v>
      </c>
      <c r="E815" t="s">
        <v>56</v>
      </c>
      <c r="F815" t="s">
        <v>57</v>
      </c>
      <c r="G815" t="s">
        <v>1034</v>
      </c>
      <c r="H815" t="s">
        <v>15</v>
      </c>
      <c r="I815" s="1">
        <v>1</v>
      </c>
      <c r="J815" s="2">
        <v>431.03</v>
      </c>
    </row>
    <row r="816" spans="2:10" x14ac:dyDescent="0.2">
      <c r="B816" t="s">
        <v>866</v>
      </c>
      <c r="C816" t="s">
        <v>225</v>
      </c>
      <c r="D816" t="s">
        <v>32</v>
      </c>
      <c r="E816" t="s">
        <v>221</v>
      </c>
      <c r="F816" t="s">
        <v>222</v>
      </c>
      <c r="G816" t="s">
        <v>1034</v>
      </c>
      <c r="H816" t="s">
        <v>15</v>
      </c>
      <c r="I816" s="1">
        <v>1</v>
      </c>
      <c r="J816" s="2">
        <v>431.03</v>
      </c>
    </row>
    <row r="817" spans="2:10" x14ac:dyDescent="0.2">
      <c r="B817" t="s">
        <v>866</v>
      </c>
      <c r="C817" t="s">
        <v>225</v>
      </c>
      <c r="D817" t="s">
        <v>32</v>
      </c>
      <c r="E817" t="s">
        <v>120</v>
      </c>
      <c r="F817" t="s">
        <v>121</v>
      </c>
      <c r="G817" t="s">
        <v>1034</v>
      </c>
      <c r="H817" t="s">
        <v>15</v>
      </c>
      <c r="I817" s="1">
        <v>1</v>
      </c>
      <c r="J817" s="2">
        <v>301.72000000000003</v>
      </c>
    </row>
    <row r="818" spans="2:10" x14ac:dyDescent="0.2">
      <c r="B818" t="s">
        <v>866</v>
      </c>
      <c r="C818" t="s">
        <v>225</v>
      </c>
      <c r="D818" t="s">
        <v>32</v>
      </c>
      <c r="E818" t="s">
        <v>12</v>
      </c>
      <c r="F818" t="s">
        <v>13</v>
      </c>
      <c r="G818" t="s">
        <v>1034</v>
      </c>
      <c r="H818" t="s">
        <v>15</v>
      </c>
      <c r="I818" s="1">
        <v>1</v>
      </c>
      <c r="J818" s="2">
        <v>1077.5899999999999</v>
      </c>
    </row>
    <row r="819" spans="2:10" x14ac:dyDescent="0.2">
      <c r="B819" t="s">
        <v>866</v>
      </c>
      <c r="C819" t="s">
        <v>225</v>
      </c>
      <c r="D819" t="s">
        <v>32</v>
      </c>
      <c r="E819" t="s">
        <v>214</v>
      </c>
      <c r="F819" t="s">
        <v>215</v>
      </c>
      <c r="G819" t="s">
        <v>1034</v>
      </c>
      <c r="H819" t="s">
        <v>15</v>
      </c>
      <c r="I819" s="1">
        <v>1</v>
      </c>
      <c r="J819" s="2">
        <v>301.72000000000003</v>
      </c>
    </row>
    <row r="820" spans="2:10" x14ac:dyDescent="0.2">
      <c r="B820" t="s">
        <v>866</v>
      </c>
      <c r="C820" t="s">
        <v>225</v>
      </c>
      <c r="D820" t="s">
        <v>32</v>
      </c>
      <c r="E820" t="s">
        <v>38</v>
      </c>
      <c r="F820" t="s">
        <v>39</v>
      </c>
      <c r="G820" t="s">
        <v>1034</v>
      </c>
      <c r="H820" t="s">
        <v>15</v>
      </c>
      <c r="I820" s="1">
        <v>2</v>
      </c>
      <c r="J820" s="2">
        <v>862.06</v>
      </c>
    </row>
    <row r="821" spans="2:10" x14ac:dyDescent="0.2">
      <c r="B821" t="s">
        <v>866</v>
      </c>
      <c r="C821" t="s">
        <v>225</v>
      </c>
      <c r="D821" t="s">
        <v>32</v>
      </c>
      <c r="E821" t="s">
        <v>56</v>
      </c>
      <c r="F821" t="s">
        <v>57</v>
      </c>
      <c r="G821" t="s">
        <v>1034</v>
      </c>
      <c r="H821" t="s">
        <v>15</v>
      </c>
      <c r="I821" s="1">
        <v>1</v>
      </c>
      <c r="J821" s="2">
        <v>431.03</v>
      </c>
    </row>
    <row r="822" spans="2:10" x14ac:dyDescent="0.2">
      <c r="B822" t="s">
        <v>866</v>
      </c>
      <c r="C822" t="s">
        <v>227</v>
      </c>
      <c r="D822" t="s">
        <v>32</v>
      </c>
      <c r="E822" t="s">
        <v>38</v>
      </c>
      <c r="F822" t="s">
        <v>39</v>
      </c>
      <c r="G822" t="s">
        <v>1034</v>
      </c>
      <c r="H822" t="s">
        <v>15</v>
      </c>
      <c r="I822" s="1">
        <v>1</v>
      </c>
      <c r="J822" s="2">
        <v>431.03</v>
      </c>
    </row>
    <row r="823" spans="2:10" x14ac:dyDescent="0.2">
      <c r="B823" t="s">
        <v>866</v>
      </c>
      <c r="C823" t="s">
        <v>227</v>
      </c>
      <c r="D823" t="s">
        <v>32</v>
      </c>
      <c r="E823" t="s">
        <v>56</v>
      </c>
      <c r="F823" t="s">
        <v>57</v>
      </c>
      <c r="G823" t="s">
        <v>1034</v>
      </c>
      <c r="H823" t="s">
        <v>15</v>
      </c>
      <c r="I823" s="1">
        <v>1</v>
      </c>
      <c r="J823" s="2">
        <v>431.03</v>
      </c>
    </row>
    <row r="824" spans="2:10" x14ac:dyDescent="0.2">
      <c r="B824" t="s">
        <v>866</v>
      </c>
      <c r="C824" t="s">
        <v>233</v>
      </c>
      <c r="D824" t="s">
        <v>226</v>
      </c>
      <c r="E824" t="s">
        <v>72</v>
      </c>
      <c r="F824" t="s">
        <v>73</v>
      </c>
      <c r="G824" t="s">
        <v>1034</v>
      </c>
      <c r="H824" t="s">
        <v>15</v>
      </c>
      <c r="I824" s="1">
        <v>1</v>
      </c>
      <c r="J824" s="2">
        <v>775.86</v>
      </c>
    </row>
    <row r="825" spans="2:10" x14ac:dyDescent="0.2">
      <c r="B825" t="s">
        <v>866</v>
      </c>
      <c r="C825" t="s">
        <v>237</v>
      </c>
      <c r="D825" t="s">
        <v>226</v>
      </c>
      <c r="E825" t="s">
        <v>120</v>
      </c>
      <c r="F825" t="s">
        <v>121</v>
      </c>
      <c r="G825" t="s">
        <v>1034</v>
      </c>
      <c r="H825" t="s">
        <v>15</v>
      </c>
      <c r="I825" s="1">
        <v>1</v>
      </c>
      <c r="J825" s="2">
        <v>301.72000000000003</v>
      </c>
    </row>
    <row r="826" spans="2:10" x14ac:dyDescent="0.2">
      <c r="B826" t="s">
        <v>866</v>
      </c>
      <c r="C826" t="s">
        <v>237</v>
      </c>
      <c r="D826" t="s">
        <v>226</v>
      </c>
      <c r="E826" t="s">
        <v>214</v>
      </c>
      <c r="F826" t="s">
        <v>215</v>
      </c>
      <c r="G826" t="s">
        <v>1034</v>
      </c>
      <c r="H826" t="s">
        <v>15</v>
      </c>
      <c r="I826" s="1">
        <v>1</v>
      </c>
      <c r="J826" s="2">
        <v>301.72000000000003</v>
      </c>
    </row>
    <row r="827" spans="2:10" x14ac:dyDescent="0.2">
      <c r="B827" t="s">
        <v>866</v>
      </c>
      <c r="C827" t="s">
        <v>237</v>
      </c>
      <c r="D827" t="s">
        <v>226</v>
      </c>
      <c r="E827" t="s">
        <v>267</v>
      </c>
      <c r="F827" t="s">
        <v>268</v>
      </c>
      <c r="G827" t="s">
        <v>1034</v>
      </c>
      <c r="H827" t="s">
        <v>15</v>
      </c>
      <c r="I827" s="1">
        <v>1</v>
      </c>
      <c r="J827" s="2">
        <v>258.62</v>
      </c>
    </row>
    <row r="828" spans="2:10" x14ac:dyDescent="0.2">
      <c r="B828" t="s">
        <v>866</v>
      </c>
      <c r="C828" t="s">
        <v>248</v>
      </c>
      <c r="D828" t="s">
        <v>226</v>
      </c>
      <c r="E828" t="s">
        <v>46</v>
      </c>
      <c r="F828" t="s">
        <v>47</v>
      </c>
      <c r="G828" t="s">
        <v>1034</v>
      </c>
      <c r="H828" t="s">
        <v>15</v>
      </c>
      <c r="I828" s="1">
        <v>1</v>
      </c>
      <c r="J828" s="2">
        <v>301.72000000000003</v>
      </c>
    </row>
    <row r="829" spans="2:10" x14ac:dyDescent="0.2">
      <c r="B829" t="s">
        <v>866</v>
      </c>
      <c r="C829" t="s">
        <v>248</v>
      </c>
      <c r="D829" t="s">
        <v>226</v>
      </c>
      <c r="E829" t="s">
        <v>120</v>
      </c>
      <c r="F829" t="s">
        <v>121</v>
      </c>
      <c r="G829" t="s">
        <v>1034</v>
      </c>
      <c r="H829" t="s">
        <v>15</v>
      </c>
      <c r="I829" s="1">
        <v>1</v>
      </c>
      <c r="J829" s="2">
        <v>301.72000000000003</v>
      </c>
    </row>
    <row r="830" spans="2:10" x14ac:dyDescent="0.2">
      <c r="B830" t="s">
        <v>866</v>
      </c>
      <c r="C830" t="s">
        <v>248</v>
      </c>
      <c r="D830" t="s">
        <v>226</v>
      </c>
      <c r="E830" t="s">
        <v>72</v>
      </c>
      <c r="F830" t="s">
        <v>73</v>
      </c>
      <c r="G830" t="s">
        <v>1034</v>
      </c>
      <c r="H830" t="s">
        <v>15</v>
      </c>
      <c r="I830" s="1">
        <v>1</v>
      </c>
      <c r="J830" s="2">
        <v>775.86</v>
      </c>
    </row>
    <row r="831" spans="2:10" x14ac:dyDescent="0.2">
      <c r="B831" t="s">
        <v>907</v>
      </c>
      <c r="C831" t="s">
        <v>10</v>
      </c>
      <c r="D831" t="s">
        <v>908</v>
      </c>
      <c r="E831" t="s">
        <v>61</v>
      </c>
      <c r="F831" t="s">
        <v>62</v>
      </c>
      <c r="G831" t="s">
        <v>1034</v>
      </c>
      <c r="H831" t="s">
        <v>15</v>
      </c>
      <c r="I831" s="1">
        <v>1</v>
      </c>
      <c r="J831" s="2">
        <v>172.41</v>
      </c>
    </row>
    <row r="832" spans="2:10" x14ac:dyDescent="0.2">
      <c r="B832" t="s">
        <v>907</v>
      </c>
      <c r="C832" t="s">
        <v>18</v>
      </c>
      <c r="D832" t="s">
        <v>908</v>
      </c>
      <c r="E832" t="s">
        <v>120</v>
      </c>
      <c r="F832" t="s">
        <v>121</v>
      </c>
      <c r="G832" t="s">
        <v>1034</v>
      </c>
      <c r="H832" t="s">
        <v>15</v>
      </c>
      <c r="I832" s="1">
        <v>2</v>
      </c>
      <c r="J832" s="2">
        <v>603.44000000000005</v>
      </c>
    </row>
    <row r="833" spans="2:10" x14ac:dyDescent="0.2">
      <c r="B833" t="s">
        <v>907</v>
      </c>
      <c r="C833" t="s">
        <v>40</v>
      </c>
      <c r="D833" t="s">
        <v>908</v>
      </c>
      <c r="E833" t="s">
        <v>267</v>
      </c>
      <c r="F833" t="s">
        <v>268</v>
      </c>
      <c r="G833" t="s">
        <v>1034</v>
      </c>
      <c r="H833" t="s">
        <v>15</v>
      </c>
      <c r="I833" s="1">
        <v>1</v>
      </c>
      <c r="J833" s="2">
        <v>258.62</v>
      </c>
    </row>
    <row r="834" spans="2:10" x14ac:dyDescent="0.2">
      <c r="B834" t="s">
        <v>907</v>
      </c>
      <c r="C834" t="s">
        <v>40</v>
      </c>
      <c r="D834" t="s">
        <v>908</v>
      </c>
      <c r="E834" t="s">
        <v>336</v>
      </c>
      <c r="F834" t="s">
        <v>337</v>
      </c>
      <c r="G834" t="s">
        <v>1034</v>
      </c>
      <c r="H834" t="s">
        <v>15</v>
      </c>
      <c r="I834" s="1">
        <v>1</v>
      </c>
      <c r="J834" s="2">
        <v>387.93</v>
      </c>
    </row>
    <row r="835" spans="2:10" x14ac:dyDescent="0.2">
      <c r="B835" t="s">
        <v>907</v>
      </c>
      <c r="C835" t="s">
        <v>51</v>
      </c>
      <c r="D835" t="s">
        <v>908</v>
      </c>
      <c r="E835" t="s">
        <v>214</v>
      </c>
      <c r="F835" t="s">
        <v>215</v>
      </c>
      <c r="G835" t="s">
        <v>1034</v>
      </c>
      <c r="H835" t="s">
        <v>15</v>
      </c>
      <c r="I835" s="1">
        <v>1</v>
      </c>
      <c r="J835" s="2">
        <v>301.72000000000003</v>
      </c>
    </row>
    <row r="836" spans="2:10" x14ac:dyDescent="0.2">
      <c r="B836" t="s">
        <v>907</v>
      </c>
      <c r="C836" t="s">
        <v>51</v>
      </c>
      <c r="D836" t="s">
        <v>908</v>
      </c>
      <c r="E836" t="s">
        <v>61</v>
      </c>
      <c r="F836" t="s">
        <v>62</v>
      </c>
      <c r="G836" t="s">
        <v>1034</v>
      </c>
      <c r="H836" t="s">
        <v>15</v>
      </c>
      <c r="I836" s="1">
        <v>2</v>
      </c>
      <c r="J836" s="2">
        <v>344.82</v>
      </c>
    </row>
    <row r="837" spans="2:10" x14ac:dyDescent="0.2">
      <c r="B837" t="s">
        <v>907</v>
      </c>
      <c r="C837" t="s">
        <v>65</v>
      </c>
      <c r="D837" t="s">
        <v>277</v>
      </c>
      <c r="E837" t="s">
        <v>122</v>
      </c>
      <c r="F837" t="s">
        <v>123</v>
      </c>
      <c r="G837" t="s">
        <v>1034</v>
      </c>
      <c r="H837" t="s">
        <v>15</v>
      </c>
      <c r="I837" s="1">
        <v>1</v>
      </c>
      <c r="J837" s="2">
        <v>387.93</v>
      </c>
    </row>
    <row r="838" spans="2:10" x14ac:dyDescent="0.2">
      <c r="B838" t="s">
        <v>907</v>
      </c>
      <c r="C838" t="s">
        <v>82</v>
      </c>
      <c r="D838" t="s">
        <v>908</v>
      </c>
      <c r="E838" t="s">
        <v>214</v>
      </c>
      <c r="F838" t="s">
        <v>215</v>
      </c>
      <c r="G838" t="s">
        <v>1034</v>
      </c>
      <c r="H838" t="s">
        <v>15</v>
      </c>
      <c r="I838" s="1">
        <v>1</v>
      </c>
      <c r="J838" s="2">
        <v>301.72000000000003</v>
      </c>
    </row>
    <row r="839" spans="2:10" x14ac:dyDescent="0.2">
      <c r="B839" t="s">
        <v>907</v>
      </c>
      <c r="C839" t="s">
        <v>88</v>
      </c>
      <c r="D839" t="s">
        <v>908</v>
      </c>
      <c r="E839" t="s">
        <v>36</v>
      </c>
      <c r="F839" t="s">
        <v>37</v>
      </c>
      <c r="G839" t="s">
        <v>1034</v>
      </c>
      <c r="H839" t="s">
        <v>15</v>
      </c>
      <c r="I839" s="1">
        <v>1</v>
      </c>
      <c r="J839" s="2">
        <v>301.72000000000003</v>
      </c>
    </row>
    <row r="840" spans="2:10" x14ac:dyDescent="0.2">
      <c r="B840" t="s">
        <v>907</v>
      </c>
      <c r="C840" t="s">
        <v>88</v>
      </c>
      <c r="D840" t="s">
        <v>908</v>
      </c>
      <c r="E840" t="s">
        <v>38</v>
      </c>
      <c r="F840" t="s">
        <v>39</v>
      </c>
      <c r="G840" t="s">
        <v>1034</v>
      </c>
      <c r="H840" t="s">
        <v>15</v>
      </c>
      <c r="I840" s="1">
        <v>1</v>
      </c>
      <c r="J840" s="2">
        <v>431.03</v>
      </c>
    </row>
    <row r="841" spans="2:10" x14ac:dyDescent="0.2">
      <c r="B841" t="s">
        <v>907</v>
      </c>
      <c r="C841" t="s">
        <v>88</v>
      </c>
      <c r="D841" t="s">
        <v>908</v>
      </c>
      <c r="E841" t="s">
        <v>56</v>
      </c>
      <c r="F841" t="s">
        <v>57</v>
      </c>
      <c r="G841" t="s">
        <v>1034</v>
      </c>
      <c r="H841" t="s">
        <v>15</v>
      </c>
      <c r="I841" s="1">
        <v>1</v>
      </c>
      <c r="J841" s="2">
        <v>431.03</v>
      </c>
    </row>
    <row r="842" spans="2:10" x14ac:dyDescent="0.2">
      <c r="B842" t="s">
        <v>907</v>
      </c>
      <c r="C842" t="s">
        <v>88</v>
      </c>
      <c r="D842" t="s">
        <v>908</v>
      </c>
      <c r="E842" t="s">
        <v>63</v>
      </c>
      <c r="F842" t="s">
        <v>64</v>
      </c>
      <c r="G842" t="s">
        <v>1034</v>
      </c>
      <c r="H842" t="s">
        <v>15</v>
      </c>
      <c r="I842" s="1">
        <v>1</v>
      </c>
      <c r="J842" s="2">
        <v>172.41</v>
      </c>
    </row>
    <row r="843" spans="2:10" x14ac:dyDescent="0.2">
      <c r="B843" t="s">
        <v>907</v>
      </c>
      <c r="C843" t="s">
        <v>117</v>
      </c>
      <c r="D843" t="s">
        <v>908</v>
      </c>
      <c r="E843" t="s">
        <v>120</v>
      </c>
      <c r="F843" t="s">
        <v>121</v>
      </c>
      <c r="G843" t="s">
        <v>1034</v>
      </c>
      <c r="H843" t="s">
        <v>15</v>
      </c>
      <c r="I843" s="1">
        <v>1</v>
      </c>
      <c r="J843" s="2">
        <v>301.72000000000003</v>
      </c>
    </row>
    <row r="844" spans="2:10" x14ac:dyDescent="0.2">
      <c r="B844" t="s">
        <v>907</v>
      </c>
      <c r="C844" t="s">
        <v>117</v>
      </c>
      <c r="D844" t="s">
        <v>908</v>
      </c>
      <c r="E844" t="s">
        <v>61</v>
      </c>
      <c r="F844" t="s">
        <v>62</v>
      </c>
      <c r="G844" t="s">
        <v>1034</v>
      </c>
      <c r="H844" t="s">
        <v>15</v>
      </c>
      <c r="I844" s="1">
        <v>1</v>
      </c>
      <c r="J844" s="2">
        <v>172.41</v>
      </c>
    </row>
    <row r="845" spans="2:10" x14ac:dyDescent="0.2">
      <c r="B845" t="s">
        <v>907</v>
      </c>
      <c r="C845" t="s">
        <v>117</v>
      </c>
      <c r="D845" t="s">
        <v>908</v>
      </c>
      <c r="E845" t="s">
        <v>63</v>
      </c>
      <c r="F845" t="s">
        <v>64</v>
      </c>
      <c r="G845" t="s">
        <v>1034</v>
      </c>
      <c r="H845" t="s">
        <v>15</v>
      </c>
      <c r="I845" s="1">
        <v>1</v>
      </c>
      <c r="J845" s="2">
        <v>172.41</v>
      </c>
    </row>
    <row r="846" spans="2:10" x14ac:dyDescent="0.2">
      <c r="B846" t="s">
        <v>907</v>
      </c>
      <c r="C846" t="s">
        <v>134</v>
      </c>
      <c r="D846" t="s">
        <v>130</v>
      </c>
      <c r="E846" t="s">
        <v>36</v>
      </c>
      <c r="F846" t="s">
        <v>37</v>
      </c>
      <c r="G846" t="s">
        <v>1034</v>
      </c>
      <c r="H846" t="s">
        <v>15</v>
      </c>
      <c r="I846" s="1">
        <v>1</v>
      </c>
      <c r="J846" s="2">
        <v>301.72000000000003</v>
      </c>
    </row>
    <row r="847" spans="2:10" x14ac:dyDescent="0.2">
      <c r="B847" t="s">
        <v>907</v>
      </c>
      <c r="C847" t="s">
        <v>134</v>
      </c>
      <c r="D847" t="s">
        <v>130</v>
      </c>
      <c r="E847" t="s">
        <v>61</v>
      </c>
      <c r="F847" t="s">
        <v>62</v>
      </c>
      <c r="G847" t="s">
        <v>1034</v>
      </c>
      <c r="H847" t="s">
        <v>15</v>
      </c>
      <c r="I847" s="1">
        <v>1</v>
      </c>
      <c r="J847" s="2">
        <v>172.41</v>
      </c>
    </row>
    <row r="848" spans="2:10" x14ac:dyDescent="0.2">
      <c r="B848" t="s">
        <v>907</v>
      </c>
      <c r="C848" t="s">
        <v>134</v>
      </c>
      <c r="D848" t="s">
        <v>130</v>
      </c>
      <c r="E848" t="s">
        <v>193</v>
      </c>
      <c r="F848" t="s">
        <v>194</v>
      </c>
      <c r="G848" t="s">
        <v>1034</v>
      </c>
      <c r="H848" t="s">
        <v>15</v>
      </c>
      <c r="I848" s="1">
        <v>1</v>
      </c>
      <c r="J848" s="2">
        <v>1293.0999999999999</v>
      </c>
    </row>
    <row r="849" spans="2:10" x14ac:dyDescent="0.2">
      <c r="B849" t="s">
        <v>907</v>
      </c>
      <c r="C849" t="s">
        <v>141</v>
      </c>
      <c r="D849" t="s">
        <v>908</v>
      </c>
      <c r="E849" t="s">
        <v>120</v>
      </c>
      <c r="F849" t="s">
        <v>121</v>
      </c>
      <c r="G849" t="s">
        <v>1034</v>
      </c>
      <c r="H849" t="s">
        <v>15</v>
      </c>
      <c r="I849" s="1">
        <v>1</v>
      </c>
      <c r="J849" s="2">
        <v>301.72000000000003</v>
      </c>
    </row>
    <row r="850" spans="2:10" x14ac:dyDescent="0.2">
      <c r="B850" t="s">
        <v>907</v>
      </c>
      <c r="C850" t="s">
        <v>141</v>
      </c>
      <c r="D850" t="s">
        <v>908</v>
      </c>
      <c r="E850" t="s">
        <v>36</v>
      </c>
      <c r="F850" t="s">
        <v>37</v>
      </c>
      <c r="G850" t="s">
        <v>1034</v>
      </c>
      <c r="H850" t="s">
        <v>15</v>
      </c>
      <c r="I850" s="1">
        <v>1</v>
      </c>
      <c r="J850" s="2">
        <v>301.72000000000003</v>
      </c>
    </row>
    <row r="851" spans="2:10" x14ac:dyDescent="0.2">
      <c r="B851" t="s">
        <v>907</v>
      </c>
      <c r="C851" t="s">
        <v>141</v>
      </c>
      <c r="D851" t="s">
        <v>908</v>
      </c>
      <c r="E851" t="s">
        <v>56</v>
      </c>
      <c r="F851" t="s">
        <v>57</v>
      </c>
      <c r="G851" t="s">
        <v>1034</v>
      </c>
      <c r="H851" t="s">
        <v>15</v>
      </c>
      <c r="I851" s="1">
        <v>1</v>
      </c>
      <c r="J851" s="2">
        <v>431.03</v>
      </c>
    </row>
    <row r="852" spans="2:10" x14ac:dyDescent="0.2">
      <c r="B852" t="s">
        <v>907</v>
      </c>
      <c r="C852" t="s">
        <v>141</v>
      </c>
      <c r="D852" t="s">
        <v>908</v>
      </c>
      <c r="E852" t="s">
        <v>63</v>
      </c>
      <c r="F852" t="s">
        <v>64</v>
      </c>
      <c r="G852" t="s">
        <v>1034</v>
      </c>
      <c r="H852" t="s">
        <v>15</v>
      </c>
      <c r="I852" s="1">
        <v>1</v>
      </c>
      <c r="J852" s="2">
        <v>172.41</v>
      </c>
    </row>
    <row r="853" spans="2:10" x14ac:dyDescent="0.2">
      <c r="B853" t="s">
        <v>907</v>
      </c>
      <c r="C853" t="s">
        <v>144</v>
      </c>
      <c r="D853" t="s">
        <v>908</v>
      </c>
      <c r="E853" t="s">
        <v>336</v>
      </c>
      <c r="F853" t="s">
        <v>337</v>
      </c>
      <c r="G853" t="s">
        <v>1034</v>
      </c>
      <c r="H853" t="s">
        <v>15</v>
      </c>
      <c r="I853" s="1">
        <v>1</v>
      </c>
      <c r="J853" s="2">
        <v>387.93</v>
      </c>
    </row>
    <row r="854" spans="2:10" x14ac:dyDescent="0.2">
      <c r="B854" t="s">
        <v>907</v>
      </c>
      <c r="C854" t="s">
        <v>144</v>
      </c>
      <c r="D854" t="s">
        <v>908</v>
      </c>
      <c r="E854" t="s">
        <v>38</v>
      </c>
      <c r="F854" t="s">
        <v>39</v>
      </c>
      <c r="G854" t="s">
        <v>1034</v>
      </c>
      <c r="H854" t="s">
        <v>15</v>
      </c>
      <c r="I854" s="1">
        <v>1</v>
      </c>
      <c r="J854" s="2">
        <v>431.03</v>
      </c>
    </row>
    <row r="855" spans="2:10" x14ac:dyDescent="0.2">
      <c r="B855" t="s">
        <v>907</v>
      </c>
      <c r="C855" t="s">
        <v>165</v>
      </c>
      <c r="D855" t="s">
        <v>130</v>
      </c>
      <c r="E855" t="s">
        <v>36</v>
      </c>
      <c r="F855" t="s">
        <v>37</v>
      </c>
      <c r="G855" t="s">
        <v>1034</v>
      </c>
      <c r="H855" t="s">
        <v>15</v>
      </c>
      <c r="I855" s="1">
        <v>1</v>
      </c>
      <c r="J855" s="2">
        <v>301.72000000000003</v>
      </c>
    </row>
    <row r="856" spans="2:10" x14ac:dyDescent="0.2">
      <c r="B856" t="s">
        <v>907</v>
      </c>
      <c r="C856" t="s">
        <v>165</v>
      </c>
      <c r="D856" t="s">
        <v>130</v>
      </c>
      <c r="E856" t="s">
        <v>38</v>
      </c>
      <c r="F856" t="s">
        <v>39</v>
      </c>
      <c r="G856" t="s">
        <v>1034</v>
      </c>
      <c r="H856" t="s">
        <v>15</v>
      </c>
      <c r="I856" s="1">
        <v>1</v>
      </c>
      <c r="J856" s="2">
        <v>431.03</v>
      </c>
    </row>
    <row r="857" spans="2:10" x14ac:dyDescent="0.2">
      <c r="B857" t="s">
        <v>907</v>
      </c>
      <c r="C857" t="s">
        <v>165</v>
      </c>
      <c r="D857" t="s">
        <v>130</v>
      </c>
      <c r="E857" t="s">
        <v>56</v>
      </c>
      <c r="F857" t="s">
        <v>57</v>
      </c>
      <c r="G857" t="s">
        <v>1034</v>
      </c>
      <c r="H857" t="s">
        <v>15</v>
      </c>
      <c r="I857" s="1">
        <v>1</v>
      </c>
      <c r="J857" s="2">
        <v>431.03</v>
      </c>
    </row>
    <row r="858" spans="2:10" x14ac:dyDescent="0.2">
      <c r="B858" t="s">
        <v>907</v>
      </c>
      <c r="C858" t="s">
        <v>166</v>
      </c>
      <c r="D858" t="s">
        <v>908</v>
      </c>
      <c r="E858" t="s">
        <v>36</v>
      </c>
      <c r="F858" t="s">
        <v>37</v>
      </c>
      <c r="G858" t="s">
        <v>1034</v>
      </c>
      <c r="H858" t="s">
        <v>15</v>
      </c>
      <c r="I858" s="1">
        <v>1</v>
      </c>
      <c r="J858" s="2">
        <v>301.72000000000003</v>
      </c>
    </row>
    <row r="859" spans="2:10" x14ac:dyDescent="0.2">
      <c r="B859" t="s">
        <v>907</v>
      </c>
      <c r="C859" t="s">
        <v>166</v>
      </c>
      <c r="D859" t="s">
        <v>908</v>
      </c>
      <c r="E859" t="s">
        <v>61</v>
      </c>
      <c r="F859" t="s">
        <v>62</v>
      </c>
      <c r="G859" t="s">
        <v>1034</v>
      </c>
      <c r="H859" t="s">
        <v>15</v>
      </c>
      <c r="I859" s="1">
        <v>1</v>
      </c>
      <c r="J859" s="2">
        <v>172.41</v>
      </c>
    </row>
    <row r="860" spans="2:10" x14ac:dyDescent="0.2">
      <c r="B860" t="s">
        <v>907</v>
      </c>
      <c r="C860" t="s">
        <v>166</v>
      </c>
      <c r="D860" t="s">
        <v>908</v>
      </c>
      <c r="E860" t="s">
        <v>63</v>
      </c>
      <c r="F860" t="s">
        <v>64</v>
      </c>
      <c r="G860" t="s">
        <v>1034</v>
      </c>
      <c r="H860" t="s">
        <v>15</v>
      </c>
      <c r="I860" s="1">
        <v>1</v>
      </c>
      <c r="J860" s="2">
        <v>172.41</v>
      </c>
    </row>
    <row r="861" spans="2:10" x14ac:dyDescent="0.2">
      <c r="B861" t="s">
        <v>907</v>
      </c>
      <c r="C861" t="s">
        <v>185</v>
      </c>
      <c r="D861" t="s">
        <v>908</v>
      </c>
      <c r="E861" t="s">
        <v>46</v>
      </c>
      <c r="F861" t="s">
        <v>47</v>
      </c>
      <c r="G861" t="s">
        <v>1034</v>
      </c>
      <c r="H861" t="s">
        <v>15</v>
      </c>
      <c r="I861" s="1">
        <v>1</v>
      </c>
      <c r="J861" s="2">
        <v>301.72000000000003</v>
      </c>
    </row>
    <row r="862" spans="2:10" x14ac:dyDescent="0.2">
      <c r="B862" t="s">
        <v>907</v>
      </c>
      <c r="C862" t="s">
        <v>185</v>
      </c>
      <c r="D862" t="s">
        <v>908</v>
      </c>
      <c r="E862" t="s">
        <v>36</v>
      </c>
      <c r="F862" t="s">
        <v>37</v>
      </c>
      <c r="G862" t="s">
        <v>1034</v>
      </c>
      <c r="H862" t="s">
        <v>15</v>
      </c>
      <c r="I862" s="1">
        <v>1</v>
      </c>
      <c r="J862" s="2">
        <v>301.72000000000003</v>
      </c>
    </row>
    <row r="863" spans="2:10" x14ac:dyDescent="0.2">
      <c r="B863" t="s">
        <v>907</v>
      </c>
      <c r="C863" t="s">
        <v>185</v>
      </c>
      <c r="D863" t="s">
        <v>908</v>
      </c>
      <c r="E863" t="s">
        <v>336</v>
      </c>
      <c r="F863" t="s">
        <v>337</v>
      </c>
      <c r="G863" t="s">
        <v>1034</v>
      </c>
      <c r="H863" t="s">
        <v>15</v>
      </c>
      <c r="I863" s="1">
        <v>1</v>
      </c>
      <c r="J863" s="2">
        <v>387.93</v>
      </c>
    </row>
    <row r="864" spans="2:10" x14ac:dyDescent="0.2">
      <c r="B864" t="s">
        <v>907</v>
      </c>
      <c r="C864" t="s">
        <v>185</v>
      </c>
      <c r="D864" t="s">
        <v>908</v>
      </c>
      <c r="E864" t="s">
        <v>153</v>
      </c>
      <c r="F864" t="s">
        <v>154</v>
      </c>
      <c r="G864" t="s">
        <v>1034</v>
      </c>
      <c r="H864" t="s">
        <v>15</v>
      </c>
      <c r="I864" s="1">
        <v>1</v>
      </c>
      <c r="J864" s="2">
        <v>387.93</v>
      </c>
    </row>
    <row r="865" spans="2:10" x14ac:dyDescent="0.2">
      <c r="B865" t="s">
        <v>907</v>
      </c>
      <c r="C865" t="s">
        <v>185</v>
      </c>
      <c r="D865" t="s">
        <v>908</v>
      </c>
      <c r="E865" t="s">
        <v>63</v>
      </c>
      <c r="F865" t="s">
        <v>64</v>
      </c>
      <c r="G865" t="s">
        <v>1034</v>
      </c>
      <c r="H865" t="s">
        <v>15</v>
      </c>
      <c r="I865" s="1">
        <v>1</v>
      </c>
      <c r="J865" s="2">
        <v>172.41</v>
      </c>
    </row>
    <row r="866" spans="2:10" x14ac:dyDescent="0.2">
      <c r="B866" t="s">
        <v>907</v>
      </c>
      <c r="C866" t="s">
        <v>335</v>
      </c>
      <c r="D866" t="s">
        <v>908</v>
      </c>
      <c r="E866" t="s">
        <v>214</v>
      </c>
      <c r="F866" t="s">
        <v>215</v>
      </c>
      <c r="G866" t="s">
        <v>1034</v>
      </c>
      <c r="H866" t="s">
        <v>15</v>
      </c>
      <c r="I866" s="1">
        <v>1</v>
      </c>
      <c r="J866" s="2">
        <v>301.72000000000003</v>
      </c>
    </row>
    <row r="867" spans="2:10" x14ac:dyDescent="0.2">
      <c r="B867" t="s">
        <v>907</v>
      </c>
      <c r="C867" t="s">
        <v>335</v>
      </c>
      <c r="D867" t="s">
        <v>908</v>
      </c>
      <c r="E867" t="s">
        <v>36</v>
      </c>
      <c r="F867" t="s">
        <v>37</v>
      </c>
      <c r="G867" t="s">
        <v>1034</v>
      </c>
      <c r="H867" t="s">
        <v>15</v>
      </c>
      <c r="I867" s="1">
        <v>1</v>
      </c>
      <c r="J867" s="2">
        <v>301.72000000000003</v>
      </c>
    </row>
    <row r="868" spans="2:10" x14ac:dyDescent="0.2">
      <c r="B868" t="s">
        <v>907</v>
      </c>
      <c r="C868" t="s">
        <v>335</v>
      </c>
      <c r="D868" t="s">
        <v>908</v>
      </c>
      <c r="E868" t="s">
        <v>61</v>
      </c>
      <c r="F868" t="s">
        <v>62</v>
      </c>
      <c r="G868" t="s">
        <v>1034</v>
      </c>
      <c r="H868" t="s">
        <v>15</v>
      </c>
      <c r="I868" s="1">
        <v>1</v>
      </c>
      <c r="J868" s="2">
        <v>172.41</v>
      </c>
    </row>
    <row r="869" spans="2:10" x14ac:dyDescent="0.2">
      <c r="B869" t="s">
        <v>907</v>
      </c>
      <c r="C869" t="s">
        <v>418</v>
      </c>
      <c r="D869" t="s">
        <v>908</v>
      </c>
      <c r="E869" t="s">
        <v>214</v>
      </c>
      <c r="F869" t="s">
        <v>215</v>
      </c>
      <c r="G869" t="s">
        <v>1034</v>
      </c>
      <c r="H869" t="s">
        <v>15</v>
      </c>
      <c r="I869" s="1">
        <v>2</v>
      </c>
      <c r="J869" s="2">
        <v>603.44000000000005</v>
      </c>
    </row>
    <row r="870" spans="2:10" x14ac:dyDescent="0.2">
      <c r="B870" t="s">
        <v>907</v>
      </c>
      <c r="C870" t="s">
        <v>186</v>
      </c>
      <c r="D870" t="s">
        <v>130</v>
      </c>
      <c r="E870" t="s">
        <v>46</v>
      </c>
      <c r="F870" t="s">
        <v>47</v>
      </c>
      <c r="G870" t="s">
        <v>1034</v>
      </c>
      <c r="H870" t="s">
        <v>15</v>
      </c>
      <c r="I870" s="1">
        <v>1</v>
      </c>
      <c r="J870" s="2">
        <v>301.72000000000003</v>
      </c>
    </row>
    <row r="871" spans="2:10" x14ac:dyDescent="0.2">
      <c r="B871" t="s">
        <v>907</v>
      </c>
      <c r="C871" t="s">
        <v>186</v>
      </c>
      <c r="D871" t="s">
        <v>130</v>
      </c>
      <c r="E871" t="s">
        <v>72</v>
      </c>
      <c r="F871" t="s">
        <v>73</v>
      </c>
      <c r="G871" t="s">
        <v>1034</v>
      </c>
      <c r="H871" t="s">
        <v>15</v>
      </c>
      <c r="I871" s="1">
        <v>2</v>
      </c>
      <c r="J871" s="2">
        <v>1551.72</v>
      </c>
    </row>
    <row r="872" spans="2:10" x14ac:dyDescent="0.2">
      <c r="B872" t="s">
        <v>907</v>
      </c>
      <c r="C872" t="s">
        <v>186</v>
      </c>
      <c r="D872" t="s">
        <v>130</v>
      </c>
      <c r="E872" t="s">
        <v>153</v>
      </c>
      <c r="F872" t="s">
        <v>154</v>
      </c>
      <c r="G872" t="s">
        <v>1034</v>
      </c>
      <c r="H872" t="s">
        <v>15</v>
      </c>
      <c r="I872" s="1">
        <v>1</v>
      </c>
      <c r="J872" s="2">
        <v>387.93</v>
      </c>
    </row>
    <row r="873" spans="2:10" x14ac:dyDescent="0.2">
      <c r="B873" t="s">
        <v>907</v>
      </c>
      <c r="C873" t="s">
        <v>186</v>
      </c>
      <c r="D873" t="s">
        <v>130</v>
      </c>
      <c r="E873" t="s">
        <v>163</v>
      </c>
      <c r="F873" t="s">
        <v>164</v>
      </c>
      <c r="G873" t="s">
        <v>1034</v>
      </c>
      <c r="H873" t="s">
        <v>15</v>
      </c>
      <c r="I873" s="1">
        <v>1</v>
      </c>
      <c r="J873" s="2">
        <v>431.03</v>
      </c>
    </row>
    <row r="874" spans="2:10" x14ac:dyDescent="0.2">
      <c r="B874" t="s">
        <v>907</v>
      </c>
      <c r="C874" t="s">
        <v>186</v>
      </c>
      <c r="D874" t="s">
        <v>130</v>
      </c>
      <c r="E874" t="s">
        <v>61</v>
      </c>
      <c r="F874" t="s">
        <v>62</v>
      </c>
      <c r="G874" t="s">
        <v>1034</v>
      </c>
      <c r="H874" t="s">
        <v>15</v>
      </c>
      <c r="I874" s="1">
        <v>1</v>
      </c>
      <c r="J874" s="2">
        <v>172.41</v>
      </c>
    </row>
    <row r="875" spans="2:10" x14ac:dyDescent="0.2">
      <c r="B875" t="s">
        <v>907</v>
      </c>
      <c r="C875" t="s">
        <v>197</v>
      </c>
      <c r="D875" t="s">
        <v>908</v>
      </c>
      <c r="E875" t="s">
        <v>36</v>
      </c>
      <c r="F875" t="s">
        <v>37</v>
      </c>
      <c r="G875" t="s">
        <v>1034</v>
      </c>
      <c r="H875" t="s">
        <v>15</v>
      </c>
      <c r="I875" s="1">
        <v>1</v>
      </c>
      <c r="J875" s="2">
        <v>301.72000000000003</v>
      </c>
    </row>
    <row r="876" spans="2:10" x14ac:dyDescent="0.2">
      <c r="B876" t="s">
        <v>907</v>
      </c>
      <c r="C876" t="s">
        <v>197</v>
      </c>
      <c r="D876" t="s">
        <v>908</v>
      </c>
      <c r="E876" t="s">
        <v>153</v>
      </c>
      <c r="F876" t="s">
        <v>154</v>
      </c>
      <c r="G876" t="s">
        <v>1034</v>
      </c>
      <c r="H876" t="s">
        <v>15</v>
      </c>
      <c r="I876" s="1">
        <v>1</v>
      </c>
      <c r="J876" s="2">
        <v>387.93</v>
      </c>
    </row>
    <row r="877" spans="2:10" x14ac:dyDescent="0.2">
      <c r="B877" t="s">
        <v>907</v>
      </c>
      <c r="C877" t="s">
        <v>197</v>
      </c>
      <c r="D877" t="s">
        <v>908</v>
      </c>
      <c r="E877" t="s">
        <v>38</v>
      </c>
      <c r="F877" t="s">
        <v>39</v>
      </c>
      <c r="G877" t="s">
        <v>1034</v>
      </c>
      <c r="H877" t="s">
        <v>15</v>
      </c>
      <c r="I877" s="1">
        <v>1</v>
      </c>
      <c r="J877" s="2">
        <v>431.03</v>
      </c>
    </row>
    <row r="878" spans="2:10" x14ac:dyDescent="0.2">
      <c r="B878" t="s">
        <v>907</v>
      </c>
      <c r="C878" t="s">
        <v>220</v>
      </c>
      <c r="D878" t="s">
        <v>908</v>
      </c>
      <c r="E878" t="s">
        <v>253</v>
      </c>
      <c r="F878" t="s">
        <v>254</v>
      </c>
      <c r="G878" t="s">
        <v>1034</v>
      </c>
      <c r="H878" t="s">
        <v>15</v>
      </c>
      <c r="I878" s="1">
        <v>2</v>
      </c>
      <c r="J878" s="2">
        <v>1551.72</v>
      </c>
    </row>
    <row r="879" spans="2:10" x14ac:dyDescent="0.2">
      <c r="B879" t="s">
        <v>907</v>
      </c>
      <c r="C879" t="s">
        <v>220</v>
      </c>
      <c r="D879" t="s">
        <v>908</v>
      </c>
      <c r="E879" t="s">
        <v>122</v>
      </c>
      <c r="F879" t="s">
        <v>123</v>
      </c>
      <c r="G879" t="s">
        <v>1034</v>
      </c>
      <c r="H879" t="s">
        <v>15</v>
      </c>
      <c r="I879" s="1">
        <v>1</v>
      </c>
      <c r="J879" s="2">
        <v>387.93</v>
      </c>
    </row>
    <row r="880" spans="2:10" x14ac:dyDescent="0.2">
      <c r="B880" t="s">
        <v>907</v>
      </c>
      <c r="C880" t="s">
        <v>220</v>
      </c>
      <c r="D880" t="s">
        <v>908</v>
      </c>
      <c r="E880" t="s">
        <v>61</v>
      </c>
      <c r="F880" t="s">
        <v>62</v>
      </c>
      <c r="G880" t="s">
        <v>1034</v>
      </c>
      <c r="H880" t="s">
        <v>15</v>
      </c>
      <c r="I880" s="1">
        <v>1</v>
      </c>
      <c r="J880" s="2">
        <v>172.41</v>
      </c>
    </row>
    <row r="881" spans="2:10" x14ac:dyDescent="0.2">
      <c r="B881" t="s">
        <v>907</v>
      </c>
      <c r="C881" t="s">
        <v>220</v>
      </c>
      <c r="D881" t="s">
        <v>908</v>
      </c>
      <c r="E881" t="s">
        <v>63</v>
      </c>
      <c r="F881" t="s">
        <v>64</v>
      </c>
      <c r="G881" t="s">
        <v>1034</v>
      </c>
      <c r="H881" t="s">
        <v>15</v>
      </c>
      <c r="I881" s="1">
        <v>1</v>
      </c>
      <c r="J881" s="2">
        <v>172.41</v>
      </c>
    </row>
    <row r="882" spans="2:10" x14ac:dyDescent="0.2">
      <c r="B882" t="s">
        <v>907</v>
      </c>
      <c r="C882" t="s">
        <v>225</v>
      </c>
      <c r="D882" t="s">
        <v>908</v>
      </c>
      <c r="E882" t="s">
        <v>120</v>
      </c>
      <c r="F882" t="s">
        <v>121</v>
      </c>
      <c r="G882" t="s">
        <v>1034</v>
      </c>
      <c r="H882" t="s">
        <v>15</v>
      </c>
      <c r="I882" s="1">
        <v>1</v>
      </c>
      <c r="J882" s="2">
        <v>301.72000000000003</v>
      </c>
    </row>
    <row r="883" spans="2:10" x14ac:dyDescent="0.2">
      <c r="B883" t="s">
        <v>907</v>
      </c>
      <c r="C883" t="s">
        <v>225</v>
      </c>
      <c r="D883" t="s">
        <v>908</v>
      </c>
      <c r="E883" t="s">
        <v>267</v>
      </c>
      <c r="F883" t="s">
        <v>268</v>
      </c>
      <c r="G883" t="s">
        <v>1034</v>
      </c>
      <c r="H883" t="s">
        <v>15</v>
      </c>
      <c r="I883" s="1">
        <v>1</v>
      </c>
      <c r="J883" s="2">
        <v>258.62</v>
      </c>
    </row>
    <row r="884" spans="2:10" x14ac:dyDescent="0.2">
      <c r="B884" t="s">
        <v>907</v>
      </c>
      <c r="C884" t="s">
        <v>225</v>
      </c>
      <c r="D884" t="s">
        <v>908</v>
      </c>
      <c r="E884" t="s">
        <v>36</v>
      </c>
      <c r="F884" t="s">
        <v>37</v>
      </c>
      <c r="G884" t="s">
        <v>1034</v>
      </c>
      <c r="H884" t="s">
        <v>15</v>
      </c>
      <c r="I884" s="1">
        <v>1</v>
      </c>
      <c r="J884" s="2">
        <v>301.72000000000003</v>
      </c>
    </row>
    <row r="885" spans="2:10" x14ac:dyDescent="0.2">
      <c r="B885" t="s">
        <v>907</v>
      </c>
      <c r="C885" t="s">
        <v>225</v>
      </c>
      <c r="D885" t="s">
        <v>908</v>
      </c>
      <c r="E885" t="s">
        <v>153</v>
      </c>
      <c r="F885" t="s">
        <v>154</v>
      </c>
      <c r="G885" t="s">
        <v>1034</v>
      </c>
      <c r="H885" t="s">
        <v>15</v>
      </c>
      <c r="I885" s="1">
        <v>1</v>
      </c>
      <c r="J885" s="2">
        <v>387.93</v>
      </c>
    </row>
    <row r="886" spans="2:10" x14ac:dyDescent="0.2">
      <c r="B886" t="s">
        <v>907</v>
      </c>
      <c r="C886" t="s">
        <v>227</v>
      </c>
      <c r="D886" t="s">
        <v>908</v>
      </c>
      <c r="E886" t="s">
        <v>46</v>
      </c>
      <c r="F886" t="s">
        <v>47</v>
      </c>
      <c r="G886" t="s">
        <v>1034</v>
      </c>
      <c r="H886" t="s">
        <v>15</v>
      </c>
      <c r="I886" s="1">
        <v>1</v>
      </c>
      <c r="J886" s="2">
        <v>301.72000000000003</v>
      </c>
    </row>
    <row r="887" spans="2:10" x14ac:dyDescent="0.2">
      <c r="B887" t="s">
        <v>907</v>
      </c>
      <c r="C887" t="s">
        <v>227</v>
      </c>
      <c r="D887" t="s">
        <v>908</v>
      </c>
      <c r="E887" t="s">
        <v>120</v>
      </c>
      <c r="F887" t="s">
        <v>121</v>
      </c>
      <c r="G887" t="s">
        <v>1034</v>
      </c>
      <c r="H887" t="s">
        <v>15</v>
      </c>
      <c r="I887" s="1">
        <v>1</v>
      </c>
      <c r="J887" s="2">
        <v>301.72000000000003</v>
      </c>
    </row>
    <row r="888" spans="2:10" x14ac:dyDescent="0.2">
      <c r="B888" t="s">
        <v>907</v>
      </c>
      <c r="C888" t="s">
        <v>227</v>
      </c>
      <c r="D888" t="s">
        <v>908</v>
      </c>
      <c r="E888" t="s">
        <v>163</v>
      </c>
      <c r="F888" t="s">
        <v>164</v>
      </c>
      <c r="G888" t="s">
        <v>1034</v>
      </c>
      <c r="H888" t="s">
        <v>15</v>
      </c>
      <c r="I888" s="1">
        <v>1</v>
      </c>
      <c r="J888" s="2">
        <v>431.03</v>
      </c>
    </row>
    <row r="889" spans="2:10" x14ac:dyDescent="0.2">
      <c r="B889" t="s">
        <v>907</v>
      </c>
      <c r="C889" t="s">
        <v>228</v>
      </c>
      <c r="D889" t="s">
        <v>908</v>
      </c>
      <c r="E889" t="s">
        <v>56</v>
      </c>
      <c r="F889" t="s">
        <v>57</v>
      </c>
      <c r="G889" t="s">
        <v>1034</v>
      </c>
      <c r="H889" t="s">
        <v>15</v>
      </c>
      <c r="I889" s="1">
        <v>1</v>
      </c>
      <c r="J889" s="2">
        <v>431.03</v>
      </c>
    </row>
    <row r="890" spans="2:10" x14ac:dyDescent="0.2">
      <c r="B890" t="s">
        <v>907</v>
      </c>
      <c r="C890" t="s">
        <v>233</v>
      </c>
      <c r="D890" t="s">
        <v>908</v>
      </c>
      <c r="E890" t="s">
        <v>122</v>
      </c>
      <c r="F890" t="s">
        <v>123</v>
      </c>
      <c r="G890" t="s">
        <v>1034</v>
      </c>
      <c r="H890" t="s">
        <v>15</v>
      </c>
      <c r="I890" s="1">
        <v>1</v>
      </c>
      <c r="J890" s="2">
        <v>387.93</v>
      </c>
    </row>
    <row r="891" spans="2:10" x14ac:dyDescent="0.2">
      <c r="B891" t="s">
        <v>907</v>
      </c>
      <c r="C891" t="s">
        <v>233</v>
      </c>
      <c r="D891" t="s">
        <v>908</v>
      </c>
      <c r="E891" t="s">
        <v>153</v>
      </c>
      <c r="F891" t="s">
        <v>154</v>
      </c>
      <c r="G891" t="s">
        <v>1034</v>
      </c>
      <c r="H891" t="s">
        <v>15</v>
      </c>
      <c r="I891" s="1">
        <v>1</v>
      </c>
      <c r="J891" s="2">
        <v>387.93</v>
      </c>
    </row>
    <row r="892" spans="2:10" x14ac:dyDescent="0.2">
      <c r="B892" t="s">
        <v>907</v>
      </c>
      <c r="C892" t="s">
        <v>237</v>
      </c>
      <c r="D892" t="s">
        <v>908</v>
      </c>
      <c r="E892" t="s">
        <v>46</v>
      </c>
      <c r="F892" t="s">
        <v>47</v>
      </c>
      <c r="G892" t="s">
        <v>1034</v>
      </c>
      <c r="H892" t="s">
        <v>15</v>
      </c>
      <c r="I892" s="1">
        <v>1</v>
      </c>
      <c r="J892" s="2">
        <v>301.72000000000003</v>
      </c>
    </row>
    <row r="893" spans="2:10" x14ac:dyDescent="0.2">
      <c r="B893" t="s">
        <v>907</v>
      </c>
      <c r="C893" t="s">
        <v>237</v>
      </c>
      <c r="D893" t="s">
        <v>908</v>
      </c>
      <c r="E893" t="s">
        <v>214</v>
      </c>
      <c r="F893" t="s">
        <v>215</v>
      </c>
      <c r="G893" t="s">
        <v>1034</v>
      </c>
      <c r="H893" t="s">
        <v>15</v>
      </c>
      <c r="I893" s="1">
        <v>1</v>
      </c>
      <c r="J893" s="2">
        <v>301.72000000000003</v>
      </c>
    </row>
    <row r="894" spans="2:10" x14ac:dyDescent="0.2">
      <c r="B894" t="s">
        <v>907</v>
      </c>
      <c r="C894" t="s">
        <v>237</v>
      </c>
      <c r="D894" t="s">
        <v>908</v>
      </c>
      <c r="E894" t="s">
        <v>38</v>
      </c>
      <c r="F894" t="s">
        <v>39</v>
      </c>
      <c r="G894" t="s">
        <v>1034</v>
      </c>
      <c r="H894" t="s">
        <v>15</v>
      </c>
      <c r="I894" s="1">
        <v>1</v>
      </c>
      <c r="J894" s="2">
        <v>431.03</v>
      </c>
    </row>
    <row r="895" spans="2:10" x14ac:dyDescent="0.2">
      <c r="B895" t="s">
        <v>907</v>
      </c>
      <c r="C895" t="s">
        <v>248</v>
      </c>
      <c r="D895" t="s">
        <v>908</v>
      </c>
      <c r="E895" t="s">
        <v>120</v>
      </c>
      <c r="F895" t="s">
        <v>121</v>
      </c>
      <c r="G895" t="s">
        <v>1034</v>
      </c>
      <c r="H895" t="s">
        <v>15</v>
      </c>
      <c r="I895" s="1">
        <v>1</v>
      </c>
      <c r="J895" s="2">
        <v>301.72000000000003</v>
      </c>
    </row>
    <row r="896" spans="2:10" x14ac:dyDescent="0.2">
      <c r="B896" t="s">
        <v>933</v>
      </c>
      <c r="C896" t="s">
        <v>10</v>
      </c>
      <c r="D896" t="s">
        <v>934</v>
      </c>
      <c r="E896" t="s">
        <v>12</v>
      </c>
      <c r="F896" t="s">
        <v>13</v>
      </c>
      <c r="G896" t="s">
        <v>1034</v>
      </c>
      <c r="H896" t="s">
        <v>15</v>
      </c>
      <c r="I896" s="1">
        <v>1</v>
      </c>
      <c r="J896" s="2">
        <v>1077.5899999999999</v>
      </c>
    </row>
    <row r="897" spans="2:10" x14ac:dyDescent="0.2">
      <c r="B897" t="s">
        <v>933</v>
      </c>
      <c r="C897" t="s">
        <v>10</v>
      </c>
      <c r="D897" t="s">
        <v>934</v>
      </c>
      <c r="E897" t="s">
        <v>36</v>
      </c>
      <c r="F897" t="s">
        <v>37</v>
      </c>
      <c r="G897" t="s">
        <v>1034</v>
      </c>
      <c r="H897" t="s">
        <v>15</v>
      </c>
      <c r="I897" s="1">
        <v>2</v>
      </c>
      <c r="J897" s="2">
        <v>603.44000000000005</v>
      </c>
    </row>
    <row r="898" spans="2:10" x14ac:dyDescent="0.2">
      <c r="B898" t="s">
        <v>933</v>
      </c>
      <c r="C898" t="s">
        <v>10</v>
      </c>
      <c r="D898" t="s">
        <v>934</v>
      </c>
      <c r="E898" t="s">
        <v>72</v>
      </c>
      <c r="F898" t="s">
        <v>73</v>
      </c>
      <c r="G898" t="s">
        <v>1034</v>
      </c>
      <c r="H898" t="s">
        <v>15</v>
      </c>
      <c r="I898" s="1">
        <v>1</v>
      </c>
      <c r="J898" s="2">
        <v>775.86</v>
      </c>
    </row>
    <row r="899" spans="2:10" x14ac:dyDescent="0.2">
      <c r="B899" t="s">
        <v>933</v>
      </c>
      <c r="C899" t="s">
        <v>10</v>
      </c>
      <c r="D899" t="s">
        <v>934</v>
      </c>
      <c r="E899" t="s">
        <v>163</v>
      </c>
      <c r="F899" t="s">
        <v>164</v>
      </c>
      <c r="G899" t="s">
        <v>1034</v>
      </c>
      <c r="H899" t="s">
        <v>15</v>
      </c>
      <c r="I899" s="1">
        <v>1</v>
      </c>
      <c r="J899" s="2">
        <v>431.03</v>
      </c>
    </row>
    <row r="900" spans="2:10" x14ac:dyDescent="0.2">
      <c r="B900" t="s">
        <v>933</v>
      </c>
      <c r="C900" t="s">
        <v>18</v>
      </c>
      <c r="D900" t="s">
        <v>277</v>
      </c>
      <c r="E900" t="s">
        <v>36</v>
      </c>
      <c r="F900" t="s">
        <v>37</v>
      </c>
      <c r="G900" t="s">
        <v>1034</v>
      </c>
      <c r="H900" t="s">
        <v>15</v>
      </c>
      <c r="I900" s="1">
        <v>1</v>
      </c>
      <c r="J900" s="2">
        <v>301.72000000000003</v>
      </c>
    </row>
    <row r="901" spans="2:10" x14ac:dyDescent="0.2">
      <c r="B901" t="s">
        <v>933</v>
      </c>
      <c r="C901" t="s">
        <v>18</v>
      </c>
      <c r="D901" t="s">
        <v>277</v>
      </c>
      <c r="E901" t="s">
        <v>153</v>
      </c>
      <c r="F901" t="s">
        <v>154</v>
      </c>
      <c r="G901" t="s">
        <v>1034</v>
      </c>
      <c r="H901" t="s">
        <v>15</v>
      </c>
      <c r="I901" s="1">
        <v>1</v>
      </c>
      <c r="J901" s="2">
        <v>387.93</v>
      </c>
    </row>
    <row r="902" spans="2:10" x14ac:dyDescent="0.2">
      <c r="B902" t="s">
        <v>933</v>
      </c>
      <c r="C902" t="s">
        <v>18</v>
      </c>
      <c r="D902" t="s">
        <v>277</v>
      </c>
      <c r="E902" t="s">
        <v>56</v>
      </c>
      <c r="F902" t="s">
        <v>57</v>
      </c>
      <c r="G902" t="s">
        <v>1034</v>
      </c>
      <c r="H902" t="s">
        <v>15</v>
      </c>
      <c r="I902" s="1">
        <v>1</v>
      </c>
      <c r="J902" s="2">
        <v>431.03</v>
      </c>
    </row>
    <row r="903" spans="2:10" x14ac:dyDescent="0.2">
      <c r="B903" t="s">
        <v>933</v>
      </c>
      <c r="C903" t="s">
        <v>18</v>
      </c>
      <c r="D903" t="s">
        <v>277</v>
      </c>
      <c r="E903" t="s">
        <v>63</v>
      </c>
      <c r="F903" t="s">
        <v>64</v>
      </c>
      <c r="G903" t="s">
        <v>1034</v>
      </c>
      <c r="H903" t="s">
        <v>15</v>
      </c>
      <c r="I903" s="1">
        <v>1</v>
      </c>
      <c r="J903" s="2">
        <v>172.41</v>
      </c>
    </row>
    <row r="904" spans="2:10" x14ac:dyDescent="0.2">
      <c r="B904" t="s">
        <v>933</v>
      </c>
      <c r="C904" t="s">
        <v>31</v>
      </c>
      <c r="D904" t="s">
        <v>934</v>
      </c>
      <c r="E904" t="s">
        <v>36</v>
      </c>
      <c r="F904" t="s">
        <v>37</v>
      </c>
      <c r="G904" t="s">
        <v>1034</v>
      </c>
      <c r="H904" t="s">
        <v>15</v>
      </c>
      <c r="I904" s="1">
        <v>3</v>
      </c>
      <c r="J904" s="2">
        <v>905.16000000000008</v>
      </c>
    </row>
    <row r="905" spans="2:10" x14ac:dyDescent="0.2">
      <c r="B905" t="s">
        <v>933</v>
      </c>
      <c r="C905" t="s">
        <v>31</v>
      </c>
      <c r="D905" t="s">
        <v>934</v>
      </c>
      <c r="E905" t="s">
        <v>61</v>
      </c>
      <c r="F905" t="s">
        <v>62</v>
      </c>
      <c r="G905" t="s">
        <v>1034</v>
      </c>
      <c r="H905" t="s">
        <v>15</v>
      </c>
      <c r="I905" s="1">
        <v>1</v>
      </c>
      <c r="J905" s="2">
        <v>172.41</v>
      </c>
    </row>
    <row r="906" spans="2:10" x14ac:dyDescent="0.2">
      <c r="B906" t="s">
        <v>933</v>
      </c>
      <c r="C906" t="s">
        <v>31</v>
      </c>
      <c r="D906" t="s">
        <v>934</v>
      </c>
      <c r="E906" t="s">
        <v>193</v>
      </c>
      <c r="F906" t="s">
        <v>194</v>
      </c>
      <c r="G906" t="s">
        <v>1034</v>
      </c>
      <c r="H906" t="s">
        <v>15</v>
      </c>
      <c r="I906" s="1">
        <v>1</v>
      </c>
      <c r="J906" s="2">
        <v>1293.0999999999999</v>
      </c>
    </row>
    <row r="907" spans="2:10" x14ac:dyDescent="0.2">
      <c r="B907" t="s">
        <v>933</v>
      </c>
      <c r="C907" t="s">
        <v>40</v>
      </c>
      <c r="D907" t="s">
        <v>934</v>
      </c>
      <c r="E907" t="s">
        <v>72</v>
      </c>
      <c r="F907" t="s">
        <v>73</v>
      </c>
      <c r="G907" t="s">
        <v>1034</v>
      </c>
      <c r="H907" t="s">
        <v>15</v>
      </c>
      <c r="I907" s="1">
        <v>1</v>
      </c>
      <c r="J907" s="2">
        <v>775.86</v>
      </c>
    </row>
    <row r="908" spans="2:10" x14ac:dyDescent="0.2">
      <c r="B908" t="s">
        <v>933</v>
      </c>
      <c r="C908" t="s">
        <v>40</v>
      </c>
      <c r="D908" t="s">
        <v>934</v>
      </c>
      <c r="E908" t="s">
        <v>122</v>
      </c>
      <c r="F908" t="s">
        <v>123</v>
      </c>
      <c r="G908" t="s">
        <v>1034</v>
      </c>
      <c r="H908" t="s">
        <v>15</v>
      </c>
      <c r="I908" s="1">
        <v>1</v>
      </c>
      <c r="J908" s="2">
        <v>387.93</v>
      </c>
    </row>
    <row r="909" spans="2:10" x14ac:dyDescent="0.2">
      <c r="B909" t="s">
        <v>933</v>
      </c>
      <c r="C909" t="s">
        <v>40</v>
      </c>
      <c r="D909" t="s">
        <v>934</v>
      </c>
      <c r="E909" t="s">
        <v>38</v>
      </c>
      <c r="F909" t="s">
        <v>39</v>
      </c>
      <c r="G909" t="s">
        <v>1034</v>
      </c>
      <c r="H909" t="s">
        <v>15</v>
      </c>
      <c r="I909" s="1">
        <v>2</v>
      </c>
      <c r="J909" s="2">
        <v>862.06</v>
      </c>
    </row>
    <row r="910" spans="2:10" x14ac:dyDescent="0.2">
      <c r="B910" t="s">
        <v>933</v>
      </c>
      <c r="C910" t="s">
        <v>51</v>
      </c>
      <c r="D910" t="s">
        <v>934</v>
      </c>
      <c r="E910" t="s">
        <v>72</v>
      </c>
      <c r="F910" t="s">
        <v>73</v>
      </c>
      <c r="G910" t="s">
        <v>1034</v>
      </c>
      <c r="H910" t="s">
        <v>15</v>
      </c>
      <c r="I910" s="1">
        <v>1</v>
      </c>
      <c r="J910" s="2">
        <v>775.86</v>
      </c>
    </row>
    <row r="911" spans="2:10" x14ac:dyDescent="0.2">
      <c r="B911" t="s">
        <v>933</v>
      </c>
      <c r="C911" t="s">
        <v>51</v>
      </c>
      <c r="D911" t="s">
        <v>934</v>
      </c>
      <c r="E911" t="s">
        <v>122</v>
      </c>
      <c r="F911" t="s">
        <v>123</v>
      </c>
      <c r="G911" t="s">
        <v>1034</v>
      </c>
      <c r="H911" t="s">
        <v>15</v>
      </c>
      <c r="I911" s="1">
        <v>1</v>
      </c>
      <c r="J911" s="2">
        <v>387.93</v>
      </c>
    </row>
    <row r="912" spans="2:10" x14ac:dyDescent="0.2">
      <c r="B912" t="s">
        <v>933</v>
      </c>
      <c r="C912" t="s">
        <v>65</v>
      </c>
      <c r="D912" t="s">
        <v>934</v>
      </c>
      <c r="E912" t="s">
        <v>122</v>
      </c>
      <c r="F912" t="s">
        <v>123</v>
      </c>
      <c r="G912" t="s">
        <v>1034</v>
      </c>
      <c r="H912" t="s">
        <v>15</v>
      </c>
      <c r="I912" s="1">
        <v>1</v>
      </c>
      <c r="J912" s="2">
        <v>387.93</v>
      </c>
    </row>
    <row r="913" spans="2:10" x14ac:dyDescent="0.2">
      <c r="B913" t="s">
        <v>933</v>
      </c>
      <c r="C913" t="s">
        <v>65</v>
      </c>
      <c r="D913" t="s">
        <v>934</v>
      </c>
      <c r="E913" t="s">
        <v>38</v>
      </c>
      <c r="F913" t="s">
        <v>39</v>
      </c>
      <c r="G913" t="s">
        <v>1034</v>
      </c>
      <c r="H913" t="s">
        <v>15</v>
      </c>
      <c r="I913" s="1">
        <v>1</v>
      </c>
      <c r="J913" s="2">
        <v>431.03</v>
      </c>
    </row>
    <row r="914" spans="2:10" x14ac:dyDescent="0.2">
      <c r="B914" t="s">
        <v>933</v>
      </c>
      <c r="C914" t="s">
        <v>82</v>
      </c>
      <c r="D914" t="s">
        <v>934</v>
      </c>
      <c r="E914" t="s">
        <v>36</v>
      </c>
      <c r="F914" t="s">
        <v>37</v>
      </c>
      <c r="G914" t="s">
        <v>1034</v>
      </c>
      <c r="H914" t="s">
        <v>15</v>
      </c>
      <c r="I914" s="1">
        <v>1</v>
      </c>
      <c r="J914" s="2">
        <v>301.72000000000003</v>
      </c>
    </row>
    <row r="915" spans="2:10" x14ac:dyDescent="0.2">
      <c r="B915" t="s">
        <v>933</v>
      </c>
      <c r="C915" t="s">
        <v>82</v>
      </c>
      <c r="D915" t="s">
        <v>934</v>
      </c>
      <c r="E915" t="s">
        <v>336</v>
      </c>
      <c r="F915" t="s">
        <v>337</v>
      </c>
      <c r="G915" t="s">
        <v>1034</v>
      </c>
      <c r="H915" t="s">
        <v>15</v>
      </c>
      <c r="I915" s="1">
        <v>1</v>
      </c>
      <c r="J915" s="2">
        <v>387.93</v>
      </c>
    </row>
    <row r="916" spans="2:10" x14ac:dyDescent="0.2">
      <c r="B916" t="s">
        <v>933</v>
      </c>
      <c r="C916" t="s">
        <v>82</v>
      </c>
      <c r="D916" t="s">
        <v>934</v>
      </c>
      <c r="E916" t="s">
        <v>122</v>
      </c>
      <c r="F916" t="s">
        <v>123</v>
      </c>
      <c r="G916" t="s">
        <v>1034</v>
      </c>
      <c r="H916" t="s">
        <v>15</v>
      </c>
      <c r="I916" s="1">
        <v>1</v>
      </c>
      <c r="J916" s="2">
        <v>387.93</v>
      </c>
    </row>
    <row r="917" spans="2:10" x14ac:dyDescent="0.2">
      <c r="B917" t="s">
        <v>933</v>
      </c>
      <c r="C917" t="s">
        <v>82</v>
      </c>
      <c r="D917" t="s">
        <v>934</v>
      </c>
      <c r="E917" t="s">
        <v>153</v>
      </c>
      <c r="F917" t="s">
        <v>154</v>
      </c>
      <c r="G917" t="s">
        <v>1034</v>
      </c>
      <c r="H917" t="s">
        <v>15</v>
      </c>
      <c r="I917" s="1">
        <v>1</v>
      </c>
      <c r="J917" s="2">
        <v>387.93</v>
      </c>
    </row>
    <row r="918" spans="2:10" x14ac:dyDescent="0.2">
      <c r="B918" t="s">
        <v>933</v>
      </c>
      <c r="C918" t="s">
        <v>82</v>
      </c>
      <c r="D918" t="s">
        <v>934</v>
      </c>
      <c r="E918" t="s">
        <v>56</v>
      </c>
      <c r="F918" t="s">
        <v>57</v>
      </c>
      <c r="G918" t="s">
        <v>1034</v>
      </c>
      <c r="H918" t="s">
        <v>15</v>
      </c>
      <c r="I918" s="1">
        <v>3</v>
      </c>
      <c r="J918" s="2">
        <v>1293.0999999999999</v>
      </c>
    </row>
    <row r="919" spans="2:10" x14ac:dyDescent="0.2">
      <c r="B919" t="s">
        <v>933</v>
      </c>
      <c r="C919" t="s">
        <v>82</v>
      </c>
      <c r="D919" t="s">
        <v>934</v>
      </c>
      <c r="E919" t="s">
        <v>61</v>
      </c>
      <c r="F919" t="s">
        <v>62</v>
      </c>
      <c r="G919" t="s">
        <v>1034</v>
      </c>
      <c r="H919" t="s">
        <v>15</v>
      </c>
      <c r="I919" s="1">
        <v>1</v>
      </c>
      <c r="J919" s="2">
        <v>172.41</v>
      </c>
    </row>
    <row r="920" spans="2:10" x14ac:dyDescent="0.2">
      <c r="B920" t="s">
        <v>933</v>
      </c>
      <c r="C920" t="s">
        <v>82</v>
      </c>
      <c r="D920" t="s">
        <v>934</v>
      </c>
      <c r="E920" t="s">
        <v>63</v>
      </c>
      <c r="F920" t="s">
        <v>64</v>
      </c>
      <c r="G920" t="s">
        <v>1034</v>
      </c>
      <c r="H920" t="s">
        <v>15</v>
      </c>
      <c r="I920" s="1">
        <v>1</v>
      </c>
      <c r="J920" s="2">
        <v>172.41</v>
      </c>
    </row>
    <row r="921" spans="2:10" x14ac:dyDescent="0.2">
      <c r="B921" t="s">
        <v>933</v>
      </c>
      <c r="C921" t="s">
        <v>88</v>
      </c>
      <c r="D921" t="s">
        <v>277</v>
      </c>
      <c r="E921" t="s">
        <v>221</v>
      </c>
      <c r="F921" t="s">
        <v>222</v>
      </c>
      <c r="G921" t="s">
        <v>1034</v>
      </c>
      <c r="H921" t="s">
        <v>15</v>
      </c>
      <c r="I921" s="1">
        <v>1</v>
      </c>
      <c r="J921" s="2">
        <v>431.03</v>
      </c>
    </row>
    <row r="922" spans="2:10" x14ac:dyDescent="0.2">
      <c r="B922" t="s">
        <v>933</v>
      </c>
      <c r="C922" t="s">
        <v>88</v>
      </c>
      <c r="D922" t="s">
        <v>277</v>
      </c>
      <c r="E922" t="s">
        <v>72</v>
      </c>
      <c r="F922" t="s">
        <v>73</v>
      </c>
      <c r="G922" t="s">
        <v>1034</v>
      </c>
      <c r="H922" t="s">
        <v>15</v>
      </c>
      <c r="I922" s="1">
        <v>1</v>
      </c>
      <c r="J922" s="2">
        <v>775.86</v>
      </c>
    </row>
    <row r="923" spans="2:10" x14ac:dyDescent="0.2">
      <c r="B923" t="s">
        <v>933</v>
      </c>
      <c r="C923" t="s">
        <v>88</v>
      </c>
      <c r="D923" t="s">
        <v>277</v>
      </c>
      <c r="E923" t="s">
        <v>56</v>
      </c>
      <c r="F923" t="s">
        <v>57</v>
      </c>
      <c r="G923" t="s">
        <v>1034</v>
      </c>
      <c r="H923" t="s">
        <v>15</v>
      </c>
      <c r="I923" s="1">
        <v>1</v>
      </c>
      <c r="J923" s="2">
        <v>431.03</v>
      </c>
    </row>
    <row r="924" spans="2:10" x14ac:dyDescent="0.2">
      <c r="B924" t="s">
        <v>933</v>
      </c>
      <c r="C924" t="s">
        <v>88</v>
      </c>
      <c r="D924" t="s">
        <v>277</v>
      </c>
      <c r="E924" t="s">
        <v>193</v>
      </c>
      <c r="F924" t="s">
        <v>194</v>
      </c>
      <c r="G924" t="s">
        <v>1034</v>
      </c>
      <c r="H924" t="s">
        <v>15</v>
      </c>
      <c r="I924" s="1">
        <v>1</v>
      </c>
      <c r="J924" s="2">
        <v>1293.0999999999999</v>
      </c>
    </row>
    <row r="925" spans="2:10" x14ac:dyDescent="0.2">
      <c r="B925" t="s">
        <v>933</v>
      </c>
      <c r="C925" t="s">
        <v>117</v>
      </c>
      <c r="D925" t="s">
        <v>934</v>
      </c>
      <c r="E925" t="s">
        <v>36</v>
      </c>
      <c r="F925" t="s">
        <v>37</v>
      </c>
      <c r="G925" t="s">
        <v>1034</v>
      </c>
      <c r="H925" t="s">
        <v>15</v>
      </c>
      <c r="I925" s="1">
        <v>1</v>
      </c>
      <c r="J925" s="2">
        <v>301.72000000000003</v>
      </c>
    </row>
    <row r="926" spans="2:10" x14ac:dyDescent="0.2">
      <c r="B926" t="s">
        <v>933</v>
      </c>
      <c r="C926" t="s">
        <v>117</v>
      </c>
      <c r="D926" t="s">
        <v>934</v>
      </c>
      <c r="E926" t="s">
        <v>83</v>
      </c>
      <c r="F926" t="s">
        <v>84</v>
      </c>
      <c r="G926" t="s">
        <v>1034</v>
      </c>
      <c r="H926" t="s">
        <v>15</v>
      </c>
      <c r="I926" s="1">
        <v>1</v>
      </c>
      <c r="J926" s="2">
        <v>387.93</v>
      </c>
    </row>
    <row r="927" spans="2:10" x14ac:dyDescent="0.2">
      <c r="B927" t="s">
        <v>933</v>
      </c>
      <c r="C927" t="s">
        <v>117</v>
      </c>
      <c r="D927" t="s">
        <v>934</v>
      </c>
      <c r="E927" t="s">
        <v>38</v>
      </c>
      <c r="F927" t="s">
        <v>39</v>
      </c>
      <c r="G927" t="s">
        <v>1034</v>
      </c>
      <c r="H927" t="s">
        <v>15</v>
      </c>
      <c r="I927" s="1">
        <v>1</v>
      </c>
      <c r="J927" s="2">
        <v>431.03</v>
      </c>
    </row>
    <row r="928" spans="2:10" x14ac:dyDescent="0.2">
      <c r="B928" t="s">
        <v>933</v>
      </c>
      <c r="C928" t="s">
        <v>117</v>
      </c>
      <c r="D928" t="s">
        <v>934</v>
      </c>
      <c r="E928" t="s">
        <v>56</v>
      </c>
      <c r="F928" t="s">
        <v>57</v>
      </c>
      <c r="G928" t="s">
        <v>1034</v>
      </c>
      <c r="H928" t="s">
        <v>15</v>
      </c>
      <c r="I928" s="1">
        <v>3</v>
      </c>
      <c r="J928" s="2">
        <v>1293.0899999999999</v>
      </c>
    </row>
    <row r="929" spans="2:10" x14ac:dyDescent="0.2">
      <c r="B929" t="s">
        <v>933</v>
      </c>
      <c r="C929" t="s">
        <v>129</v>
      </c>
      <c r="D929" t="s">
        <v>934</v>
      </c>
      <c r="E929" t="s">
        <v>46</v>
      </c>
      <c r="F929" t="s">
        <v>47</v>
      </c>
      <c r="G929" t="s">
        <v>1034</v>
      </c>
      <c r="H929" t="s">
        <v>15</v>
      </c>
      <c r="I929" s="1">
        <v>1</v>
      </c>
      <c r="J929" s="2">
        <v>301.72000000000003</v>
      </c>
    </row>
    <row r="930" spans="2:10" x14ac:dyDescent="0.2">
      <c r="B930" t="s">
        <v>933</v>
      </c>
      <c r="C930" t="s">
        <v>129</v>
      </c>
      <c r="D930" t="s">
        <v>934</v>
      </c>
      <c r="E930" t="s">
        <v>38</v>
      </c>
      <c r="F930" t="s">
        <v>39</v>
      </c>
      <c r="G930" t="s">
        <v>1034</v>
      </c>
      <c r="H930" t="s">
        <v>15</v>
      </c>
      <c r="I930" s="1">
        <v>1</v>
      </c>
      <c r="J930" s="2">
        <v>431.03</v>
      </c>
    </row>
    <row r="931" spans="2:10" x14ac:dyDescent="0.2">
      <c r="B931" t="s">
        <v>933</v>
      </c>
      <c r="C931" t="s">
        <v>135</v>
      </c>
      <c r="D931" t="s">
        <v>934</v>
      </c>
      <c r="E931" t="s">
        <v>36</v>
      </c>
      <c r="F931" t="s">
        <v>37</v>
      </c>
      <c r="G931" t="s">
        <v>1034</v>
      </c>
      <c r="H931" t="s">
        <v>15</v>
      </c>
      <c r="I931" s="1">
        <v>1</v>
      </c>
      <c r="J931" s="2">
        <v>301.72000000000003</v>
      </c>
    </row>
    <row r="932" spans="2:10" x14ac:dyDescent="0.2">
      <c r="B932" t="s">
        <v>933</v>
      </c>
      <c r="C932" t="s">
        <v>135</v>
      </c>
      <c r="D932" t="s">
        <v>934</v>
      </c>
      <c r="E932" t="s">
        <v>56</v>
      </c>
      <c r="F932" t="s">
        <v>57</v>
      </c>
      <c r="G932" t="s">
        <v>1034</v>
      </c>
      <c r="H932" t="s">
        <v>15</v>
      </c>
      <c r="I932" s="1">
        <v>1</v>
      </c>
      <c r="J932" s="2">
        <v>431.03</v>
      </c>
    </row>
    <row r="933" spans="2:10" x14ac:dyDescent="0.2">
      <c r="B933" t="s">
        <v>933</v>
      </c>
      <c r="C933" t="s">
        <v>135</v>
      </c>
      <c r="D933" t="s">
        <v>934</v>
      </c>
      <c r="E933" t="s">
        <v>63</v>
      </c>
      <c r="F933" t="s">
        <v>64</v>
      </c>
      <c r="G933" t="s">
        <v>1034</v>
      </c>
      <c r="H933" t="s">
        <v>15</v>
      </c>
      <c r="I933" s="1">
        <v>1</v>
      </c>
      <c r="J933" s="2">
        <v>172.41</v>
      </c>
    </row>
    <row r="934" spans="2:10" x14ac:dyDescent="0.2">
      <c r="B934" t="s">
        <v>933</v>
      </c>
      <c r="C934" t="s">
        <v>141</v>
      </c>
      <c r="D934" t="s">
        <v>934</v>
      </c>
      <c r="E934" t="s">
        <v>46</v>
      </c>
      <c r="F934" t="s">
        <v>47</v>
      </c>
      <c r="G934" t="s">
        <v>1034</v>
      </c>
      <c r="H934" t="s">
        <v>15</v>
      </c>
      <c r="I934" s="1">
        <v>2</v>
      </c>
      <c r="J934" s="2">
        <v>603.44000000000005</v>
      </c>
    </row>
    <row r="935" spans="2:10" x14ac:dyDescent="0.2">
      <c r="B935" t="s">
        <v>933</v>
      </c>
      <c r="C935" t="s">
        <v>141</v>
      </c>
      <c r="D935" t="s">
        <v>934</v>
      </c>
      <c r="E935" t="s">
        <v>83</v>
      </c>
      <c r="F935" t="s">
        <v>84</v>
      </c>
      <c r="G935" t="s">
        <v>1034</v>
      </c>
      <c r="H935" t="s">
        <v>15</v>
      </c>
      <c r="I935" s="1">
        <v>1</v>
      </c>
      <c r="J935" s="2">
        <v>387.93</v>
      </c>
    </row>
    <row r="936" spans="2:10" x14ac:dyDescent="0.2">
      <c r="B936" t="s">
        <v>933</v>
      </c>
      <c r="C936" t="s">
        <v>141</v>
      </c>
      <c r="D936" t="s">
        <v>934</v>
      </c>
      <c r="E936" t="s">
        <v>153</v>
      </c>
      <c r="F936" t="s">
        <v>154</v>
      </c>
      <c r="G936" t="s">
        <v>1034</v>
      </c>
      <c r="H936" t="s">
        <v>15</v>
      </c>
      <c r="I936" s="1">
        <v>1</v>
      </c>
      <c r="J936" s="2">
        <v>387.93</v>
      </c>
    </row>
    <row r="937" spans="2:10" x14ac:dyDescent="0.2">
      <c r="B937" t="s">
        <v>933</v>
      </c>
      <c r="C937" t="s">
        <v>141</v>
      </c>
      <c r="D937" t="s">
        <v>934</v>
      </c>
      <c r="E937" t="s">
        <v>56</v>
      </c>
      <c r="F937" t="s">
        <v>57</v>
      </c>
      <c r="G937" t="s">
        <v>1034</v>
      </c>
      <c r="H937" t="s">
        <v>15</v>
      </c>
      <c r="I937" s="1">
        <v>2</v>
      </c>
      <c r="J937" s="2">
        <v>862.06</v>
      </c>
    </row>
    <row r="938" spans="2:10" x14ac:dyDescent="0.2">
      <c r="B938" t="s">
        <v>933</v>
      </c>
      <c r="C938" t="s">
        <v>144</v>
      </c>
      <c r="D938" t="s">
        <v>934</v>
      </c>
      <c r="E938" t="s">
        <v>36</v>
      </c>
      <c r="F938" t="s">
        <v>37</v>
      </c>
      <c r="G938" t="s">
        <v>1034</v>
      </c>
      <c r="H938" t="s">
        <v>15</v>
      </c>
      <c r="I938" s="1">
        <v>1</v>
      </c>
      <c r="J938" s="2">
        <v>301.72000000000003</v>
      </c>
    </row>
    <row r="939" spans="2:10" x14ac:dyDescent="0.2">
      <c r="B939" t="s">
        <v>933</v>
      </c>
      <c r="C939" t="s">
        <v>144</v>
      </c>
      <c r="D939" t="s">
        <v>934</v>
      </c>
      <c r="E939" t="s">
        <v>83</v>
      </c>
      <c r="F939" t="s">
        <v>84</v>
      </c>
      <c r="G939" t="s">
        <v>1034</v>
      </c>
      <c r="H939" t="s">
        <v>15</v>
      </c>
      <c r="I939" s="1">
        <v>1</v>
      </c>
      <c r="J939" s="2">
        <v>387.93</v>
      </c>
    </row>
    <row r="940" spans="2:10" x14ac:dyDescent="0.2">
      <c r="B940" t="s">
        <v>933</v>
      </c>
      <c r="C940" t="s">
        <v>165</v>
      </c>
      <c r="D940" t="s">
        <v>934</v>
      </c>
      <c r="E940" t="s">
        <v>153</v>
      </c>
      <c r="F940" t="s">
        <v>154</v>
      </c>
      <c r="G940" t="s">
        <v>1034</v>
      </c>
      <c r="H940" t="s">
        <v>15</v>
      </c>
      <c r="I940" s="1">
        <v>1</v>
      </c>
      <c r="J940" s="2">
        <v>387.93</v>
      </c>
    </row>
    <row r="941" spans="2:10" x14ac:dyDescent="0.2">
      <c r="B941" t="s">
        <v>933</v>
      </c>
      <c r="C941" t="s">
        <v>165</v>
      </c>
      <c r="D941" t="s">
        <v>934</v>
      </c>
      <c r="E941" t="s">
        <v>38</v>
      </c>
      <c r="F941" t="s">
        <v>39</v>
      </c>
      <c r="G941" t="s">
        <v>1034</v>
      </c>
      <c r="H941" t="s">
        <v>15</v>
      </c>
      <c r="I941" s="1">
        <v>1</v>
      </c>
      <c r="J941" s="2">
        <v>431.03</v>
      </c>
    </row>
    <row r="942" spans="2:10" x14ac:dyDescent="0.2">
      <c r="B942" t="s">
        <v>933</v>
      </c>
      <c r="C942" t="s">
        <v>165</v>
      </c>
      <c r="D942" t="s">
        <v>934</v>
      </c>
      <c r="E942" t="s">
        <v>56</v>
      </c>
      <c r="F942" t="s">
        <v>57</v>
      </c>
      <c r="G942" t="s">
        <v>1034</v>
      </c>
      <c r="H942" t="s">
        <v>15</v>
      </c>
      <c r="I942" s="1">
        <v>1</v>
      </c>
      <c r="J942" s="2">
        <v>431.03</v>
      </c>
    </row>
    <row r="943" spans="2:10" x14ac:dyDescent="0.2">
      <c r="B943" t="s">
        <v>933</v>
      </c>
      <c r="C943" t="s">
        <v>166</v>
      </c>
      <c r="D943" t="s">
        <v>226</v>
      </c>
      <c r="E943" t="s">
        <v>36</v>
      </c>
      <c r="F943" t="s">
        <v>37</v>
      </c>
      <c r="G943" t="s">
        <v>1034</v>
      </c>
      <c r="H943" t="s">
        <v>15</v>
      </c>
      <c r="I943" s="1">
        <v>1</v>
      </c>
      <c r="J943" s="2">
        <v>301.72000000000003</v>
      </c>
    </row>
    <row r="944" spans="2:10" x14ac:dyDescent="0.2">
      <c r="B944" t="s">
        <v>933</v>
      </c>
      <c r="C944" t="s">
        <v>166</v>
      </c>
      <c r="D944" t="s">
        <v>226</v>
      </c>
      <c r="E944" t="s">
        <v>61</v>
      </c>
      <c r="F944" t="s">
        <v>62</v>
      </c>
      <c r="G944" t="s">
        <v>1034</v>
      </c>
      <c r="H944" t="s">
        <v>15</v>
      </c>
      <c r="I944" s="1">
        <v>1</v>
      </c>
      <c r="J944" s="2">
        <v>172.41</v>
      </c>
    </row>
    <row r="945" spans="2:10" x14ac:dyDescent="0.2">
      <c r="B945" t="s">
        <v>933</v>
      </c>
      <c r="C945" t="s">
        <v>185</v>
      </c>
      <c r="D945" t="s">
        <v>226</v>
      </c>
      <c r="E945" t="s">
        <v>214</v>
      </c>
      <c r="F945" t="s">
        <v>215</v>
      </c>
      <c r="G945" t="s">
        <v>1034</v>
      </c>
      <c r="H945" t="s">
        <v>15</v>
      </c>
      <c r="I945" s="1">
        <v>1</v>
      </c>
      <c r="J945" s="2">
        <v>301.72000000000003</v>
      </c>
    </row>
    <row r="946" spans="2:10" x14ac:dyDescent="0.2">
      <c r="B946" t="s">
        <v>933</v>
      </c>
      <c r="C946" t="s">
        <v>185</v>
      </c>
      <c r="D946" t="s">
        <v>226</v>
      </c>
      <c r="E946" t="s">
        <v>61</v>
      </c>
      <c r="F946" t="s">
        <v>62</v>
      </c>
      <c r="G946" t="s">
        <v>1034</v>
      </c>
      <c r="H946" t="s">
        <v>15</v>
      </c>
      <c r="I946" s="1">
        <v>1</v>
      </c>
      <c r="J946" s="2">
        <v>172.41</v>
      </c>
    </row>
    <row r="947" spans="2:10" x14ac:dyDescent="0.2">
      <c r="B947" t="s">
        <v>933</v>
      </c>
      <c r="C947" t="s">
        <v>335</v>
      </c>
      <c r="D947" t="s">
        <v>934</v>
      </c>
      <c r="E947" t="s">
        <v>46</v>
      </c>
      <c r="F947" t="s">
        <v>47</v>
      </c>
      <c r="G947" t="s">
        <v>1034</v>
      </c>
      <c r="H947" t="s">
        <v>15</v>
      </c>
      <c r="I947" s="1">
        <v>1</v>
      </c>
      <c r="J947" s="2">
        <v>301.72000000000003</v>
      </c>
    </row>
    <row r="948" spans="2:10" x14ac:dyDescent="0.2">
      <c r="B948" t="s">
        <v>933</v>
      </c>
      <c r="C948" t="s">
        <v>335</v>
      </c>
      <c r="D948" t="s">
        <v>934</v>
      </c>
      <c r="E948" t="s">
        <v>120</v>
      </c>
      <c r="F948" t="s">
        <v>121</v>
      </c>
      <c r="G948" t="s">
        <v>1034</v>
      </c>
      <c r="H948" t="s">
        <v>15</v>
      </c>
      <c r="I948" s="1">
        <v>1</v>
      </c>
      <c r="J948" s="2">
        <v>301.72000000000003</v>
      </c>
    </row>
    <row r="949" spans="2:10" x14ac:dyDescent="0.2">
      <c r="B949" t="s">
        <v>933</v>
      </c>
      <c r="C949" t="s">
        <v>335</v>
      </c>
      <c r="D949" t="s">
        <v>934</v>
      </c>
      <c r="E949" t="s">
        <v>36</v>
      </c>
      <c r="F949" t="s">
        <v>37</v>
      </c>
      <c r="G949" t="s">
        <v>1034</v>
      </c>
      <c r="H949" t="s">
        <v>15</v>
      </c>
      <c r="I949" s="1">
        <v>1</v>
      </c>
      <c r="J949" s="2">
        <v>301.72000000000003</v>
      </c>
    </row>
    <row r="950" spans="2:10" x14ac:dyDescent="0.2">
      <c r="B950" t="s">
        <v>933</v>
      </c>
      <c r="C950" t="s">
        <v>186</v>
      </c>
      <c r="D950" t="s">
        <v>934</v>
      </c>
      <c r="E950" t="s">
        <v>46</v>
      </c>
      <c r="F950" t="s">
        <v>47</v>
      </c>
      <c r="G950" t="s">
        <v>1034</v>
      </c>
      <c r="H950" t="s">
        <v>15</v>
      </c>
      <c r="I950" s="1">
        <v>1</v>
      </c>
      <c r="J950" s="2">
        <v>301.72000000000003</v>
      </c>
    </row>
    <row r="951" spans="2:10" x14ac:dyDescent="0.2">
      <c r="B951" t="s">
        <v>933</v>
      </c>
      <c r="C951" t="s">
        <v>186</v>
      </c>
      <c r="D951" t="s">
        <v>934</v>
      </c>
      <c r="E951" t="s">
        <v>120</v>
      </c>
      <c r="F951" t="s">
        <v>121</v>
      </c>
      <c r="G951" t="s">
        <v>1034</v>
      </c>
      <c r="H951" t="s">
        <v>15</v>
      </c>
      <c r="I951" s="1">
        <v>1</v>
      </c>
      <c r="J951" s="2">
        <v>301.72000000000003</v>
      </c>
    </row>
    <row r="952" spans="2:10" x14ac:dyDescent="0.2">
      <c r="B952" t="s">
        <v>933</v>
      </c>
      <c r="C952" t="s">
        <v>186</v>
      </c>
      <c r="D952" t="s">
        <v>934</v>
      </c>
      <c r="E952" t="s">
        <v>63</v>
      </c>
      <c r="F952" t="s">
        <v>64</v>
      </c>
      <c r="G952" t="s">
        <v>1034</v>
      </c>
      <c r="H952" t="s">
        <v>15</v>
      </c>
      <c r="I952" s="1">
        <v>1</v>
      </c>
      <c r="J952" s="2">
        <v>172.41</v>
      </c>
    </row>
    <row r="953" spans="2:10" x14ac:dyDescent="0.2">
      <c r="B953" t="s">
        <v>933</v>
      </c>
      <c r="C953" t="s">
        <v>197</v>
      </c>
      <c r="D953" t="s">
        <v>934</v>
      </c>
      <c r="E953" t="s">
        <v>46</v>
      </c>
      <c r="F953" t="s">
        <v>47</v>
      </c>
      <c r="G953" t="s">
        <v>1034</v>
      </c>
      <c r="H953" t="s">
        <v>15</v>
      </c>
      <c r="I953" s="1">
        <v>1</v>
      </c>
      <c r="J953" s="2">
        <v>301.72000000000003</v>
      </c>
    </row>
    <row r="954" spans="2:10" x14ac:dyDescent="0.2">
      <c r="B954" t="s">
        <v>933</v>
      </c>
      <c r="C954" t="s">
        <v>197</v>
      </c>
      <c r="D954" t="s">
        <v>934</v>
      </c>
      <c r="E954" t="s">
        <v>120</v>
      </c>
      <c r="F954" t="s">
        <v>121</v>
      </c>
      <c r="G954" t="s">
        <v>1034</v>
      </c>
      <c r="H954" t="s">
        <v>15</v>
      </c>
      <c r="I954" s="1">
        <v>1</v>
      </c>
      <c r="J954" s="2">
        <v>301.72000000000003</v>
      </c>
    </row>
    <row r="955" spans="2:10" x14ac:dyDescent="0.2">
      <c r="B955" t="s">
        <v>933</v>
      </c>
      <c r="C955" t="s">
        <v>197</v>
      </c>
      <c r="D955" t="s">
        <v>934</v>
      </c>
      <c r="E955" t="s">
        <v>72</v>
      </c>
      <c r="F955" t="s">
        <v>73</v>
      </c>
      <c r="G955" t="s">
        <v>1034</v>
      </c>
      <c r="H955" t="s">
        <v>15</v>
      </c>
      <c r="I955" s="1">
        <v>1</v>
      </c>
      <c r="J955" s="2">
        <v>775.86</v>
      </c>
    </row>
    <row r="956" spans="2:10" x14ac:dyDescent="0.2">
      <c r="B956" t="s">
        <v>933</v>
      </c>
      <c r="C956" t="s">
        <v>197</v>
      </c>
      <c r="D956" t="s">
        <v>934</v>
      </c>
      <c r="E956" t="s">
        <v>336</v>
      </c>
      <c r="F956" t="s">
        <v>337</v>
      </c>
      <c r="G956" t="s">
        <v>1034</v>
      </c>
      <c r="H956" t="s">
        <v>15</v>
      </c>
      <c r="I956" s="1">
        <v>1</v>
      </c>
      <c r="J956" s="2">
        <v>387.93</v>
      </c>
    </row>
    <row r="957" spans="2:10" x14ac:dyDescent="0.2">
      <c r="B957" t="s">
        <v>933</v>
      </c>
      <c r="C957" t="s">
        <v>197</v>
      </c>
      <c r="D957" t="s">
        <v>934</v>
      </c>
      <c r="E957" t="s">
        <v>38</v>
      </c>
      <c r="F957" t="s">
        <v>39</v>
      </c>
      <c r="G957" t="s">
        <v>1034</v>
      </c>
      <c r="H957" t="s">
        <v>15</v>
      </c>
      <c r="I957" s="1">
        <v>1</v>
      </c>
      <c r="J957" s="2">
        <v>431.03</v>
      </c>
    </row>
    <row r="958" spans="2:10" x14ac:dyDescent="0.2">
      <c r="B958" t="s">
        <v>933</v>
      </c>
      <c r="C958" t="s">
        <v>197</v>
      </c>
      <c r="D958" t="s">
        <v>934</v>
      </c>
      <c r="E958" t="s">
        <v>163</v>
      </c>
      <c r="F958" t="s">
        <v>164</v>
      </c>
      <c r="G958" t="s">
        <v>1034</v>
      </c>
      <c r="H958" t="s">
        <v>15</v>
      </c>
      <c r="I958" s="1">
        <v>2</v>
      </c>
      <c r="J958" s="2">
        <v>862.06</v>
      </c>
    </row>
    <row r="959" spans="2:10" x14ac:dyDescent="0.2">
      <c r="B959" t="s">
        <v>933</v>
      </c>
      <c r="C959" t="s">
        <v>197</v>
      </c>
      <c r="D959" t="s">
        <v>934</v>
      </c>
      <c r="E959" t="s">
        <v>63</v>
      </c>
      <c r="F959" t="s">
        <v>64</v>
      </c>
      <c r="G959" t="s">
        <v>1034</v>
      </c>
      <c r="H959" t="s">
        <v>15</v>
      </c>
      <c r="I959" s="1">
        <v>1</v>
      </c>
      <c r="J959" s="2">
        <v>172.41</v>
      </c>
    </row>
    <row r="960" spans="2:10" x14ac:dyDescent="0.2">
      <c r="B960" t="s">
        <v>933</v>
      </c>
      <c r="C960" t="s">
        <v>206</v>
      </c>
      <c r="D960" t="s">
        <v>277</v>
      </c>
      <c r="E960" t="s">
        <v>46</v>
      </c>
      <c r="F960" t="s">
        <v>47</v>
      </c>
      <c r="G960" t="s">
        <v>1034</v>
      </c>
      <c r="H960" t="s">
        <v>15</v>
      </c>
      <c r="I960" s="1">
        <v>1</v>
      </c>
      <c r="J960" s="2">
        <v>301.72000000000003</v>
      </c>
    </row>
    <row r="961" spans="2:10" x14ac:dyDescent="0.2">
      <c r="B961" t="s">
        <v>933</v>
      </c>
      <c r="C961" t="s">
        <v>206</v>
      </c>
      <c r="D961" t="s">
        <v>277</v>
      </c>
      <c r="E961" t="s">
        <v>36</v>
      </c>
      <c r="F961" t="s">
        <v>37</v>
      </c>
      <c r="G961" t="s">
        <v>1034</v>
      </c>
      <c r="H961" t="s">
        <v>15</v>
      </c>
      <c r="I961" s="1">
        <v>1</v>
      </c>
      <c r="J961" s="2">
        <v>301.72000000000003</v>
      </c>
    </row>
    <row r="962" spans="2:10" x14ac:dyDescent="0.2">
      <c r="B962" t="s">
        <v>933</v>
      </c>
      <c r="C962" t="s">
        <v>206</v>
      </c>
      <c r="D962" t="s">
        <v>277</v>
      </c>
      <c r="E962" t="s">
        <v>72</v>
      </c>
      <c r="F962" t="s">
        <v>73</v>
      </c>
      <c r="G962" t="s">
        <v>1034</v>
      </c>
      <c r="H962" t="s">
        <v>15</v>
      </c>
      <c r="I962" s="1">
        <v>1</v>
      </c>
      <c r="J962" s="2">
        <v>775.86</v>
      </c>
    </row>
    <row r="963" spans="2:10" x14ac:dyDescent="0.2">
      <c r="B963" t="s">
        <v>933</v>
      </c>
      <c r="C963" t="s">
        <v>220</v>
      </c>
      <c r="D963" t="s">
        <v>934</v>
      </c>
      <c r="E963" t="s">
        <v>613</v>
      </c>
      <c r="F963" t="s">
        <v>614</v>
      </c>
      <c r="G963" t="s">
        <v>1034</v>
      </c>
      <c r="H963" t="s">
        <v>15</v>
      </c>
      <c r="I963" s="1">
        <v>1</v>
      </c>
      <c r="J963" s="2">
        <v>431.03</v>
      </c>
    </row>
    <row r="964" spans="2:10" x14ac:dyDescent="0.2">
      <c r="B964" t="s">
        <v>933</v>
      </c>
      <c r="C964" t="s">
        <v>220</v>
      </c>
      <c r="D964" t="s">
        <v>934</v>
      </c>
      <c r="E964" t="s">
        <v>214</v>
      </c>
      <c r="F964" t="s">
        <v>215</v>
      </c>
      <c r="G964" t="s">
        <v>1034</v>
      </c>
      <c r="H964" t="s">
        <v>15</v>
      </c>
      <c r="I964" s="1">
        <v>1</v>
      </c>
      <c r="J964" s="2">
        <v>301.72000000000003</v>
      </c>
    </row>
    <row r="965" spans="2:10" x14ac:dyDescent="0.2">
      <c r="B965" t="s">
        <v>933</v>
      </c>
      <c r="C965" t="s">
        <v>220</v>
      </c>
      <c r="D965" t="s">
        <v>934</v>
      </c>
      <c r="E965" t="s">
        <v>36</v>
      </c>
      <c r="F965" t="s">
        <v>37</v>
      </c>
      <c r="G965" t="s">
        <v>1034</v>
      </c>
      <c r="H965" t="s">
        <v>15</v>
      </c>
      <c r="I965" s="1">
        <v>1</v>
      </c>
      <c r="J965" s="2">
        <v>301.72000000000003</v>
      </c>
    </row>
    <row r="966" spans="2:10" x14ac:dyDescent="0.2">
      <c r="B966" t="s">
        <v>933</v>
      </c>
      <c r="C966" t="s">
        <v>225</v>
      </c>
      <c r="D966" t="s">
        <v>934</v>
      </c>
      <c r="E966" t="s">
        <v>214</v>
      </c>
      <c r="F966" t="s">
        <v>215</v>
      </c>
      <c r="G966" t="s">
        <v>1034</v>
      </c>
      <c r="H966" t="s">
        <v>15</v>
      </c>
      <c r="I966" s="1">
        <v>1</v>
      </c>
      <c r="J966" s="2">
        <v>301.72000000000003</v>
      </c>
    </row>
    <row r="967" spans="2:10" x14ac:dyDescent="0.2">
      <c r="B967" t="s">
        <v>933</v>
      </c>
      <c r="C967" t="s">
        <v>228</v>
      </c>
      <c r="D967" t="s">
        <v>934</v>
      </c>
      <c r="E967" t="s">
        <v>120</v>
      </c>
      <c r="F967" t="s">
        <v>121</v>
      </c>
      <c r="G967" t="s">
        <v>1034</v>
      </c>
      <c r="H967" t="s">
        <v>15</v>
      </c>
      <c r="I967" s="1">
        <v>1</v>
      </c>
      <c r="J967" s="2">
        <v>301.72000000000003</v>
      </c>
    </row>
    <row r="968" spans="2:10" x14ac:dyDescent="0.2">
      <c r="B968" t="s">
        <v>933</v>
      </c>
      <c r="C968" t="s">
        <v>228</v>
      </c>
      <c r="D968" t="s">
        <v>934</v>
      </c>
      <c r="E968" t="s">
        <v>72</v>
      </c>
      <c r="F968" t="s">
        <v>73</v>
      </c>
      <c r="G968" t="s">
        <v>1034</v>
      </c>
      <c r="H968" t="s">
        <v>15</v>
      </c>
      <c r="I968" s="1">
        <v>1</v>
      </c>
      <c r="J968" s="2">
        <v>775.86</v>
      </c>
    </row>
    <row r="969" spans="2:10" x14ac:dyDescent="0.2">
      <c r="B969" t="s">
        <v>933</v>
      </c>
      <c r="C969" t="s">
        <v>228</v>
      </c>
      <c r="D969" t="s">
        <v>934</v>
      </c>
      <c r="E969" t="s">
        <v>61</v>
      </c>
      <c r="F969" t="s">
        <v>62</v>
      </c>
      <c r="G969" t="s">
        <v>1034</v>
      </c>
      <c r="H969" t="s">
        <v>15</v>
      </c>
      <c r="I969" s="1">
        <v>1</v>
      </c>
      <c r="J969" s="2">
        <v>172.41</v>
      </c>
    </row>
    <row r="970" spans="2:10" x14ac:dyDescent="0.2">
      <c r="B970" t="s">
        <v>933</v>
      </c>
      <c r="C970" t="s">
        <v>233</v>
      </c>
      <c r="D970" t="s">
        <v>934</v>
      </c>
      <c r="E970" t="s">
        <v>214</v>
      </c>
      <c r="F970" t="s">
        <v>215</v>
      </c>
      <c r="G970" t="s">
        <v>1034</v>
      </c>
      <c r="H970" t="s">
        <v>15</v>
      </c>
      <c r="I970" s="1">
        <v>1</v>
      </c>
      <c r="J970" s="2">
        <v>301.72000000000003</v>
      </c>
    </row>
    <row r="971" spans="2:10" x14ac:dyDescent="0.2">
      <c r="B971" t="s">
        <v>933</v>
      </c>
      <c r="C971" t="s">
        <v>233</v>
      </c>
      <c r="D971" t="s">
        <v>934</v>
      </c>
      <c r="E971" t="s">
        <v>72</v>
      </c>
      <c r="F971" t="s">
        <v>73</v>
      </c>
      <c r="G971" t="s">
        <v>1034</v>
      </c>
      <c r="H971" t="s">
        <v>15</v>
      </c>
      <c r="I971" s="1">
        <v>2</v>
      </c>
      <c r="J971" s="2">
        <v>1551.72</v>
      </c>
    </row>
    <row r="972" spans="2:10" x14ac:dyDescent="0.2">
      <c r="B972" t="s">
        <v>933</v>
      </c>
      <c r="C972" t="s">
        <v>233</v>
      </c>
      <c r="D972" t="s">
        <v>934</v>
      </c>
      <c r="E972" t="s">
        <v>56</v>
      </c>
      <c r="F972" t="s">
        <v>57</v>
      </c>
      <c r="G972" t="s">
        <v>1034</v>
      </c>
      <c r="H972" t="s">
        <v>15</v>
      </c>
      <c r="I972" s="1">
        <v>1</v>
      </c>
      <c r="J972" s="2">
        <v>431.03</v>
      </c>
    </row>
    <row r="973" spans="2:10" x14ac:dyDescent="0.2">
      <c r="B973" t="s">
        <v>933</v>
      </c>
      <c r="C973" t="s">
        <v>236</v>
      </c>
      <c r="D973" t="s">
        <v>934</v>
      </c>
      <c r="E973" t="s">
        <v>63</v>
      </c>
      <c r="F973" t="s">
        <v>64</v>
      </c>
      <c r="G973" t="s">
        <v>1034</v>
      </c>
      <c r="H973" t="s">
        <v>15</v>
      </c>
      <c r="I973" s="1">
        <v>1</v>
      </c>
      <c r="J973" s="2">
        <v>172.41</v>
      </c>
    </row>
    <row r="974" spans="2:10" x14ac:dyDescent="0.2">
      <c r="B974" t="s">
        <v>933</v>
      </c>
      <c r="C974" t="s">
        <v>237</v>
      </c>
      <c r="D974" t="s">
        <v>934</v>
      </c>
      <c r="E974" t="s">
        <v>72</v>
      </c>
      <c r="F974" t="s">
        <v>73</v>
      </c>
      <c r="G974" t="s">
        <v>1034</v>
      </c>
      <c r="H974" t="s">
        <v>15</v>
      </c>
      <c r="I974" s="1">
        <v>1</v>
      </c>
      <c r="J974" s="2">
        <v>775.86</v>
      </c>
    </row>
    <row r="975" spans="2:10" x14ac:dyDescent="0.2">
      <c r="B975" t="s">
        <v>933</v>
      </c>
      <c r="C975" t="s">
        <v>237</v>
      </c>
      <c r="D975" t="s">
        <v>934</v>
      </c>
      <c r="E975" t="s">
        <v>61</v>
      </c>
      <c r="F975" t="s">
        <v>62</v>
      </c>
      <c r="G975" t="s">
        <v>1034</v>
      </c>
      <c r="H975" t="s">
        <v>15</v>
      </c>
      <c r="I975" s="1">
        <v>7</v>
      </c>
      <c r="J975" s="2">
        <v>1206.8700000000001</v>
      </c>
    </row>
    <row r="976" spans="2:10" x14ac:dyDescent="0.2">
      <c r="B976" t="s">
        <v>933</v>
      </c>
      <c r="C976" t="s">
        <v>237</v>
      </c>
      <c r="D976" t="s">
        <v>934</v>
      </c>
      <c r="E976" t="s">
        <v>63</v>
      </c>
      <c r="F976" t="s">
        <v>64</v>
      </c>
      <c r="G976" t="s">
        <v>1034</v>
      </c>
      <c r="H976" t="s">
        <v>15</v>
      </c>
      <c r="I976" s="1">
        <v>1</v>
      </c>
      <c r="J976" s="2">
        <v>172.41</v>
      </c>
    </row>
    <row r="977" spans="2:10" x14ac:dyDescent="0.2">
      <c r="B977" t="s">
        <v>933</v>
      </c>
      <c r="C977" t="s">
        <v>248</v>
      </c>
      <c r="D977" t="s">
        <v>277</v>
      </c>
      <c r="E977" t="s">
        <v>613</v>
      </c>
      <c r="F977" t="s">
        <v>614</v>
      </c>
      <c r="G977" t="s">
        <v>1034</v>
      </c>
      <c r="H977" t="s">
        <v>15</v>
      </c>
      <c r="I977" s="1">
        <v>1</v>
      </c>
      <c r="J977" s="2">
        <v>431.03</v>
      </c>
    </row>
    <row r="978" spans="2:10" x14ac:dyDescent="0.2">
      <c r="B978" t="s">
        <v>955</v>
      </c>
      <c r="C978" t="s">
        <v>10</v>
      </c>
      <c r="D978" t="s">
        <v>956</v>
      </c>
      <c r="E978" t="s">
        <v>46</v>
      </c>
      <c r="F978" t="s">
        <v>47</v>
      </c>
      <c r="G978" t="s">
        <v>1034</v>
      </c>
      <c r="H978" t="s">
        <v>15</v>
      </c>
      <c r="I978" s="1">
        <v>1</v>
      </c>
      <c r="J978" s="2">
        <v>301.72000000000003</v>
      </c>
    </row>
    <row r="979" spans="2:10" x14ac:dyDescent="0.2">
      <c r="B979" t="s">
        <v>955</v>
      </c>
      <c r="C979" t="s">
        <v>10</v>
      </c>
      <c r="D979" t="s">
        <v>956</v>
      </c>
      <c r="E979" t="s">
        <v>120</v>
      </c>
      <c r="F979" t="s">
        <v>121</v>
      </c>
      <c r="G979" t="s">
        <v>1034</v>
      </c>
      <c r="H979" t="s">
        <v>15</v>
      </c>
      <c r="I979" s="1">
        <v>1</v>
      </c>
      <c r="J979" s="2">
        <v>301.72000000000003</v>
      </c>
    </row>
    <row r="980" spans="2:10" x14ac:dyDescent="0.2">
      <c r="B980" t="s">
        <v>955</v>
      </c>
      <c r="C980" t="s">
        <v>10</v>
      </c>
      <c r="D980" t="s">
        <v>956</v>
      </c>
      <c r="E980" t="s">
        <v>253</v>
      </c>
      <c r="F980" t="s">
        <v>254</v>
      </c>
      <c r="G980" t="s">
        <v>1034</v>
      </c>
      <c r="H980" t="s">
        <v>15</v>
      </c>
      <c r="I980" s="1">
        <v>1</v>
      </c>
      <c r="J980" s="2">
        <v>775.86</v>
      </c>
    </row>
    <row r="981" spans="2:10" x14ac:dyDescent="0.2">
      <c r="B981" t="s">
        <v>955</v>
      </c>
      <c r="C981" t="s">
        <v>10</v>
      </c>
      <c r="D981" t="s">
        <v>956</v>
      </c>
      <c r="E981" t="s">
        <v>72</v>
      </c>
      <c r="F981" t="s">
        <v>73</v>
      </c>
      <c r="G981" t="s">
        <v>1034</v>
      </c>
      <c r="H981" t="s">
        <v>15</v>
      </c>
      <c r="I981" s="1">
        <v>1</v>
      </c>
      <c r="J981" s="2">
        <v>775.86</v>
      </c>
    </row>
    <row r="982" spans="2:10" x14ac:dyDescent="0.2">
      <c r="B982" t="s">
        <v>955</v>
      </c>
      <c r="C982" t="s">
        <v>10</v>
      </c>
      <c r="D982" t="s">
        <v>956</v>
      </c>
      <c r="E982" t="s">
        <v>336</v>
      </c>
      <c r="F982" t="s">
        <v>337</v>
      </c>
      <c r="G982" t="s">
        <v>1034</v>
      </c>
      <c r="H982" t="s">
        <v>15</v>
      </c>
      <c r="I982" s="1">
        <v>1</v>
      </c>
      <c r="J982" s="2">
        <v>387.93</v>
      </c>
    </row>
    <row r="983" spans="2:10" x14ac:dyDescent="0.2">
      <c r="B983" t="s">
        <v>955</v>
      </c>
      <c r="C983" t="s">
        <v>10</v>
      </c>
      <c r="D983" t="s">
        <v>956</v>
      </c>
      <c r="E983" t="s">
        <v>56</v>
      </c>
      <c r="F983" t="s">
        <v>57</v>
      </c>
      <c r="G983" t="s">
        <v>1034</v>
      </c>
      <c r="H983" t="s">
        <v>15</v>
      </c>
      <c r="I983" s="1">
        <v>1</v>
      </c>
      <c r="J983" s="2">
        <v>431.03</v>
      </c>
    </row>
    <row r="984" spans="2:10" x14ac:dyDescent="0.2">
      <c r="B984" t="s">
        <v>955</v>
      </c>
      <c r="C984" t="s">
        <v>10</v>
      </c>
      <c r="D984" t="s">
        <v>956</v>
      </c>
      <c r="E984" t="s">
        <v>61</v>
      </c>
      <c r="F984" t="s">
        <v>62</v>
      </c>
      <c r="G984" t="s">
        <v>1034</v>
      </c>
      <c r="H984" t="s">
        <v>15</v>
      </c>
      <c r="I984" s="1">
        <v>1</v>
      </c>
      <c r="J984" s="2">
        <v>172.41</v>
      </c>
    </row>
    <row r="985" spans="2:10" x14ac:dyDescent="0.2">
      <c r="B985" t="s">
        <v>955</v>
      </c>
      <c r="C985" t="s">
        <v>10</v>
      </c>
      <c r="D985" t="s">
        <v>956</v>
      </c>
      <c r="E985" t="s">
        <v>63</v>
      </c>
      <c r="F985" t="s">
        <v>64</v>
      </c>
      <c r="G985" t="s">
        <v>1034</v>
      </c>
      <c r="H985" t="s">
        <v>15</v>
      </c>
      <c r="I985" s="1">
        <v>1</v>
      </c>
      <c r="J985" s="2">
        <v>172.41</v>
      </c>
    </row>
    <row r="986" spans="2:10" x14ac:dyDescent="0.2">
      <c r="B986" t="s">
        <v>955</v>
      </c>
      <c r="C986" t="s">
        <v>18</v>
      </c>
      <c r="D986" t="s">
        <v>956</v>
      </c>
      <c r="E986" t="s">
        <v>214</v>
      </c>
      <c r="F986" t="s">
        <v>215</v>
      </c>
      <c r="G986" t="s">
        <v>1034</v>
      </c>
      <c r="H986" t="s">
        <v>15</v>
      </c>
      <c r="I986" s="1">
        <v>1</v>
      </c>
      <c r="J986" s="2">
        <v>301.72000000000003</v>
      </c>
    </row>
    <row r="987" spans="2:10" x14ac:dyDescent="0.2">
      <c r="B987" t="s">
        <v>955</v>
      </c>
      <c r="C987" t="s">
        <v>18</v>
      </c>
      <c r="D987" t="s">
        <v>956</v>
      </c>
      <c r="E987" t="s">
        <v>122</v>
      </c>
      <c r="F987" t="s">
        <v>123</v>
      </c>
      <c r="G987" t="s">
        <v>1034</v>
      </c>
      <c r="H987" t="s">
        <v>15</v>
      </c>
      <c r="I987" s="1">
        <v>1</v>
      </c>
      <c r="J987" s="2">
        <v>387.93</v>
      </c>
    </row>
    <row r="988" spans="2:10" x14ac:dyDescent="0.2">
      <c r="B988" t="s">
        <v>955</v>
      </c>
      <c r="C988" t="s">
        <v>18</v>
      </c>
      <c r="D988" t="s">
        <v>956</v>
      </c>
      <c r="E988" t="s">
        <v>83</v>
      </c>
      <c r="F988" t="s">
        <v>84</v>
      </c>
      <c r="G988" t="s">
        <v>1034</v>
      </c>
      <c r="H988" t="s">
        <v>15</v>
      </c>
      <c r="I988" s="1">
        <v>1</v>
      </c>
      <c r="J988" s="2">
        <v>387.93</v>
      </c>
    </row>
    <row r="989" spans="2:10" x14ac:dyDescent="0.2">
      <c r="B989" t="s">
        <v>955</v>
      </c>
      <c r="C989" t="s">
        <v>18</v>
      </c>
      <c r="D989" t="s">
        <v>956</v>
      </c>
      <c r="E989" t="s">
        <v>56</v>
      </c>
      <c r="F989" t="s">
        <v>57</v>
      </c>
      <c r="G989" t="s">
        <v>1034</v>
      </c>
      <c r="H989" t="s">
        <v>15</v>
      </c>
      <c r="I989" s="1">
        <v>2</v>
      </c>
      <c r="J989" s="2">
        <v>862.06</v>
      </c>
    </row>
    <row r="990" spans="2:10" x14ac:dyDescent="0.2">
      <c r="B990" t="s">
        <v>955</v>
      </c>
      <c r="C990" t="s">
        <v>18</v>
      </c>
      <c r="D990" t="s">
        <v>956</v>
      </c>
      <c r="E990" t="s">
        <v>61</v>
      </c>
      <c r="F990" t="s">
        <v>62</v>
      </c>
      <c r="G990" t="s">
        <v>1034</v>
      </c>
      <c r="H990" t="s">
        <v>15</v>
      </c>
      <c r="I990" s="1">
        <v>4</v>
      </c>
      <c r="J990" s="2">
        <v>689.64</v>
      </c>
    </row>
    <row r="991" spans="2:10" x14ac:dyDescent="0.2">
      <c r="B991" t="s">
        <v>955</v>
      </c>
      <c r="C991" t="s">
        <v>18</v>
      </c>
      <c r="D991" t="s">
        <v>956</v>
      </c>
      <c r="E991" t="s">
        <v>63</v>
      </c>
      <c r="F991" t="s">
        <v>64</v>
      </c>
      <c r="G991" t="s">
        <v>1034</v>
      </c>
      <c r="H991" t="s">
        <v>15</v>
      </c>
      <c r="I991" s="1">
        <v>1</v>
      </c>
      <c r="J991" s="2">
        <v>172.41</v>
      </c>
    </row>
    <row r="992" spans="2:10" x14ac:dyDescent="0.2">
      <c r="B992" t="s">
        <v>955</v>
      </c>
      <c r="C992" t="s">
        <v>31</v>
      </c>
      <c r="D992" t="s">
        <v>277</v>
      </c>
      <c r="E992" t="s">
        <v>46</v>
      </c>
      <c r="F992" t="s">
        <v>47</v>
      </c>
      <c r="G992" t="s">
        <v>1034</v>
      </c>
      <c r="H992" t="s">
        <v>15</v>
      </c>
      <c r="I992" s="1">
        <v>1</v>
      </c>
      <c r="J992" s="2">
        <v>301.72000000000003</v>
      </c>
    </row>
    <row r="993" spans="2:10" x14ac:dyDescent="0.2">
      <c r="B993" t="s">
        <v>955</v>
      </c>
      <c r="C993" t="s">
        <v>31</v>
      </c>
      <c r="D993" t="s">
        <v>277</v>
      </c>
      <c r="E993" t="s">
        <v>12</v>
      </c>
      <c r="F993" t="s">
        <v>13</v>
      </c>
      <c r="G993" t="s">
        <v>1034</v>
      </c>
      <c r="H993" t="s">
        <v>15</v>
      </c>
      <c r="I993" s="1">
        <v>1</v>
      </c>
      <c r="J993" s="2">
        <v>1077.5899999999999</v>
      </c>
    </row>
    <row r="994" spans="2:10" x14ac:dyDescent="0.2">
      <c r="B994" t="s">
        <v>955</v>
      </c>
      <c r="C994" t="s">
        <v>31</v>
      </c>
      <c r="D994" t="s">
        <v>277</v>
      </c>
      <c r="E994" t="s">
        <v>38</v>
      </c>
      <c r="F994" t="s">
        <v>39</v>
      </c>
      <c r="G994" t="s">
        <v>1034</v>
      </c>
      <c r="H994" t="s">
        <v>15</v>
      </c>
      <c r="I994" s="1">
        <v>1</v>
      </c>
      <c r="J994" s="2">
        <v>431.03</v>
      </c>
    </row>
    <row r="995" spans="2:10" x14ac:dyDescent="0.2">
      <c r="B995" t="s">
        <v>955</v>
      </c>
      <c r="C995" t="s">
        <v>40</v>
      </c>
      <c r="D995" t="s">
        <v>956</v>
      </c>
      <c r="E995" t="s">
        <v>46</v>
      </c>
      <c r="F995" t="s">
        <v>47</v>
      </c>
      <c r="G995" t="s">
        <v>1034</v>
      </c>
      <c r="H995" t="s">
        <v>15</v>
      </c>
      <c r="I995" s="1">
        <v>1</v>
      </c>
      <c r="J995" s="2">
        <v>301.72000000000003</v>
      </c>
    </row>
    <row r="996" spans="2:10" x14ac:dyDescent="0.2">
      <c r="B996" t="s">
        <v>955</v>
      </c>
      <c r="C996" t="s">
        <v>40</v>
      </c>
      <c r="D996" t="s">
        <v>956</v>
      </c>
      <c r="E996" t="s">
        <v>221</v>
      </c>
      <c r="F996" t="s">
        <v>222</v>
      </c>
      <c r="G996" t="s">
        <v>1034</v>
      </c>
      <c r="H996" t="s">
        <v>15</v>
      </c>
      <c r="I996" s="1">
        <v>1</v>
      </c>
      <c r="J996" s="2">
        <v>431.03</v>
      </c>
    </row>
    <row r="997" spans="2:10" x14ac:dyDescent="0.2">
      <c r="B997" t="s">
        <v>955</v>
      </c>
      <c r="C997" t="s">
        <v>40</v>
      </c>
      <c r="D997" t="s">
        <v>956</v>
      </c>
      <c r="E997" t="s">
        <v>120</v>
      </c>
      <c r="F997" t="s">
        <v>121</v>
      </c>
      <c r="G997" t="s">
        <v>1034</v>
      </c>
      <c r="H997" t="s">
        <v>15</v>
      </c>
      <c r="I997" s="1">
        <v>1</v>
      </c>
      <c r="J997" s="2">
        <v>301.72000000000003</v>
      </c>
    </row>
    <row r="998" spans="2:10" x14ac:dyDescent="0.2">
      <c r="B998" t="s">
        <v>955</v>
      </c>
      <c r="C998" t="s">
        <v>40</v>
      </c>
      <c r="D998" t="s">
        <v>956</v>
      </c>
      <c r="E998" t="s">
        <v>38</v>
      </c>
      <c r="F998" t="s">
        <v>39</v>
      </c>
      <c r="G998" t="s">
        <v>1034</v>
      </c>
      <c r="H998" t="s">
        <v>15</v>
      </c>
      <c r="I998" s="1">
        <v>1</v>
      </c>
      <c r="J998" s="2">
        <v>431.03</v>
      </c>
    </row>
    <row r="999" spans="2:10" x14ac:dyDescent="0.2">
      <c r="B999" t="s">
        <v>955</v>
      </c>
      <c r="C999" t="s">
        <v>40</v>
      </c>
      <c r="D999" t="s">
        <v>956</v>
      </c>
      <c r="E999" t="s">
        <v>56</v>
      </c>
      <c r="F999" t="s">
        <v>57</v>
      </c>
      <c r="G999" t="s">
        <v>1034</v>
      </c>
      <c r="H999" t="s">
        <v>15</v>
      </c>
      <c r="I999" s="1">
        <v>1</v>
      </c>
      <c r="J999" s="2">
        <v>431.03</v>
      </c>
    </row>
    <row r="1000" spans="2:10" x14ac:dyDescent="0.2">
      <c r="B1000" t="s">
        <v>955</v>
      </c>
      <c r="C1000" t="s">
        <v>40</v>
      </c>
      <c r="D1000" t="s">
        <v>956</v>
      </c>
      <c r="E1000" t="s">
        <v>193</v>
      </c>
      <c r="F1000" t="s">
        <v>194</v>
      </c>
      <c r="G1000" t="s">
        <v>1034</v>
      </c>
      <c r="H1000" t="s">
        <v>15</v>
      </c>
      <c r="I1000" s="1">
        <v>1</v>
      </c>
      <c r="J1000" s="2">
        <v>1293.0999999999999</v>
      </c>
    </row>
    <row r="1001" spans="2:10" x14ac:dyDescent="0.2">
      <c r="B1001" t="s">
        <v>955</v>
      </c>
      <c r="C1001" t="s">
        <v>51</v>
      </c>
      <c r="D1001" t="s">
        <v>956</v>
      </c>
      <c r="E1001" t="s">
        <v>122</v>
      </c>
      <c r="F1001" t="s">
        <v>123</v>
      </c>
      <c r="G1001" t="s">
        <v>1034</v>
      </c>
      <c r="H1001" t="s">
        <v>15</v>
      </c>
      <c r="I1001" s="1">
        <v>1</v>
      </c>
      <c r="J1001" s="2">
        <v>387.93</v>
      </c>
    </row>
    <row r="1002" spans="2:10" x14ac:dyDescent="0.2">
      <c r="B1002" t="s">
        <v>955</v>
      </c>
      <c r="C1002" t="s">
        <v>51</v>
      </c>
      <c r="D1002" t="s">
        <v>956</v>
      </c>
      <c r="E1002" t="s">
        <v>56</v>
      </c>
      <c r="F1002" t="s">
        <v>57</v>
      </c>
      <c r="G1002" t="s">
        <v>1034</v>
      </c>
      <c r="H1002" t="s">
        <v>15</v>
      </c>
      <c r="I1002" s="1">
        <v>1</v>
      </c>
      <c r="J1002" s="2">
        <v>431.03</v>
      </c>
    </row>
    <row r="1003" spans="2:10" x14ac:dyDescent="0.2">
      <c r="B1003" t="s">
        <v>955</v>
      </c>
      <c r="C1003" t="s">
        <v>65</v>
      </c>
      <c r="D1003" t="s">
        <v>956</v>
      </c>
      <c r="E1003" t="s">
        <v>46</v>
      </c>
      <c r="F1003" t="s">
        <v>47</v>
      </c>
      <c r="G1003" t="s">
        <v>1034</v>
      </c>
      <c r="H1003" t="s">
        <v>15</v>
      </c>
      <c r="I1003" s="1">
        <v>2</v>
      </c>
      <c r="J1003" s="2">
        <v>603.44000000000005</v>
      </c>
    </row>
    <row r="1004" spans="2:10" x14ac:dyDescent="0.2">
      <c r="B1004" t="s">
        <v>955</v>
      </c>
      <c r="C1004" t="s">
        <v>65</v>
      </c>
      <c r="D1004" t="s">
        <v>956</v>
      </c>
      <c r="E1004" t="s">
        <v>72</v>
      </c>
      <c r="F1004" t="s">
        <v>73</v>
      </c>
      <c r="G1004" t="s">
        <v>1034</v>
      </c>
      <c r="H1004" t="s">
        <v>15</v>
      </c>
      <c r="I1004" s="1">
        <v>1</v>
      </c>
      <c r="J1004" s="2">
        <v>775.86</v>
      </c>
    </row>
    <row r="1005" spans="2:10" x14ac:dyDescent="0.2">
      <c r="B1005" t="s">
        <v>955</v>
      </c>
      <c r="C1005" t="s">
        <v>65</v>
      </c>
      <c r="D1005" t="s">
        <v>956</v>
      </c>
      <c r="E1005" t="s">
        <v>56</v>
      </c>
      <c r="F1005" t="s">
        <v>57</v>
      </c>
      <c r="G1005" t="s">
        <v>1034</v>
      </c>
      <c r="H1005" t="s">
        <v>15</v>
      </c>
      <c r="I1005" s="1">
        <v>2</v>
      </c>
      <c r="J1005" s="2">
        <v>862.06</v>
      </c>
    </row>
    <row r="1006" spans="2:10" x14ac:dyDescent="0.2">
      <c r="B1006" t="s">
        <v>955</v>
      </c>
      <c r="C1006" t="s">
        <v>65</v>
      </c>
      <c r="D1006" t="s">
        <v>956</v>
      </c>
      <c r="E1006" t="s">
        <v>193</v>
      </c>
      <c r="F1006" t="s">
        <v>194</v>
      </c>
      <c r="G1006" t="s">
        <v>1034</v>
      </c>
      <c r="H1006" t="s">
        <v>15</v>
      </c>
      <c r="I1006" s="1">
        <v>1</v>
      </c>
      <c r="J1006" s="2">
        <v>1293.0999999999999</v>
      </c>
    </row>
    <row r="1007" spans="2:10" x14ac:dyDescent="0.2">
      <c r="B1007" t="s">
        <v>955</v>
      </c>
      <c r="C1007" t="s">
        <v>82</v>
      </c>
      <c r="D1007" t="s">
        <v>32</v>
      </c>
      <c r="E1007" t="s">
        <v>122</v>
      </c>
      <c r="F1007" t="s">
        <v>123</v>
      </c>
      <c r="G1007" t="s">
        <v>1034</v>
      </c>
      <c r="H1007" t="s">
        <v>15</v>
      </c>
      <c r="I1007" s="1">
        <v>1</v>
      </c>
      <c r="J1007" s="2">
        <v>387.93</v>
      </c>
    </row>
    <row r="1008" spans="2:10" x14ac:dyDescent="0.2">
      <c r="B1008" t="s">
        <v>955</v>
      </c>
      <c r="C1008" t="s">
        <v>82</v>
      </c>
      <c r="D1008" t="s">
        <v>32</v>
      </c>
      <c r="E1008" t="s">
        <v>974</v>
      </c>
      <c r="F1008" t="s">
        <v>975</v>
      </c>
      <c r="G1008" t="s">
        <v>1034</v>
      </c>
      <c r="H1008" t="s">
        <v>15</v>
      </c>
      <c r="I1008" s="1">
        <v>1</v>
      </c>
      <c r="J1008" s="2">
        <v>431.03</v>
      </c>
    </row>
    <row r="1009" spans="2:10" x14ac:dyDescent="0.2">
      <c r="B1009" t="s">
        <v>955</v>
      </c>
      <c r="C1009" t="s">
        <v>82</v>
      </c>
      <c r="D1009" t="s">
        <v>32</v>
      </c>
      <c r="E1009" t="s">
        <v>56</v>
      </c>
      <c r="F1009" t="s">
        <v>57</v>
      </c>
      <c r="G1009" t="s">
        <v>1034</v>
      </c>
      <c r="H1009" t="s">
        <v>15</v>
      </c>
      <c r="I1009" s="1">
        <v>2</v>
      </c>
      <c r="J1009" s="2">
        <v>862.06</v>
      </c>
    </row>
    <row r="1010" spans="2:10" x14ac:dyDescent="0.2">
      <c r="B1010" t="s">
        <v>955</v>
      </c>
      <c r="C1010" t="s">
        <v>82</v>
      </c>
      <c r="D1010" t="s">
        <v>956</v>
      </c>
      <c r="E1010" t="s">
        <v>72</v>
      </c>
      <c r="F1010" t="s">
        <v>73</v>
      </c>
      <c r="G1010" t="s">
        <v>1034</v>
      </c>
      <c r="H1010" t="s">
        <v>15</v>
      </c>
      <c r="I1010" s="1">
        <v>1</v>
      </c>
      <c r="J1010" s="2">
        <v>775.86</v>
      </c>
    </row>
    <row r="1011" spans="2:10" x14ac:dyDescent="0.2">
      <c r="B1011" t="s">
        <v>955</v>
      </c>
      <c r="C1011" t="s">
        <v>88</v>
      </c>
      <c r="D1011" t="s">
        <v>956</v>
      </c>
      <c r="E1011" t="s">
        <v>12</v>
      </c>
      <c r="F1011" t="s">
        <v>13</v>
      </c>
      <c r="G1011" t="s">
        <v>1034</v>
      </c>
      <c r="H1011" t="s">
        <v>15</v>
      </c>
      <c r="I1011" s="1">
        <v>1</v>
      </c>
      <c r="J1011" s="2">
        <v>1077.5899999999999</v>
      </c>
    </row>
    <row r="1012" spans="2:10" x14ac:dyDescent="0.2">
      <c r="B1012" t="s">
        <v>955</v>
      </c>
      <c r="C1012" t="s">
        <v>88</v>
      </c>
      <c r="D1012" t="s">
        <v>956</v>
      </c>
      <c r="E1012" t="s">
        <v>72</v>
      </c>
      <c r="F1012" t="s">
        <v>73</v>
      </c>
      <c r="G1012" t="s">
        <v>1034</v>
      </c>
      <c r="H1012" t="s">
        <v>15</v>
      </c>
      <c r="I1012" s="1">
        <v>1</v>
      </c>
      <c r="J1012" s="2">
        <v>775.86</v>
      </c>
    </row>
    <row r="1013" spans="2:10" x14ac:dyDescent="0.2">
      <c r="B1013" t="s">
        <v>955</v>
      </c>
      <c r="C1013" t="s">
        <v>88</v>
      </c>
      <c r="D1013" t="s">
        <v>956</v>
      </c>
      <c r="E1013" t="s">
        <v>163</v>
      </c>
      <c r="F1013" t="s">
        <v>164</v>
      </c>
      <c r="G1013" t="s">
        <v>1034</v>
      </c>
      <c r="H1013" t="s">
        <v>15</v>
      </c>
      <c r="I1013" s="1">
        <v>1</v>
      </c>
      <c r="J1013" s="2">
        <v>431.03</v>
      </c>
    </row>
    <row r="1014" spans="2:10" x14ac:dyDescent="0.2">
      <c r="B1014" t="s">
        <v>955</v>
      </c>
      <c r="C1014" t="s">
        <v>88</v>
      </c>
      <c r="D1014" t="s">
        <v>956</v>
      </c>
      <c r="E1014" t="s">
        <v>63</v>
      </c>
      <c r="F1014" t="s">
        <v>64</v>
      </c>
      <c r="G1014" t="s">
        <v>1034</v>
      </c>
      <c r="H1014" t="s">
        <v>15</v>
      </c>
      <c r="I1014" s="1">
        <v>1</v>
      </c>
      <c r="J1014" s="2">
        <v>172.41</v>
      </c>
    </row>
    <row r="1015" spans="2:10" x14ac:dyDescent="0.2">
      <c r="B1015" t="s">
        <v>955</v>
      </c>
      <c r="C1015" t="s">
        <v>117</v>
      </c>
      <c r="D1015" t="s">
        <v>956</v>
      </c>
      <c r="E1015" t="s">
        <v>46</v>
      </c>
      <c r="F1015" t="s">
        <v>47</v>
      </c>
      <c r="G1015" t="s">
        <v>1034</v>
      </c>
      <c r="H1015" t="s">
        <v>15</v>
      </c>
      <c r="I1015" s="1">
        <v>2</v>
      </c>
      <c r="J1015" s="2">
        <v>603.44000000000005</v>
      </c>
    </row>
    <row r="1016" spans="2:10" x14ac:dyDescent="0.2">
      <c r="B1016" t="s">
        <v>955</v>
      </c>
      <c r="C1016" t="s">
        <v>117</v>
      </c>
      <c r="D1016" t="s">
        <v>956</v>
      </c>
      <c r="E1016" t="s">
        <v>221</v>
      </c>
      <c r="F1016" t="s">
        <v>222</v>
      </c>
      <c r="G1016" t="s">
        <v>1034</v>
      </c>
      <c r="H1016" t="s">
        <v>15</v>
      </c>
      <c r="I1016" s="1">
        <v>1</v>
      </c>
      <c r="J1016" s="2">
        <v>431.03</v>
      </c>
    </row>
    <row r="1017" spans="2:10" x14ac:dyDescent="0.2">
      <c r="B1017" t="s">
        <v>955</v>
      </c>
      <c r="C1017" t="s">
        <v>117</v>
      </c>
      <c r="D1017" t="s">
        <v>956</v>
      </c>
      <c r="E1017" t="s">
        <v>12</v>
      </c>
      <c r="F1017" t="s">
        <v>13</v>
      </c>
      <c r="G1017" t="s">
        <v>1034</v>
      </c>
      <c r="H1017" t="s">
        <v>15</v>
      </c>
      <c r="I1017" s="1">
        <v>1</v>
      </c>
      <c r="J1017" s="2">
        <v>1077.5899999999999</v>
      </c>
    </row>
    <row r="1018" spans="2:10" x14ac:dyDescent="0.2">
      <c r="B1018" t="s">
        <v>955</v>
      </c>
      <c r="C1018" t="s">
        <v>117</v>
      </c>
      <c r="D1018" t="s">
        <v>956</v>
      </c>
      <c r="E1018" t="s">
        <v>253</v>
      </c>
      <c r="F1018" t="s">
        <v>254</v>
      </c>
      <c r="G1018" t="s">
        <v>1034</v>
      </c>
      <c r="H1018" t="s">
        <v>15</v>
      </c>
      <c r="I1018" s="1">
        <v>1</v>
      </c>
      <c r="J1018" s="2">
        <v>775.86</v>
      </c>
    </row>
    <row r="1019" spans="2:10" x14ac:dyDescent="0.2">
      <c r="B1019" t="s">
        <v>955</v>
      </c>
      <c r="C1019" t="s">
        <v>117</v>
      </c>
      <c r="D1019" t="s">
        <v>956</v>
      </c>
      <c r="E1019" t="s">
        <v>72</v>
      </c>
      <c r="F1019" t="s">
        <v>73</v>
      </c>
      <c r="G1019" t="s">
        <v>1034</v>
      </c>
      <c r="H1019" t="s">
        <v>15</v>
      </c>
      <c r="I1019" s="1">
        <v>3</v>
      </c>
      <c r="J1019" s="2">
        <v>2327.58</v>
      </c>
    </row>
    <row r="1020" spans="2:10" x14ac:dyDescent="0.2">
      <c r="B1020" t="s">
        <v>955</v>
      </c>
      <c r="C1020" t="s">
        <v>117</v>
      </c>
      <c r="D1020" t="s">
        <v>956</v>
      </c>
      <c r="E1020" t="s">
        <v>153</v>
      </c>
      <c r="F1020" t="s">
        <v>154</v>
      </c>
      <c r="G1020" t="s">
        <v>1034</v>
      </c>
      <c r="H1020" t="s">
        <v>15</v>
      </c>
      <c r="I1020" s="1">
        <v>1</v>
      </c>
      <c r="J1020" s="2">
        <v>387.93</v>
      </c>
    </row>
    <row r="1021" spans="2:10" x14ac:dyDescent="0.2">
      <c r="B1021" t="s">
        <v>955</v>
      </c>
      <c r="C1021" t="s">
        <v>117</v>
      </c>
      <c r="D1021" t="s">
        <v>956</v>
      </c>
      <c r="E1021" t="s">
        <v>56</v>
      </c>
      <c r="F1021" t="s">
        <v>57</v>
      </c>
      <c r="G1021" t="s">
        <v>1034</v>
      </c>
      <c r="H1021" t="s">
        <v>15</v>
      </c>
      <c r="I1021" s="1">
        <v>1</v>
      </c>
      <c r="J1021" s="2">
        <v>431.03</v>
      </c>
    </row>
    <row r="1022" spans="2:10" x14ac:dyDescent="0.2">
      <c r="B1022" t="s">
        <v>955</v>
      </c>
      <c r="C1022" t="s">
        <v>117</v>
      </c>
      <c r="D1022" t="s">
        <v>956</v>
      </c>
      <c r="E1022" t="s">
        <v>163</v>
      </c>
      <c r="F1022" t="s">
        <v>164</v>
      </c>
      <c r="G1022" t="s">
        <v>1034</v>
      </c>
      <c r="H1022" t="s">
        <v>15</v>
      </c>
      <c r="I1022" s="1">
        <v>1</v>
      </c>
      <c r="J1022" s="2">
        <v>431.03</v>
      </c>
    </row>
    <row r="1023" spans="2:10" x14ac:dyDescent="0.2">
      <c r="B1023" t="s">
        <v>955</v>
      </c>
      <c r="C1023" t="s">
        <v>129</v>
      </c>
      <c r="D1023" t="s">
        <v>277</v>
      </c>
      <c r="E1023" t="s">
        <v>46</v>
      </c>
      <c r="F1023" t="s">
        <v>47</v>
      </c>
      <c r="G1023" t="s">
        <v>1034</v>
      </c>
      <c r="H1023" t="s">
        <v>15</v>
      </c>
      <c r="I1023" s="1">
        <v>1</v>
      </c>
      <c r="J1023" s="2">
        <v>301.72000000000003</v>
      </c>
    </row>
    <row r="1024" spans="2:10" x14ac:dyDescent="0.2">
      <c r="B1024" t="s">
        <v>955</v>
      </c>
      <c r="C1024" t="s">
        <v>129</v>
      </c>
      <c r="D1024" t="s">
        <v>277</v>
      </c>
      <c r="E1024" t="s">
        <v>221</v>
      </c>
      <c r="F1024" t="s">
        <v>222</v>
      </c>
      <c r="G1024" t="s">
        <v>1034</v>
      </c>
      <c r="H1024" t="s">
        <v>15</v>
      </c>
      <c r="I1024" s="1">
        <v>2</v>
      </c>
      <c r="J1024" s="2">
        <v>862.06</v>
      </c>
    </row>
    <row r="1025" spans="2:10" x14ac:dyDescent="0.2">
      <c r="B1025" t="s">
        <v>955</v>
      </c>
      <c r="C1025" t="s">
        <v>129</v>
      </c>
      <c r="D1025" t="s">
        <v>277</v>
      </c>
      <c r="E1025" t="s">
        <v>72</v>
      </c>
      <c r="F1025" t="s">
        <v>73</v>
      </c>
      <c r="G1025" t="s">
        <v>1034</v>
      </c>
      <c r="H1025" t="s">
        <v>15</v>
      </c>
      <c r="I1025" s="1">
        <v>2</v>
      </c>
      <c r="J1025" s="2">
        <v>1551.72</v>
      </c>
    </row>
    <row r="1026" spans="2:10" x14ac:dyDescent="0.2">
      <c r="B1026" t="s">
        <v>955</v>
      </c>
      <c r="C1026" t="s">
        <v>129</v>
      </c>
      <c r="D1026" t="s">
        <v>277</v>
      </c>
      <c r="E1026" t="s">
        <v>122</v>
      </c>
      <c r="F1026" t="s">
        <v>123</v>
      </c>
      <c r="G1026" t="s">
        <v>1034</v>
      </c>
      <c r="H1026" t="s">
        <v>15</v>
      </c>
      <c r="I1026" s="1">
        <v>1</v>
      </c>
      <c r="J1026" s="2">
        <v>387.93</v>
      </c>
    </row>
    <row r="1027" spans="2:10" x14ac:dyDescent="0.2">
      <c r="B1027" t="s">
        <v>955</v>
      </c>
      <c r="C1027" t="s">
        <v>129</v>
      </c>
      <c r="D1027" t="s">
        <v>277</v>
      </c>
      <c r="E1027" t="s">
        <v>56</v>
      </c>
      <c r="F1027" t="s">
        <v>57</v>
      </c>
      <c r="G1027" t="s">
        <v>1034</v>
      </c>
      <c r="H1027" t="s">
        <v>15</v>
      </c>
      <c r="I1027" s="1">
        <v>4</v>
      </c>
      <c r="J1027" s="2">
        <v>1724.1299999999999</v>
      </c>
    </row>
    <row r="1028" spans="2:10" x14ac:dyDescent="0.2">
      <c r="B1028" t="s">
        <v>955</v>
      </c>
      <c r="C1028" t="s">
        <v>129</v>
      </c>
      <c r="D1028" t="s">
        <v>277</v>
      </c>
      <c r="E1028" t="s">
        <v>527</v>
      </c>
      <c r="F1028" t="s">
        <v>528</v>
      </c>
      <c r="G1028" t="s">
        <v>1034</v>
      </c>
      <c r="H1028" t="s">
        <v>15</v>
      </c>
      <c r="I1028" s="1">
        <v>1</v>
      </c>
      <c r="J1028" s="2">
        <v>241.38</v>
      </c>
    </row>
    <row r="1029" spans="2:10" x14ac:dyDescent="0.2">
      <c r="B1029" t="s">
        <v>955</v>
      </c>
      <c r="C1029" t="s">
        <v>134</v>
      </c>
      <c r="D1029" t="s">
        <v>956</v>
      </c>
      <c r="E1029" t="s">
        <v>72</v>
      </c>
      <c r="F1029" t="s">
        <v>73</v>
      </c>
      <c r="G1029" t="s">
        <v>1034</v>
      </c>
      <c r="H1029" t="s">
        <v>15</v>
      </c>
      <c r="I1029" s="1">
        <v>1</v>
      </c>
      <c r="J1029" s="2">
        <v>775.86</v>
      </c>
    </row>
    <row r="1030" spans="2:10" x14ac:dyDescent="0.2">
      <c r="B1030" t="s">
        <v>955</v>
      </c>
      <c r="C1030" t="s">
        <v>134</v>
      </c>
      <c r="D1030" t="s">
        <v>956</v>
      </c>
      <c r="E1030" t="s">
        <v>122</v>
      </c>
      <c r="F1030" t="s">
        <v>123</v>
      </c>
      <c r="G1030" t="s">
        <v>1034</v>
      </c>
      <c r="H1030" t="s">
        <v>15</v>
      </c>
      <c r="I1030" s="1">
        <v>1</v>
      </c>
      <c r="J1030" s="2">
        <v>387.93</v>
      </c>
    </row>
    <row r="1031" spans="2:10" x14ac:dyDescent="0.2">
      <c r="B1031" t="s">
        <v>955</v>
      </c>
      <c r="C1031" t="s">
        <v>134</v>
      </c>
      <c r="D1031" t="s">
        <v>956</v>
      </c>
      <c r="E1031" t="s">
        <v>974</v>
      </c>
      <c r="F1031" t="s">
        <v>975</v>
      </c>
      <c r="G1031" t="s">
        <v>1034</v>
      </c>
      <c r="H1031" t="s">
        <v>15</v>
      </c>
      <c r="I1031" s="1">
        <v>1</v>
      </c>
      <c r="J1031" s="2">
        <v>431.03</v>
      </c>
    </row>
    <row r="1032" spans="2:10" x14ac:dyDescent="0.2">
      <c r="B1032" t="s">
        <v>955</v>
      </c>
      <c r="C1032" t="s">
        <v>134</v>
      </c>
      <c r="D1032" t="s">
        <v>956</v>
      </c>
      <c r="E1032" t="s">
        <v>163</v>
      </c>
      <c r="F1032" t="s">
        <v>164</v>
      </c>
      <c r="G1032" t="s">
        <v>1034</v>
      </c>
      <c r="H1032" t="s">
        <v>15</v>
      </c>
      <c r="I1032" s="1">
        <v>1</v>
      </c>
      <c r="J1032" s="2">
        <v>431.03</v>
      </c>
    </row>
    <row r="1033" spans="2:10" x14ac:dyDescent="0.2">
      <c r="B1033" t="s">
        <v>955</v>
      </c>
      <c r="C1033" t="s">
        <v>135</v>
      </c>
      <c r="D1033" t="s">
        <v>956</v>
      </c>
      <c r="E1033" t="s">
        <v>36</v>
      </c>
      <c r="F1033" t="s">
        <v>37</v>
      </c>
      <c r="G1033" t="s">
        <v>1034</v>
      </c>
      <c r="H1033" t="s">
        <v>15</v>
      </c>
      <c r="I1033" s="1">
        <v>1</v>
      </c>
      <c r="J1033" s="2">
        <v>301.72000000000003</v>
      </c>
    </row>
    <row r="1034" spans="2:10" x14ac:dyDescent="0.2">
      <c r="B1034" t="s">
        <v>955</v>
      </c>
      <c r="C1034" t="s">
        <v>135</v>
      </c>
      <c r="D1034" t="s">
        <v>956</v>
      </c>
      <c r="E1034" t="s">
        <v>72</v>
      </c>
      <c r="F1034" t="s">
        <v>73</v>
      </c>
      <c r="G1034" t="s">
        <v>1034</v>
      </c>
      <c r="H1034" t="s">
        <v>15</v>
      </c>
      <c r="I1034" s="1">
        <v>1</v>
      </c>
      <c r="J1034" s="2">
        <v>775.86</v>
      </c>
    </row>
    <row r="1035" spans="2:10" x14ac:dyDescent="0.2">
      <c r="B1035" t="s">
        <v>955</v>
      </c>
      <c r="C1035" t="s">
        <v>135</v>
      </c>
      <c r="D1035" t="s">
        <v>956</v>
      </c>
      <c r="E1035" t="s">
        <v>83</v>
      </c>
      <c r="F1035" t="s">
        <v>84</v>
      </c>
      <c r="G1035" t="s">
        <v>1034</v>
      </c>
      <c r="H1035" t="s">
        <v>15</v>
      </c>
      <c r="I1035" s="1">
        <v>1</v>
      </c>
      <c r="J1035" s="2">
        <v>387.93</v>
      </c>
    </row>
    <row r="1036" spans="2:10" x14ac:dyDescent="0.2">
      <c r="B1036" t="s">
        <v>955</v>
      </c>
      <c r="C1036" t="s">
        <v>141</v>
      </c>
      <c r="D1036" t="s">
        <v>956</v>
      </c>
      <c r="E1036" t="s">
        <v>120</v>
      </c>
      <c r="F1036" t="s">
        <v>121</v>
      </c>
      <c r="G1036" t="s">
        <v>1034</v>
      </c>
      <c r="H1036" t="s">
        <v>15</v>
      </c>
      <c r="I1036" s="1">
        <v>1</v>
      </c>
      <c r="J1036" s="2">
        <v>301.72000000000003</v>
      </c>
    </row>
    <row r="1037" spans="2:10" x14ac:dyDescent="0.2">
      <c r="B1037" t="s">
        <v>955</v>
      </c>
      <c r="C1037" t="s">
        <v>141</v>
      </c>
      <c r="D1037" t="s">
        <v>956</v>
      </c>
      <c r="E1037" t="s">
        <v>12</v>
      </c>
      <c r="F1037" t="s">
        <v>13</v>
      </c>
      <c r="G1037" t="s">
        <v>1034</v>
      </c>
      <c r="H1037" t="s">
        <v>15</v>
      </c>
      <c r="I1037" s="1">
        <v>1</v>
      </c>
      <c r="J1037" s="2">
        <v>1077.5899999999999</v>
      </c>
    </row>
    <row r="1038" spans="2:10" x14ac:dyDescent="0.2">
      <c r="B1038" t="s">
        <v>955</v>
      </c>
      <c r="C1038" t="s">
        <v>141</v>
      </c>
      <c r="D1038" t="s">
        <v>956</v>
      </c>
      <c r="E1038" t="s">
        <v>36</v>
      </c>
      <c r="F1038" t="s">
        <v>37</v>
      </c>
      <c r="G1038" t="s">
        <v>1034</v>
      </c>
      <c r="H1038" t="s">
        <v>15</v>
      </c>
      <c r="I1038" s="1">
        <v>2</v>
      </c>
      <c r="J1038" s="2">
        <v>603.44000000000005</v>
      </c>
    </row>
    <row r="1039" spans="2:10" x14ac:dyDescent="0.2">
      <c r="B1039" t="s">
        <v>955</v>
      </c>
      <c r="C1039" t="s">
        <v>141</v>
      </c>
      <c r="D1039" t="s">
        <v>956</v>
      </c>
      <c r="E1039" t="s">
        <v>72</v>
      </c>
      <c r="F1039" t="s">
        <v>73</v>
      </c>
      <c r="G1039" t="s">
        <v>1034</v>
      </c>
      <c r="H1039" t="s">
        <v>15</v>
      </c>
      <c r="I1039" s="1">
        <v>2</v>
      </c>
      <c r="J1039" s="2">
        <v>1551.72</v>
      </c>
    </row>
    <row r="1040" spans="2:10" x14ac:dyDescent="0.2">
      <c r="B1040" t="s">
        <v>955</v>
      </c>
      <c r="C1040" t="s">
        <v>141</v>
      </c>
      <c r="D1040" t="s">
        <v>956</v>
      </c>
      <c r="E1040" t="s">
        <v>163</v>
      </c>
      <c r="F1040" t="s">
        <v>164</v>
      </c>
      <c r="G1040" t="s">
        <v>1034</v>
      </c>
      <c r="H1040" t="s">
        <v>15</v>
      </c>
      <c r="I1040" s="1">
        <v>1</v>
      </c>
      <c r="J1040" s="2">
        <v>431.03</v>
      </c>
    </row>
    <row r="1041" spans="2:10" x14ac:dyDescent="0.2">
      <c r="B1041" t="s">
        <v>955</v>
      </c>
      <c r="C1041" t="s">
        <v>144</v>
      </c>
      <c r="D1041" t="s">
        <v>956</v>
      </c>
      <c r="E1041" t="s">
        <v>36</v>
      </c>
      <c r="F1041" t="s">
        <v>37</v>
      </c>
      <c r="G1041" t="s">
        <v>1034</v>
      </c>
      <c r="H1041" t="s">
        <v>15</v>
      </c>
      <c r="I1041" s="1">
        <v>1</v>
      </c>
      <c r="J1041" s="2">
        <v>301.72000000000003</v>
      </c>
    </row>
    <row r="1042" spans="2:10" x14ac:dyDescent="0.2">
      <c r="B1042" t="s">
        <v>955</v>
      </c>
      <c r="C1042" t="s">
        <v>144</v>
      </c>
      <c r="D1042" t="s">
        <v>956</v>
      </c>
      <c r="E1042" t="s">
        <v>72</v>
      </c>
      <c r="F1042" t="s">
        <v>73</v>
      </c>
      <c r="G1042" t="s">
        <v>1034</v>
      </c>
      <c r="H1042" t="s">
        <v>15</v>
      </c>
      <c r="I1042" s="1">
        <v>1</v>
      </c>
      <c r="J1042" s="2">
        <v>775.86</v>
      </c>
    </row>
    <row r="1043" spans="2:10" x14ac:dyDescent="0.2">
      <c r="B1043" t="s">
        <v>955</v>
      </c>
      <c r="C1043" t="s">
        <v>144</v>
      </c>
      <c r="D1043" t="s">
        <v>956</v>
      </c>
      <c r="E1043" t="s">
        <v>56</v>
      </c>
      <c r="F1043" t="s">
        <v>57</v>
      </c>
      <c r="G1043" t="s">
        <v>1034</v>
      </c>
      <c r="H1043" t="s">
        <v>15</v>
      </c>
      <c r="I1043" s="1">
        <v>2</v>
      </c>
      <c r="J1043" s="2">
        <v>862.06</v>
      </c>
    </row>
    <row r="1044" spans="2:10" x14ac:dyDescent="0.2">
      <c r="B1044" t="s">
        <v>955</v>
      </c>
      <c r="C1044" t="s">
        <v>165</v>
      </c>
      <c r="D1044" t="s">
        <v>277</v>
      </c>
      <c r="E1044" t="s">
        <v>12</v>
      </c>
      <c r="F1044" t="s">
        <v>13</v>
      </c>
      <c r="G1044" t="s">
        <v>1034</v>
      </c>
      <c r="H1044" t="s">
        <v>15</v>
      </c>
      <c r="I1044" s="1">
        <v>1</v>
      </c>
      <c r="J1044" s="2">
        <v>1077.5899999999999</v>
      </c>
    </row>
    <row r="1045" spans="2:10" x14ac:dyDescent="0.2">
      <c r="B1045" t="s">
        <v>955</v>
      </c>
      <c r="C1045" t="s">
        <v>165</v>
      </c>
      <c r="D1045" t="s">
        <v>277</v>
      </c>
      <c r="E1045" t="s">
        <v>72</v>
      </c>
      <c r="F1045" t="s">
        <v>73</v>
      </c>
      <c r="G1045" t="s">
        <v>1034</v>
      </c>
      <c r="H1045" t="s">
        <v>15</v>
      </c>
      <c r="I1045" s="1">
        <v>1</v>
      </c>
      <c r="J1045" s="2">
        <v>775.86</v>
      </c>
    </row>
    <row r="1046" spans="2:10" x14ac:dyDescent="0.2">
      <c r="B1046" t="s">
        <v>955</v>
      </c>
      <c r="C1046" t="s">
        <v>165</v>
      </c>
      <c r="D1046" t="s">
        <v>277</v>
      </c>
      <c r="E1046" t="s">
        <v>83</v>
      </c>
      <c r="F1046" t="s">
        <v>84</v>
      </c>
      <c r="G1046" t="s">
        <v>1034</v>
      </c>
      <c r="H1046" t="s">
        <v>15</v>
      </c>
      <c r="I1046" s="1">
        <v>1</v>
      </c>
      <c r="J1046" s="2">
        <v>387.93</v>
      </c>
    </row>
    <row r="1047" spans="2:10" x14ac:dyDescent="0.2">
      <c r="B1047" t="s">
        <v>955</v>
      </c>
      <c r="C1047" t="s">
        <v>165</v>
      </c>
      <c r="D1047" t="s">
        <v>277</v>
      </c>
      <c r="E1047" t="s">
        <v>56</v>
      </c>
      <c r="F1047" t="s">
        <v>57</v>
      </c>
      <c r="G1047" t="s">
        <v>1034</v>
      </c>
      <c r="H1047" t="s">
        <v>15</v>
      </c>
      <c r="I1047" s="1">
        <v>1</v>
      </c>
      <c r="J1047" s="2">
        <v>431.03</v>
      </c>
    </row>
    <row r="1048" spans="2:10" x14ac:dyDescent="0.2">
      <c r="B1048" t="s">
        <v>955</v>
      </c>
      <c r="C1048" t="s">
        <v>166</v>
      </c>
      <c r="D1048" t="s">
        <v>956</v>
      </c>
      <c r="E1048" t="s">
        <v>46</v>
      </c>
      <c r="F1048" t="s">
        <v>47</v>
      </c>
      <c r="G1048" t="s">
        <v>1034</v>
      </c>
      <c r="H1048" t="s">
        <v>15</v>
      </c>
      <c r="I1048" s="1">
        <v>1</v>
      </c>
      <c r="J1048" s="2">
        <v>301.72000000000003</v>
      </c>
    </row>
    <row r="1049" spans="2:10" x14ac:dyDescent="0.2">
      <c r="B1049" t="s">
        <v>955</v>
      </c>
      <c r="C1049" t="s">
        <v>185</v>
      </c>
      <c r="D1049" t="s">
        <v>277</v>
      </c>
      <c r="E1049" t="s">
        <v>12</v>
      </c>
      <c r="F1049" t="s">
        <v>13</v>
      </c>
      <c r="G1049" t="s">
        <v>1034</v>
      </c>
      <c r="H1049" t="s">
        <v>15</v>
      </c>
      <c r="I1049" s="1">
        <v>1</v>
      </c>
      <c r="J1049" s="2">
        <v>1077.5899999999999</v>
      </c>
    </row>
    <row r="1050" spans="2:10" x14ac:dyDescent="0.2">
      <c r="B1050" t="s">
        <v>955</v>
      </c>
      <c r="C1050" t="s">
        <v>185</v>
      </c>
      <c r="D1050" t="s">
        <v>277</v>
      </c>
      <c r="E1050" t="s">
        <v>974</v>
      </c>
      <c r="F1050" t="s">
        <v>975</v>
      </c>
      <c r="G1050" t="s">
        <v>1034</v>
      </c>
      <c r="H1050" t="s">
        <v>15</v>
      </c>
      <c r="I1050" s="1">
        <v>1</v>
      </c>
      <c r="J1050" s="2">
        <v>431.03</v>
      </c>
    </row>
    <row r="1051" spans="2:10" x14ac:dyDescent="0.2">
      <c r="B1051" t="s">
        <v>955</v>
      </c>
      <c r="C1051" t="s">
        <v>335</v>
      </c>
      <c r="D1051" t="s">
        <v>956</v>
      </c>
      <c r="E1051" t="s">
        <v>12</v>
      </c>
      <c r="F1051" t="s">
        <v>13</v>
      </c>
      <c r="G1051" t="s">
        <v>1034</v>
      </c>
      <c r="H1051" t="s">
        <v>15</v>
      </c>
      <c r="I1051" s="1">
        <v>1</v>
      </c>
      <c r="J1051" s="2">
        <v>1077.5899999999999</v>
      </c>
    </row>
    <row r="1052" spans="2:10" x14ac:dyDescent="0.2">
      <c r="B1052" t="s">
        <v>955</v>
      </c>
      <c r="C1052" t="s">
        <v>335</v>
      </c>
      <c r="D1052" t="s">
        <v>956</v>
      </c>
      <c r="E1052" t="s">
        <v>72</v>
      </c>
      <c r="F1052" t="s">
        <v>73</v>
      </c>
      <c r="G1052" t="s">
        <v>1034</v>
      </c>
      <c r="H1052" t="s">
        <v>15</v>
      </c>
      <c r="I1052" s="1">
        <v>1</v>
      </c>
      <c r="J1052" s="2">
        <v>775.86</v>
      </c>
    </row>
    <row r="1053" spans="2:10" x14ac:dyDescent="0.2">
      <c r="B1053" t="s">
        <v>955</v>
      </c>
      <c r="C1053" t="s">
        <v>335</v>
      </c>
      <c r="D1053" t="s">
        <v>956</v>
      </c>
      <c r="E1053" t="s">
        <v>163</v>
      </c>
      <c r="F1053" t="s">
        <v>164</v>
      </c>
      <c r="G1053" t="s">
        <v>1034</v>
      </c>
      <c r="H1053" t="s">
        <v>15</v>
      </c>
      <c r="I1053" s="1">
        <v>1</v>
      </c>
      <c r="J1053" s="2">
        <v>431.03</v>
      </c>
    </row>
    <row r="1054" spans="2:10" x14ac:dyDescent="0.2">
      <c r="B1054" t="s">
        <v>955</v>
      </c>
      <c r="C1054" t="s">
        <v>335</v>
      </c>
      <c r="D1054" t="s">
        <v>956</v>
      </c>
      <c r="E1054" t="s">
        <v>193</v>
      </c>
      <c r="F1054" t="s">
        <v>194</v>
      </c>
      <c r="G1054" t="s">
        <v>1034</v>
      </c>
      <c r="H1054" t="s">
        <v>15</v>
      </c>
      <c r="I1054" s="1">
        <v>1</v>
      </c>
      <c r="J1054" s="2">
        <v>1293.0999999999999</v>
      </c>
    </row>
    <row r="1055" spans="2:10" x14ac:dyDescent="0.2">
      <c r="B1055" t="s">
        <v>955</v>
      </c>
      <c r="C1055" t="s">
        <v>418</v>
      </c>
      <c r="D1055" t="s">
        <v>130</v>
      </c>
      <c r="E1055" t="s">
        <v>72</v>
      </c>
      <c r="F1055" t="s">
        <v>73</v>
      </c>
      <c r="G1055" t="s">
        <v>1034</v>
      </c>
      <c r="H1055" t="s">
        <v>15</v>
      </c>
      <c r="I1055" s="1">
        <v>1</v>
      </c>
      <c r="J1055" s="2">
        <v>775.86</v>
      </c>
    </row>
    <row r="1056" spans="2:10" x14ac:dyDescent="0.2">
      <c r="B1056" t="s">
        <v>955</v>
      </c>
      <c r="C1056" t="s">
        <v>418</v>
      </c>
      <c r="D1056" t="s">
        <v>130</v>
      </c>
      <c r="E1056" t="s">
        <v>83</v>
      </c>
      <c r="F1056" t="s">
        <v>84</v>
      </c>
      <c r="G1056" t="s">
        <v>1034</v>
      </c>
      <c r="H1056" t="s">
        <v>15</v>
      </c>
      <c r="I1056" s="1">
        <v>1</v>
      </c>
      <c r="J1056" s="2">
        <v>387.93</v>
      </c>
    </row>
    <row r="1057" spans="2:10" x14ac:dyDescent="0.2">
      <c r="B1057" t="s">
        <v>955</v>
      </c>
      <c r="C1057" t="s">
        <v>418</v>
      </c>
      <c r="D1057" t="s">
        <v>956</v>
      </c>
      <c r="E1057" t="s">
        <v>83</v>
      </c>
      <c r="F1057" t="s">
        <v>84</v>
      </c>
      <c r="G1057" t="s">
        <v>1034</v>
      </c>
      <c r="H1057" t="s">
        <v>15</v>
      </c>
      <c r="I1057" s="1">
        <v>1</v>
      </c>
      <c r="J1057" s="2">
        <v>387.93</v>
      </c>
    </row>
    <row r="1058" spans="2:10" x14ac:dyDescent="0.2">
      <c r="B1058" t="s">
        <v>955</v>
      </c>
      <c r="C1058" t="s">
        <v>186</v>
      </c>
      <c r="D1058" t="s">
        <v>956</v>
      </c>
      <c r="E1058" t="s">
        <v>974</v>
      </c>
      <c r="F1058" t="s">
        <v>975</v>
      </c>
      <c r="G1058" t="s">
        <v>1034</v>
      </c>
      <c r="H1058" t="s">
        <v>15</v>
      </c>
      <c r="I1058" s="1">
        <v>1</v>
      </c>
      <c r="J1058" s="2">
        <v>431.03</v>
      </c>
    </row>
    <row r="1059" spans="2:10" x14ac:dyDescent="0.2">
      <c r="B1059" t="s">
        <v>955</v>
      </c>
      <c r="C1059" t="s">
        <v>186</v>
      </c>
      <c r="D1059" t="s">
        <v>956</v>
      </c>
      <c r="E1059" t="s">
        <v>56</v>
      </c>
      <c r="F1059" t="s">
        <v>57</v>
      </c>
      <c r="G1059" t="s">
        <v>1034</v>
      </c>
      <c r="H1059" t="s">
        <v>15</v>
      </c>
      <c r="I1059" s="1">
        <v>1</v>
      </c>
      <c r="J1059" s="2">
        <v>431.03</v>
      </c>
    </row>
    <row r="1060" spans="2:10" x14ac:dyDescent="0.2">
      <c r="B1060" t="s">
        <v>955</v>
      </c>
      <c r="C1060" t="s">
        <v>197</v>
      </c>
      <c r="D1060" t="s">
        <v>956</v>
      </c>
      <c r="E1060" t="s">
        <v>974</v>
      </c>
      <c r="F1060" t="s">
        <v>975</v>
      </c>
      <c r="G1060" t="s">
        <v>1034</v>
      </c>
      <c r="H1060" t="s">
        <v>15</v>
      </c>
      <c r="I1060" s="1">
        <v>1</v>
      </c>
      <c r="J1060" s="2">
        <v>431.03</v>
      </c>
    </row>
    <row r="1061" spans="2:10" x14ac:dyDescent="0.2">
      <c r="B1061" t="s">
        <v>955</v>
      </c>
      <c r="C1061" t="s">
        <v>206</v>
      </c>
      <c r="D1061" t="s">
        <v>956</v>
      </c>
      <c r="E1061" t="s">
        <v>72</v>
      </c>
      <c r="F1061" t="s">
        <v>73</v>
      </c>
      <c r="G1061" t="s">
        <v>1034</v>
      </c>
      <c r="H1061" t="s">
        <v>15</v>
      </c>
      <c r="I1061" s="1">
        <v>3</v>
      </c>
      <c r="J1061" s="2">
        <v>2327.58</v>
      </c>
    </row>
    <row r="1062" spans="2:10" x14ac:dyDescent="0.2">
      <c r="B1062" t="s">
        <v>955</v>
      </c>
      <c r="C1062" t="s">
        <v>206</v>
      </c>
      <c r="D1062" t="s">
        <v>956</v>
      </c>
      <c r="E1062" t="s">
        <v>83</v>
      </c>
      <c r="F1062" t="s">
        <v>84</v>
      </c>
      <c r="G1062" t="s">
        <v>1034</v>
      </c>
      <c r="H1062" t="s">
        <v>15</v>
      </c>
      <c r="I1062" s="1">
        <v>1</v>
      </c>
      <c r="J1062" s="2">
        <v>387.93</v>
      </c>
    </row>
    <row r="1063" spans="2:10" x14ac:dyDescent="0.2">
      <c r="B1063" t="s">
        <v>955</v>
      </c>
      <c r="C1063" t="s">
        <v>206</v>
      </c>
      <c r="D1063" t="s">
        <v>956</v>
      </c>
      <c r="E1063" t="s">
        <v>193</v>
      </c>
      <c r="F1063" t="s">
        <v>194</v>
      </c>
      <c r="G1063" t="s">
        <v>1034</v>
      </c>
      <c r="H1063" t="s">
        <v>15</v>
      </c>
      <c r="I1063" s="1">
        <v>1</v>
      </c>
      <c r="J1063" s="2">
        <v>1293.0999999999999</v>
      </c>
    </row>
    <row r="1064" spans="2:10" x14ac:dyDescent="0.2">
      <c r="B1064" t="s">
        <v>955</v>
      </c>
      <c r="C1064" t="s">
        <v>220</v>
      </c>
      <c r="D1064" t="s">
        <v>956</v>
      </c>
      <c r="E1064" t="s">
        <v>46</v>
      </c>
      <c r="F1064" t="s">
        <v>47</v>
      </c>
      <c r="G1064" t="s">
        <v>1034</v>
      </c>
      <c r="H1064" t="s">
        <v>15</v>
      </c>
      <c r="I1064" s="1">
        <v>1</v>
      </c>
      <c r="J1064" s="2">
        <v>301.72000000000003</v>
      </c>
    </row>
    <row r="1065" spans="2:10" x14ac:dyDescent="0.2">
      <c r="B1065" t="s">
        <v>955</v>
      </c>
      <c r="C1065" t="s">
        <v>220</v>
      </c>
      <c r="D1065" t="s">
        <v>956</v>
      </c>
      <c r="E1065" t="s">
        <v>12</v>
      </c>
      <c r="F1065" t="s">
        <v>13</v>
      </c>
      <c r="G1065" t="s">
        <v>1034</v>
      </c>
      <c r="H1065" t="s">
        <v>15</v>
      </c>
      <c r="I1065" s="1">
        <v>1</v>
      </c>
      <c r="J1065" s="2">
        <v>1077.5899999999999</v>
      </c>
    </row>
    <row r="1066" spans="2:10" x14ac:dyDescent="0.2">
      <c r="B1066" t="s">
        <v>955</v>
      </c>
      <c r="C1066" t="s">
        <v>220</v>
      </c>
      <c r="D1066" t="s">
        <v>956</v>
      </c>
      <c r="E1066" t="s">
        <v>72</v>
      </c>
      <c r="F1066" t="s">
        <v>73</v>
      </c>
      <c r="G1066" t="s">
        <v>1034</v>
      </c>
      <c r="H1066" t="s">
        <v>15</v>
      </c>
      <c r="I1066" s="1">
        <v>1</v>
      </c>
      <c r="J1066" s="2">
        <v>775.86</v>
      </c>
    </row>
    <row r="1067" spans="2:10" x14ac:dyDescent="0.2">
      <c r="B1067" t="s">
        <v>955</v>
      </c>
      <c r="C1067" t="s">
        <v>220</v>
      </c>
      <c r="D1067" t="s">
        <v>956</v>
      </c>
      <c r="E1067" t="s">
        <v>83</v>
      </c>
      <c r="F1067" t="s">
        <v>84</v>
      </c>
      <c r="G1067" t="s">
        <v>1034</v>
      </c>
      <c r="H1067" t="s">
        <v>15</v>
      </c>
      <c r="I1067" s="1">
        <v>2</v>
      </c>
      <c r="J1067" s="2">
        <v>775.86</v>
      </c>
    </row>
    <row r="1068" spans="2:10" x14ac:dyDescent="0.2">
      <c r="B1068" t="s">
        <v>955</v>
      </c>
      <c r="C1068" t="s">
        <v>220</v>
      </c>
      <c r="D1068" t="s">
        <v>956</v>
      </c>
      <c r="E1068" t="s">
        <v>61</v>
      </c>
      <c r="F1068" t="s">
        <v>62</v>
      </c>
      <c r="G1068" t="s">
        <v>1034</v>
      </c>
      <c r="H1068" t="s">
        <v>15</v>
      </c>
      <c r="I1068" s="1">
        <v>1</v>
      </c>
      <c r="J1068" s="2">
        <v>172.41</v>
      </c>
    </row>
    <row r="1069" spans="2:10" x14ac:dyDescent="0.2">
      <c r="B1069" t="s">
        <v>955</v>
      </c>
      <c r="C1069" t="s">
        <v>220</v>
      </c>
      <c r="D1069" t="s">
        <v>956</v>
      </c>
      <c r="E1069" t="s">
        <v>63</v>
      </c>
      <c r="F1069" t="s">
        <v>64</v>
      </c>
      <c r="G1069" t="s">
        <v>1034</v>
      </c>
      <c r="H1069" t="s">
        <v>15</v>
      </c>
      <c r="I1069" s="1">
        <v>1</v>
      </c>
      <c r="J1069" s="2">
        <v>172.41</v>
      </c>
    </row>
    <row r="1070" spans="2:10" x14ac:dyDescent="0.2">
      <c r="B1070" t="s">
        <v>955</v>
      </c>
      <c r="C1070" t="s">
        <v>225</v>
      </c>
      <c r="D1070" t="s">
        <v>277</v>
      </c>
      <c r="E1070" t="s">
        <v>72</v>
      </c>
      <c r="F1070" t="s">
        <v>73</v>
      </c>
      <c r="G1070" t="s">
        <v>1034</v>
      </c>
      <c r="H1070" t="s">
        <v>15</v>
      </c>
      <c r="I1070" s="1">
        <v>1</v>
      </c>
      <c r="J1070" s="2">
        <v>775.86</v>
      </c>
    </row>
    <row r="1071" spans="2:10" x14ac:dyDescent="0.2">
      <c r="B1071" t="s">
        <v>955</v>
      </c>
      <c r="C1071" t="s">
        <v>227</v>
      </c>
      <c r="D1071" t="s">
        <v>956</v>
      </c>
      <c r="E1071" t="s">
        <v>36</v>
      </c>
      <c r="F1071" t="s">
        <v>37</v>
      </c>
      <c r="G1071" t="s">
        <v>1034</v>
      </c>
      <c r="H1071" t="s">
        <v>15</v>
      </c>
      <c r="I1071" s="1">
        <v>1</v>
      </c>
      <c r="J1071" s="2">
        <v>301.72000000000003</v>
      </c>
    </row>
    <row r="1072" spans="2:10" x14ac:dyDescent="0.2">
      <c r="B1072" t="s">
        <v>955</v>
      </c>
      <c r="C1072" t="s">
        <v>228</v>
      </c>
      <c r="D1072" t="s">
        <v>277</v>
      </c>
      <c r="E1072" t="s">
        <v>72</v>
      </c>
      <c r="F1072" t="s">
        <v>73</v>
      </c>
      <c r="G1072" t="s">
        <v>1034</v>
      </c>
      <c r="H1072" t="s">
        <v>15</v>
      </c>
      <c r="I1072" s="1">
        <v>1</v>
      </c>
      <c r="J1072" s="2">
        <v>775.86</v>
      </c>
    </row>
    <row r="1073" spans="2:10" x14ac:dyDescent="0.2">
      <c r="B1073" t="s">
        <v>955</v>
      </c>
      <c r="C1073" t="s">
        <v>228</v>
      </c>
      <c r="D1073" t="s">
        <v>277</v>
      </c>
      <c r="E1073" t="s">
        <v>38</v>
      </c>
      <c r="F1073" t="s">
        <v>39</v>
      </c>
      <c r="G1073" t="s">
        <v>1034</v>
      </c>
      <c r="H1073" t="s">
        <v>15</v>
      </c>
      <c r="I1073" s="1">
        <v>1</v>
      </c>
      <c r="J1073" s="2">
        <v>431.03</v>
      </c>
    </row>
    <row r="1074" spans="2:10" x14ac:dyDescent="0.2">
      <c r="B1074" t="s">
        <v>955</v>
      </c>
      <c r="C1074" t="s">
        <v>236</v>
      </c>
      <c r="D1074" t="s">
        <v>32</v>
      </c>
      <c r="E1074" t="s">
        <v>120</v>
      </c>
      <c r="F1074" t="s">
        <v>121</v>
      </c>
      <c r="G1074" t="s">
        <v>1034</v>
      </c>
      <c r="H1074" t="s">
        <v>15</v>
      </c>
      <c r="I1074" s="1">
        <v>1</v>
      </c>
      <c r="J1074" s="2">
        <v>301.72000000000003</v>
      </c>
    </row>
    <row r="1075" spans="2:10" x14ac:dyDescent="0.2">
      <c r="B1075" t="s">
        <v>955</v>
      </c>
      <c r="C1075" t="s">
        <v>236</v>
      </c>
      <c r="D1075" t="s">
        <v>32</v>
      </c>
      <c r="E1075" t="s">
        <v>72</v>
      </c>
      <c r="F1075" t="s">
        <v>73</v>
      </c>
      <c r="G1075" t="s">
        <v>1034</v>
      </c>
      <c r="H1075" t="s">
        <v>15</v>
      </c>
      <c r="I1075" s="1">
        <v>1</v>
      </c>
      <c r="J1075" s="2">
        <v>775.86</v>
      </c>
    </row>
    <row r="1076" spans="2:10" x14ac:dyDescent="0.2">
      <c r="B1076" t="s">
        <v>955</v>
      </c>
      <c r="C1076" t="s">
        <v>236</v>
      </c>
      <c r="D1076" t="s">
        <v>32</v>
      </c>
      <c r="E1076" t="s">
        <v>527</v>
      </c>
      <c r="F1076" t="s">
        <v>528</v>
      </c>
      <c r="G1076" t="s">
        <v>1034</v>
      </c>
      <c r="H1076" t="s">
        <v>15</v>
      </c>
      <c r="I1076" s="1">
        <v>1</v>
      </c>
      <c r="J1076" s="2">
        <v>241.38</v>
      </c>
    </row>
    <row r="1077" spans="2:10" x14ac:dyDescent="0.2">
      <c r="B1077" t="s">
        <v>955</v>
      </c>
      <c r="C1077" t="s">
        <v>237</v>
      </c>
      <c r="D1077" t="s">
        <v>956</v>
      </c>
      <c r="E1077" t="s">
        <v>12</v>
      </c>
      <c r="F1077" t="s">
        <v>13</v>
      </c>
      <c r="G1077" t="s">
        <v>1034</v>
      </c>
      <c r="H1077" t="s">
        <v>15</v>
      </c>
      <c r="I1077" s="1">
        <v>1</v>
      </c>
      <c r="J1077" s="2">
        <v>1077.5899999999999</v>
      </c>
    </row>
    <row r="1078" spans="2:10" x14ac:dyDescent="0.2">
      <c r="B1078" t="s">
        <v>955</v>
      </c>
      <c r="C1078" t="s">
        <v>248</v>
      </c>
      <c r="D1078" t="s">
        <v>956</v>
      </c>
      <c r="E1078" t="s">
        <v>120</v>
      </c>
      <c r="F1078" t="s">
        <v>121</v>
      </c>
      <c r="G1078" t="s">
        <v>1034</v>
      </c>
      <c r="H1078" t="s">
        <v>15</v>
      </c>
      <c r="I1078" s="1">
        <v>1</v>
      </c>
      <c r="J1078" s="2">
        <v>301.72000000000003</v>
      </c>
    </row>
    <row r="1079" spans="2:10" x14ac:dyDescent="0.2">
      <c r="B1079" t="s">
        <v>955</v>
      </c>
      <c r="C1079" t="s">
        <v>248</v>
      </c>
      <c r="D1079" t="s">
        <v>956</v>
      </c>
      <c r="E1079" t="s">
        <v>36</v>
      </c>
      <c r="F1079" t="s">
        <v>37</v>
      </c>
      <c r="G1079" t="s">
        <v>1034</v>
      </c>
      <c r="H1079" t="s">
        <v>15</v>
      </c>
      <c r="I1079" s="1">
        <v>1</v>
      </c>
      <c r="J1079" s="2">
        <v>301.72000000000003</v>
      </c>
    </row>
    <row r="1080" spans="2:10" x14ac:dyDescent="0.2">
      <c r="B1080" t="s">
        <v>955</v>
      </c>
      <c r="C1080" t="s">
        <v>248</v>
      </c>
      <c r="D1080" t="s">
        <v>956</v>
      </c>
      <c r="E1080" t="s">
        <v>38</v>
      </c>
      <c r="F1080" t="s">
        <v>39</v>
      </c>
      <c r="G1080" t="s">
        <v>1034</v>
      </c>
      <c r="H1080" t="s">
        <v>15</v>
      </c>
      <c r="I1080" s="1">
        <v>2</v>
      </c>
      <c r="J1080" s="2">
        <v>862.06</v>
      </c>
    </row>
    <row r="1081" spans="2:10" x14ac:dyDescent="0.2">
      <c r="B1081" t="s">
        <v>955</v>
      </c>
      <c r="C1081" t="s">
        <v>248</v>
      </c>
      <c r="D1081" t="s">
        <v>956</v>
      </c>
      <c r="E1081" t="s">
        <v>193</v>
      </c>
      <c r="F1081" t="s">
        <v>194</v>
      </c>
      <c r="G1081" t="s">
        <v>1034</v>
      </c>
      <c r="H1081" t="s">
        <v>15</v>
      </c>
      <c r="I1081" s="1">
        <v>1</v>
      </c>
      <c r="J1081" s="2">
        <v>1293.0999999999999</v>
      </c>
    </row>
    <row r="1082" spans="2:10" x14ac:dyDescent="0.2">
      <c r="B1082" t="s">
        <v>1016</v>
      </c>
      <c r="C1082" t="s">
        <v>10</v>
      </c>
      <c r="D1082" t="s">
        <v>1017</v>
      </c>
      <c r="E1082" t="s">
        <v>221</v>
      </c>
      <c r="F1082" t="s">
        <v>222</v>
      </c>
      <c r="G1082" t="s">
        <v>1034</v>
      </c>
      <c r="H1082" t="s">
        <v>15</v>
      </c>
      <c r="I1082" s="1">
        <v>1</v>
      </c>
      <c r="J1082" s="2">
        <v>431.03</v>
      </c>
    </row>
    <row r="1083" spans="2:10" x14ac:dyDescent="0.2">
      <c r="B1083" t="s">
        <v>1016</v>
      </c>
      <c r="C1083" t="s">
        <v>10</v>
      </c>
      <c r="D1083" t="s">
        <v>1017</v>
      </c>
      <c r="E1083" t="s">
        <v>214</v>
      </c>
      <c r="F1083" t="s">
        <v>215</v>
      </c>
      <c r="G1083" t="s">
        <v>1034</v>
      </c>
      <c r="H1083" t="s">
        <v>15</v>
      </c>
      <c r="I1083" s="1">
        <v>2</v>
      </c>
      <c r="J1083" s="2">
        <v>603.44000000000005</v>
      </c>
    </row>
    <row r="1084" spans="2:10" x14ac:dyDescent="0.2">
      <c r="B1084" t="s">
        <v>1016</v>
      </c>
      <c r="C1084" t="s">
        <v>10</v>
      </c>
      <c r="D1084" t="s">
        <v>1017</v>
      </c>
      <c r="E1084" t="s">
        <v>36</v>
      </c>
      <c r="F1084" t="s">
        <v>37</v>
      </c>
      <c r="G1084" t="s">
        <v>1034</v>
      </c>
      <c r="H1084" t="s">
        <v>15</v>
      </c>
      <c r="I1084" s="1">
        <v>1</v>
      </c>
      <c r="J1084" s="2">
        <v>301.72000000000003</v>
      </c>
    </row>
    <row r="1085" spans="2:10" x14ac:dyDescent="0.2">
      <c r="B1085" t="s">
        <v>1016</v>
      </c>
      <c r="C1085" t="s">
        <v>10</v>
      </c>
      <c r="D1085" t="s">
        <v>1017</v>
      </c>
      <c r="E1085" t="s">
        <v>83</v>
      </c>
      <c r="F1085" t="s">
        <v>84</v>
      </c>
      <c r="G1085" t="s">
        <v>1034</v>
      </c>
      <c r="H1085" t="s">
        <v>15</v>
      </c>
      <c r="I1085" s="1">
        <v>1</v>
      </c>
      <c r="J1085" s="2">
        <v>387.93</v>
      </c>
    </row>
    <row r="1086" spans="2:10" x14ac:dyDescent="0.2">
      <c r="B1086" t="s">
        <v>1016</v>
      </c>
      <c r="C1086" t="s">
        <v>10</v>
      </c>
      <c r="D1086" t="s">
        <v>1017</v>
      </c>
      <c r="E1086" t="s">
        <v>56</v>
      </c>
      <c r="F1086" t="s">
        <v>57</v>
      </c>
      <c r="G1086" t="s">
        <v>1034</v>
      </c>
      <c r="H1086" t="s">
        <v>15</v>
      </c>
      <c r="I1086" s="1">
        <v>3</v>
      </c>
      <c r="J1086" s="2">
        <v>1293.0899999999999</v>
      </c>
    </row>
    <row r="1087" spans="2:10" x14ac:dyDescent="0.2">
      <c r="B1087" t="s">
        <v>1016</v>
      </c>
      <c r="C1087" t="s">
        <v>18</v>
      </c>
      <c r="D1087" t="s">
        <v>32</v>
      </c>
      <c r="E1087" t="s">
        <v>72</v>
      </c>
      <c r="F1087" t="s">
        <v>73</v>
      </c>
      <c r="G1087" t="s">
        <v>1034</v>
      </c>
      <c r="H1087" t="s">
        <v>15</v>
      </c>
      <c r="I1087" s="1">
        <v>1</v>
      </c>
      <c r="J1087" s="2">
        <v>775.86</v>
      </c>
    </row>
    <row r="1088" spans="2:10" x14ac:dyDescent="0.2">
      <c r="B1088" t="s">
        <v>1016</v>
      </c>
      <c r="C1088" t="s">
        <v>18</v>
      </c>
      <c r="D1088" t="s">
        <v>32</v>
      </c>
      <c r="E1088" t="s">
        <v>83</v>
      </c>
      <c r="F1088" t="s">
        <v>84</v>
      </c>
      <c r="G1088" t="s">
        <v>1034</v>
      </c>
      <c r="H1088" t="s">
        <v>15</v>
      </c>
      <c r="I1088" s="1">
        <v>1</v>
      </c>
      <c r="J1088" s="2">
        <v>387.93</v>
      </c>
    </row>
    <row r="1089" spans="2:10" x14ac:dyDescent="0.2">
      <c r="B1089" t="s">
        <v>1016</v>
      </c>
      <c r="C1089" t="s">
        <v>31</v>
      </c>
      <c r="D1089" t="s">
        <v>1017</v>
      </c>
      <c r="E1089" t="s">
        <v>214</v>
      </c>
      <c r="F1089" t="s">
        <v>215</v>
      </c>
      <c r="G1089" t="s">
        <v>1034</v>
      </c>
      <c r="H1089" t="s">
        <v>15</v>
      </c>
      <c r="I1089" s="1">
        <v>2</v>
      </c>
      <c r="J1089" s="2">
        <v>603.44000000000005</v>
      </c>
    </row>
    <row r="1090" spans="2:10" x14ac:dyDescent="0.2">
      <c r="B1090" t="s">
        <v>1016</v>
      </c>
      <c r="C1090" t="s">
        <v>40</v>
      </c>
      <c r="D1090" t="s">
        <v>1017</v>
      </c>
      <c r="E1090" t="s">
        <v>36</v>
      </c>
      <c r="F1090" t="s">
        <v>37</v>
      </c>
      <c r="G1090" t="s">
        <v>1034</v>
      </c>
      <c r="H1090" t="s">
        <v>15</v>
      </c>
      <c r="I1090" s="1">
        <v>1</v>
      </c>
      <c r="J1090" s="2">
        <v>301.72000000000003</v>
      </c>
    </row>
    <row r="1091" spans="2:10" x14ac:dyDescent="0.2">
      <c r="B1091" t="s">
        <v>1016</v>
      </c>
      <c r="C1091" t="s">
        <v>40</v>
      </c>
      <c r="D1091" t="s">
        <v>1017</v>
      </c>
      <c r="E1091" t="s">
        <v>61</v>
      </c>
      <c r="F1091" t="s">
        <v>62</v>
      </c>
      <c r="G1091" t="s">
        <v>1034</v>
      </c>
      <c r="H1091" t="s">
        <v>15</v>
      </c>
      <c r="I1091" s="1">
        <v>1</v>
      </c>
      <c r="J1091" s="2">
        <v>172.41</v>
      </c>
    </row>
    <row r="1092" spans="2:10" x14ac:dyDescent="0.2">
      <c r="B1092" t="s">
        <v>1016</v>
      </c>
      <c r="C1092" t="s">
        <v>40</v>
      </c>
      <c r="D1092" t="s">
        <v>1017</v>
      </c>
      <c r="E1092" t="s">
        <v>63</v>
      </c>
      <c r="F1092" t="s">
        <v>64</v>
      </c>
      <c r="G1092" t="s">
        <v>1034</v>
      </c>
      <c r="H1092" t="s">
        <v>15</v>
      </c>
      <c r="I1092" s="1">
        <v>1</v>
      </c>
      <c r="J1092" s="2">
        <v>172.41</v>
      </c>
    </row>
    <row r="1093" spans="2:10" x14ac:dyDescent="0.2">
      <c r="B1093" t="s">
        <v>1016</v>
      </c>
      <c r="C1093" t="s">
        <v>40</v>
      </c>
      <c r="D1093" t="s">
        <v>1017</v>
      </c>
      <c r="E1093" t="s">
        <v>193</v>
      </c>
      <c r="F1093" t="s">
        <v>194</v>
      </c>
      <c r="G1093" t="s">
        <v>1034</v>
      </c>
      <c r="H1093" t="s">
        <v>15</v>
      </c>
      <c r="I1093" s="1">
        <v>1</v>
      </c>
      <c r="J1093" s="2">
        <v>1293.0999999999999</v>
      </c>
    </row>
    <row r="1094" spans="2:10" x14ac:dyDescent="0.2">
      <c r="B1094" t="s">
        <v>1016</v>
      </c>
      <c r="C1094" t="s">
        <v>51</v>
      </c>
      <c r="D1094" t="s">
        <v>1017</v>
      </c>
      <c r="E1094" t="s">
        <v>61</v>
      </c>
      <c r="F1094" t="s">
        <v>62</v>
      </c>
      <c r="G1094" t="s">
        <v>1034</v>
      </c>
      <c r="H1094" t="s">
        <v>15</v>
      </c>
      <c r="I1094" s="1">
        <v>1</v>
      </c>
      <c r="J1094" s="2">
        <v>172.41</v>
      </c>
    </row>
    <row r="1095" spans="2:10" x14ac:dyDescent="0.2">
      <c r="B1095" t="s">
        <v>1016</v>
      </c>
      <c r="C1095" t="s">
        <v>65</v>
      </c>
      <c r="D1095" t="s">
        <v>1017</v>
      </c>
      <c r="E1095" t="s">
        <v>83</v>
      </c>
      <c r="F1095" t="s">
        <v>84</v>
      </c>
      <c r="G1095" t="s">
        <v>1034</v>
      </c>
      <c r="H1095" t="s">
        <v>15</v>
      </c>
      <c r="I1095" s="1">
        <v>2</v>
      </c>
      <c r="J1095" s="2">
        <v>775.86</v>
      </c>
    </row>
    <row r="1096" spans="2:10" x14ac:dyDescent="0.2">
      <c r="B1096" t="s">
        <v>1016</v>
      </c>
      <c r="C1096" t="s">
        <v>65</v>
      </c>
      <c r="D1096" t="s">
        <v>1017</v>
      </c>
      <c r="E1096" t="s">
        <v>38</v>
      </c>
      <c r="F1096" t="s">
        <v>39</v>
      </c>
      <c r="G1096" t="s">
        <v>1034</v>
      </c>
      <c r="H1096" t="s">
        <v>15</v>
      </c>
      <c r="I1096" s="1">
        <v>2</v>
      </c>
      <c r="J1096" s="2">
        <v>862.06</v>
      </c>
    </row>
    <row r="1097" spans="2:10" x14ac:dyDescent="0.2">
      <c r="B1097" t="s">
        <v>1016</v>
      </c>
      <c r="C1097" t="s">
        <v>65</v>
      </c>
      <c r="D1097" t="s">
        <v>1017</v>
      </c>
      <c r="E1097" t="s">
        <v>63</v>
      </c>
      <c r="F1097" t="s">
        <v>64</v>
      </c>
      <c r="G1097" t="s">
        <v>1034</v>
      </c>
      <c r="H1097" t="s">
        <v>15</v>
      </c>
      <c r="I1097" s="1">
        <v>1</v>
      </c>
      <c r="J1097" s="2">
        <v>172.41</v>
      </c>
    </row>
    <row r="1098" spans="2:10" x14ac:dyDescent="0.2">
      <c r="B1098" t="s">
        <v>1016</v>
      </c>
      <c r="C1098" t="s">
        <v>82</v>
      </c>
      <c r="D1098" t="s">
        <v>1017</v>
      </c>
      <c r="E1098" t="s">
        <v>56</v>
      </c>
      <c r="F1098" t="s">
        <v>57</v>
      </c>
      <c r="G1098" t="s">
        <v>1034</v>
      </c>
      <c r="H1098" t="s">
        <v>15</v>
      </c>
      <c r="I1098" s="1">
        <v>5</v>
      </c>
      <c r="J1098" s="2">
        <v>2155.16</v>
      </c>
    </row>
    <row r="1099" spans="2:10" x14ac:dyDescent="0.2">
      <c r="B1099" t="s">
        <v>1016</v>
      </c>
      <c r="C1099" t="s">
        <v>82</v>
      </c>
      <c r="D1099" t="s">
        <v>1017</v>
      </c>
      <c r="E1099" t="s">
        <v>193</v>
      </c>
      <c r="F1099" t="s">
        <v>194</v>
      </c>
      <c r="G1099" t="s">
        <v>1034</v>
      </c>
      <c r="H1099" t="s">
        <v>15</v>
      </c>
      <c r="I1099" s="1">
        <v>1</v>
      </c>
      <c r="J1099" s="2">
        <v>1293.0999999999999</v>
      </c>
    </row>
    <row r="1100" spans="2:10" x14ac:dyDescent="0.2">
      <c r="B1100" t="s">
        <v>1016</v>
      </c>
      <c r="C1100" t="s">
        <v>88</v>
      </c>
      <c r="D1100" t="s">
        <v>1017</v>
      </c>
      <c r="E1100" t="s">
        <v>36</v>
      </c>
      <c r="F1100" t="s">
        <v>37</v>
      </c>
      <c r="G1100" t="s">
        <v>1034</v>
      </c>
      <c r="H1100" t="s">
        <v>15</v>
      </c>
      <c r="I1100" s="1">
        <v>1</v>
      </c>
      <c r="J1100" s="2">
        <v>301.72000000000003</v>
      </c>
    </row>
    <row r="1101" spans="2:10" x14ac:dyDescent="0.2">
      <c r="B1101" t="s">
        <v>1016</v>
      </c>
      <c r="C1101" t="s">
        <v>88</v>
      </c>
      <c r="D1101" t="s">
        <v>1017</v>
      </c>
      <c r="E1101" t="s">
        <v>72</v>
      </c>
      <c r="F1101" t="s">
        <v>73</v>
      </c>
      <c r="G1101" t="s">
        <v>1034</v>
      </c>
      <c r="H1101" t="s">
        <v>15</v>
      </c>
      <c r="I1101" s="1">
        <v>1</v>
      </c>
      <c r="J1101" s="2">
        <v>775.86</v>
      </c>
    </row>
    <row r="1102" spans="2:10" x14ac:dyDescent="0.2">
      <c r="B1102" t="s">
        <v>1016</v>
      </c>
      <c r="C1102" t="s">
        <v>117</v>
      </c>
      <c r="D1102" t="s">
        <v>32</v>
      </c>
      <c r="E1102" t="s">
        <v>221</v>
      </c>
      <c r="F1102" t="s">
        <v>222</v>
      </c>
      <c r="G1102" t="s">
        <v>1034</v>
      </c>
      <c r="H1102" t="s">
        <v>15</v>
      </c>
      <c r="I1102" s="1">
        <v>1</v>
      </c>
      <c r="J1102" s="2">
        <v>431.03</v>
      </c>
    </row>
    <row r="1103" spans="2:10" x14ac:dyDescent="0.2">
      <c r="B1103" t="s">
        <v>1016</v>
      </c>
      <c r="C1103" t="s">
        <v>117</v>
      </c>
      <c r="D1103" t="s">
        <v>32</v>
      </c>
      <c r="E1103" t="s">
        <v>120</v>
      </c>
      <c r="F1103" t="s">
        <v>121</v>
      </c>
      <c r="G1103" t="s">
        <v>1034</v>
      </c>
      <c r="H1103" t="s">
        <v>15</v>
      </c>
      <c r="I1103" s="1">
        <v>1</v>
      </c>
      <c r="J1103" s="2">
        <v>301.72000000000003</v>
      </c>
    </row>
    <row r="1104" spans="2:10" x14ac:dyDescent="0.2">
      <c r="B1104" t="s">
        <v>1016</v>
      </c>
      <c r="C1104" t="s">
        <v>117</v>
      </c>
      <c r="D1104" t="s">
        <v>32</v>
      </c>
      <c r="E1104" t="s">
        <v>36</v>
      </c>
      <c r="F1104" t="s">
        <v>37</v>
      </c>
      <c r="G1104" t="s">
        <v>1034</v>
      </c>
      <c r="H1104" t="s">
        <v>15</v>
      </c>
      <c r="I1104" s="1">
        <v>1</v>
      </c>
      <c r="J1104" s="2">
        <v>301.72000000000003</v>
      </c>
    </row>
    <row r="1105" spans="2:10" x14ac:dyDescent="0.2">
      <c r="B1105" t="s">
        <v>1016</v>
      </c>
      <c r="C1105" t="s">
        <v>129</v>
      </c>
      <c r="D1105" t="s">
        <v>1017</v>
      </c>
      <c r="E1105" t="s">
        <v>120</v>
      </c>
      <c r="F1105" t="s">
        <v>121</v>
      </c>
      <c r="G1105" t="s">
        <v>1034</v>
      </c>
      <c r="H1105" t="s">
        <v>15</v>
      </c>
      <c r="I1105" s="1">
        <v>1</v>
      </c>
      <c r="J1105" s="2">
        <v>301.72000000000003</v>
      </c>
    </row>
    <row r="1106" spans="2:10" x14ac:dyDescent="0.2">
      <c r="B1106" t="s">
        <v>1016</v>
      </c>
      <c r="C1106" t="s">
        <v>134</v>
      </c>
      <c r="D1106" t="s">
        <v>1017</v>
      </c>
      <c r="E1106" t="s">
        <v>122</v>
      </c>
      <c r="F1106" t="s">
        <v>123</v>
      </c>
      <c r="G1106" t="s">
        <v>1034</v>
      </c>
      <c r="H1106" t="s">
        <v>15</v>
      </c>
      <c r="I1106" s="1">
        <v>1</v>
      </c>
      <c r="J1106" s="2">
        <v>387.93</v>
      </c>
    </row>
    <row r="1107" spans="2:10" x14ac:dyDescent="0.2">
      <c r="B1107" t="s">
        <v>1016</v>
      </c>
      <c r="C1107" t="s">
        <v>134</v>
      </c>
      <c r="D1107" t="s">
        <v>1017</v>
      </c>
      <c r="E1107" t="s">
        <v>63</v>
      </c>
      <c r="F1107" t="s">
        <v>64</v>
      </c>
      <c r="G1107" t="s">
        <v>1034</v>
      </c>
      <c r="H1107" t="s">
        <v>15</v>
      </c>
      <c r="I1107" s="1">
        <v>1</v>
      </c>
      <c r="J1107" s="2">
        <v>172.41</v>
      </c>
    </row>
    <row r="1108" spans="2:10" x14ac:dyDescent="0.2">
      <c r="B1108" t="s">
        <v>1016</v>
      </c>
      <c r="C1108" t="s">
        <v>141</v>
      </c>
      <c r="D1108" t="s">
        <v>1017</v>
      </c>
      <c r="E1108" t="s">
        <v>56</v>
      </c>
      <c r="F1108" t="s">
        <v>57</v>
      </c>
      <c r="G1108" t="s">
        <v>1034</v>
      </c>
      <c r="H1108" t="s">
        <v>15</v>
      </c>
      <c r="I1108" s="1">
        <v>2</v>
      </c>
      <c r="J1108" s="2">
        <v>862.06</v>
      </c>
    </row>
    <row r="1109" spans="2:10" x14ac:dyDescent="0.2">
      <c r="B1109" t="s">
        <v>1016</v>
      </c>
      <c r="C1109" t="s">
        <v>141</v>
      </c>
      <c r="D1109" t="s">
        <v>1017</v>
      </c>
      <c r="E1109" t="s">
        <v>61</v>
      </c>
      <c r="F1109" t="s">
        <v>62</v>
      </c>
      <c r="G1109" t="s">
        <v>1034</v>
      </c>
      <c r="H1109" t="s">
        <v>15</v>
      </c>
      <c r="I1109" s="1">
        <v>1</v>
      </c>
      <c r="J1109" s="2">
        <v>172.41</v>
      </c>
    </row>
    <row r="1110" spans="2:10" x14ac:dyDescent="0.2">
      <c r="B1110" t="s">
        <v>1016</v>
      </c>
      <c r="C1110" t="s">
        <v>141</v>
      </c>
      <c r="D1110" t="s">
        <v>1017</v>
      </c>
      <c r="E1110" t="s">
        <v>193</v>
      </c>
      <c r="F1110" t="s">
        <v>194</v>
      </c>
      <c r="G1110" t="s">
        <v>1034</v>
      </c>
      <c r="H1110" t="s">
        <v>15</v>
      </c>
      <c r="I1110" s="1">
        <v>1</v>
      </c>
      <c r="J1110" s="2">
        <v>1293.0999999999999</v>
      </c>
    </row>
    <row r="1111" spans="2:10" x14ac:dyDescent="0.2">
      <c r="B1111" t="s">
        <v>1016</v>
      </c>
      <c r="C1111" t="s">
        <v>144</v>
      </c>
      <c r="D1111" t="s">
        <v>1017</v>
      </c>
      <c r="E1111" t="s">
        <v>38</v>
      </c>
      <c r="F1111" t="s">
        <v>39</v>
      </c>
      <c r="G1111" t="s">
        <v>1034</v>
      </c>
      <c r="H1111" t="s">
        <v>15</v>
      </c>
      <c r="I1111" s="1">
        <v>1</v>
      </c>
      <c r="J1111" s="2">
        <v>431.03</v>
      </c>
    </row>
    <row r="1112" spans="2:10" x14ac:dyDescent="0.2">
      <c r="B1112" t="s">
        <v>1016</v>
      </c>
      <c r="C1112" t="s">
        <v>165</v>
      </c>
      <c r="D1112" t="s">
        <v>1017</v>
      </c>
      <c r="E1112" t="s">
        <v>214</v>
      </c>
      <c r="F1112" t="s">
        <v>215</v>
      </c>
      <c r="G1112" t="s">
        <v>1034</v>
      </c>
      <c r="H1112" t="s">
        <v>15</v>
      </c>
      <c r="I1112" s="1">
        <v>1</v>
      </c>
      <c r="J1112" s="2">
        <v>301.72000000000003</v>
      </c>
    </row>
    <row r="1113" spans="2:10" x14ac:dyDescent="0.2">
      <c r="B1113" t="s">
        <v>1016</v>
      </c>
      <c r="C1113" t="s">
        <v>165</v>
      </c>
      <c r="D1113" t="s">
        <v>1017</v>
      </c>
      <c r="E1113" t="s">
        <v>56</v>
      </c>
      <c r="F1113" t="s">
        <v>57</v>
      </c>
      <c r="G1113" t="s">
        <v>1034</v>
      </c>
      <c r="H1113" t="s">
        <v>15</v>
      </c>
      <c r="I1113" s="1">
        <v>1</v>
      </c>
      <c r="J1113" s="2">
        <v>431.03</v>
      </c>
    </row>
    <row r="1114" spans="2:10" x14ac:dyDescent="0.2">
      <c r="B1114" t="s">
        <v>1016</v>
      </c>
      <c r="C1114" t="s">
        <v>166</v>
      </c>
      <c r="D1114" t="s">
        <v>32</v>
      </c>
      <c r="E1114" t="s">
        <v>120</v>
      </c>
      <c r="F1114" t="s">
        <v>121</v>
      </c>
      <c r="G1114" t="s">
        <v>1034</v>
      </c>
      <c r="H1114" t="s">
        <v>15</v>
      </c>
      <c r="I1114" s="1">
        <v>2</v>
      </c>
      <c r="J1114" s="2">
        <v>603.44000000000005</v>
      </c>
    </row>
    <row r="1115" spans="2:10" x14ac:dyDescent="0.2">
      <c r="B1115" t="s">
        <v>1016</v>
      </c>
      <c r="C1115" t="s">
        <v>166</v>
      </c>
      <c r="D1115" t="s">
        <v>32</v>
      </c>
      <c r="E1115" t="s">
        <v>72</v>
      </c>
      <c r="F1115" t="s">
        <v>73</v>
      </c>
      <c r="G1115" t="s">
        <v>1034</v>
      </c>
      <c r="H1115" t="s">
        <v>15</v>
      </c>
      <c r="I1115" s="1">
        <v>1</v>
      </c>
      <c r="J1115" s="2">
        <v>775.86</v>
      </c>
    </row>
    <row r="1116" spans="2:10" x14ac:dyDescent="0.2">
      <c r="B1116" t="s">
        <v>1016</v>
      </c>
      <c r="C1116" t="s">
        <v>185</v>
      </c>
      <c r="D1116" t="s">
        <v>1017</v>
      </c>
      <c r="E1116" t="s">
        <v>36</v>
      </c>
      <c r="F1116" t="s">
        <v>37</v>
      </c>
      <c r="G1116" t="s">
        <v>1034</v>
      </c>
      <c r="H1116" t="s">
        <v>15</v>
      </c>
      <c r="I1116" s="1">
        <v>1</v>
      </c>
      <c r="J1116" s="2">
        <v>301.72000000000003</v>
      </c>
    </row>
    <row r="1117" spans="2:10" x14ac:dyDescent="0.2">
      <c r="B1117" t="s">
        <v>1016</v>
      </c>
      <c r="C1117" t="s">
        <v>185</v>
      </c>
      <c r="D1117" t="s">
        <v>1017</v>
      </c>
      <c r="E1117" t="s">
        <v>63</v>
      </c>
      <c r="F1117" t="s">
        <v>64</v>
      </c>
      <c r="G1117" t="s">
        <v>1034</v>
      </c>
      <c r="H1117" t="s">
        <v>15</v>
      </c>
      <c r="I1117" s="1">
        <v>1</v>
      </c>
      <c r="J1117" s="2">
        <v>172.41</v>
      </c>
    </row>
    <row r="1118" spans="2:10" x14ac:dyDescent="0.2">
      <c r="B1118" t="s">
        <v>1016</v>
      </c>
      <c r="C1118" t="s">
        <v>335</v>
      </c>
      <c r="D1118" t="s">
        <v>1017</v>
      </c>
      <c r="E1118" t="s">
        <v>38</v>
      </c>
      <c r="F1118" t="s">
        <v>39</v>
      </c>
      <c r="G1118" t="s">
        <v>1034</v>
      </c>
      <c r="H1118" t="s">
        <v>15</v>
      </c>
      <c r="I1118" s="1">
        <v>1</v>
      </c>
      <c r="J1118" s="2">
        <v>431.03</v>
      </c>
    </row>
    <row r="1119" spans="2:10" x14ac:dyDescent="0.2">
      <c r="B1119" t="s">
        <v>1016</v>
      </c>
      <c r="C1119" t="s">
        <v>335</v>
      </c>
      <c r="D1119" t="s">
        <v>1017</v>
      </c>
      <c r="E1119" t="s">
        <v>56</v>
      </c>
      <c r="F1119" t="s">
        <v>57</v>
      </c>
      <c r="G1119" t="s">
        <v>1034</v>
      </c>
      <c r="H1119" t="s">
        <v>15</v>
      </c>
      <c r="I1119" s="1">
        <v>1</v>
      </c>
      <c r="J1119" s="2">
        <v>431.03</v>
      </c>
    </row>
    <row r="1120" spans="2:10" x14ac:dyDescent="0.2">
      <c r="B1120" t="s">
        <v>1016</v>
      </c>
      <c r="C1120" t="s">
        <v>335</v>
      </c>
      <c r="D1120" t="s">
        <v>1017</v>
      </c>
      <c r="E1120" t="s">
        <v>63</v>
      </c>
      <c r="F1120" t="s">
        <v>64</v>
      </c>
      <c r="G1120" t="s">
        <v>1034</v>
      </c>
      <c r="H1120" t="s">
        <v>15</v>
      </c>
      <c r="I1120" s="1">
        <v>1</v>
      </c>
      <c r="J1120" s="2">
        <v>172.41</v>
      </c>
    </row>
    <row r="1121" spans="2:10" x14ac:dyDescent="0.2">
      <c r="B1121" t="s">
        <v>1016</v>
      </c>
      <c r="C1121" t="s">
        <v>418</v>
      </c>
      <c r="D1121" t="s">
        <v>1017</v>
      </c>
      <c r="E1121" t="s">
        <v>61</v>
      </c>
      <c r="F1121" t="s">
        <v>62</v>
      </c>
      <c r="G1121" t="s">
        <v>1034</v>
      </c>
      <c r="H1121" t="s">
        <v>15</v>
      </c>
      <c r="I1121" s="1">
        <v>1</v>
      </c>
      <c r="J1121" s="2">
        <v>172.41</v>
      </c>
    </row>
    <row r="1122" spans="2:10" x14ac:dyDescent="0.2">
      <c r="B1122" t="s">
        <v>1016</v>
      </c>
      <c r="C1122" t="s">
        <v>186</v>
      </c>
      <c r="D1122" t="s">
        <v>1017</v>
      </c>
      <c r="E1122" t="s">
        <v>214</v>
      </c>
      <c r="F1122" t="s">
        <v>215</v>
      </c>
      <c r="G1122" t="s">
        <v>1034</v>
      </c>
      <c r="H1122" t="s">
        <v>15</v>
      </c>
      <c r="I1122" s="1">
        <v>1</v>
      </c>
      <c r="J1122" s="2">
        <v>301.72000000000003</v>
      </c>
    </row>
    <row r="1123" spans="2:10" x14ac:dyDescent="0.2">
      <c r="B1123" t="s">
        <v>1016</v>
      </c>
      <c r="C1123" t="s">
        <v>186</v>
      </c>
      <c r="D1123" t="s">
        <v>1017</v>
      </c>
      <c r="E1123" t="s">
        <v>36</v>
      </c>
      <c r="F1123" t="s">
        <v>37</v>
      </c>
      <c r="G1123" t="s">
        <v>1034</v>
      </c>
      <c r="H1123" t="s">
        <v>15</v>
      </c>
      <c r="I1123" s="1">
        <v>1</v>
      </c>
      <c r="J1123" s="2">
        <v>301.72000000000003</v>
      </c>
    </row>
    <row r="1124" spans="2:10" x14ac:dyDescent="0.2">
      <c r="B1124" t="s">
        <v>1016</v>
      </c>
      <c r="C1124" t="s">
        <v>186</v>
      </c>
      <c r="D1124" t="s">
        <v>1017</v>
      </c>
      <c r="E1124" t="s">
        <v>56</v>
      </c>
      <c r="F1124" t="s">
        <v>57</v>
      </c>
      <c r="G1124" t="s">
        <v>1034</v>
      </c>
      <c r="H1124" t="s">
        <v>15</v>
      </c>
      <c r="I1124" s="1">
        <v>1</v>
      </c>
      <c r="J1124" s="2">
        <v>431.03</v>
      </c>
    </row>
    <row r="1125" spans="2:10" x14ac:dyDescent="0.2">
      <c r="B1125" t="s">
        <v>1016</v>
      </c>
      <c r="C1125" t="s">
        <v>186</v>
      </c>
      <c r="D1125" t="s">
        <v>1017</v>
      </c>
      <c r="E1125" t="s">
        <v>63</v>
      </c>
      <c r="F1125" t="s">
        <v>64</v>
      </c>
      <c r="G1125" t="s">
        <v>1034</v>
      </c>
      <c r="H1125" t="s">
        <v>15</v>
      </c>
      <c r="I1125" s="1">
        <v>1</v>
      </c>
      <c r="J1125" s="2">
        <v>172.41</v>
      </c>
    </row>
    <row r="1126" spans="2:10" x14ac:dyDescent="0.2">
      <c r="B1126" t="s">
        <v>1016</v>
      </c>
      <c r="C1126" t="s">
        <v>197</v>
      </c>
      <c r="D1126" t="s">
        <v>1017</v>
      </c>
      <c r="E1126" t="s">
        <v>36</v>
      </c>
      <c r="F1126" t="s">
        <v>37</v>
      </c>
      <c r="G1126" t="s">
        <v>1034</v>
      </c>
      <c r="H1126" t="s">
        <v>15</v>
      </c>
      <c r="I1126" s="1">
        <v>1</v>
      </c>
      <c r="J1126" s="2">
        <v>301.72000000000003</v>
      </c>
    </row>
    <row r="1127" spans="2:10" x14ac:dyDescent="0.2">
      <c r="B1127" t="s">
        <v>1016</v>
      </c>
      <c r="C1127" t="s">
        <v>197</v>
      </c>
      <c r="D1127" t="s">
        <v>1017</v>
      </c>
      <c r="E1127" t="s">
        <v>38</v>
      </c>
      <c r="F1127" t="s">
        <v>39</v>
      </c>
      <c r="G1127" t="s">
        <v>1034</v>
      </c>
      <c r="H1127" t="s">
        <v>15</v>
      </c>
      <c r="I1127" s="1">
        <v>1</v>
      </c>
      <c r="J1127" s="2">
        <v>431.03</v>
      </c>
    </row>
    <row r="1128" spans="2:10" x14ac:dyDescent="0.2">
      <c r="B1128" t="s">
        <v>1016</v>
      </c>
      <c r="C1128" t="s">
        <v>197</v>
      </c>
      <c r="D1128" t="s">
        <v>1017</v>
      </c>
      <c r="E1128" t="s">
        <v>61</v>
      </c>
      <c r="F1128" t="s">
        <v>62</v>
      </c>
      <c r="G1128" t="s">
        <v>1034</v>
      </c>
      <c r="H1128" t="s">
        <v>15</v>
      </c>
      <c r="I1128" s="1">
        <v>3</v>
      </c>
      <c r="J1128" s="2">
        <v>517.23</v>
      </c>
    </row>
    <row r="1129" spans="2:10" x14ac:dyDescent="0.2">
      <c r="B1129" t="s">
        <v>1016</v>
      </c>
      <c r="C1129" t="s">
        <v>197</v>
      </c>
      <c r="D1129" t="s">
        <v>1017</v>
      </c>
      <c r="E1129" t="s">
        <v>63</v>
      </c>
      <c r="F1129" t="s">
        <v>64</v>
      </c>
      <c r="G1129" t="s">
        <v>1034</v>
      </c>
      <c r="H1129" t="s">
        <v>15</v>
      </c>
      <c r="I1129" s="1">
        <v>2</v>
      </c>
      <c r="J1129" s="2">
        <v>344.82</v>
      </c>
    </row>
    <row r="1130" spans="2:10" x14ac:dyDescent="0.2">
      <c r="B1130" t="s">
        <v>1016</v>
      </c>
      <c r="C1130" t="s">
        <v>206</v>
      </c>
      <c r="D1130" t="s">
        <v>1017</v>
      </c>
      <c r="E1130" t="s">
        <v>61</v>
      </c>
      <c r="F1130" t="s">
        <v>62</v>
      </c>
      <c r="G1130" t="s">
        <v>1034</v>
      </c>
      <c r="H1130" t="s">
        <v>15</v>
      </c>
      <c r="I1130" s="1">
        <v>1</v>
      </c>
      <c r="J1130" s="2">
        <v>172.41</v>
      </c>
    </row>
    <row r="1131" spans="2:10" x14ac:dyDescent="0.2">
      <c r="B1131" t="s">
        <v>1016</v>
      </c>
      <c r="C1131" t="s">
        <v>206</v>
      </c>
      <c r="D1131" t="s">
        <v>1017</v>
      </c>
      <c r="E1131" t="s">
        <v>63</v>
      </c>
      <c r="F1131" t="s">
        <v>64</v>
      </c>
      <c r="G1131" t="s">
        <v>1034</v>
      </c>
      <c r="H1131" t="s">
        <v>15</v>
      </c>
      <c r="I1131" s="1">
        <v>1</v>
      </c>
      <c r="J1131" s="2">
        <v>172.41</v>
      </c>
    </row>
    <row r="1132" spans="2:10" x14ac:dyDescent="0.2">
      <c r="B1132" t="s">
        <v>1016</v>
      </c>
      <c r="C1132" t="s">
        <v>220</v>
      </c>
      <c r="D1132" t="s">
        <v>277</v>
      </c>
      <c r="E1132" t="s">
        <v>61</v>
      </c>
      <c r="F1132" t="s">
        <v>62</v>
      </c>
      <c r="G1132" t="s">
        <v>1034</v>
      </c>
      <c r="H1132" t="s">
        <v>15</v>
      </c>
      <c r="I1132" s="1">
        <v>2</v>
      </c>
      <c r="J1132" s="2">
        <v>344.82</v>
      </c>
    </row>
    <row r="1133" spans="2:10" x14ac:dyDescent="0.2">
      <c r="B1133" t="s">
        <v>1016</v>
      </c>
      <c r="C1133" t="s">
        <v>220</v>
      </c>
      <c r="D1133" t="s">
        <v>277</v>
      </c>
      <c r="E1133" t="s">
        <v>63</v>
      </c>
      <c r="F1133" t="s">
        <v>64</v>
      </c>
      <c r="G1133" t="s">
        <v>1034</v>
      </c>
      <c r="H1133" t="s">
        <v>15</v>
      </c>
      <c r="I1133" s="1">
        <v>5</v>
      </c>
      <c r="J1133" s="2">
        <v>862.05</v>
      </c>
    </row>
    <row r="1134" spans="2:10" x14ac:dyDescent="0.2">
      <c r="B1134" t="s">
        <v>1016</v>
      </c>
      <c r="C1134" t="s">
        <v>225</v>
      </c>
      <c r="D1134" t="s">
        <v>1017</v>
      </c>
      <c r="E1134" t="s">
        <v>36</v>
      </c>
      <c r="F1134" t="s">
        <v>37</v>
      </c>
      <c r="G1134" t="s">
        <v>1034</v>
      </c>
      <c r="H1134" t="s">
        <v>15</v>
      </c>
      <c r="I1134" s="1">
        <v>1</v>
      </c>
      <c r="J1134" s="2">
        <v>301.72000000000003</v>
      </c>
    </row>
    <row r="1135" spans="2:10" x14ac:dyDescent="0.2">
      <c r="B1135" t="s">
        <v>1016</v>
      </c>
      <c r="C1135" t="s">
        <v>225</v>
      </c>
      <c r="D1135" t="s">
        <v>1017</v>
      </c>
      <c r="E1135" t="s">
        <v>122</v>
      </c>
      <c r="F1135" t="s">
        <v>123</v>
      </c>
      <c r="G1135" t="s">
        <v>1034</v>
      </c>
      <c r="H1135" t="s">
        <v>15</v>
      </c>
      <c r="I1135" s="1">
        <v>1</v>
      </c>
      <c r="J1135" s="2">
        <v>387.93</v>
      </c>
    </row>
    <row r="1136" spans="2:10" x14ac:dyDescent="0.2">
      <c r="B1136" t="s">
        <v>1016</v>
      </c>
      <c r="C1136" t="s">
        <v>228</v>
      </c>
      <c r="D1136" t="s">
        <v>1017</v>
      </c>
      <c r="E1136" t="s">
        <v>214</v>
      </c>
      <c r="F1136" t="s">
        <v>215</v>
      </c>
      <c r="G1136" t="s">
        <v>1034</v>
      </c>
      <c r="H1136" t="s">
        <v>15</v>
      </c>
      <c r="I1136" s="1">
        <v>2</v>
      </c>
      <c r="J1136" s="2">
        <v>603.44000000000005</v>
      </c>
    </row>
    <row r="1137" spans="2:10" x14ac:dyDescent="0.2">
      <c r="B1137" t="s">
        <v>1016</v>
      </c>
      <c r="C1137" t="s">
        <v>228</v>
      </c>
      <c r="D1137" t="s">
        <v>1017</v>
      </c>
      <c r="E1137" t="s">
        <v>83</v>
      </c>
      <c r="F1137" t="s">
        <v>84</v>
      </c>
      <c r="G1137" t="s">
        <v>1034</v>
      </c>
      <c r="H1137" t="s">
        <v>15</v>
      </c>
      <c r="I1137" s="1">
        <v>1</v>
      </c>
      <c r="J1137" s="2">
        <v>387.93</v>
      </c>
    </row>
    <row r="1138" spans="2:10" x14ac:dyDescent="0.2">
      <c r="B1138" t="s">
        <v>1016</v>
      </c>
      <c r="C1138" t="s">
        <v>233</v>
      </c>
      <c r="D1138" t="s">
        <v>1017</v>
      </c>
      <c r="E1138" t="s">
        <v>120</v>
      </c>
      <c r="F1138" t="s">
        <v>121</v>
      </c>
      <c r="G1138" t="s">
        <v>1034</v>
      </c>
      <c r="H1138" t="s">
        <v>15</v>
      </c>
      <c r="I1138" s="1">
        <v>1</v>
      </c>
      <c r="J1138" s="2">
        <v>301.72000000000003</v>
      </c>
    </row>
    <row r="1139" spans="2:10" x14ac:dyDescent="0.2">
      <c r="B1139" t="s">
        <v>1016</v>
      </c>
      <c r="C1139" t="s">
        <v>233</v>
      </c>
      <c r="D1139" t="s">
        <v>1017</v>
      </c>
      <c r="E1139" t="s">
        <v>163</v>
      </c>
      <c r="F1139" t="s">
        <v>164</v>
      </c>
      <c r="G1139" t="s">
        <v>1034</v>
      </c>
      <c r="H1139" t="s">
        <v>15</v>
      </c>
      <c r="I1139" s="1">
        <v>1</v>
      </c>
      <c r="J1139" s="2">
        <v>431.03</v>
      </c>
    </row>
    <row r="1140" spans="2:10" x14ac:dyDescent="0.2">
      <c r="B1140" t="s">
        <v>1016</v>
      </c>
      <c r="C1140" t="s">
        <v>233</v>
      </c>
      <c r="D1140" t="s">
        <v>1017</v>
      </c>
      <c r="E1140" t="s">
        <v>61</v>
      </c>
      <c r="F1140" t="s">
        <v>62</v>
      </c>
      <c r="G1140" t="s">
        <v>1034</v>
      </c>
      <c r="H1140" t="s">
        <v>15</v>
      </c>
      <c r="I1140" s="1">
        <v>2</v>
      </c>
      <c r="J1140" s="2">
        <v>344.82</v>
      </c>
    </row>
    <row r="1141" spans="2:10" x14ac:dyDescent="0.2">
      <c r="B1141" t="s">
        <v>1016</v>
      </c>
      <c r="C1141" t="s">
        <v>236</v>
      </c>
      <c r="D1141" t="s">
        <v>1017</v>
      </c>
      <c r="E1141" t="s">
        <v>120</v>
      </c>
      <c r="F1141" t="s">
        <v>121</v>
      </c>
      <c r="G1141" t="s">
        <v>1034</v>
      </c>
      <c r="H1141" t="s">
        <v>15</v>
      </c>
      <c r="I1141" s="1">
        <v>1</v>
      </c>
      <c r="J1141" s="2">
        <v>301.72000000000003</v>
      </c>
    </row>
    <row r="1142" spans="2:10" x14ac:dyDescent="0.2">
      <c r="B1142" t="s">
        <v>1016</v>
      </c>
      <c r="C1142" t="s">
        <v>236</v>
      </c>
      <c r="D1142" t="s">
        <v>1017</v>
      </c>
      <c r="E1142" t="s">
        <v>12</v>
      </c>
      <c r="F1142" t="s">
        <v>13</v>
      </c>
      <c r="G1142" t="s">
        <v>1034</v>
      </c>
      <c r="H1142" t="s">
        <v>15</v>
      </c>
      <c r="I1142" s="1">
        <v>1</v>
      </c>
      <c r="J1142" s="2">
        <v>1077.5899999999999</v>
      </c>
    </row>
    <row r="1143" spans="2:10" x14ac:dyDescent="0.2">
      <c r="B1143" t="s">
        <v>1016</v>
      </c>
      <c r="C1143" t="s">
        <v>236</v>
      </c>
      <c r="D1143" t="s">
        <v>1017</v>
      </c>
      <c r="E1143" t="s">
        <v>253</v>
      </c>
      <c r="F1143" t="s">
        <v>254</v>
      </c>
      <c r="G1143" t="s">
        <v>1034</v>
      </c>
      <c r="H1143" t="s">
        <v>15</v>
      </c>
      <c r="I1143" s="1">
        <v>1</v>
      </c>
      <c r="J1143" s="2">
        <v>775.86</v>
      </c>
    </row>
    <row r="1144" spans="2:10" x14ac:dyDescent="0.2">
      <c r="B1144" t="s">
        <v>1016</v>
      </c>
      <c r="C1144" t="s">
        <v>236</v>
      </c>
      <c r="D1144" t="s">
        <v>1017</v>
      </c>
      <c r="E1144" t="s">
        <v>38</v>
      </c>
      <c r="F1144" t="s">
        <v>39</v>
      </c>
      <c r="G1144" t="s">
        <v>1034</v>
      </c>
      <c r="H1144" t="s">
        <v>15</v>
      </c>
      <c r="I1144" s="1">
        <v>1</v>
      </c>
      <c r="J1144" s="2">
        <v>431.03</v>
      </c>
    </row>
    <row r="1145" spans="2:10" x14ac:dyDescent="0.2">
      <c r="B1145" t="s">
        <v>1016</v>
      </c>
      <c r="C1145" t="s">
        <v>236</v>
      </c>
      <c r="D1145" t="s">
        <v>1017</v>
      </c>
      <c r="E1145" t="s">
        <v>163</v>
      </c>
      <c r="F1145" t="s">
        <v>164</v>
      </c>
      <c r="G1145" t="s">
        <v>1034</v>
      </c>
      <c r="H1145" t="s">
        <v>15</v>
      </c>
      <c r="I1145" s="1">
        <v>1</v>
      </c>
      <c r="J1145" s="2">
        <v>431.03</v>
      </c>
    </row>
    <row r="1146" spans="2:10" x14ac:dyDescent="0.2">
      <c r="B1146" t="s">
        <v>1016</v>
      </c>
      <c r="C1146" t="s">
        <v>236</v>
      </c>
      <c r="D1146" t="s">
        <v>1017</v>
      </c>
      <c r="E1146" t="s">
        <v>61</v>
      </c>
      <c r="F1146" t="s">
        <v>62</v>
      </c>
      <c r="G1146" t="s">
        <v>1034</v>
      </c>
      <c r="H1146" t="s">
        <v>15</v>
      </c>
      <c r="I1146" s="1">
        <v>3</v>
      </c>
      <c r="J1146" s="2">
        <v>517.23</v>
      </c>
    </row>
    <row r="1147" spans="2:10" x14ac:dyDescent="0.2">
      <c r="B1147" t="s">
        <v>1016</v>
      </c>
      <c r="C1147" t="s">
        <v>236</v>
      </c>
      <c r="D1147" t="s">
        <v>1017</v>
      </c>
      <c r="E1147" t="s">
        <v>63</v>
      </c>
      <c r="F1147" t="s">
        <v>64</v>
      </c>
      <c r="G1147" t="s">
        <v>1034</v>
      </c>
      <c r="H1147" t="s">
        <v>15</v>
      </c>
      <c r="I1147" s="1">
        <v>5</v>
      </c>
      <c r="J1147" s="2">
        <v>862.05</v>
      </c>
    </row>
    <row r="1148" spans="2:10" x14ac:dyDescent="0.2">
      <c r="B1148" t="s">
        <v>1016</v>
      </c>
      <c r="C1148" t="s">
        <v>236</v>
      </c>
      <c r="D1148" t="s">
        <v>1017</v>
      </c>
      <c r="E1148" t="s">
        <v>193</v>
      </c>
      <c r="F1148" t="s">
        <v>194</v>
      </c>
      <c r="G1148" t="s">
        <v>1034</v>
      </c>
      <c r="H1148" t="s">
        <v>15</v>
      </c>
      <c r="I1148" s="1">
        <v>1</v>
      </c>
      <c r="J1148" s="2">
        <v>1293.0999999999999</v>
      </c>
    </row>
    <row r="1149" spans="2:10" x14ac:dyDescent="0.2">
      <c r="B1149" t="s">
        <v>1016</v>
      </c>
      <c r="C1149" t="s">
        <v>237</v>
      </c>
      <c r="D1149" t="s">
        <v>1017</v>
      </c>
      <c r="E1149" t="s">
        <v>253</v>
      </c>
      <c r="F1149" t="s">
        <v>254</v>
      </c>
      <c r="G1149" t="s">
        <v>1034</v>
      </c>
      <c r="H1149" t="s">
        <v>15</v>
      </c>
      <c r="I1149" s="1">
        <v>1</v>
      </c>
      <c r="J1149" s="2">
        <v>775.86</v>
      </c>
    </row>
    <row r="1150" spans="2:10" x14ac:dyDescent="0.2">
      <c r="B1150" t="s">
        <v>1016</v>
      </c>
      <c r="C1150" t="s">
        <v>237</v>
      </c>
      <c r="D1150" t="s">
        <v>1017</v>
      </c>
      <c r="E1150" t="s">
        <v>83</v>
      </c>
      <c r="F1150" t="s">
        <v>84</v>
      </c>
      <c r="G1150" t="s">
        <v>1034</v>
      </c>
      <c r="H1150" t="s">
        <v>15</v>
      </c>
      <c r="I1150" s="1">
        <v>1</v>
      </c>
      <c r="J1150" s="2">
        <v>387.93</v>
      </c>
    </row>
    <row r="1151" spans="2:10" x14ac:dyDescent="0.2">
      <c r="B1151" t="s">
        <v>1016</v>
      </c>
      <c r="C1151" t="s">
        <v>237</v>
      </c>
      <c r="D1151" t="s">
        <v>1017</v>
      </c>
      <c r="E1151" t="s">
        <v>38</v>
      </c>
      <c r="F1151" t="s">
        <v>39</v>
      </c>
      <c r="G1151" t="s">
        <v>1034</v>
      </c>
      <c r="H1151" t="s">
        <v>15</v>
      </c>
      <c r="I1151" s="1">
        <v>1</v>
      </c>
      <c r="J1151" s="2">
        <v>431.03</v>
      </c>
    </row>
    <row r="1152" spans="2:10" x14ac:dyDescent="0.2">
      <c r="B1152" t="s">
        <v>1016</v>
      </c>
      <c r="C1152" t="s">
        <v>237</v>
      </c>
      <c r="D1152" t="s">
        <v>1017</v>
      </c>
      <c r="E1152" t="s">
        <v>56</v>
      </c>
      <c r="F1152" t="s">
        <v>57</v>
      </c>
      <c r="G1152" t="s">
        <v>1034</v>
      </c>
      <c r="H1152" t="s">
        <v>15</v>
      </c>
      <c r="I1152" s="1">
        <v>1</v>
      </c>
      <c r="J1152" s="2">
        <v>431.03</v>
      </c>
    </row>
    <row r="1153" spans="2:10" x14ac:dyDescent="0.2">
      <c r="B1153" t="s">
        <v>1016</v>
      </c>
      <c r="C1153" t="s">
        <v>237</v>
      </c>
      <c r="D1153" t="s">
        <v>1017</v>
      </c>
      <c r="E1153" t="s">
        <v>63</v>
      </c>
      <c r="F1153" t="s">
        <v>64</v>
      </c>
      <c r="G1153" t="s">
        <v>1034</v>
      </c>
      <c r="H1153" t="s">
        <v>15</v>
      </c>
      <c r="I1153" s="1">
        <v>1</v>
      </c>
      <c r="J1153" s="2">
        <v>172.41</v>
      </c>
    </row>
    <row r="1154" spans="2:10" x14ac:dyDescent="0.2">
      <c r="B1154" t="s">
        <v>1016</v>
      </c>
      <c r="C1154" t="s">
        <v>248</v>
      </c>
      <c r="D1154" t="s">
        <v>32</v>
      </c>
      <c r="E1154" t="s">
        <v>120</v>
      </c>
      <c r="F1154" t="s">
        <v>121</v>
      </c>
      <c r="G1154" t="s">
        <v>1034</v>
      </c>
      <c r="H1154" t="s">
        <v>15</v>
      </c>
      <c r="I1154" s="1">
        <v>1</v>
      </c>
      <c r="J1154" s="2">
        <v>301.72000000000003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660F-6F19-4727-8EA8-3A4EBA4FCE2C}">
  <dimension ref="B4:P857"/>
  <sheetViews>
    <sheetView showGridLines="0" topLeftCell="I7" workbookViewId="0">
      <selection activeCell="Q20" sqref="Q20"/>
    </sheetView>
  </sheetViews>
  <sheetFormatPr baseColWidth="10" defaultRowHeight="12.75" x14ac:dyDescent="0.2"/>
  <cols>
    <col min="2" max="2" width="22.7109375" customWidth="1"/>
    <col min="3" max="3" width="10.140625" bestFit="1" customWidth="1"/>
    <col min="4" max="4" width="31.7109375" customWidth="1"/>
    <col min="5" max="5" width="22.42578125" bestFit="1" customWidth="1"/>
    <col min="6" max="6" width="73.85546875" bestFit="1" customWidth="1"/>
    <col min="7" max="7" width="20.28515625" bestFit="1" customWidth="1"/>
    <col min="8" max="8" width="7.7109375" bestFit="1" customWidth="1"/>
    <col min="9" max="9" width="10.42578125" bestFit="1" customWidth="1"/>
    <col min="10" max="10" width="9.140625" bestFit="1" customWidth="1"/>
    <col min="12" max="12" width="41" bestFit="1" customWidth="1"/>
    <col min="13" max="13" width="17.42578125" bestFit="1" customWidth="1"/>
  </cols>
  <sheetData>
    <row r="4" spans="2:16" x14ac:dyDescent="0.2"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</row>
    <row r="5" spans="2:16" x14ac:dyDescent="0.2">
      <c r="B5" t="s">
        <v>9</v>
      </c>
      <c r="C5" t="s">
        <v>18</v>
      </c>
      <c r="D5" t="s">
        <v>11</v>
      </c>
      <c r="E5" t="s">
        <v>28</v>
      </c>
      <c r="F5" t="s">
        <v>29</v>
      </c>
      <c r="G5" t="s">
        <v>1033</v>
      </c>
      <c r="H5" t="s">
        <v>30</v>
      </c>
      <c r="I5" s="1">
        <v>2</v>
      </c>
      <c r="J5" s="2">
        <v>310.33999999999997</v>
      </c>
    </row>
    <row r="6" spans="2:16" x14ac:dyDescent="0.2">
      <c r="B6" t="s">
        <v>9</v>
      </c>
      <c r="C6" t="s">
        <v>40</v>
      </c>
      <c r="D6" t="s">
        <v>11</v>
      </c>
      <c r="E6" t="s">
        <v>41</v>
      </c>
      <c r="F6" t="s">
        <v>42</v>
      </c>
      <c r="G6" t="s">
        <v>1033</v>
      </c>
      <c r="H6" t="s">
        <v>30</v>
      </c>
      <c r="I6" s="1">
        <v>1</v>
      </c>
      <c r="J6" s="2">
        <v>34.479999999999997</v>
      </c>
    </row>
    <row r="7" spans="2:16" x14ac:dyDescent="0.2">
      <c r="B7" t="s">
        <v>9</v>
      </c>
      <c r="C7" t="s">
        <v>40</v>
      </c>
      <c r="D7" t="s">
        <v>11</v>
      </c>
      <c r="E7" t="s">
        <v>44</v>
      </c>
      <c r="F7" t="s">
        <v>45</v>
      </c>
      <c r="G7" t="s">
        <v>1033</v>
      </c>
      <c r="H7" t="s">
        <v>30</v>
      </c>
      <c r="I7" s="1">
        <v>1</v>
      </c>
      <c r="J7" s="2">
        <v>81.900000000000006</v>
      </c>
    </row>
    <row r="8" spans="2:16" x14ac:dyDescent="0.2">
      <c r="B8" t="s">
        <v>9</v>
      </c>
      <c r="C8" t="s">
        <v>40</v>
      </c>
      <c r="D8" t="s">
        <v>11</v>
      </c>
      <c r="E8" t="s">
        <v>28</v>
      </c>
      <c r="F8" t="s">
        <v>29</v>
      </c>
      <c r="G8" t="s">
        <v>1033</v>
      </c>
      <c r="H8" t="s">
        <v>30</v>
      </c>
      <c r="I8" s="1">
        <v>2</v>
      </c>
      <c r="J8" s="2">
        <v>310.33999999999997</v>
      </c>
    </row>
    <row r="9" spans="2:16" x14ac:dyDescent="0.2">
      <c r="B9" t="s">
        <v>9</v>
      </c>
      <c r="C9" t="s">
        <v>65</v>
      </c>
      <c r="D9" t="s">
        <v>11</v>
      </c>
      <c r="E9" t="s">
        <v>66</v>
      </c>
      <c r="F9" t="s">
        <v>67</v>
      </c>
      <c r="G9" t="s">
        <v>1033</v>
      </c>
      <c r="H9" t="s">
        <v>30</v>
      </c>
      <c r="I9" s="1">
        <v>1</v>
      </c>
      <c r="J9" s="2">
        <v>1681.03</v>
      </c>
      <c r="L9" s="139" t="s">
        <v>1094</v>
      </c>
      <c r="M9" t="s">
        <v>1096</v>
      </c>
      <c r="O9" s="146">
        <v>0.06</v>
      </c>
      <c r="P9" s="146">
        <v>0.03</v>
      </c>
    </row>
    <row r="10" spans="2:16" x14ac:dyDescent="0.2">
      <c r="B10" t="s">
        <v>9</v>
      </c>
      <c r="C10" t="s">
        <v>65</v>
      </c>
      <c r="D10" t="s">
        <v>11</v>
      </c>
      <c r="E10" t="s">
        <v>44</v>
      </c>
      <c r="F10" t="s">
        <v>45</v>
      </c>
      <c r="G10" t="s">
        <v>1033</v>
      </c>
      <c r="H10" t="s">
        <v>30</v>
      </c>
      <c r="I10" s="1">
        <v>3</v>
      </c>
      <c r="J10" s="2">
        <v>245.70000000000002</v>
      </c>
      <c r="L10" s="140" t="s">
        <v>277</v>
      </c>
      <c r="M10" s="2">
        <v>49392.249999999993</v>
      </c>
      <c r="O10" s="142">
        <f>M10*$O$9</f>
        <v>2963.5349999999994</v>
      </c>
    </row>
    <row r="11" spans="2:16" x14ac:dyDescent="0.2">
      <c r="B11" t="s">
        <v>9</v>
      </c>
      <c r="C11" t="s">
        <v>65</v>
      </c>
      <c r="D11" t="s">
        <v>11</v>
      </c>
      <c r="E11" t="s">
        <v>68</v>
      </c>
      <c r="F11" t="s">
        <v>69</v>
      </c>
      <c r="G11" t="s">
        <v>1033</v>
      </c>
      <c r="H11" t="s">
        <v>30</v>
      </c>
      <c r="I11" s="1">
        <v>1</v>
      </c>
      <c r="J11" s="2">
        <v>689.66</v>
      </c>
      <c r="L11" s="140" t="s">
        <v>32</v>
      </c>
      <c r="M11" s="2">
        <v>31129.340000000007</v>
      </c>
      <c r="O11" s="142">
        <f t="shared" ref="O11:O29" si="0">M11*$O$9</f>
        <v>1867.7604000000003</v>
      </c>
    </row>
    <row r="12" spans="2:16" x14ac:dyDescent="0.2">
      <c r="B12" t="s">
        <v>9</v>
      </c>
      <c r="C12" t="s">
        <v>65</v>
      </c>
      <c r="D12" t="s">
        <v>11</v>
      </c>
      <c r="E12" t="s">
        <v>70</v>
      </c>
      <c r="F12" t="s">
        <v>71</v>
      </c>
      <c r="G12" t="s">
        <v>1033</v>
      </c>
      <c r="H12" t="s">
        <v>30</v>
      </c>
      <c r="I12" s="1">
        <v>1</v>
      </c>
      <c r="J12" s="2">
        <v>2112.0700000000002</v>
      </c>
      <c r="L12" s="140" t="s">
        <v>741</v>
      </c>
      <c r="M12" s="2">
        <v>51883.62000000001</v>
      </c>
      <c r="O12" s="142">
        <f t="shared" si="0"/>
        <v>3113.0172000000007</v>
      </c>
    </row>
    <row r="13" spans="2:16" x14ac:dyDescent="0.2">
      <c r="B13" t="s">
        <v>9</v>
      </c>
      <c r="C13" t="s">
        <v>65</v>
      </c>
      <c r="D13" t="s">
        <v>11</v>
      </c>
      <c r="E13" t="s">
        <v>28</v>
      </c>
      <c r="F13" t="s">
        <v>29</v>
      </c>
      <c r="G13" t="s">
        <v>1033</v>
      </c>
      <c r="H13" t="s">
        <v>30</v>
      </c>
      <c r="I13" s="1">
        <v>3</v>
      </c>
      <c r="J13" s="2">
        <v>465.51</v>
      </c>
      <c r="L13" s="140" t="s">
        <v>908</v>
      </c>
      <c r="M13" s="2">
        <v>49172.380000000005</v>
      </c>
      <c r="O13" s="142">
        <f t="shared" si="0"/>
        <v>2950.3428000000004</v>
      </c>
    </row>
    <row r="14" spans="2:16" x14ac:dyDescent="0.2">
      <c r="B14" t="s">
        <v>9</v>
      </c>
      <c r="C14" t="s">
        <v>82</v>
      </c>
      <c r="D14" t="s">
        <v>11</v>
      </c>
      <c r="E14" t="s">
        <v>44</v>
      </c>
      <c r="F14" t="s">
        <v>45</v>
      </c>
      <c r="G14" t="s">
        <v>1033</v>
      </c>
      <c r="H14" t="s">
        <v>30</v>
      </c>
      <c r="I14" s="1">
        <v>1</v>
      </c>
      <c r="J14" s="2">
        <v>81.900000000000006</v>
      </c>
      <c r="L14" s="140" t="s">
        <v>1017</v>
      </c>
      <c r="M14" s="2">
        <v>43095.42</v>
      </c>
      <c r="O14" s="142">
        <f t="shared" si="0"/>
        <v>2585.7251999999999</v>
      </c>
    </row>
    <row r="15" spans="2:16" x14ac:dyDescent="0.2">
      <c r="B15" t="s">
        <v>9</v>
      </c>
      <c r="C15" t="s">
        <v>82</v>
      </c>
      <c r="D15" t="s">
        <v>11</v>
      </c>
      <c r="E15" t="s">
        <v>70</v>
      </c>
      <c r="F15" t="s">
        <v>71</v>
      </c>
      <c r="G15" t="s">
        <v>1033</v>
      </c>
      <c r="H15" t="s">
        <v>30</v>
      </c>
      <c r="I15" s="1">
        <v>1</v>
      </c>
      <c r="J15" s="2">
        <v>2112.0700000000002</v>
      </c>
      <c r="L15" s="140" t="s">
        <v>584</v>
      </c>
      <c r="M15" s="2">
        <v>20073.280000000002</v>
      </c>
      <c r="O15" s="142">
        <f t="shared" si="0"/>
        <v>1204.3968000000002</v>
      </c>
    </row>
    <row r="16" spans="2:16" x14ac:dyDescent="0.2">
      <c r="B16" t="s">
        <v>9</v>
      </c>
      <c r="C16" t="s">
        <v>88</v>
      </c>
      <c r="D16" t="s">
        <v>11</v>
      </c>
      <c r="E16" t="s">
        <v>44</v>
      </c>
      <c r="F16" t="s">
        <v>45</v>
      </c>
      <c r="G16" t="s">
        <v>1033</v>
      </c>
      <c r="H16" t="s">
        <v>30</v>
      </c>
      <c r="I16" s="1">
        <v>1</v>
      </c>
      <c r="J16" s="2">
        <v>81.900000000000006</v>
      </c>
      <c r="L16" s="140" t="s">
        <v>781</v>
      </c>
      <c r="M16" s="2">
        <v>49125.070000000014</v>
      </c>
      <c r="O16" s="142">
        <f t="shared" si="0"/>
        <v>2947.5042000000008</v>
      </c>
    </row>
    <row r="17" spans="2:15" x14ac:dyDescent="0.2">
      <c r="B17" t="s">
        <v>9</v>
      </c>
      <c r="C17" t="s">
        <v>88</v>
      </c>
      <c r="D17" t="s">
        <v>11</v>
      </c>
      <c r="E17" t="s">
        <v>70</v>
      </c>
      <c r="F17" t="s">
        <v>71</v>
      </c>
      <c r="G17" t="s">
        <v>1033</v>
      </c>
      <c r="H17" t="s">
        <v>30</v>
      </c>
      <c r="I17" s="1">
        <v>1</v>
      </c>
      <c r="J17" s="2">
        <v>2112.0700000000002</v>
      </c>
      <c r="L17" s="140" t="s">
        <v>691</v>
      </c>
      <c r="M17" s="2">
        <v>30372.2</v>
      </c>
      <c r="O17" s="142">
        <f t="shared" si="0"/>
        <v>1822.3319999999999</v>
      </c>
    </row>
    <row r="18" spans="2:15" x14ac:dyDescent="0.2">
      <c r="B18" t="s">
        <v>9</v>
      </c>
      <c r="C18" t="s">
        <v>88</v>
      </c>
      <c r="D18" t="s">
        <v>11</v>
      </c>
      <c r="E18" t="s">
        <v>95</v>
      </c>
      <c r="F18" t="s">
        <v>96</v>
      </c>
      <c r="G18" t="s">
        <v>1033</v>
      </c>
      <c r="H18" t="s">
        <v>30</v>
      </c>
      <c r="I18" s="1">
        <v>1</v>
      </c>
      <c r="J18" s="2">
        <v>1706.9</v>
      </c>
      <c r="L18" s="140" t="s">
        <v>934</v>
      </c>
      <c r="M18" s="2">
        <v>29867.910000000011</v>
      </c>
      <c r="O18" s="142">
        <f t="shared" si="0"/>
        <v>1792.0746000000006</v>
      </c>
    </row>
    <row r="19" spans="2:15" x14ac:dyDescent="0.2">
      <c r="B19" t="s">
        <v>9</v>
      </c>
      <c r="C19" t="s">
        <v>88</v>
      </c>
      <c r="D19" t="s">
        <v>11</v>
      </c>
      <c r="E19" t="s">
        <v>97</v>
      </c>
      <c r="F19" t="s">
        <v>98</v>
      </c>
      <c r="G19" t="s">
        <v>1033</v>
      </c>
      <c r="H19" t="s">
        <v>30</v>
      </c>
      <c r="I19" s="1">
        <v>1</v>
      </c>
      <c r="J19" s="2">
        <v>2500</v>
      </c>
      <c r="L19" s="140" t="s">
        <v>130</v>
      </c>
      <c r="M19" s="2">
        <v>27728.45</v>
      </c>
      <c r="O19" s="142">
        <v>0</v>
      </c>
    </row>
    <row r="20" spans="2:15" x14ac:dyDescent="0.2">
      <c r="B20" t="s">
        <v>9</v>
      </c>
      <c r="C20" t="s">
        <v>88</v>
      </c>
      <c r="D20" t="s">
        <v>11</v>
      </c>
      <c r="E20" t="s">
        <v>115</v>
      </c>
      <c r="F20" t="s">
        <v>116</v>
      </c>
      <c r="G20" t="s">
        <v>1033</v>
      </c>
      <c r="H20" t="s">
        <v>30</v>
      </c>
      <c r="I20" s="1">
        <v>1</v>
      </c>
      <c r="J20" s="2">
        <v>2465.52</v>
      </c>
      <c r="L20" s="140" t="s">
        <v>456</v>
      </c>
      <c r="M20" s="2">
        <v>63104.029999999992</v>
      </c>
      <c r="O20" s="142">
        <f t="shared" si="0"/>
        <v>3786.2417999999993</v>
      </c>
    </row>
    <row r="21" spans="2:15" x14ac:dyDescent="0.2">
      <c r="B21" t="s">
        <v>9</v>
      </c>
      <c r="C21" t="s">
        <v>117</v>
      </c>
      <c r="D21" t="s">
        <v>11</v>
      </c>
      <c r="E21" t="s">
        <v>44</v>
      </c>
      <c r="F21" t="s">
        <v>45</v>
      </c>
      <c r="G21" t="s">
        <v>1033</v>
      </c>
      <c r="H21" t="s">
        <v>30</v>
      </c>
      <c r="I21" s="1">
        <v>4</v>
      </c>
      <c r="J21" s="2">
        <v>327.60000000000002</v>
      </c>
      <c r="L21" s="140" t="s">
        <v>386</v>
      </c>
      <c r="M21" s="2">
        <v>43992.55999999999</v>
      </c>
      <c r="O21" s="142">
        <f t="shared" si="0"/>
        <v>2639.5535999999993</v>
      </c>
    </row>
    <row r="22" spans="2:15" x14ac:dyDescent="0.2">
      <c r="B22" t="s">
        <v>9</v>
      </c>
      <c r="C22" t="s">
        <v>117</v>
      </c>
      <c r="D22" t="s">
        <v>11</v>
      </c>
      <c r="E22" t="s">
        <v>28</v>
      </c>
      <c r="F22" t="s">
        <v>29</v>
      </c>
      <c r="G22" t="s">
        <v>1033</v>
      </c>
      <c r="H22" t="s">
        <v>30</v>
      </c>
      <c r="I22" s="1">
        <v>6</v>
      </c>
      <c r="J22" s="2">
        <v>931.03</v>
      </c>
      <c r="L22" s="140" t="s">
        <v>226</v>
      </c>
      <c r="M22" s="2">
        <v>25504.32</v>
      </c>
      <c r="O22" s="142">
        <f t="shared" si="0"/>
        <v>1530.2592</v>
      </c>
    </row>
    <row r="23" spans="2:15" x14ac:dyDescent="0.2">
      <c r="B23" t="s">
        <v>9</v>
      </c>
      <c r="C23" t="s">
        <v>134</v>
      </c>
      <c r="D23" t="s">
        <v>11</v>
      </c>
      <c r="E23" t="s">
        <v>28</v>
      </c>
      <c r="F23" t="s">
        <v>29</v>
      </c>
      <c r="G23" t="s">
        <v>1033</v>
      </c>
      <c r="H23" t="s">
        <v>30</v>
      </c>
      <c r="I23" s="1">
        <v>1</v>
      </c>
      <c r="J23" s="2">
        <v>155.16999999999999</v>
      </c>
      <c r="L23" s="140" t="s">
        <v>262</v>
      </c>
      <c r="M23" s="2">
        <v>56875</v>
      </c>
      <c r="O23" s="142">
        <f t="shared" si="0"/>
        <v>3412.5</v>
      </c>
    </row>
    <row r="24" spans="2:15" x14ac:dyDescent="0.2">
      <c r="B24" t="s">
        <v>9</v>
      </c>
      <c r="C24" t="s">
        <v>135</v>
      </c>
      <c r="D24" t="s">
        <v>11</v>
      </c>
      <c r="E24" t="s">
        <v>44</v>
      </c>
      <c r="F24" t="s">
        <v>45</v>
      </c>
      <c r="G24" t="s">
        <v>1033</v>
      </c>
      <c r="H24" t="s">
        <v>30</v>
      </c>
      <c r="I24" s="1">
        <v>3</v>
      </c>
      <c r="J24" s="2">
        <v>245.70000000000002</v>
      </c>
      <c r="L24" s="140" t="s">
        <v>532</v>
      </c>
      <c r="M24" s="2">
        <v>18107.8</v>
      </c>
      <c r="O24" s="142">
        <v>0</v>
      </c>
    </row>
    <row r="25" spans="2:15" x14ac:dyDescent="0.2">
      <c r="B25" t="s">
        <v>9</v>
      </c>
      <c r="C25" t="s">
        <v>135</v>
      </c>
      <c r="D25" t="s">
        <v>11</v>
      </c>
      <c r="E25" t="s">
        <v>28</v>
      </c>
      <c r="F25" t="s">
        <v>29</v>
      </c>
      <c r="G25" t="s">
        <v>1033</v>
      </c>
      <c r="H25" t="s">
        <v>30</v>
      </c>
      <c r="I25" s="1">
        <v>1</v>
      </c>
      <c r="J25" s="2">
        <v>155.16999999999999</v>
      </c>
      <c r="L25" s="140" t="s">
        <v>956</v>
      </c>
      <c r="M25" s="2">
        <v>55935.360000000001</v>
      </c>
      <c r="O25" s="142">
        <v>0</v>
      </c>
    </row>
    <row r="26" spans="2:15" x14ac:dyDescent="0.2">
      <c r="B26" t="s">
        <v>9</v>
      </c>
      <c r="C26" t="s">
        <v>141</v>
      </c>
      <c r="D26" t="s">
        <v>11</v>
      </c>
      <c r="E26" t="s">
        <v>28</v>
      </c>
      <c r="F26" t="s">
        <v>29</v>
      </c>
      <c r="G26" t="s">
        <v>1033</v>
      </c>
      <c r="H26" t="s">
        <v>30</v>
      </c>
      <c r="I26" s="1">
        <v>1</v>
      </c>
      <c r="J26" s="2">
        <v>155.16999999999999</v>
      </c>
      <c r="L26" s="140" t="s">
        <v>616</v>
      </c>
      <c r="M26" s="2">
        <v>22323.279999999995</v>
      </c>
      <c r="O26" s="142">
        <v>0</v>
      </c>
    </row>
    <row r="27" spans="2:15" x14ac:dyDescent="0.2">
      <c r="B27" t="s">
        <v>9</v>
      </c>
      <c r="C27" t="s">
        <v>144</v>
      </c>
      <c r="D27" t="s">
        <v>11</v>
      </c>
      <c r="E27" t="s">
        <v>44</v>
      </c>
      <c r="F27" t="s">
        <v>45</v>
      </c>
      <c r="G27" t="s">
        <v>1033</v>
      </c>
      <c r="H27" t="s">
        <v>30</v>
      </c>
      <c r="I27" s="1">
        <v>2</v>
      </c>
      <c r="J27" s="2">
        <v>163.80000000000001</v>
      </c>
      <c r="L27" s="140" t="s">
        <v>11</v>
      </c>
      <c r="M27" s="2">
        <v>43051.75999999998</v>
      </c>
      <c r="O27" s="142">
        <f t="shared" si="0"/>
        <v>2583.1055999999985</v>
      </c>
    </row>
    <row r="28" spans="2:15" x14ac:dyDescent="0.2">
      <c r="B28" t="s">
        <v>9</v>
      </c>
      <c r="C28" t="s">
        <v>144</v>
      </c>
      <c r="D28" t="s">
        <v>11</v>
      </c>
      <c r="E28" t="s">
        <v>161</v>
      </c>
      <c r="F28" t="s">
        <v>162</v>
      </c>
      <c r="G28" t="s">
        <v>1033</v>
      </c>
      <c r="H28" t="s">
        <v>30</v>
      </c>
      <c r="I28" s="1">
        <v>1</v>
      </c>
      <c r="J28" s="2">
        <v>2474.14</v>
      </c>
      <c r="L28" s="140" t="s">
        <v>825</v>
      </c>
      <c r="M28" s="2">
        <v>26637.96</v>
      </c>
      <c r="O28" s="142">
        <f t="shared" si="0"/>
        <v>1598.2775999999999</v>
      </c>
    </row>
    <row r="29" spans="2:15" x14ac:dyDescent="0.2">
      <c r="B29" t="s">
        <v>9</v>
      </c>
      <c r="C29" t="s">
        <v>144</v>
      </c>
      <c r="D29" t="s">
        <v>11</v>
      </c>
      <c r="E29" t="s">
        <v>28</v>
      </c>
      <c r="F29" t="s">
        <v>29</v>
      </c>
      <c r="G29" t="s">
        <v>1033</v>
      </c>
      <c r="H29" t="s">
        <v>30</v>
      </c>
      <c r="I29" s="1">
        <v>1</v>
      </c>
      <c r="J29" s="2">
        <v>155.16999999999999</v>
      </c>
      <c r="L29" s="140" t="s">
        <v>655</v>
      </c>
      <c r="M29" s="2">
        <v>46551.74</v>
      </c>
      <c r="O29" s="142">
        <f t="shared" si="0"/>
        <v>2793.1043999999997</v>
      </c>
    </row>
    <row r="30" spans="2:15" x14ac:dyDescent="0.2">
      <c r="B30" t="s">
        <v>9</v>
      </c>
      <c r="C30" t="s">
        <v>166</v>
      </c>
      <c r="D30" t="s">
        <v>11</v>
      </c>
      <c r="E30" t="s">
        <v>41</v>
      </c>
      <c r="F30" t="s">
        <v>42</v>
      </c>
      <c r="G30" t="s">
        <v>1033</v>
      </c>
      <c r="H30" t="s">
        <v>30</v>
      </c>
      <c r="I30" s="1">
        <v>1</v>
      </c>
      <c r="J30" s="2">
        <v>34.479999999999997</v>
      </c>
      <c r="L30" s="140" t="s">
        <v>1095</v>
      </c>
      <c r="M30" s="2">
        <v>783923.7300000001</v>
      </c>
      <c r="O30" s="151">
        <f>SUM(O10:O29)</f>
        <v>39589.730399999993</v>
      </c>
    </row>
    <row r="31" spans="2:15" x14ac:dyDescent="0.2">
      <c r="B31" t="s">
        <v>9</v>
      </c>
      <c r="C31" t="s">
        <v>166</v>
      </c>
      <c r="D31" t="s">
        <v>11</v>
      </c>
      <c r="E31" t="s">
        <v>167</v>
      </c>
      <c r="F31" t="s">
        <v>168</v>
      </c>
      <c r="G31" t="s">
        <v>1033</v>
      </c>
      <c r="H31" t="s">
        <v>30</v>
      </c>
      <c r="I31" s="1">
        <v>1</v>
      </c>
      <c r="J31" s="2">
        <v>1267.24</v>
      </c>
    </row>
    <row r="32" spans="2:15" x14ac:dyDescent="0.2">
      <c r="B32" t="s">
        <v>9</v>
      </c>
      <c r="C32" t="s">
        <v>166</v>
      </c>
      <c r="D32" t="s">
        <v>11</v>
      </c>
      <c r="E32" t="s">
        <v>44</v>
      </c>
      <c r="F32" t="s">
        <v>45</v>
      </c>
      <c r="G32" t="s">
        <v>1033</v>
      </c>
      <c r="H32" t="s">
        <v>30</v>
      </c>
      <c r="I32" s="1">
        <v>3</v>
      </c>
      <c r="J32" s="2">
        <v>245.70000000000002</v>
      </c>
    </row>
    <row r="33" spans="2:15" x14ac:dyDescent="0.2">
      <c r="B33" t="s">
        <v>9</v>
      </c>
      <c r="C33" t="s">
        <v>166</v>
      </c>
      <c r="D33" t="s">
        <v>11</v>
      </c>
      <c r="E33" t="s">
        <v>169</v>
      </c>
      <c r="F33" t="s">
        <v>170</v>
      </c>
      <c r="G33" t="s">
        <v>1033</v>
      </c>
      <c r="H33" t="s">
        <v>30</v>
      </c>
      <c r="I33" s="1">
        <v>1</v>
      </c>
      <c r="J33" s="2">
        <v>258.62</v>
      </c>
      <c r="O33" s="144"/>
    </row>
    <row r="34" spans="2:15" x14ac:dyDescent="0.2">
      <c r="B34" t="s">
        <v>9</v>
      </c>
      <c r="C34" t="s">
        <v>166</v>
      </c>
      <c r="D34" t="s">
        <v>11</v>
      </c>
      <c r="E34" t="s">
        <v>177</v>
      </c>
      <c r="F34" t="s">
        <v>178</v>
      </c>
      <c r="G34" t="s">
        <v>1033</v>
      </c>
      <c r="H34" t="s">
        <v>30</v>
      </c>
      <c r="I34" s="1">
        <v>1</v>
      </c>
      <c r="J34" s="2">
        <v>637.92999999999995</v>
      </c>
    </row>
    <row r="35" spans="2:15" x14ac:dyDescent="0.2">
      <c r="B35" t="s">
        <v>9</v>
      </c>
      <c r="C35" t="s">
        <v>166</v>
      </c>
      <c r="D35" t="s">
        <v>11</v>
      </c>
      <c r="E35" t="s">
        <v>28</v>
      </c>
      <c r="F35" t="s">
        <v>29</v>
      </c>
      <c r="G35" t="s">
        <v>1033</v>
      </c>
      <c r="H35" t="s">
        <v>30</v>
      </c>
      <c r="I35" s="1">
        <v>3</v>
      </c>
      <c r="J35" s="2">
        <v>465.51</v>
      </c>
    </row>
    <row r="36" spans="2:15" x14ac:dyDescent="0.2">
      <c r="B36" t="s">
        <v>9</v>
      </c>
      <c r="C36" t="s">
        <v>186</v>
      </c>
      <c r="D36" t="s">
        <v>11</v>
      </c>
      <c r="E36" t="s">
        <v>41</v>
      </c>
      <c r="F36" t="s">
        <v>42</v>
      </c>
      <c r="G36" t="s">
        <v>1033</v>
      </c>
      <c r="H36" t="s">
        <v>30</v>
      </c>
      <c r="I36" s="1">
        <v>1</v>
      </c>
      <c r="J36" s="2">
        <v>34.479999999999997</v>
      </c>
    </row>
    <row r="37" spans="2:15" x14ac:dyDescent="0.2">
      <c r="B37" t="s">
        <v>9</v>
      </c>
      <c r="C37" t="s">
        <v>186</v>
      </c>
      <c r="D37" t="s">
        <v>11</v>
      </c>
      <c r="E37" t="s">
        <v>187</v>
      </c>
      <c r="F37" t="s">
        <v>188</v>
      </c>
      <c r="G37" t="s">
        <v>1033</v>
      </c>
      <c r="H37" t="s">
        <v>30</v>
      </c>
      <c r="I37" s="1">
        <v>1</v>
      </c>
      <c r="J37" s="2">
        <v>258.62</v>
      </c>
    </row>
    <row r="38" spans="2:15" x14ac:dyDescent="0.2">
      <c r="B38" t="s">
        <v>9</v>
      </c>
      <c r="C38" t="s">
        <v>186</v>
      </c>
      <c r="D38" t="s">
        <v>11</v>
      </c>
      <c r="E38" t="s">
        <v>189</v>
      </c>
      <c r="F38" t="s">
        <v>190</v>
      </c>
      <c r="G38" t="s">
        <v>1033</v>
      </c>
      <c r="H38" t="s">
        <v>30</v>
      </c>
      <c r="I38" s="1">
        <v>1</v>
      </c>
      <c r="J38" s="2">
        <v>818.97</v>
      </c>
    </row>
    <row r="39" spans="2:15" x14ac:dyDescent="0.2">
      <c r="B39" t="s">
        <v>9</v>
      </c>
      <c r="C39" t="s">
        <v>186</v>
      </c>
      <c r="D39" t="s">
        <v>11</v>
      </c>
      <c r="E39" t="s">
        <v>195</v>
      </c>
      <c r="F39" t="s">
        <v>196</v>
      </c>
      <c r="G39" t="s">
        <v>1033</v>
      </c>
      <c r="H39" t="s">
        <v>30</v>
      </c>
      <c r="I39" s="1">
        <v>1</v>
      </c>
      <c r="J39" s="2">
        <v>2120.69</v>
      </c>
    </row>
    <row r="40" spans="2:15" x14ac:dyDescent="0.2">
      <c r="B40" t="s">
        <v>9</v>
      </c>
      <c r="C40" t="s">
        <v>186</v>
      </c>
      <c r="D40" t="s">
        <v>11</v>
      </c>
      <c r="E40" t="s">
        <v>28</v>
      </c>
      <c r="F40" t="s">
        <v>29</v>
      </c>
      <c r="G40" t="s">
        <v>1033</v>
      </c>
      <c r="H40" t="s">
        <v>30</v>
      </c>
      <c r="I40" s="1">
        <v>2</v>
      </c>
      <c r="J40" s="2">
        <v>310.33999999999997</v>
      </c>
    </row>
    <row r="41" spans="2:15" x14ac:dyDescent="0.2">
      <c r="B41" t="s">
        <v>9</v>
      </c>
      <c r="C41" t="s">
        <v>197</v>
      </c>
      <c r="D41" t="s">
        <v>11</v>
      </c>
      <c r="E41" t="s">
        <v>44</v>
      </c>
      <c r="F41" t="s">
        <v>45</v>
      </c>
      <c r="G41" t="s">
        <v>1033</v>
      </c>
      <c r="H41" t="s">
        <v>30</v>
      </c>
      <c r="I41" s="1">
        <v>1</v>
      </c>
      <c r="J41" s="2">
        <v>81.900000000000006</v>
      </c>
    </row>
    <row r="42" spans="2:15" x14ac:dyDescent="0.2">
      <c r="B42" t="s">
        <v>9</v>
      </c>
      <c r="C42" t="s">
        <v>197</v>
      </c>
      <c r="D42" t="s">
        <v>11</v>
      </c>
      <c r="E42" t="s">
        <v>201</v>
      </c>
      <c r="F42" t="s">
        <v>202</v>
      </c>
      <c r="G42" t="s">
        <v>1033</v>
      </c>
      <c r="H42" t="s">
        <v>30</v>
      </c>
      <c r="I42" s="1">
        <v>1</v>
      </c>
      <c r="J42" s="2">
        <v>948.28</v>
      </c>
    </row>
    <row r="43" spans="2:15" x14ac:dyDescent="0.2">
      <c r="B43" t="s">
        <v>9</v>
      </c>
      <c r="C43" t="s">
        <v>197</v>
      </c>
      <c r="D43" t="s">
        <v>11</v>
      </c>
      <c r="E43" t="s">
        <v>28</v>
      </c>
      <c r="F43" t="s">
        <v>29</v>
      </c>
      <c r="G43" t="s">
        <v>1033</v>
      </c>
      <c r="H43" t="s">
        <v>30</v>
      </c>
      <c r="I43" s="1">
        <v>2</v>
      </c>
      <c r="J43" s="2">
        <v>310.33999999999997</v>
      </c>
    </row>
    <row r="44" spans="2:15" x14ac:dyDescent="0.2">
      <c r="B44" t="s">
        <v>9</v>
      </c>
      <c r="C44" t="s">
        <v>206</v>
      </c>
      <c r="D44" t="s">
        <v>11</v>
      </c>
      <c r="E44" t="s">
        <v>44</v>
      </c>
      <c r="F44" t="s">
        <v>45</v>
      </c>
      <c r="G44" t="s">
        <v>1033</v>
      </c>
      <c r="H44" t="s">
        <v>30</v>
      </c>
      <c r="I44" s="1">
        <v>2</v>
      </c>
      <c r="J44" s="2">
        <v>163.80000000000001</v>
      </c>
    </row>
    <row r="45" spans="2:15" x14ac:dyDescent="0.2">
      <c r="B45" t="s">
        <v>9</v>
      </c>
      <c r="C45" t="s">
        <v>206</v>
      </c>
      <c r="D45" t="s">
        <v>11</v>
      </c>
      <c r="E45" t="s">
        <v>210</v>
      </c>
      <c r="F45" t="s">
        <v>211</v>
      </c>
      <c r="G45" t="s">
        <v>1033</v>
      </c>
      <c r="H45" t="s">
        <v>30</v>
      </c>
      <c r="I45" s="1">
        <v>1</v>
      </c>
      <c r="J45" s="2">
        <v>301.72000000000003</v>
      </c>
    </row>
    <row r="46" spans="2:15" x14ac:dyDescent="0.2">
      <c r="B46" t="s">
        <v>9</v>
      </c>
      <c r="C46" t="s">
        <v>206</v>
      </c>
      <c r="D46" t="s">
        <v>11</v>
      </c>
      <c r="E46" t="s">
        <v>28</v>
      </c>
      <c r="F46" t="s">
        <v>29</v>
      </c>
      <c r="G46" t="s">
        <v>1033</v>
      </c>
      <c r="H46" t="s">
        <v>30</v>
      </c>
      <c r="I46" s="1">
        <v>4</v>
      </c>
      <c r="J46" s="2">
        <v>620.67999999999995</v>
      </c>
    </row>
    <row r="47" spans="2:15" x14ac:dyDescent="0.2">
      <c r="B47" t="s">
        <v>9</v>
      </c>
      <c r="C47" t="s">
        <v>220</v>
      </c>
      <c r="D47" t="s">
        <v>11</v>
      </c>
      <c r="E47" t="s">
        <v>44</v>
      </c>
      <c r="F47" t="s">
        <v>45</v>
      </c>
      <c r="G47" t="s">
        <v>1033</v>
      </c>
      <c r="H47" t="s">
        <v>30</v>
      </c>
      <c r="I47" s="1">
        <v>1</v>
      </c>
      <c r="J47" s="2">
        <v>81.900000000000006</v>
      </c>
    </row>
    <row r="48" spans="2:15" x14ac:dyDescent="0.2">
      <c r="B48" t="s">
        <v>9</v>
      </c>
      <c r="C48" t="s">
        <v>220</v>
      </c>
      <c r="D48" t="s">
        <v>11</v>
      </c>
      <c r="E48" t="s">
        <v>28</v>
      </c>
      <c r="F48" t="s">
        <v>29</v>
      </c>
      <c r="G48" t="s">
        <v>1033</v>
      </c>
      <c r="H48" t="s">
        <v>30</v>
      </c>
      <c r="I48" s="1">
        <v>3</v>
      </c>
      <c r="J48" s="2">
        <v>465.52</v>
      </c>
    </row>
    <row r="49" spans="2:10" x14ac:dyDescent="0.2">
      <c r="B49" t="s">
        <v>9</v>
      </c>
      <c r="C49" t="s">
        <v>225</v>
      </c>
      <c r="D49" t="s">
        <v>226</v>
      </c>
      <c r="E49" t="s">
        <v>44</v>
      </c>
      <c r="F49" t="s">
        <v>45</v>
      </c>
      <c r="G49" t="s">
        <v>1033</v>
      </c>
      <c r="H49" t="s">
        <v>30</v>
      </c>
      <c r="I49" s="1">
        <v>1</v>
      </c>
      <c r="J49" s="2">
        <v>81.900000000000006</v>
      </c>
    </row>
    <row r="50" spans="2:10" x14ac:dyDescent="0.2">
      <c r="B50" t="s">
        <v>9</v>
      </c>
      <c r="C50" t="s">
        <v>225</v>
      </c>
      <c r="D50" t="s">
        <v>226</v>
      </c>
      <c r="E50" t="s">
        <v>28</v>
      </c>
      <c r="F50" t="s">
        <v>29</v>
      </c>
      <c r="G50" t="s">
        <v>1033</v>
      </c>
      <c r="H50" t="s">
        <v>30</v>
      </c>
      <c r="I50" s="1">
        <v>1</v>
      </c>
      <c r="J50" s="2">
        <v>155.16999999999999</v>
      </c>
    </row>
    <row r="51" spans="2:10" x14ac:dyDescent="0.2">
      <c r="B51" t="s">
        <v>9</v>
      </c>
      <c r="C51" t="s">
        <v>228</v>
      </c>
      <c r="D51" t="s">
        <v>11</v>
      </c>
      <c r="E51" t="s">
        <v>44</v>
      </c>
      <c r="F51" t="s">
        <v>45</v>
      </c>
      <c r="G51" t="s">
        <v>1033</v>
      </c>
      <c r="H51" t="s">
        <v>30</v>
      </c>
      <c r="I51" s="1">
        <v>1</v>
      </c>
      <c r="J51" s="2">
        <v>81.900000000000006</v>
      </c>
    </row>
    <row r="52" spans="2:10" x14ac:dyDescent="0.2">
      <c r="B52" t="s">
        <v>9</v>
      </c>
      <c r="C52" t="s">
        <v>233</v>
      </c>
      <c r="D52" t="s">
        <v>11</v>
      </c>
      <c r="E52" t="s">
        <v>28</v>
      </c>
      <c r="F52" t="s">
        <v>29</v>
      </c>
      <c r="G52" t="s">
        <v>1033</v>
      </c>
      <c r="H52" t="s">
        <v>30</v>
      </c>
      <c r="I52" s="1">
        <v>2</v>
      </c>
      <c r="J52" s="2">
        <v>310.33999999999997</v>
      </c>
    </row>
    <row r="53" spans="2:10" x14ac:dyDescent="0.2">
      <c r="B53" t="s">
        <v>9</v>
      </c>
      <c r="C53" t="s">
        <v>236</v>
      </c>
      <c r="D53" t="s">
        <v>11</v>
      </c>
      <c r="E53" t="s">
        <v>201</v>
      </c>
      <c r="F53" t="s">
        <v>202</v>
      </c>
      <c r="G53" t="s">
        <v>1033</v>
      </c>
      <c r="H53" t="s">
        <v>30</v>
      </c>
      <c r="I53" s="1">
        <v>1</v>
      </c>
      <c r="J53" s="2">
        <v>948.28</v>
      </c>
    </row>
    <row r="54" spans="2:10" x14ac:dyDescent="0.2">
      <c r="B54" t="s">
        <v>9</v>
      </c>
      <c r="C54" t="s">
        <v>236</v>
      </c>
      <c r="D54" t="s">
        <v>11</v>
      </c>
      <c r="E54" t="s">
        <v>28</v>
      </c>
      <c r="F54" t="s">
        <v>29</v>
      </c>
      <c r="G54" t="s">
        <v>1033</v>
      </c>
      <c r="H54" t="s">
        <v>30</v>
      </c>
      <c r="I54" s="1">
        <v>1</v>
      </c>
      <c r="J54" s="2">
        <v>155.16999999999999</v>
      </c>
    </row>
    <row r="55" spans="2:10" x14ac:dyDescent="0.2">
      <c r="B55" t="s">
        <v>9</v>
      </c>
      <c r="C55" t="s">
        <v>237</v>
      </c>
      <c r="D55" t="s">
        <v>11</v>
      </c>
      <c r="E55" t="s">
        <v>238</v>
      </c>
      <c r="F55" t="s">
        <v>239</v>
      </c>
      <c r="G55" t="s">
        <v>1033</v>
      </c>
      <c r="H55" t="s">
        <v>30</v>
      </c>
      <c r="I55" s="1">
        <v>1</v>
      </c>
      <c r="J55" s="2">
        <v>396.55</v>
      </c>
    </row>
    <row r="56" spans="2:10" x14ac:dyDescent="0.2">
      <c r="B56" t="s">
        <v>9</v>
      </c>
      <c r="C56" t="s">
        <v>237</v>
      </c>
      <c r="D56" t="s">
        <v>11</v>
      </c>
      <c r="E56" t="s">
        <v>44</v>
      </c>
      <c r="F56" t="s">
        <v>45</v>
      </c>
      <c r="G56" t="s">
        <v>1033</v>
      </c>
      <c r="H56" t="s">
        <v>30</v>
      </c>
      <c r="I56" s="1">
        <v>3</v>
      </c>
      <c r="J56" s="2">
        <v>245.70000000000002</v>
      </c>
    </row>
    <row r="57" spans="2:10" x14ac:dyDescent="0.2">
      <c r="B57" t="s">
        <v>9</v>
      </c>
      <c r="C57" t="s">
        <v>237</v>
      </c>
      <c r="D57" t="s">
        <v>11</v>
      </c>
      <c r="E57" t="s">
        <v>246</v>
      </c>
      <c r="F57" t="s">
        <v>247</v>
      </c>
      <c r="G57" t="s">
        <v>1033</v>
      </c>
      <c r="H57" t="s">
        <v>30</v>
      </c>
      <c r="I57" s="1">
        <v>1</v>
      </c>
      <c r="J57" s="2">
        <v>2008.62</v>
      </c>
    </row>
    <row r="58" spans="2:10" x14ac:dyDescent="0.2">
      <c r="B58" t="s">
        <v>9</v>
      </c>
      <c r="C58" t="s">
        <v>248</v>
      </c>
      <c r="D58" t="s">
        <v>11</v>
      </c>
      <c r="E58" t="s">
        <v>167</v>
      </c>
      <c r="F58" t="s">
        <v>168</v>
      </c>
      <c r="G58" t="s">
        <v>1033</v>
      </c>
      <c r="H58" t="s">
        <v>30</v>
      </c>
      <c r="I58" s="1">
        <v>1</v>
      </c>
      <c r="J58" s="2">
        <v>1267.24</v>
      </c>
    </row>
    <row r="59" spans="2:10" x14ac:dyDescent="0.2">
      <c r="B59" t="s">
        <v>9</v>
      </c>
      <c r="C59" t="s">
        <v>248</v>
      </c>
      <c r="D59" t="s">
        <v>11</v>
      </c>
      <c r="E59" t="s">
        <v>44</v>
      </c>
      <c r="F59" t="s">
        <v>45</v>
      </c>
      <c r="G59" t="s">
        <v>1033</v>
      </c>
      <c r="H59" t="s">
        <v>30</v>
      </c>
      <c r="I59" s="1">
        <v>4</v>
      </c>
      <c r="J59" s="2">
        <v>327.60000000000002</v>
      </c>
    </row>
    <row r="60" spans="2:10" x14ac:dyDescent="0.2">
      <c r="B60" t="s">
        <v>9</v>
      </c>
      <c r="C60" t="s">
        <v>248</v>
      </c>
      <c r="D60" t="s">
        <v>11</v>
      </c>
      <c r="E60" t="s">
        <v>249</v>
      </c>
      <c r="F60" t="s">
        <v>250</v>
      </c>
      <c r="G60" t="s">
        <v>1033</v>
      </c>
      <c r="H60" t="s">
        <v>30</v>
      </c>
      <c r="I60" s="1">
        <v>1</v>
      </c>
      <c r="J60" s="2">
        <v>517.24</v>
      </c>
    </row>
    <row r="61" spans="2:10" x14ac:dyDescent="0.2">
      <c r="B61" t="s">
        <v>9</v>
      </c>
      <c r="C61" t="s">
        <v>248</v>
      </c>
      <c r="D61" t="s">
        <v>11</v>
      </c>
      <c r="E61" t="s">
        <v>251</v>
      </c>
      <c r="F61" t="s">
        <v>252</v>
      </c>
      <c r="G61" t="s">
        <v>1033</v>
      </c>
      <c r="H61" t="s">
        <v>30</v>
      </c>
      <c r="I61" s="1">
        <v>1</v>
      </c>
      <c r="J61" s="2">
        <v>1500</v>
      </c>
    </row>
    <row r="62" spans="2:10" x14ac:dyDescent="0.2">
      <c r="B62" t="s">
        <v>9</v>
      </c>
      <c r="C62" t="s">
        <v>248</v>
      </c>
      <c r="D62" t="s">
        <v>11</v>
      </c>
      <c r="E62" t="s">
        <v>255</v>
      </c>
      <c r="F62" t="s">
        <v>256</v>
      </c>
      <c r="G62" t="s">
        <v>1033</v>
      </c>
      <c r="H62" t="s">
        <v>30</v>
      </c>
      <c r="I62" s="1">
        <v>4</v>
      </c>
      <c r="J62" s="2">
        <v>2068.96</v>
      </c>
    </row>
    <row r="63" spans="2:10" x14ac:dyDescent="0.2">
      <c r="B63" t="s">
        <v>9</v>
      </c>
      <c r="C63" t="s">
        <v>248</v>
      </c>
      <c r="D63" t="s">
        <v>11</v>
      </c>
      <c r="E63" t="s">
        <v>257</v>
      </c>
      <c r="F63" t="s">
        <v>258</v>
      </c>
      <c r="G63" t="s">
        <v>1033</v>
      </c>
      <c r="H63" t="s">
        <v>30</v>
      </c>
      <c r="I63" s="1">
        <v>1</v>
      </c>
      <c r="J63" s="2">
        <v>1577.59</v>
      </c>
    </row>
    <row r="64" spans="2:10" x14ac:dyDescent="0.2">
      <c r="B64" t="s">
        <v>9</v>
      </c>
      <c r="C64" t="s">
        <v>248</v>
      </c>
      <c r="D64" t="s">
        <v>11</v>
      </c>
      <c r="E64" t="s">
        <v>28</v>
      </c>
      <c r="F64" t="s">
        <v>29</v>
      </c>
      <c r="G64" t="s">
        <v>1033</v>
      </c>
      <c r="H64" t="s">
        <v>30</v>
      </c>
      <c r="I64" s="1">
        <v>3</v>
      </c>
      <c r="J64" s="2">
        <v>465.51</v>
      </c>
    </row>
    <row r="65" spans="2:10" x14ac:dyDescent="0.2">
      <c r="B65" t="s">
        <v>261</v>
      </c>
      <c r="C65" t="s">
        <v>18</v>
      </c>
      <c r="D65" t="s">
        <v>262</v>
      </c>
      <c r="E65" t="s">
        <v>269</v>
      </c>
      <c r="F65" t="s">
        <v>270</v>
      </c>
      <c r="G65" t="s">
        <v>1033</v>
      </c>
      <c r="H65" t="s">
        <v>30</v>
      </c>
      <c r="I65" s="1">
        <v>1</v>
      </c>
      <c r="J65" s="2">
        <v>948.28</v>
      </c>
    </row>
    <row r="66" spans="2:10" x14ac:dyDescent="0.2">
      <c r="B66" t="s">
        <v>261</v>
      </c>
      <c r="C66" t="s">
        <v>18</v>
      </c>
      <c r="D66" t="s">
        <v>262</v>
      </c>
      <c r="E66" t="s">
        <v>273</v>
      </c>
      <c r="F66" t="s">
        <v>274</v>
      </c>
      <c r="G66" t="s">
        <v>1033</v>
      </c>
      <c r="H66" t="s">
        <v>30</v>
      </c>
      <c r="I66" s="1">
        <v>1</v>
      </c>
      <c r="J66" s="2">
        <v>1293.0999999999999</v>
      </c>
    </row>
    <row r="67" spans="2:10" x14ac:dyDescent="0.2">
      <c r="B67" t="s">
        <v>261</v>
      </c>
      <c r="C67" t="s">
        <v>18</v>
      </c>
      <c r="D67" t="s">
        <v>262</v>
      </c>
      <c r="E67" t="s">
        <v>275</v>
      </c>
      <c r="F67" t="s">
        <v>276</v>
      </c>
      <c r="G67" t="s">
        <v>1033</v>
      </c>
      <c r="H67" t="s">
        <v>30</v>
      </c>
      <c r="I67" s="1">
        <v>1</v>
      </c>
      <c r="J67" s="2">
        <v>1551.72</v>
      </c>
    </row>
    <row r="68" spans="2:10" x14ac:dyDescent="0.2">
      <c r="B68" t="s">
        <v>261</v>
      </c>
      <c r="C68" t="s">
        <v>31</v>
      </c>
      <c r="D68" t="s">
        <v>262</v>
      </c>
      <c r="E68" t="s">
        <v>44</v>
      </c>
      <c r="F68" t="s">
        <v>45</v>
      </c>
      <c r="G68" t="s">
        <v>1033</v>
      </c>
      <c r="H68" t="s">
        <v>30</v>
      </c>
      <c r="I68" s="1">
        <v>1</v>
      </c>
      <c r="J68" s="2">
        <v>81.900000000000006</v>
      </c>
    </row>
    <row r="69" spans="2:10" x14ac:dyDescent="0.2">
      <c r="B69" t="s">
        <v>261</v>
      </c>
      <c r="C69" t="s">
        <v>31</v>
      </c>
      <c r="D69" t="s">
        <v>262</v>
      </c>
      <c r="E69" t="s">
        <v>251</v>
      </c>
      <c r="F69" t="s">
        <v>252</v>
      </c>
      <c r="G69" t="s">
        <v>1033</v>
      </c>
      <c r="H69" t="s">
        <v>30</v>
      </c>
      <c r="I69" s="1">
        <v>1</v>
      </c>
      <c r="J69" s="2">
        <v>1500</v>
      </c>
    </row>
    <row r="70" spans="2:10" x14ac:dyDescent="0.2">
      <c r="B70" t="s">
        <v>261</v>
      </c>
      <c r="C70" t="s">
        <v>40</v>
      </c>
      <c r="D70" t="s">
        <v>277</v>
      </c>
      <c r="E70" t="s">
        <v>278</v>
      </c>
      <c r="F70" t="s">
        <v>279</v>
      </c>
      <c r="G70" t="s">
        <v>1033</v>
      </c>
      <c r="H70" t="s">
        <v>30</v>
      </c>
      <c r="I70" s="1">
        <v>1</v>
      </c>
      <c r="J70" s="2">
        <v>112.07</v>
      </c>
    </row>
    <row r="71" spans="2:10" x14ac:dyDescent="0.2">
      <c r="B71" t="s">
        <v>261</v>
      </c>
      <c r="C71" t="s">
        <v>40</v>
      </c>
      <c r="D71" t="s">
        <v>277</v>
      </c>
      <c r="E71" t="s">
        <v>280</v>
      </c>
      <c r="F71" t="s">
        <v>281</v>
      </c>
      <c r="G71" t="s">
        <v>1033</v>
      </c>
      <c r="H71" t="s">
        <v>30</v>
      </c>
      <c r="I71" s="1">
        <v>1</v>
      </c>
      <c r="J71" s="2">
        <v>474.14</v>
      </c>
    </row>
    <row r="72" spans="2:10" x14ac:dyDescent="0.2">
      <c r="B72" t="s">
        <v>261</v>
      </c>
      <c r="C72" t="s">
        <v>40</v>
      </c>
      <c r="D72" t="s">
        <v>277</v>
      </c>
      <c r="E72" t="s">
        <v>269</v>
      </c>
      <c r="F72" t="s">
        <v>270</v>
      </c>
      <c r="G72" t="s">
        <v>1033</v>
      </c>
      <c r="H72" t="s">
        <v>30</v>
      </c>
      <c r="I72" s="1">
        <v>1</v>
      </c>
      <c r="J72" s="2">
        <v>948.28</v>
      </c>
    </row>
    <row r="73" spans="2:10" x14ac:dyDescent="0.2">
      <c r="B73" t="s">
        <v>261</v>
      </c>
      <c r="C73" t="s">
        <v>40</v>
      </c>
      <c r="D73" t="s">
        <v>277</v>
      </c>
      <c r="E73" t="s">
        <v>28</v>
      </c>
      <c r="F73" t="s">
        <v>29</v>
      </c>
      <c r="G73" t="s">
        <v>1033</v>
      </c>
      <c r="H73" t="s">
        <v>30</v>
      </c>
      <c r="I73" s="1">
        <v>1</v>
      </c>
      <c r="J73" s="2">
        <v>155.16999999999999</v>
      </c>
    </row>
    <row r="74" spans="2:10" x14ac:dyDescent="0.2">
      <c r="B74" t="s">
        <v>261</v>
      </c>
      <c r="C74" t="s">
        <v>51</v>
      </c>
      <c r="D74" t="s">
        <v>262</v>
      </c>
      <c r="E74" t="s">
        <v>282</v>
      </c>
      <c r="F74" t="s">
        <v>283</v>
      </c>
      <c r="G74" t="s">
        <v>1033</v>
      </c>
      <c r="H74" t="s">
        <v>30</v>
      </c>
      <c r="I74" s="1">
        <v>1</v>
      </c>
      <c r="J74" s="2">
        <v>129.31</v>
      </c>
    </row>
    <row r="75" spans="2:10" x14ac:dyDescent="0.2">
      <c r="B75" t="s">
        <v>261</v>
      </c>
      <c r="C75" t="s">
        <v>51</v>
      </c>
      <c r="D75" t="s">
        <v>262</v>
      </c>
      <c r="E75" t="s">
        <v>285</v>
      </c>
      <c r="F75" t="s">
        <v>286</v>
      </c>
      <c r="G75" t="s">
        <v>1033</v>
      </c>
      <c r="H75" t="s">
        <v>30</v>
      </c>
      <c r="I75" s="1">
        <v>1</v>
      </c>
      <c r="J75" s="2">
        <v>1034.48</v>
      </c>
    </row>
    <row r="76" spans="2:10" x14ac:dyDescent="0.2">
      <c r="B76" t="s">
        <v>261</v>
      </c>
      <c r="C76" t="s">
        <v>51</v>
      </c>
      <c r="D76" t="s">
        <v>262</v>
      </c>
      <c r="E76" t="s">
        <v>269</v>
      </c>
      <c r="F76" t="s">
        <v>270</v>
      </c>
      <c r="G76" t="s">
        <v>1033</v>
      </c>
      <c r="H76" t="s">
        <v>30</v>
      </c>
      <c r="I76" s="1">
        <v>1</v>
      </c>
      <c r="J76" s="2">
        <v>948.28</v>
      </c>
    </row>
    <row r="77" spans="2:10" x14ac:dyDescent="0.2">
      <c r="B77" t="s">
        <v>261</v>
      </c>
      <c r="C77" t="s">
        <v>88</v>
      </c>
      <c r="D77" t="s">
        <v>262</v>
      </c>
      <c r="E77" t="s">
        <v>70</v>
      </c>
      <c r="F77" t="s">
        <v>71</v>
      </c>
      <c r="G77" t="s">
        <v>1033</v>
      </c>
      <c r="H77" t="s">
        <v>30</v>
      </c>
      <c r="I77" s="1">
        <v>1</v>
      </c>
      <c r="J77" s="2">
        <v>2112.0700000000002</v>
      </c>
    </row>
    <row r="78" spans="2:10" x14ac:dyDescent="0.2">
      <c r="B78" t="s">
        <v>261</v>
      </c>
      <c r="C78" t="s">
        <v>88</v>
      </c>
      <c r="D78" t="s">
        <v>262</v>
      </c>
      <c r="E78" t="s">
        <v>300</v>
      </c>
      <c r="F78" t="s">
        <v>301</v>
      </c>
      <c r="G78" t="s">
        <v>1033</v>
      </c>
      <c r="H78" t="s">
        <v>30</v>
      </c>
      <c r="I78" s="1">
        <v>1</v>
      </c>
      <c r="J78" s="2">
        <v>2413.79</v>
      </c>
    </row>
    <row r="79" spans="2:10" x14ac:dyDescent="0.2">
      <c r="B79" t="s">
        <v>261</v>
      </c>
      <c r="C79" t="s">
        <v>117</v>
      </c>
      <c r="D79" t="s">
        <v>262</v>
      </c>
      <c r="E79" t="s">
        <v>302</v>
      </c>
      <c r="F79" t="s">
        <v>303</v>
      </c>
      <c r="G79" t="s">
        <v>1033</v>
      </c>
      <c r="H79" t="s">
        <v>30</v>
      </c>
      <c r="I79" s="1">
        <v>1</v>
      </c>
      <c r="J79" s="2">
        <v>474.14</v>
      </c>
    </row>
    <row r="80" spans="2:10" x14ac:dyDescent="0.2">
      <c r="B80" t="s">
        <v>261</v>
      </c>
      <c r="C80" t="s">
        <v>117</v>
      </c>
      <c r="D80" t="s">
        <v>262</v>
      </c>
      <c r="E80" t="s">
        <v>44</v>
      </c>
      <c r="F80" t="s">
        <v>45</v>
      </c>
      <c r="G80" t="s">
        <v>1033</v>
      </c>
      <c r="H80" t="s">
        <v>30</v>
      </c>
      <c r="I80" s="1">
        <v>2</v>
      </c>
      <c r="J80" s="2">
        <v>163.80000000000001</v>
      </c>
    </row>
    <row r="81" spans="2:10" x14ac:dyDescent="0.2">
      <c r="B81" t="s">
        <v>261</v>
      </c>
      <c r="C81" t="s">
        <v>117</v>
      </c>
      <c r="D81" t="s">
        <v>262</v>
      </c>
      <c r="E81" t="s">
        <v>70</v>
      </c>
      <c r="F81" t="s">
        <v>71</v>
      </c>
      <c r="G81" t="s">
        <v>1033</v>
      </c>
      <c r="H81" t="s">
        <v>30</v>
      </c>
      <c r="I81" s="1">
        <v>1</v>
      </c>
      <c r="J81" s="2">
        <v>2112.0700000000002</v>
      </c>
    </row>
    <row r="82" spans="2:10" x14ac:dyDescent="0.2">
      <c r="B82" t="s">
        <v>261</v>
      </c>
      <c r="C82" t="s">
        <v>117</v>
      </c>
      <c r="D82" t="s">
        <v>262</v>
      </c>
      <c r="E82" t="s">
        <v>28</v>
      </c>
      <c r="F82" t="s">
        <v>29</v>
      </c>
      <c r="G82" t="s">
        <v>1033</v>
      </c>
      <c r="H82" t="s">
        <v>30</v>
      </c>
      <c r="I82" s="1">
        <v>2</v>
      </c>
      <c r="J82" s="2">
        <v>310.33999999999997</v>
      </c>
    </row>
    <row r="83" spans="2:10" x14ac:dyDescent="0.2">
      <c r="B83" t="s">
        <v>261</v>
      </c>
      <c r="C83" t="s">
        <v>129</v>
      </c>
      <c r="D83" t="s">
        <v>262</v>
      </c>
      <c r="E83" t="s">
        <v>44</v>
      </c>
      <c r="F83" t="s">
        <v>45</v>
      </c>
      <c r="G83" t="s">
        <v>1033</v>
      </c>
      <c r="H83" t="s">
        <v>30</v>
      </c>
      <c r="I83" s="1">
        <v>1</v>
      </c>
      <c r="J83" s="2">
        <v>81.900000000000006</v>
      </c>
    </row>
    <row r="84" spans="2:10" x14ac:dyDescent="0.2">
      <c r="B84" t="s">
        <v>261</v>
      </c>
      <c r="C84" t="s">
        <v>134</v>
      </c>
      <c r="D84" t="s">
        <v>262</v>
      </c>
      <c r="E84" t="s">
        <v>306</v>
      </c>
      <c r="F84" t="s">
        <v>307</v>
      </c>
      <c r="G84" t="s">
        <v>1033</v>
      </c>
      <c r="H84" t="s">
        <v>30</v>
      </c>
      <c r="I84" s="1">
        <v>1</v>
      </c>
      <c r="J84" s="2">
        <v>258.62</v>
      </c>
    </row>
    <row r="85" spans="2:10" x14ac:dyDescent="0.2">
      <c r="B85" t="s">
        <v>261</v>
      </c>
      <c r="C85" t="s">
        <v>134</v>
      </c>
      <c r="D85" t="s">
        <v>262</v>
      </c>
      <c r="E85" t="s">
        <v>308</v>
      </c>
      <c r="F85" t="s">
        <v>309</v>
      </c>
      <c r="G85" t="s">
        <v>1033</v>
      </c>
      <c r="H85" t="s">
        <v>30</v>
      </c>
      <c r="I85" s="1">
        <v>1</v>
      </c>
      <c r="J85" s="2">
        <v>818.97</v>
      </c>
    </row>
    <row r="86" spans="2:10" x14ac:dyDescent="0.2">
      <c r="B86" t="s">
        <v>261</v>
      </c>
      <c r="C86" t="s">
        <v>134</v>
      </c>
      <c r="D86" t="s">
        <v>262</v>
      </c>
      <c r="E86" t="s">
        <v>251</v>
      </c>
      <c r="F86" t="s">
        <v>252</v>
      </c>
      <c r="G86" t="s">
        <v>1033</v>
      </c>
      <c r="H86" t="s">
        <v>30</v>
      </c>
      <c r="I86" s="1">
        <v>1</v>
      </c>
      <c r="J86" s="2">
        <v>1500</v>
      </c>
    </row>
    <row r="87" spans="2:10" x14ac:dyDescent="0.2">
      <c r="B87" t="s">
        <v>261</v>
      </c>
      <c r="C87" t="s">
        <v>134</v>
      </c>
      <c r="D87" t="s">
        <v>262</v>
      </c>
      <c r="E87" t="s">
        <v>310</v>
      </c>
      <c r="F87" t="s">
        <v>311</v>
      </c>
      <c r="G87" t="s">
        <v>1033</v>
      </c>
      <c r="H87" t="s">
        <v>30</v>
      </c>
      <c r="I87" s="1">
        <v>1</v>
      </c>
      <c r="J87" s="2">
        <v>474.14</v>
      </c>
    </row>
    <row r="88" spans="2:10" x14ac:dyDescent="0.2">
      <c r="B88" t="s">
        <v>261</v>
      </c>
      <c r="C88" t="s">
        <v>134</v>
      </c>
      <c r="D88" t="s">
        <v>262</v>
      </c>
      <c r="E88" t="s">
        <v>312</v>
      </c>
      <c r="F88" t="s">
        <v>313</v>
      </c>
      <c r="G88" t="s">
        <v>1033</v>
      </c>
      <c r="H88" t="s">
        <v>30</v>
      </c>
      <c r="I88" s="1">
        <v>1</v>
      </c>
      <c r="J88" s="2">
        <v>603.45000000000005</v>
      </c>
    </row>
    <row r="89" spans="2:10" x14ac:dyDescent="0.2">
      <c r="B89" t="s">
        <v>261</v>
      </c>
      <c r="C89" t="s">
        <v>135</v>
      </c>
      <c r="D89" t="s">
        <v>262</v>
      </c>
      <c r="E89" t="s">
        <v>273</v>
      </c>
      <c r="F89" t="s">
        <v>274</v>
      </c>
      <c r="G89" t="s">
        <v>1033</v>
      </c>
      <c r="H89" t="s">
        <v>30</v>
      </c>
      <c r="I89" s="1">
        <v>1</v>
      </c>
      <c r="J89" s="2">
        <v>1293.0999999999999</v>
      </c>
    </row>
    <row r="90" spans="2:10" x14ac:dyDescent="0.2">
      <c r="B90" t="s">
        <v>261</v>
      </c>
      <c r="C90" t="s">
        <v>141</v>
      </c>
      <c r="D90" t="s">
        <v>262</v>
      </c>
      <c r="E90" t="s">
        <v>318</v>
      </c>
      <c r="F90" t="s">
        <v>319</v>
      </c>
      <c r="G90" t="s">
        <v>1033</v>
      </c>
      <c r="H90" t="s">
        <v>30</v>
      </c>
      <c r="I90" s="1">
        <v>1</v>
      </c>
      <c r="J90" s="2">
        <v>456.9</v>
      </c>
    </row>
    <row r="91" spans="2:10" x14ac:dyDescent="0.2">
      <c r="B91" t="s">
        <v>261</v>
      </c>
      <c r="C91" t="s">
        <v>141</v>
      </c>
      <c r="D91" t="s">
        <v>262</v>
      </c>
      <c r="E91" t="s">
        <v>44</v>
      </c>
      <c r="F91" t="s">
        <v>45</v>
      </c>
      <c r="G91" t="s">
        <v>1033</v>
      </c>
      <c r="H91" t="s">
        <v>30</v>
      </c>
      <c r="I91" s="1">
        <v>1</v>
      </c>
      <c r="J91" s="2">
        <v>81.900000000000006</v>
      </c>
    </row>
    <row r="92" spans="2:10" x14ac:dyDescent="0.2">
      <c r="B92" t="s">
        <v>261</v>
      </c>
      <c r="C92" t="s">
        <v>141</v>
      </c>
      <c r="D92" t="s">
        <v>262</v>
      </c>
      <c r="E92" t="s">
        <v>320</v>
      </c>
      <c r="F92" t="s">
        <v>321</v>
      </c>
      <c r="G92" t="s">
        <v>1033</v>
      </c>
      <c r="H92" t="s">
        <v>30</v>
      </c>
      <c r="I92" s="1">
        <v>1</v>
      </c>
      <c r="J92" s="2">
        <v>603.45000000000005</v>
      </c>
    </row>
    <row r="93" spans="2:10" x14ac:dyDescent="0.2">
      <c r="B93" t="s">
        <v>261</v>
      </c>
      <c r="C93" t="s">
        <v>141</v>
      </c>
      <c r="D93" t="s">
        <v>262</v>
      </c>
      <c r="E93" t="s">
        <v>28</v>
      </c>
      <c r="F93" t="s">
        <v>29</v>
      </c>
      <c r="G93" t="s">
        <v>1033</v>
      </c>
      <c r="H93" t="s">
        <v>30</v>
      </c>
      <c r="I93" s="1">
        <v>1</v>
      </c>
      <c r="J93" s="2">
        <v>155.16999999999999</v>
      </c>
    </row>
    <row r="94" spans="2:10" x14ac:dyDescent="0.2">
      <c r="B94" t="s">
        <v>261</v>
      </c>
      <c r="C94" t="s">
        <v>144</v>
      </c>
      <c r="D94" t="s">
        <v>262</v>
      </c>
      <c r="E94" t="s">
        <v>28</v>
      </c>
      <c r="F94" t="s">
        <v>29</v>
      </c>
      <c r="G94" t="s">
        <v>1033</v>
      </c>
      <c r="H94" t="s">
        <v>30</v>
      </c>
      <c r="I94" s="1">
        <v>1</v>
      </c>
      <c r="J94" s="2">
        <v>155.16999999999999</v>
      </c>
    </row>
    <row r="95" spans="2:10" x14ac:dyDescent="0.2">
      <c r="B95" t="s">
        <v>261</v>
      </c>
      <c r="C95" t="s">
        <v>165</v>
      </c>
      <c r="D95" t="s">
        <v>262</v>
      </c>
      <c r="E95" t="s">
        <v>28</v>
      </c>
      <c r="F95" t="s">
        <v>29</v>
      </c>
      <c r="G95" t="s">
        <v>1033</v>
      </c>
      <c r="H95" t="s">
        <v>30</v>
      </c>
      <c r="I95" s="1">
        <v>1</v>
      </c>
      <c r="J95" s="2">
        <v>155.16999999999999</v>
      </c>
    </row>
    <row r="96" spans="2:10" x14ac:dyDescent="0.2">
      <c r="B96" t="s">
        <v>261</v>
      </c>
      <c r="C96" t="s">
        <v>166</v>
      </c>
      <c r="D96" t="s">
        <v>262</v>
      </c>
      <c r="E96" t="s">
        <v>318</v>
      </c>
      <c r="F96" t="s">
        <v>319</v>
      </c>
      <c r="G96" t="s">
        <v>1033</v>
      </c>
      <c r="H96" t="s">
        <v>30</v>
      </c>
      <c r="I96" s="1">
        <v>1</v>
      </c>
      <c r="J96" s="2">
        <v>456.9</v>
      </c>
    </row>
    <row r="97" spans="2:10" x14ac:dyDescent="0.2">
      <c r="B97" t="s">
        <v>261</v>
      </c>
      <c r="C97" t="s">
        <v>166</v>
      </c>
      <c r="D97" t="s">
        <v>262</v>
      </c>
      <c r="E97" t="s">
        <v>167</v>
      </c>
      <c r="F97" t="s">
        <v>168</v>
      </c>
      <c r="G97" t="s">
        <v>1033</v>
      </c>
      <c r="H97" t="s">
        <v>30</v>
      </c>
      <c r="I97" s="1">
        <v>1</v>
      </c>
      <c r="J97" s="2">
        <v>1267.24</v>
      </c>
    </row>
    <row r="98" spans="2:10" x14ac:dyDescent="0.2">
      <c r="B98" t="s">
        <v>261</v>
      </c>
      <c r="C98" t="s">
        <v>166</v>
      </c>
      <c r="D98" t="s">
        <v>262</v>
      </c>
      <c r="E98" t="s">
        <v>324</v>
      </c>
      <c r="F98" t="s">
        <v>325</v>
      </c>
      <c r="G98" t="s">
        <v>1033</v>
      </c>
      <c r="H98" t="s">
        <v>30</v>
      </c>
      <c r="I98" s="1">
        <v>1</v>
      </c>
      <c r="J98" s="2">
        <v>2000</v>
      </c>
    </row>
    <row r="99" spans="2:10" x14ac:dyDescent="0.2">
      <c r="B99" t="s">
        <v>261</v>
      </c>
      <c r="C99" t="s">
        <v>166</v>
      </c>
      <c r="D99" t="s">
        <v>262</v>
      </c>
      <c r="E99" t="s">
        <v>326</v>
      </c>
      <c r="F99" t="s">
        <v>327</v>
      </c>
      <c r="G99" t="s">
        <v>1033</v>
      </c>
      <c r="H99" t="s">
        <v>30</v>
      </c>
      <c r="I99" s="1">
        <v>1</v>
      </c>
      <c r="J99" s="2">
        <v>1862.07</v>
      </c>
    </row>
    <row r="100" spans="2:10" x14ac:dyDescent="0.2">
      <c r="B100" t="s">
        <v>261</v>
      </c>
      <c r="C100" t="s">
        <v>166</v>
      </c>
      <c r="D100" t="s">
        <v>262</v>
      </c>
      <c r="E100" t="s">
        <v>28</v>
      </c>
      <c r="F100" t="s">
        <v>29</v>
      </c>
      <c r="G100" t="s">
        <v>1033</v>
      </c>
      <c r="H100" t="s">
        <v>30</v>
      </c>
      <c r="I100" s="1">
        <v>2</v>
      </c>
      <c r="J100" s="2">
        <v>310.33999999999997</v>
      </c>
    </row>
    <row r="101" spans="2:10" x14ac:dyDescent="0.2">
      <c r="B101" t="s">
        <v>261</v>
      </c>
      <c r="C101" t="s">
        <v>185</v>
      </c>
      <c r="D101" t="s">
        <v>262</v>
      </c>
      <c r="E101" t="s">
        <v>328</v>
      </c>
      <c r="F101" t="s">
        <v>329</v>
      </c>
      <c r="G101" t="s">
        <v>1033</v>
      </c>
      <c r="H101" t="s">
        <v>30</v>
      </c>
      <c r="I101" s="1">
        <v>1</v>
      </c>
      <c r="J101" s="2">
        <v>172.41</v>
      </c>
    </row>
    <row r="102" spans="2:10" x14ac:dyDescent="0.2">
      <c r="B102" t="s">
        <v>261</v>
      </c>
      <c r="C102" t="s">
        <v>185</v>
      </c>
      <c r="D102" t="s">
        <v>262</v>
      </c>
      <c r="E102" t="s">
        <v>333</v>
      </c>
      <c r="F102" t="s">
        <v>334</v>
      </c>
      <c r="G102" t="s">
        <v>1033</v>
      </c>
      <c r="H102" t="s">
        <v>30</v>
      </c>
      <c r="I102" s="1">
        <v>1</v>
      </c>
      <c r="J102" s="2">
        <v>2413.79</v>
      </c>
    </row>
    <row r="103" spans="2:10" x14ac:dyDescent="0.2">
      <c r="B103" t="s">
        <v>261</v>
      </c>
      <c r="C103" t="s">
        <v>185</v>
      </c>
      <c r="D103" t="s">
        <v>262</v>
      </c>
      <c r="E103" t="s">
        <v>28</v>
      </c>
      <c r="F103" t="s">
        <v>29</v>
      </c>
      <c r="G103" t="s">
        <v>1033</v>
      </c>
      <c r="H103" t="s">
        <v>30</v>
      </c>
      <c r="I103" s="1">
        <v>1</v>
      </c>
      <c r="J103" s="2">
        <v>155.16999999999999</v>
      </c>
    </row>
    <row r="104" spans="2:10" x14ac:dyDescent="0.2">
      <c r="B104" t="s">
        <v>261</v>
      </c>
      <c r="C104" t="s">
        <v>197</v>
      </c>
      <c r="D104" t="s">
        <v>262</v>
      </c>
      <c r="E104" t="s">
        <v>257</v>
      </c>
      <c r="F104" t="s">
        <v>258</v>
      </c>
      <c r="G104" t="s">
        <v>1033</v>
      </c>
      <c r="H104" t="s">
        <v>30</v>
      </c>
      <c r="I104" s="1">
        <v>1</v>
      </c>
      <c r="J104" s="2">
        <v>1577.59</v>
      </c>
    </row>
    <row r="105" spans="2:10" x14ac:dyDescent="0.2">
      <c r="B105" t="s">
        <v>261</v>
      </c>
      <c r="C105" t="s">
        <v>206</v>
      </c>
      <c r="D105" t="s">
        <v>262</v>
      </c>
      <c r="E105" t="s">
        <v>338</v>
      </c>
      <c r="F105" t="s">
        <v>339</v>
      </c>
      <c r="G105" t="s">
        <v>1033</v>
      </c>
      <c r="H105" t="s">
        <v>30</v>
      </c>
      <c r="I105" s="1">
        <v>1</v>
      </c>
      <c r="J105" s="2">
        <v>1525.86</v>
      </c>
    </row>
    <row r="106" spans="2:10" x14ac:dyDescent="0.2">
      <c r="B106" t="s">
        <v>261</v>
      </c>
      <c r="C106" t="s">
        <v>206</v>
      </c>
      <c r="D106" t="s">
        <v>262</v>
      </c>
      <c r="E106" t="s">
        <v>201</v>
      </c>
      <c r="F106" t="s">
        <v>202</v>
      </c>
      <c r="G106" t="s">
        <v>1033</v>
      </c>
      <c r="H106" t="s">
        <v>30</v>
      </c>
      <c r="I106" s="1">
        <v>1</v>
      </c>
      <c r="J106" s="2">
        <v>948.28</v>
      </c>
    </row>
    <row r="107" spans="2:10" x14ac:dyDescent="0.2">
      <c r="B107" t="s">
        <v>261</v>
      </c>
      <c r="C107" t="s">
        <v>206</v>
      </c>
      <c r="D107" t="s">
        <v>262</v>
      </c>
      <c r="E107" t="s">
        <v>342</v>
      </c>
      <c r="F107" t="s">
        <v>343</v>
      </c>
      <c r="G107" t="s">
        <v>1033</v>
      </c>
      <c r="H107" t="s">
        <v>30</v>
      </c>
      <c r="I107" s="1">
        <v>1</v>
      </c>
      <c r="J107" s="2">
        <v>1681.03</v>
      </c>
    </row>
    <row r="108" spans="2:10" x14ac:dyDescent="0.2">
      <c r="B108" t="s">
        <v>261</v>
      </c>
      <c r="C108" t="s">
        <v>206</v>
      </c>
      <c r="D108" t="s">
        <v>262</v>
      </c>
      <c r="E108" t="s">
        <v>344</v>
      </c>
      <c r="F108" t="s">
        <v>345</v>
      </c>
      <c r="G108" t="s">
        <v>1033</v>
      </c>
      <c r="H108" t="s">
        <v>30</v>
      </c>
      <c r="I108" s="1">
        <v>1</v>
      </c>
      <c r="J108" s="2">
        <v>2163.79</v>
      </c>
    </row>
    <row r="109" spans="2:10" x14ac:dyDescent="0.2">
      <c r="B109" t="s">
        <v>261</v>
      </c>
      <c r="C109" t="s">
        <v>220</v>
      </c>
      <c r="D109" t="s">
        <v>262</v>
      </c>
      <c r="E109" t="s">
        <v>346</v>
      </c>
      <c r="F109" t="s">
        <v>347</v>
      </c>
      <c r="G109" t="s">
        <v>1033</v>
      </c>
      <c r="H109" t="s">
        <v>30</v>
      </c>
      <c r="I109" s="1">
        <v>1</v>
      </c>
      <c r="J109" s="2">
        <v>2413.79</v>
      </c>
    </row>
    <row r="110" spans="2:10" x14ac:dyDescent="0.2">
      <c r="B110" t="s">
        <v>261</v>
      </c>
      <c r="C110" t="s">
        <v>220</v>
      </c>
      <c r="D110" t="s">
        <v>262</v>
      </c>
      <c r="E110" t="s">
        <v>333</v>
      </c>
      <c r="F110" t="s">
        <v>334</v>
      </c>
      <c r="G110" t="s">
        <v>1033</v>
      </c>
      <c r="H110" t="s">
        <v>30</v>
      </c>
      <c r="I110" s="1">
        <v>1</v>
      </c>
      <c r="J110" s="2">
        <v>2413.79</v>
      </c>
    </row>
    <row r="111" spans="2:10" x14ac:dyDescent="0.2">
      <c r="B111" t="s">
        <v>261</v>
      </c>
      <c r="C111" t="s">
        <v>227</v>
      </c>
      <c r="D111" t="s">
        <v>262</v>
      </c>
      <c r="E111" t="s">
        <v>350</v>
      </c>
      <c r="F111" t="s">
        <v>351</v>
      </c>
      <c r="G111" t="s">
        <v>1033</v>
      </c>
      <c r="H111" t="s">
        <v>30</v>
      </c>
      <c r="I111" s="1">
        <v>1</v>
      </c>
      <c r="J111" s="2">
        <v>818.97</v>
      </c>
    </row>
    <row r="112" spans="2:10" x14ac:dyDescent="0.2">
      <c r="B112" t="s">
        <v>261</v>
      </c>
      <c r="C112" t="s">
        <v>227</v>
      </c>
      <c r="D112" t="s">
        <v>262</v>
      </c>
      <c r="E112" t="s">
        <v>201</v>
      </c>
      <c r="F112" t="s">
        <v>202</v>
      </c>
      <c r="G112" t="s">
        <v>1033</v>
      </c>
      <c r="H112" t="s">
        <v>30</v>
      </c>
      <c r="I112" s="1">
        <v>1</v>
      </c>
      <c r="J112" s="2">
        <v>948.28</v>
      </c>
    </row>
    <row r="113" spans="2:10" x14ac:dyDescent="0.2">
      <c r="B113" t="s">
        <v>261</v>
      </c>
      <c r="C113" t="s">
        <v>228</v>
      </c>
      <c r="D113" t="s">
        <v>262</v>
      </c>
      <c r="E113" t="s">
        <v>352</v>
      </c>
      <c r="F113" t="s">
        <v>353</v>
      </c>
      <c r="G113" t="s">
        <v>1033</v>
      </c>
      <c r="H113" t="s">
        <v>30</v>
      </c>
      <c r="I113" s="1">
        <v>1</v>
      </c>
      <c r="J113" s="2">
        <v>1422.41</v>
      </c>
    </row>
    <row r="114" spans="2:10" x14ac:dyDescent="0.2">
      <c r="B114" t="s">
        <v>261</v>
      </c>
      <c r="C114" t="s">
        <v>228</v>
      </c>
      <c r="D114" t="s">
        <v>262</v>
      </c>
      <c r="E114" t="s">
        <v>354</v>
      </c>
      <c r="F114" t="s">
        <v>355</v>
      </c>
      <c r="G114" t="s">
        <v>1033</v>
      </c>
      <c r="H114" t="s">
        <v>30</v>
      </c>
      <c r="I114" s="1">
        <v>1</v>
      </c>
      <c r="J114" s="2">
        <v>2543.1</v>
      </c>
    </row>
    <row r="115" spans="2:10" x14ac:dyDescent="0.2">
      <c r="B115" t="s">
        <v>261</v>
      </c>
      <c r="C115" t="s">
        <v>233</v>
      </c>
      <c r="D115" t="s">
        <v>262</v>
      </c>
      <c r="E115" t="s">
        <v>356</v>
      </c>
      <c r="F115" t="s">
        <v>357</v>
      </c>
      <c r="G115" t="s">
        <v>1033</v>
      </c>
      <c r="H115" t="s">
        <v>30</v>
      </c>
      <c r="I115" s="1">
        <v>1</v>
      </c>
      <c r="J115" s="2">
        <v>2198.2800000000002</v>
      </c>
    </row>
    <row r="116" spans="2:10" x14ac:dyDescent="0.2">
      <c r="B116" t="s">
        <v>261</v>
      </c>
      <c r="C116" t="s">
        <v>233</v>
      </c>
      <c r="D116" t="s">
        <v>262</v>
      </c>
      <c r="E116" t="s">
        <v>358</v>
      </c>
      <c r="F116" t="s">
        <v>359</v>
      </c>
      <c r="G116" t="s">
        <v>1033</v>
      </c>
      <c r="H116" t="s">
        <v>30</v>
      </c>
      <c r="I116" s="1">
        <v>1</v>
      </c>
      <c r="J116" s="2">
        <v>1500</v>
      </c>
    </row>
    <row r="117" spans="2:10" x14ac:dyDescent="0.2">
      <c r="B117" t="s">
        <v>261</v>
      </c>
      <c r="C117" t="s">
        <v>236</v>
      </c>
      <c r="D117" t="s">
        <v>277</v>
      </c>
      <c r="E117" t="s">
        <v>362</v>
      </c>
      <c r="F117" t="s">
        <v>363</v>
      </c>
      <c r="G117" t="s">
        <v>1033</v>
      </c>
      <c r="H117" t="s">
        <v>30</v>
      </c>
      <c r="I117" s="1">
        <v>1</v>
      </c>
      <c r="J117" s="2">
        <v>1810.34</v>
      </c>
    </row>
    <row r="118" spans="2:10" x14ac:dyDescent="0.2">
      <c r="B118" t="s">
        <v>261</v>
      </c>
      <c r="C118" t="s">
        <v>236</v>
      </c>
      <c r="D118" t="s">
        <v>277</v>
      </c>
      <c r="E118" t="s">
        <v>28</v>
      </c>
      <c r="F118" t="s">
        <v>29</v>
      </c>
      <c r="G118" t="s">
        <v>1033</v>
      </c>
      <c r="H118" t="s">
        <v>30</v>
      </c>
      <c r="I118" s="1">
        <v>1</v>
      </c>
      <c r="J118" s="2">
        <v>155.16999999999999</v>
      </c>
    </row>
    <row r="119" spans="2:10" x14ac:dyDescent="0.2">
      <c r="B119" t="s">
        <v>261</v>
      </c>
      <c r="C119" t="s">
        <v>237</v>
      </c>
      <c r="D119" t="s">
        <v>262</v>
      </c>
      <c r="E119" t="s">
        <v>187</v>
      </c>
      <c r="F119" t="s">
        <v>188</v>
      </c>
      <c r="G119" t="s">
        <v>1033</v>
      </c>
      <c r="H119" t="s">
        <v>30</v>
      </c>
      <c r="I119" s="1">
        <v>1</v>
      </c>
      <c r="J119" s="2">
        <v>258.62</v>
      </c>
    </row>
    <row r="120" spans="2:10" x14ac:dyDescent="0.2">
      <c r="B120" t="s">
        <v>261</v>
      </c>
      <c r="C120" t="s">
        <v>237</v>
      </c>
      <c r="D120" t="s">
        <v>262</v>
      </c>
      <c r="E120" t="s">
        <v>368</v>
      </c>
      <c r="F120" t="s">
        <v>369</v>
      </c>
      <c r="G120" t="s">
        <v>1033</v>
      </c>
      <c r="H120" t="s">
        <v>30</v>
      </c>
      <c r="I120" s="1">
        <v>1</v>
      </c>
      <c r="J120" s="2">
        <v>612.07000000000005</v>
      </c>
    </row>
    <row r="121" spans="2:10" x14ac:dyDescent="0.2">
      <c r="B121" t="s">
        <v>261</v>
      </c>
      <c r="C121" t="s">
        <v>237</v>
      </c>
      <c r="D121" t="s">
        <v>262</v>
      </c>
      <c r="E121" t="s">
        <v>370</v>
      </c>
      <c r="F121" t="s">
        <v>371</v>
      </c>
      <c r="G121" t="s">
        <v>1033</v>
      </c>
      <c r="H121" t="s">
        <v>30</v>
      </c>
      <c r="I121" s="1">
        <v>1</v>
      </c>
      <c r="J121" s="2">
        <v>1034.48</v>
      </c>
    </row>
    <row r="122" spans="2:10" x14ac:dyDescent="0.2">
      <c r="B122" t="s">
        <v>261</v>
      </c>
      <c r="C122" t="s">
        <v>237</v>
      </c>
      <c r="D122" t="s">
        <v>262</v>
      </c>
      <c r="E122" t="s">
        <v>372</v>
      </c>
      <c r="F122" t="s">
        <v>373</v>
      </c>
      <c r="G122" t="s">
        <v>1033</v>
      </c>
      <c r="H122" t="s">
        <v>30</v>
      </c>
      <c r="I122" s="1">
        <v>1</v>
      </c>
      <c r="J122" s="2">
        <v>2465.52</v>
      </c>
    </row>
    <row r="123" spans="2:10" x14ac:dyDescent="0.2">
      <c r="B123" t="s">
        <v>376</v>
      </c>
      <c r="C123" t="s">
        <v>10</v>
      </c>
      <c r="D123" t="s">
        <v>32</v>
      </c>
      <c r="E123" t="s">
        <v>44</v>
      </c>
      <c r="F123" t="s">
        <v>45</v>
      </c>
      <c r="G123" t="s">
        <v>1033</v>
      </c>
      <c r="H123" t="s">
        <v>30</v>
      </c>
      <c r="I123" s="1">
        <v>1</v>
      </c>
      <c r="J123" s="2">
        <v>81.900000000000006</v>
      </c>
    </row>
    <row r="124" spans="2:10" x14ac:dyDescent="0.2">
      <c r="B124" t="s">
        <v>376</v>
      </c>
      <c r="C124" t="s">
        <v>10</v>
      </c>
      <c r="D124" t="s">
        <v>32</v>
      </c>
      <c r="E124" t="s">
        <v>379</v>
      </c>
      <c r="F124" t="s">
        <v>380</v>
      </c>
      <c r="G124" t="s">
        <v>1033</v>
      </c>
      <c r="H124" t="s">
        <v>30</v>
      </c>
      <c r="I124" s="1">
        <v>1</v>
      </c>
      <c r="J124" s="2">
        <v>775.86</v>
      </c>
    </row>
    <row r="125" spans="2:10" x14ac:dyDescent="0.2">
      <c r="B125" t="s">
        <v>376</v>
      </c>
      <c r="C125" t="s">
        <v>18</v>
      </c>
      <c r="D125" t="s">
        <v>386</v>
      </c>
      <c r="E125" t="s">
        <v>44</v>
      </c>
      <c r="F125" t="s">
        <v>45</v>
      </c>
      <c r="G125" t="s">
        <v>1033</v>
      </c>
      <c r="H125" t="s">
        <v>30</v>
      </c>
      <c r="I125" s="1">
        <v>1</v>
      </c>
      <c r="J125" s="2">
        <v>81.900000000000006</v>
      </c>
    </row>
    <row r="126" spans="2:10" x14ac:dyDescent="0.2">
      <c r="B126" t="s">
        <v>376</v>
      </c>
      <c r="C126" t="s">
        <v>18</v>
      </c>
      <c r="D126" t="s">
        <v>386</v>
      </c>
      <c r="E126" t="s">
        <v>275</v>
      </c>
      <c r="F126" t="s">
        <v>276</v>
      </c>
      <c r="G126" t="s">
        <v>1033</v>
      </c>
      <c r="H126" t="s">
        <v>30</v>
      </c>
      <c r="I126" s="1">
        <v>1</v>
      </c>
      <c r="J126" s="2">
        <v>1551.72</v>
      </c>
    </row>
    <row r="127" spans="2:10" x14ac:dyDescent="0.2">
      <c r="B127" t="s">
        <v>376</v>
      </c>
      <c r="C127" t="s">
        <v>31</v>
      </c>
      <c r="D127" t="s">
        <v>386</v>
      </c>
      <c r="E127" t="s">
        <v>44</v>
      </c>
      <c r="F127" t="s">
        <v>45</v>
      </c>
      <c r="G127" t="s">
        <v>1033</v>
      </c>
      <c r="H127" t="s">
        <v>30</v>
      </c>
      <c r="I127" s="1">
        <v>1</v>
      </c>
      <c r="J127" s="2">
        <v>81.900000000000006</v>
      </c>
    </row>
    <row r="128" spans="2:10" x14ac:dyDescent="0.2">
      <c r="B128" t="s">
        <v>376</v>
      </c>
      <c r="C128" t="s">
        <v>31</v>
      </c>
      <c r="D128" t="s">
        <v>386</v>
      </c>
      <c r="E128" t="s">
        <v>328</v>
      </c>
      <c r="F128" t="s">
        <v>329</v>
      </c>
      <c r="G128" t="s">
        <v>1033</v>
      </c>
      <c r="H128" t="s">
        <v>30</v>
      </c>
      <c r="I128" s="1">
        <v>1</v>
      </c>
      <c r="J128" s="2">
        <v>172.41</v>
      </c>
    </row>
    <row r="129" spans="2:10" x14ac:dyDescent="0.2">
      <c r="B129" t="s">
        <v>376</v>
      </c>
      <c r="C129" t="s">
        <v>31</v>
      </c>
      <c r="D129" t="s">
        <v>386</v>
      </c>
      <c r="E129" t="s">
        <v>370</v>
      </c>
      <c r="F129" t="s">
        <v>371</v>
      </c>
      <c r="G129" t="s">
        <v>1033</v>
      </c>
      <c r="H129" t="s">
        <v>30</v>
      </c>
      <c r="I129" s="1">
        <v>1</v>
      </c>
      <c r="J129" s="2">
        <v>1034.48</v>
      </c>
    </row>
    <row r="130" spans="2:10" x14ac:dyDescent="0.2">
      <c r="B130" t="s">
        <v>376</v>
      </c>
      <c r="C130" t="s">
        <v>31</v>
      </c>
      <c r="D130" t="s">
        <v>386</v>
      </c>
      <c r="E130" t="s">
        <v>387</v>
      </c>
      <c r="F130" t="s">
        <v>388</v>
      </c>
      <c r="G130" t="s">
        <v>1033</v>
      </c>
      <c r="H130" t="s">
        <v>30</v>
      </c>
      <c r="I130" s="1">
        <v>1</v>
      </c>
      <c r="J130" s="2">
        <v>775.86</v>
      </c>
    </row>
    <row r="131" spans="2:10" x14ac:dyDescent="0.2">
      <c r="B131" t="s">
        <v>376</v>
      </c>
      <c r="C131" t="s">
        <v>40</v>
      </c>
      <c r="D131" t="s">
        <v>386</v>
      </c>
      <c r="E131" t="s">
        <v>28</v>
      </c>
      <c r="F131" t="s">
        <v>29</v>
      </c>
      <c r="G131" t="s">
        <v>1033</v>
      </c>
      <c r="H131" t="s">
        <v>30</v>
      </c>
      <c r="I131" s="1">
        <v>1</v>
      </c>
      <c r="J131" s="2">
        <v>155.16999999999999</v>
      </c>
    </row>
    <row r="132" spans="2:10" x14ac:dyDescent="0.2">
      <c r="B132" t="s">
        <v>376</v>
      </c>
      <c r="C132" t="s">
        <v>88</v>
      </c>
      <c r="D132" t="s">
        <v>32</v>
      </c>
      <c r="E132" t="s">
        <v>44</v>
      </c>
      <c r="F132" t="s">
        <v>45</v>
      </c>
      <c r="G132" t="s">
        <v>1033</v>
      </c>
      <c r="H132" t="s">
        <v>30</v>
      </c>
      <c r="I132" s="1">
        <v>2</v>
      </c>
      <c r="J132" s="2">
        <v>163.80000000000001</v>
      </c>
    </row>
    <row r="133" spans="2:10" x14ac:dyDescent="0.2">
      <c r="B133" t="s">
        <v>376</v>
      </c>
      <c r="C133" t="s">
        <v>117</v>
      </c>
      <c r="D133" t="s">
        <v>386</v>
      </c>
      <c r="E133" t="s">
        <v>312</v>
      </c>
      <c r="F133" t="s">
        <v>313</v>
      </c>
      <c r="G133" t="s">
        <v>1033</v>
      </c>
      <c r="H133" t="s">
        <v>30</v>
      </c>
      <c r="I133" s="1">
        <v>1</v>
      </c>
      <c r="J133" s="2">
        <v>603.45000000000005</v>
      </c>
    </row>
    <row r="134" spans="2:10" x14ac:dyDescent="0.2">
      <c r="B134" t="s">
        <v>376</v>
      </c>
      <c r="C134" t="s">
        <v>134</v>
      </c>
      <c r="D134" t="s">
        <v>32</v>
      </c>
      <c r="E134" t="s">
        <v>393</v>
      </c>
      <c r="F134" t="s">
        <v>394</v>
      </c>
      <c r="G134" t="s">
        <v>1033</v>
      </c>
      <c r="H134" t="s">
        <v>30</v>
      </c>
      <c r="I134" s="1">
        <v>1</v>
      </c>
      <c r="J134" s="2">
        <v>568.97</v>
      </c>
    </row>
    <row r="135" spans="2:10" x14ac:dyDescent="0.2">
      <c r="B135" t="s">
        <v>376</v>
      </c>
      <c r="C135" t="s">
        <v>134</v>
      </c>
      <c r="D135" t="s">
        <v>32</v>
      </c>
      <c r="E135" t="s">
        <v>368</v>
      </c>
      <c r="F135" t="s">
        <v>369</v>
      </c>
      <c r="G135" t="s">
        <v>1033</v>
      </c>
      <c r="H135" t="s">
        <v>30</v>
      </c>
      <c r="I135" s="1">
        <v>1</v>
      </c>
      <c r="J135" s="2">
        <v>612.07000000000005</v>
      </c>
    </row>
    <row r="136" spans="2:10" x14ac:dyDescent="0.2">
      <c r="B136" t="s">
        <v>376</v>
      </c>
      <c r="C136" t="s">
        <v>135</v>
      </c>
      <c r="D136" t="s">
        <v>386</v>
      </c>
      <c r="E136" t="s">
        <v>399</v>
      </c>
      <c r="F136" t="s">
        <v>400</v>
      </c>
      <c r="G136" t="s">
        <v>1033</v>
      </c>
      <c r="H136" t="s">
        <v>30</v>
      </c>
      <c r="I136" s="1">
        <v>1</v>
      </c>
      <c r="J136" s="2">
        <v>818.97</v>
      </c>
    </row>
    <row r="137" spans="2:10" x14ac:dyDescent="0.2">
      <c r="B137" t="s">
        <v>376</v>
      </c>
      <c r="C137" t="s">
        <v>135</v>
      </c>
      <c r="D137" t="s">
        <v>386</v>
      </c>
      <c r="E137" t="s">
        <v>404</v>
      </c>
      <c r="F137" t="s">
        <v>405</v>
      </c>
      <c r="G137" t="s">
        <v>1033</v>
      </c>
      <c r="H137" t="s">
        <v>30</v>
      </c>
      <c r="I137" s="1">
        <v>1</v>
      </c>
      <c r="J137" s="2">
        <v>1025.8599999999999</v>
      </c>
    </row>
    <row r="138" spans="2:10" x14ac:dyDescent="0.2">
      <c r="B138" t="s">
        <v>376</v>
      </c>
      <c r="C138" t="s">
        <v>135</v>
      </c>
      <c r="D138" t="s">
        <v>386</v>
      </c>
      <c r="E138" t="s">
        <v>273</v>
      </c>
      <c r="F138" t="s">
        <v>274</v>
      </c>
      <c r="G138" t="s">
        <v>1033</v>
      </c>
      <c r="H138" t="s">
        <v>30</v>
      </c>
      <c r="I138" s="1">
        <v>1</v>
      </c>
      <c r="J138" s="2">
        <v>1293.0999999999999</v>
      </c>
    </row>
    <row r="139" spans="2:10" x14ac:dyDescent="0.2">
      <c r="B139" t="s">
        <v>376</v>
      </c>
      <c r="C139" t="s">
        <v>141</v>
      </c>
      <c r="D139" t="s">
        <v>386</v>
      </c>
      <c r="E139" t="s">
        <v>358</v>
      </c>
      <c r="F139" t="s">
        <v>359</v>
      </c>
      <c r="G139" t="s">
        <v>1033</v>
      </c>
      <c r="H139" t="s">
        <v>30</v>
      </c>
      <c r="I139" s="1">
        <v>1</v>
      </c>
      <c r="J139" s="2">
        <v>1500</v>
      </c>
    </row>
    <row r="140" spans="2:10" x14ac:dyDescent="0.2">
      <c r="B140" t="s">
        <v>376</v>
      </c>
      <c r="C140" t="s">
        <v>165</v>
      </c>
      <c r="D140" t="s">
        <v>386</v>
      </c>
      <c r="E140" t="s">
        <v>189</v>
      </c>
      <c r="F140" t="s">
        <v>190</v>
      </c>
      <c r="G140" t="s">
        <v>1033</v>
      </c>
      <c r="H140" t="s">
        <v>30</v>
      </c>
      <c r="I140" s="1">
        <v>1</v>
      </c>
      <c r="J140" s="2">
        <v>818.97</v>
      </c>
    </row>
    <row r="141" spans="2:10" x14ac:dyDescent="0.2">
      <c r="B141" t="s">
        <v>376</v>
      </c>
      <c r="C141" t="s">
        <v>166</v>
      </c>
      <c r="D141" t="s">
        <v>386</v>
      </c>
      <c r="E141" t="s">
        <v>414</v>
      </c>
      <c r="F141" t="s">
        <v>415</v>
      </c>
      <c r="G141" t="s">
        <v>1033</v>
      </c>
      <c r="H141" t="s">
        <v>30</v>
      </c>
      <c r="I141" s="1">
        <v>1</v>
      </c>
      <c r="J141" s="2">
        <v>646.54999999999995</v>
      </c>
    </row>
    <row r="142" spans="2:10" x14ac:dyDescent="0.2">
      <c r="B142" t="s">
        <v>376</v>
      </c>
      <c r="C142" t="s">
        <v>166</v>
      </c>
      <c r="D142" t="s">
        <v>386</v>
      </c>
      <c r="E142" t="s">
        <v>269</v>
      </c>
      <c r="F142" t="s">
        <v>270</v>
      </c>
      <c r="G142" t="s">
        <v>1033</v>
      </c>
      <c r="H142" t="s">
        <v>30</v>
      </c>
      <c r="I142" s="1">
        <v>1</v>
      </c>
      <c r="J142" s="2">
        <v>948.28</v>
      </c>
    </row>
    <row r="143" spans="2:10" x14ac:dyDescent="0.2">
      <c r="B143" t="s">
        <v>376</v>
      </c>
      <c r="C143" t="s">
        <v>166</v>
      </c>
      <c r="D143" t="s">
        <v>386</v>
      </c>
      <c r="E143" t="s">
        <v>333</v>
      </c>
      <c r="F143" t="s">
        <v>334</v>
      </c>
      <c r="G143" t="s">
        <v>1033</v>
      </c>
      <c r="H143" t="s">
        <v>30</v>
      </c>
      <c r="I143" s="1">
        <v>1</v>
      </c>
      <c r="J143" s="2">
        <v>2413.79</v>
      </c>
    </row>
    <row r="144" spans="2:10" x14ac:dyDescent="0.2">
      <c r="B144" t="s">
        <v>376</v>
      </c>
      <c r="C144" t="s">
        <v>166</v>
      </c>
      <c r="D144" t="s">
        <v>386</v>
      </c>
      <c r="E144" t="s">
        <v>416</v>
      </c>
      <c r="F144" t="s">
        <v>417</v>
      </c>
      <c r="G144" t="s">
        <v>1033</v>
      </c>
      <c r="H144" t="s">
        <v>30</v>
      </c>
      <c r="I144" s="1">
        <v>1</v>
      </c>
      <c r="J144" s="2">
        <v>2258.62</v>
      </c>
    </row>
    <row r="145" spans="2:10" x14ac:dyDescent="0.2">
      <c r="B145" t="s">
        <v>376</v>
      </c>
      <c r="C145" t="s">
        <v>185</v>
      </c>
      <c r="D145" t="s">
        <v>386</v>
      </c>
      <c r="E145" t="s">
        <v>312</v>
      </c>
      <c r="F145" t="s">
        <v>313</v>
      </c>
      <c r="G145" t="s">
        <v>1033</v>
      </c>
      <c r="H145" t="s">
        <v>30</v>
      </c>
      <c r="I145" s="1">
        <v>1</v>
      </c>
      <c r="J145" s="2">
        <v>603.45000000000005</v>
      </c>
    </row>
    <row r="146" spans="2:10" x14ac:dyDescent="0.2">
      <c r="B146" t="s">
        <v>376</v>
      </c>
      <c r="C146" t="s">
        <v>335</v>
      </c>
      <c r="D146" t="s">
        <v>386</v>
      </c>
      <c r="E146" t="s">
        <v>167</v>
      </c>
      <c r="F146" t="s">
        <v>168</v>
      </c>
      <c r="G146" t="s">
        <v>1033</v>
      </c>
      <c r="H146" t="s">
        <v>30</v>
      </c>
      <c r="I146" s="1">
        <v>1</v>
      </c>
      <c r="J146" s="2">
        <v>1267.24</v>
      </c>
    </row>
    <row r="147" spans="2:10" x14ac:dyDescent="0.2">
      <c r="B147" t="s">
        <v>376</v>
      </c>
      <c r="C147" t="s">
        <v>335</v>
      </c>
      <c r="D147" t="s">
        <v>386</v>
      </c>
      <c r="E147" t="s">
        <v>161</v>
      </c>
      <c r="F147" t="s">
        <v>162</v>
      </c>
      <c r="G147" t="s">
        <v>1033</v>
      </c>
      <c r="H147" t="s">
        <v>30</v>
      </c>
      <c r="I147" s="1">
        <v>1</v>
      </c>
      <c r="J147" s="2">
        <v>2474.14</v>
      </c>
    </row>
    <row r="148" spans="2:10" x14ac:dyDescent="0.2">
      <c r="B148" t="s">
        <v>376</v>
      </c>
      <c r="C148" t="s">
        <v>418</v>
      </c>
      <c r="D148" t="s">
        <v>386</v>
      </c>
      <c r="E148" t="s">
        <v>368</v>
      </c>
      <c r="F148" t="s">
        <v>369</v>
      </c>
      <c r="G148" t="s">
        <v>1033</v>
      </c>
      <c r="H148" t="s">
        <v>30</v>
      </c>
      <c r="I148" s="1">
        <v>1</v>
      </c>
      <c r="J148" s="2">
        <v>612.07000000000005</v>
      </c>
    </row>
    <row r="149" spans="2:10" x14ac:dyDescent="0.2">
      <c r="B149" t="s">
        <v>376</v>
      </c>
      <c r="C149" t="s">
        <v>186</v>
      </c>
      <c r="D149" t="s">
        <v>386</v>
      </c>
      <c r="E149" t="s">
        <v>201</v>
      </c>
      <c r="F149" t="s">
        <v>202</v>
      </c>
      <c r="G149" t="s">
        <v>1033</v>
      </c>
      <c r="H149" t="s">
        <v>30</v>
      </c>
      <c r="I149" s="1">
        <v>1</v>
      </c>
      <c r="J149" s="2">
        <v>948.28</v>
      </c>
    </row>
    <row r="150" spans="2:10" x14ac:dyDescent="0.2">
      <c r="B150" t="s">
        <v>376</v>
      </c>
      <c r="C150" t="s">
        <v>197</v>
      </c>
      <c r="D150" t="s">
        <v>386</v>
      </c>
      <c r="E150" t="s">
        <v>201</v>
      </c>
      <c r="F150" t="s">
        <v>202</v>
      </c>
      <c r="G150" t="s">
        <v>1033</v>
      </c>
      <c r="H150" t="s">
        <v>30</v>
      </c>
      <c r="I150" s="1">
        <v>1</v>
      </c>
      <c r="J150" s="2">
        <v>948.28</v>
      </c>
    </row>
    <row r="151" spans="2:10" x14ac:dyDescent="0.2">
      <c r="B151" t="s">
        <v>376</v>
      </c>
      <c r="C151" t="s">
        <v>206</v>
      </c>
      <c r="D151" t="s">
        <v>386</v>
      </c>
      <c r="E151" t="s">
        <v>425</v>
      </c>
      <c r="F151" t="s">
        <v>426</v>
      </c>
      <c r="G151" t="s">
        <v>1033</v>
      </c>
      <c r="H151" t="s">
        <v>30</v>
      </c>
      <c r="I151" s="1">
        <v>1</v>
      </c>
      <c r="J151" s="2">
        <v>1137.93</v>
      </c>
    </row>
    <row r="152" spans="2:10" x14ac:dyDescent="0.2">
      <c r="B152" t="s">
        <v>376</v>
      </c>
      <c r="C152" t="s">
        <v>206</v>
      </c>
      <c r="D152" t="s">
        <v>386</v>
      </c>
      <c r="E152" t="s">
        <v>273</v>
      </c>
      <c r="F152" t="s">
        <v>274</v>
      </c>
      <c r="G152" t="s">
        <v>1033</v>
      </c>
      <c r="H152" t="s">
        <v>30</v>
      </c>
      <c r="I152" s="1">
        <v>1</v>
      </c>
      <c r="J152" s="2">
        <v>1293.0999999999999</v>
      </c>
    </row>
    <row r="153" spans="2:10" x14ac:dyDescent="0.2">
      <c r="B153" t="s">
        <v>376</v>
      </c>
      <c r="C153" t="s">
        <v>227</v>
      </c>
      <c r="D153" t="s">
        <v>130</v>
      </c>
      <c r="E153" t="s">
        <v>433</v>
      </c>
      <c r="F153" t="s">
        <v>434</v>
      </c>
      <c r="G153" t="s">
        <v>1033</v>
      </c>
      <c r="H153" t="s">
        <v>30</v>
      </c>
      <c r="I153" s="1">
        <v>1</v>
      </c>
      <c r="J153" s="2">
        <v>344.83</v>
      </c>
    </row>
    <row r="154" spans="2:10" x14ac:dyDescent="0.2">
      <c r="B154" t="s">
        <v>376</v>
      </c>
      <c r="C154" t="s">
        <v>227</v>
      </c>
      <c r="D154" t="s">
        <v>130</v>
      </c>
      <c r="E154" t="s">
        <v>177</v>
      </c>
      <c r="F154" t="s">
        <v>178</v>
      </c>
      <c r="G154" t="s">
        <v>1033</v>
      </c>
      <c r="H154" t="s">
        <v>30</v>
      </c>
      <c r="I154" s="1">
        <v>1</v>
      </c>
      <c r="J154" s="2">
        <v>637.92999999999995</v>
      </c>
    </row>
    <row r="155" spans="2:10" x14ac:dyDescent="0.2">
      <c r="B155" t="s">
        <v>376</v>
      </c>
      <c r="C155" t="s">
        <v>227</v>
      </c>
      <c r="D155" t="s">
        <v>130</v>
      </c>
      <c r="E155" t="s">
        <v>257</v>
      </c>
      <c r="F155" t="s">
        <v>258</v>
      </c>
      <c r="G155" t="s">
        <v>1033</v>
      </c>
      <c r="H155" t="s">
        <v>30</v>
      </c>
      <c r="I155" s="1">
        <v>1</v>
      </c>
      <c r="J155" s="2">
        <v>1577.59</v>
      </c>
    </row>
    <row r="156" spans="2:10" x14ac:dyDescent="0.2">
      <c r="B156" t="s">
        <v>376</v>
      </c>
      <c r="C156" t="s">
        <v>227</v>
      </c>
      <c r="D156" t="s">
        <v>130</v>
      </c>
      <c r="E156" t="s">
        <v>273</v>
      </c>
      <c r="F156" t="s">
        <v>274</v>
      </c>
      <c r="G156" t="s">
        <v>1033</v>
      </c>
      <c r="H156" t="s">
        <v>30</v>
      </c>
      <c r="I156" s="1">
        <v>1</v>
      </c>
      <c r="J156" s="2">
        <v>1293.0999999999999</v>
      </c>
    </row>
    <row r="157" spans="2:10" x14ac:dyDescent="0.2">
      <c r="B157" t="s">
        <v>376</v>
      </c>
      <c r="C157" t="s">
        <v>228</v>
      </c>
      <c r="D157" t="s">
        <v>386</v>
      </c>
      <c r="E157" t="s">
        <v>251</v>
      </c>
      <c r="F157" t="s">
        <v>252</v>
      </c>
      <c r="G157" t="s">
        <v>1033</v>
      </c>
      <c r="H157" t="s">
        <v>30</v>
      </c>
      <c r="I157" s="1">
        <v>1</v>
      </c>
      <c r="J157" s="2">
        <v>1500</v>
      </c>
    </row>
    <row r="158" spans="2:10" x14ac:dyDescent="0.2">
      <c r="B158" t="s">
        <v>376</v>
      </c>
      <c r="C158" t="s">
        <v>228</v>
      </c>
      <c r="D158" t="s">
        <v>386</v>
      </c>
      <c r="E158" t="s">
        <v>435</v>
      </c>
      <c r="F158" t="s">
        <v>436</v>
      </c>
      <c r="G158" t="s">
        <v>1033</v>
      </c>
      <c r="H158" t="s">
        <v>30</v>
      </c>
      <c r="I158" s="1">
        <v>1</v>
      </c>
      <c r="J158" s="2">
        <v>2060.9299999999998</v>
      </c>
    </row>
    <row r="159" spans="2:10" x14ac:dyDescent="0.2">
      <c r="B159" t="s">
        <v>376</v>
      </c>
      <c r="C159" t="s">
        <v>233</v>
      </c>
      <c r="D159" t="s">
        <v>386</v>
      </c>
      <c r="E159" t="s">
        <v>324</v>
      </c>
      <c r="F159" t="s">
        <v>325</v>
      </c>
      <c r="G159" t="s">
        <v>1033</v>
      </c>
      <c r="H159" t="s">
        <v>30</v>
      </c>
      <c r="I159" s="1">
        <v>1</v>
      </c>
      <c r="J159" s="2">
        <v>2000</v>
      </c>
    </row>
    <row r="160" spans="2:10" x14ac:dyDescent="0.2">
      <c r="B160" t="s">
        <v>376</v>
      </c>
      <c r="C160" t="s">
        <v>233</v>
      </c>
      <c r="D160" t="s">
        <v>386</v>
      </c>
      <c r="E160" t="s">
        <v>356</v>
      </c>
      <c r="F160" t="s">
        <v>357</v>
      </c>
      <c r="G160" t="s">
        <v>1033</v>
      </c>
      <c r="H160" t="s">
        <v>30</v>
      </c>
      <c r="I160" s="1">
        <v>1</v>
      </c>
      <c r="J160" s="2">
        <v>2198.2800000000002</v>
      </c>
    </row>
    <row r="161" spans="2:10" x14ac:dyDescent="0.2">
      <c r="B161" t="s">
        <v>376</v>
      </c>
      <c r="C161" t="s">
        <v>236</v>
      </c>
      <c r="D161" t="s">
        <v>386</v>
      </c>
      <c r="E161" t="s">
        <v>249</v>
      </c>
      <c r="F161" t="s">
        <v>250</v>
      </c>
      <c r="G161" t="s">
        <v>1033</v>
      </c>
      <c r="H161" t="s">
        <v>30</v>
      </c>
      <c r="I161" s="1">
        <v>1</v>
      </c>
      <c r="J161" s="2">
        <v>517.24</v>
      </c>
    </row>
    <row r="162" spans="2:10" x14ac:dyDescent="0.2">
      <c r="B162" t="s">
        <v>376</v>
      </c>
      <c r="C162" t="s">
        <v>236</v>
      </c>
      <c r="D162" t="s">
        <v>386</v>
      </c>
      <c r="E162" t="s">
        <v>442</v>
      </c>
      <c r="F162" t="s">
        <v>443</v>
      </c>
      <c r="G162" t="s">
        <v>1033</v>
      </c>
      <c r="H162" t="s">
        <v>30</v>
      </c>
      <c r="I162" s="1">
        <v>1</v>
      </c>
      <c r="J162" s="2">
        <v>2500</v>
      </c>
    </row>
    <row r="163" spans="2:10" x14ac:dyDescent="0.2">
      <c r="B163" t="s">
        <v>376</v>
      </c>
      <c r="C163" t="s">
        <v>236</v>
      </c>
      <c r="D163" t="s">
        <v>386</v>
      </c>
      <c r="E163" t="s">
        <v>273</v>
      </c>
      <c r="F163" t="s">
        <v>274</v>
      </c>
      <c r="G163" t="s">
        <v>1033</v>
      </c>
      <c r="H163" t="s">
        <v>30</v>
      </c>
      <c r="I163" s="1">
        <v>1</v>
      </c>
      <c r="J163" s="2">
        <v>1293.0999999999999</v>
      </c>
    </row>
    <row r="164" spans="2:10" x14ac:dyDescent="0.2">
      <c r="B164" t="s">
        <v>376</v>
      </c>
      <c r="C164" t="s">
        <v>237</v>
      </c>
      <c r="D164" t="s">
        <v>386</v>
      </c>
      <c r="E164" t="s">
        <v>356</v>
      </c>
      <c r="F164" t="s">
        <v>357</v>
      </c>
      <c r="G164" t="s">
        <v>1033</v>
      </c>
      <c r="H164" t="s">
        <v>30</v>
      </c>
      <c r="I164" s="1">
        <v>1</v>
      </c>
      <c r="J164" s="2">
        <v>2198.2800000000002</v>
      </c>
    </row>
    <row r="165" spans="2:10" x14ac:dyDescent="0.2">
      <c r="B165" t="s">
        <v>376</v>
      </c>
      <c r="C165" t="s">
        <v>237</v>
      </c>
      <c r="D165" t="s">
        <v>386</v>
      </c>
      <c r="E165" t="s">
        <v>435</v>
      </c>
      <c r="F165" t="s">
        <v>436</v>
      </c>
      <c r="G165" t="s">
        <v>1033</v>
      </c>
      <c r="H165" t="s">
        <v>30</v>
      </c>
      <c r="I165" s="1">
        <v>1</v>
      </c>
      <c r="J165" s="2">
        <v>2060.9299999999998</v>
      </c>
    </row>
    <row r="166" spans="2:10" x14ac:dyDescent="0.2">
      <c r="B166" t="s">
        <v>376</v>
      </c>
      <c r="C166" t="s">
        <v>248</v>
      </c>
      <c r="D166" t="s">
        <v>386</v>
      </c>
      <c r="E166" t="s">
        <v>356</v>
      </c>
      <c r="F166" t="s">
        <v>357</v>
      </c>
      <c r="G166" t="s">
        <v>1033</v>
      </c>
      <c r="H166" t="s">
        <v>30</v>
      </c>
      <c r="I166" s="1">
        <v>1</v>
      </c>
      <c r="J166" s="2">
        <v>2198.2800000000002</v>
      </c>
    </row>
    <row r="167" spans="2:10" x14ac:dyDescent="0.2">
      <c r="B167" t="s">
        <v>453</v>
      </c>
      <c r="C167" t="s">
        <v>10</v>
      </c>
      <c r="D167" t="s">
        <v>277</v>
      </c>
      <c r="E167" t="s">
        <v>44</v>
      </c>
      <c r="F167" t="s">
        <v>45</v>
      </c>
      <c r="G167" t="s">
        <v>1033</v>
      </c>
      <c r="H167" t="s">
        <v>30</v>
      </c>
      <c r="I167" s="1">
        <v>1</v>
      </c>
      <c r="J167" s="2">
        <v>81.900000000000006</v>
      </c>
    </row>
    <row r="168" spans="2:10" x14ac:dyDescent="0.2">
      <c r="B168" t="s">
        <v>453</v>
      </c>
      <c r="C168" t="s">
        <v>10</v>
      </c>
      <c r="D168" t="s">
        <v>277</v>
      </c>
      <c r="E168" t="s">
        <v>28</v>
      </c>
      <c r="F168" t="s">
        <v>29</v>
      </c>
      <c r="G168" t="s">
        <v>1033</v>
      </c>
      <c r="H168" t="s">
        <v>30</v>
      </c>
      <c r="I168" s="1">
        <v>1</v>
      </c>
      <c r="J168" s="2">
        <v>155.16999999999999</v>
      </c>
    </row>
    <row r="169" spans="2:10" x14ac:dyDescent="0.2">
      <c r="B169" t="s">
        <v>453</v>
      </c>
      <c r="C169" t="s">
        <v>18</v>
      </c>
      <c r="D169" t="s">
        <v>456</v>
      </c>
      <c r="E169" t="s">
        <v>44</v>
      </c>
      <c r="F169" t="s">
        <v>45</v>
      </c>
      <c r="G169" t="s">
        <v>1033</v>
      </c>
      <c r="H169" t="s">
        <v>30</v>
      </c>
      <c r="I169" s="1">
        <v>1</v>
      </c>
      <c r="J169" s="2">
        <v>81.900000000000006</v>
      </c>
    </row>
    <row r="170" spans="2:10" x14ac:dyDescent="0.2">
      <c r="B170" t="s">
        <v>453</v>
      </c>
      <c r="C170" t="s">
        <v>18</v>
      </c>
      <c r="D170" t="s">
        <v>456</v>
      </c>
      <c r="E170" t="s">
        <v>308</v>
      </c>
      <c r="F170" t="s">
        <v>309</v>
      </c>
      <c r="G170" t="s">
        <v>1033</v>
      </c>
      <c r="H170" t="s">
        <v>30</v>
      </c>
      <c r="I170" s="1">
        <v>1</v>
      </c>
      <c r="J170" s="2">
        <v>818.97</v>
      </c>
    </row>
    <row r="171" spans="2:10" x14ac:dyDescent="0.2">
      <c r="B171" t="s">
        <v>453</v>
      </c>
      <c r="C171" t="s">
        <v>18</v>
      </c>
      <c r="D171" t="s">
        <v>456</v>
      </c>
      <c r="E171" t="s">
        <v>195</v>
      </c>
      <c r="F171" t="s">
        <v>196</v>
      </c>
      <c r="G171" t="s">
        <v>1033</v>
      </c>
      <c r="H171" t="s">
        <v>30</v>
      </c>
      <c r="I171" s="1">
        <v>1</v>
      </c>
      <c r="J171" s="2">
        <v>2120.69</v>
      </c>
    </row>
    <row r="172" spans="2:10" x14ac:dyDescent="0.2">
      <c r="B172" t="s">
        <v>453</v>
      </c>
      <c r="C172" t="s">
        <v>31</v>
      </c>
      <c r="D172" t="s">
        <v>456</v>
      </c>
      <c r="E172" t="s">
        <v>44</v>
      </c>
      <c r="F172" t="s">
        <v>45</v>
      </c>
      <c r="G172" t="s">
        <v>1033</v>
      </c>
      <c r="H172" t="s">
        <v>30</v>
      </c>
      <c r="I172" s="1">
        <v>1</v>
      </c>
      <c r="J172" s="2">
        <v>81.900000000000006</v>
      </c>
    </row>
    <row r="173" spans="2:10" x14ac:dyDescent="0.2">
      <c r="B173" t="s">
        <v>453</v>
      </c>
      <c r="C173" t="s">
        <v>31</v>
      </c>
      <c r="D173" t="s">
        <v>456</v>
      </c>
      <c r="E173" t="s">
        <v>399</v>
      </c>
      <c r="F173" t="s">
        <v>400</v>
      </c>
      <c r="G173" t="s">
        <v>1033</v>
      </c>
      <c r="H173" t="s">
        <v>30</v>
      </c>
      <c r="I173" s="1">
        <v>1</v>
      </c>
      <c r="J173" s="2">
        <v>818.97</v>
      </c>
    </row>
    <row r="174" spans="2:10" x14ac:dyDescent="0.2">
      <c r="B174" t="s">
        <v>453</v>
      </c>
      <c r="C174" t="s">
        <v>51</v>
      </c>
      <c r="D174" t="s">
        <v>456</v>
      </c>
      <c r="E174" t="s">
        <v>97</v>
      </c>
      <c r="F174" t="s">
        <v>98</v>
      </c>
      <c r="G174" t="s">
        <v>1033</v>
      </c>
      <c r="H174" t="s">
        <v>30</v>
      </c>
      <c r="I174" s="1">
        <v>1</v>
      </c>
      <c r="J174" s="2">
        <v>2500</v>
      </c>
    </row>
    <row r="175" spans="2:10" x14ac:dyDescent="0.2">
      <c r="B175" t="s">
        <v>453</v>
      </c>
      <c r="C175" t="s">
        <v>51</v>
      </c>
      <c r="D175" t="s">
        <v>456</v>
      </c>
      <c r="E175" t="s">
        <v>467</v>
      </c>
      <c r="F175" t="s">
        <v>468</v>
      </c>
      <c r="G175" t="s">
        <v>1033</v>
      </c>
      <c r="H175" t="s">
        <v>30</v>
      </c>
      <c r="I175" s="1">
        <v>1</v>
      </c>
      <c r="J175" s="2">
        <v>775.86</v>
      </c>
    </row>
    <row r="176" spans="2:10" x14ac:dyDescent="0.2">
      <c r="B176" t="s">
        <v>453</v>
      </c>
      <c r="C176" t="s">
        <v>65</v>
      </c>
      <c r="D176" t="s">
        <v>456</v>
      </c>
      <c r="E176" t="s">
        <v>97</v>
      </c>
      <c r="F176" t="s">
        <v>98</v>
      </c>
      <c r="G176" t="s">
        <v>1033</v>
      </c>
      <c r="H176" t="s">
        <v>30</v>
      </c>
      <c r="I176" s="1">
        <v>1</v>
      </c>
      <c r="J176" s="2">
        <v>2500</v>
      </c>
    </row>
    <row r="177" spans="2:10" x14ac:dyDescent="0.2">
      <c r="B177" t="s">
        <v>453</v>
      </c>
      <c r="C177" t="s">
        <v>82</v>
      </c>
      <c r="D177" t="s">
        <v>456</v>
      </c>
      <c r="E177" t="s">
        <v>255</v>
      </c>
      <c r="F177" t="s">
        <v>256</v>
      </c>
      <c r="G177" t="s">
        <v>1033</v>
      </c>
      <c r="H177" t="s">
        <v>30</v>
      </c>
      <c r="I177" s="1">
        <v>1</v>
      </c>
      <c r="J177" s="2">
        <v>517.24</v>
      </c>
    </row>
    <row r="178" spans="2:10" x14ac:dyDescent="0.2">
      <c r="B178" t="s">
        <v>453</v>
      </c>
      <c r="C178" t="s">
        <v>88</v>
      </c>
      <c r="D178" t="s">
        <v>456</v>
      </c>
      <c r="E178" t="s">
        <v>328</v>
      </c>
      <c r="F178" t="s">
        <v>329</v>
      </c>
      <c r="G178" t="s">
        <v>1033</v>
      </c>
      <c r="H178" t="s">
        <v>30</v>
      </c>
      <c r="I178" s="1">
        <v>1</v>
      </c>
      <c r="J178" s="2">
        <v>172.41</v>
      </c>
    </row>
    <row r="179" spans="2:10" x14ac:dyDescent="0.2">
      <c r="B179" t="s">
        <v>453</v>
      </c>
      <c r="C179" t="s">
        <v>88</v>
      </c>
      <c r="D179" t="s">
        <v>456</v>
      </c>
      <c r="E179" t="s">
        <v>476</v>
      </c>
      <c r="F179" t="s">
        <v>477</v>
      </c>
      <c r="G179" t="s">
        <v>1033</v>
      </c>
      <c r="H179" t="s">
        <v>30</v>
      </c>
      <c r="I179" s="1">
        <v>1</v>
      </c>
      <c r="J179" s="2">
        <v>2353.4499999999998</v>
      </c>
    </row>
    <row r="180" spans="2:10" x14ac:dyDescent="0.2">
      <c r="B180" t="s">
        <v>453</v>
      </c>
      <c r="C180" t="s">
        <v>117</v>
      </c>
      <c r="D180" t="s">
        <v>277</v>
      </c>
      <c r="E180" t="s">
        <v>478</v>
      </c>
      <c r="F180" t="s">
        <v>479</v>
      </c>
      <c r="G180" t="s">
        <v>1033</v>
      </c>
      <c r="H180" t="s">
        <v>30</v>
      </c>
      <c r="I180" s="1">
        <v>1</v>
      </c>
      <c r="J180" s="2">
        <v>750</v>
      </c>
    </row>
    <row r="181" spans="2:10" x14ac:dyDescent="0.2">
      <c r="B181" t="s">
        <v>453</v>
      </c>
      <c r="C181" t="s">
        <v>117</v>
      </c>
      <c r="D181" t="s">
        <v>277</v>
      </c>
      <c r="E181" t="s">
        <v>70</v>
      </c>
      <c r="F181" t="s">
        <v>71</v>
      </c>
      <c r="G181" t="s">
        <v>1033</v>
      </c>
      <c r="H181" t="s">
        <v>30</v>
      </c>
      <c r="I181" s="1">
        <v>1</v>
      </c>
      <c r="J181" s="2">
        <v>2112.0700000000002</v>
      </c>
    </row>
    <row r="182" spans="2:10" x14ac:dyDescent="0.2">
      <c r="B182" t="s">
        <v>453</v>
      </c>
      <c r="C182" t="s">
        <v>117</v>
      </c>
      <c r="D182" t="s">
        <v>277</v>
      </c>
      <c r="E182" t="s">
        <v>308</v>
      </c>
      <c r="F182" t="s">
        <v>309</v>
      </c>
      <c r="G182" t="s">
        <v>1033</v>
      </c>
      <c r="H182" t="s">
        <v>30</v>
      </c>
      <c r="I182" s="1">
        <v>1</v>
      </c>
      <c r="J182" s="2">
        <v>818.97</v>
      </c>
    </row>
    <row r="183" spans="2:10" x14ac:dyDescent="0.2">
      <c r="B183" t="s">
        <v>453</v>
      </c>
      <c r="C183" t="s">
        <v>117</v>
      </c>
      <c r="D183" t="s">
        <v>277</v>
      </c>
      <c r="E183" t="s">
        <v>255</v>
      </c>
      <c r="F183" t="s">
        <v>256</v>
      </c>
      <c r="G183" t="s">
        <v>1033</v>
      </c>
      <c r="H183" t="s">
        <v>30</v>
      </c>
      <c r="I183" s="1">
        <v>1</v>
      </c>
      <c r="J183" s="2">
        <v>517.24</v>
      </c>
    </row>
    <row r="184" spans="2:10" x14ac:dyDescent="0.2">
      <c r="B184" t="s">
        <v>453</v>
      </c>
      <c r="C184" t="s">
        <v>117</v>
      </c>
      <c r="D184" t="s">
        <v>277</v>
      </c>
      <c r="E184" t="s">
        <v>195</v>
      </c>
      <c r="F184" t="s">
        <v>196</v>
      </c>
      <c r="G184" t="s">
        <v>1033</v>
      </c>
      <c r="H184" t="s">
        <v>30</v>
      </c>
      <c r="I184" s="1">
        <v>1</v>
      </c>
      <c r="J184" s="2">
        <v>2120.69</v>
      </c>
    </row>
    <row r="185" spans="2:10" x14ac:dyDescent="0.2">
      <c r="B185" t="s">
        <v>453</v>
      </c>
      <c r="C185" t="s">
        <v>117</v>
      </c>
      <c r="D185" t="s">
        <v>277</v>
      </c>
      <c r="E185" t="s">
        <v>484</v>
      </c>
      <c r="F185" t="s">
        <v>485</v>
      </c>
      <c r="G185" t="s">
        <v>1033</v>
      </c>
      <c r="H185" t="s">
        <v>30</v>
      </c>
      <c r="I185" s="1">
        <v>1</v>
      </c>
      <c r="J185" s="2">
        <v>2163.79</v>
      </c>
    </row>
    <row r="186" spans="2:10" x14ac:dyDescent="0.2">
      <c r="B186" t="s">
        <v>453</v>
      </c>
      <c r="C186" t="s">
        <v>129</v>
      </c>
      <c r="D186" t="s">
        <v>456</v>
      </c>
      <c r="E186" t="s">
        <v>486</v>
      </c>
      <c r="F186" t="s">
        <v>487</v>
      </c>
      <c r="G186" t="s">
        <v>1033</v>
      </c>
      <c r="H186" t="s">
        <v>30</v>
      </c>
      <c r="I186" s="1">
        <v>1</v>
      </c>
      <c r="J186" s="2">
        <v>258.62</v>
      </c>
    </row>
    <row r="187" spans="2:10" x14ac:dyDescent="0.2">
      <c r="B187" t="s">
        <v>453</v>
      </c>
      <c r="C187" t="s">
        <v>129</v>
      </c>
      <c r="D187" t="s">
        <v>456</v>
      </c>
      <c r="E187" t="s">
        <v>255</v>
      </c>
      <c r="F187" t="s">
        <v>256</v>
      </c>
      <c r="G187" t="s">
        <v>1033</v>
      </c>
      <c r="H187" t="s">
        <v>30</v>
      </c>
      <c r="I187" s="1">
        <v>1</v>
      </c>
      <c r="J187" s="2">
        <v>517.24</v>
      </c>
    </row>
    <row r="188" spans="2:10" x14ac:dyDescent="0.2">
      <c r="B188" t="s">
        <v>453</v>
      </c>
      <c r="C188" t="s">
        <v>134</v>
      </c>
      <c r="D188" t="s">
        <v>456</v>
      </c>
      <c r="E188" t="s">
        <v>41</v>
      </c>
      <c r="F188" t="s">
        <v>42</v>
      </c>
      <c r="G188" t="s">
        <v>1033</v>
      </c>
      <c r="H188" t="s">
        <v>30</v>
      </c>
      <c r="I188" s="1">
        <v>2</v>
      </c>
      <c r="J188" s="2">
        <v>68.97</v>
      </c>
    </row>
    <row r="189" spans="2:10" x14ac:dyDescent="0.2">
      <c r="B189" t="s">
        <v>453</v>
      </c>
      <c r="C189" t="s">
        <v>134</v>
      </c>
      <c r="D189" t="s">
        <v>456</v>
      </c>
      <c r="E189" t="s">
        <v>255</v>
      </c>
      <c r="F189" t="s">
        <v>256</v>
      </c>
      <c r="G189" t="s">
        <v>1033</v>
      </c>
      <c r="H189" t="s">
        <v>30</v>
      </c>
      <c r="I189" s="1">
        <v>1</v>
      </c>
      <c r="J189" s="2">
        <v>517.24</v>
      </c>
    </row>
    <row r="190" spans="2:10" x14ac:dyDescent="0.2">
      <c r="B190" t="s">
        <v>453</v>
      </c>
      <c r="C190" t="s">
        <v>134</v>
      </c>
      <c r="D190" t="s">
        <v>456</v>
      </c>
      <c r="E190" t="s">
        <v>273</v>
      </c>
      <c r="F190" t="s">
        <v>274</v>
      </c>
      <c r="G190" t="s">
        <v>1033</v>
      </c>
      <c r="H190" t="s">
        <v>30</v>
      </c>
      <c r="I190" s="1">
        <v>1</v>
      </c>
      <c r="J190" s="2">
        <v>1293.0999999999999</v>
      </c>
    </row>
    <row r="191" spans="2:10" x14ac:dyDescent="0.2">
      <c r="B191" t="s">
        <v>453</v>
      </c>
      <c r="C191" t="s">
        <v>135</v>
      </c>
      <c r="D191" t="s">
        <v>277</v>
      </c>
      <c r="E191" t="s">
        <v>280</v>
      </c>
      <c r="F191" t="s">
        <v>281</v>
      </c>
      <c r="G191" t="s">
        <v>1033</v>
      </c>
      <c r="H191" t="s">
        <v>30</v>
      </c>
      <c r="I191" s="1">
        <v>1</v>
      </c>
      <c r="J191" s="2">
        <v>474.14</v>
      </c>
    </row>
    <row r="192" spans="2:10" x14ac:dyDescent="0.2">
      <c r="B192" t="s">
        <v>453</v>
      </c>
      <c r="C192" t="s">
        <v>135</v>
      </c>
      <c r="D192" t="s">
        <v>277</v>
      </c>
      <c r="E192" t="s">
        <v>308</v>
      </c>
      <c r="F192" t="s">
        <v>309</v>
      </c>
      <c r="G192" t="s">
        <v>1033</v>
      </c>
      <c r="H192" t="s">
        <v>30</v>
      </c>
      <c r="I192" s="1">
        <v>1</v>
      </c>
      <c r="J192" s="2">
        <v>818.97</v>
      </c>
    </row>
    <row r="193" spans="2:10" x14ac:dyDescent="0.2">
      <c r="B193" t="s">
        <v>453</v>
      </c>
      <c r="C193" t="s">
        <v>141</v>
      </c>
      <c r="D193" t="s">
        <v>456</v>
      </c>
      <c r="E193" t="s">
        <v>169</v>
      </c>
      <c r="F193" t="s">
        <v>170</v>
      </c>
      <c r="G193" t="s">
        <v>1033</v>
      </c>
      <c r="H193" t="s">
        <v>30</v>
      </c>
      <c r="I193" s="1">
        <v>1</v>
      </c>
      <c r="J193" s="2">
        <v>258.62</v>
      </c>
    </row>
    <row r="194" spans="2:10" x14ac:dyDescent="0.2">
      <c r="B194" t="s">
        <v>453</v>
      </c>
      <c r="C194" t="s">
        <v>141</v>
      </c>
      <c r="D194" t="s">
        <v>456</v>
      </c>
      <c r="E194" t="s">
        <v>285</v>
      </c>
      <c r="F194" t="s">
        <v>286</v>
      </c>
      <c r="G194" t="s">
        <v>1033</v>
      </c>
      <c r="H194" t="s">
        <v>30</v>
      </c>
      <c r="I194" s="1">
        <v>1</v>
      </c>
      <c r="J194" s="2">
        <v>1034.48</v>
      </c>
    </row>
    <row r="195" spans="2:10" x14ac:dyDescent="0.2">
      <c r="B195" t="s">
        <v>453</v>
      </c>
      <c r="C195" t="s">
        <v>141</v>
      </c>
      <c r="D195" t="s">
        <v>456</v>
      </c>
      <c r="E195" t="s">
        <v>490</v>
      </c>
      <c r="F195" t="s">
        <v>491</v>
      </c>
      <c r="G195" t="s">
        <v>1033</v>
      </c>
      <c r="H195" t="s">
        <v>30</v>
      </c>
      <c r="I195" s="1">
        <v>1</v>
      </c>
      <c r="J195" s="2">
        <v>1982.76</v>
      </c>
    </row>
    <row r="196" spans="2:10" x14ac:dyDescent="0.2">
      <c r="B196" t="s">
        <v>453</v>
      </c>
      <c r="C196" t="s">
        <v>141</v>
      </c>
      <c r="D196" t="s">
        <v>456</v>
      </c>
      <c r="E196" t="s">
        <v>310</v>
      </c>
      <c r="F196" t="s">
        <v>311</v>
      </c>
      <c r="G196" t="s">
        <v>1033</v>
      </c>
      <c r="H196" t="s">
        <v>30</v>
      </c>
      <c r="I196" s="1">
        <v>1</v>
      </c>
      <c r="J196" s="2">
        <v>474.14</v>
      </c>
    </row>
    <row r="197" spans="2:10" x14ac:dyDescent="0.2">
      <c r="B197" t="s">
        <v>453</v>
      </c>
      <c r="C197" t="s">
        <v>165</v>
      </c>
      <c r="D197" t="s">
        <v>456</v>
      </c>
      <c r="E197" t="s">
        <v>486</v>
      </c>
      <c r="F197" t="s">
        <v>487</v>
      </c>
      <c r="G197" t="s">
        <v>1033</v>
      </c>
      <c r="H197" t="s">
        <v>30</v>
      </c>
      <c r="I197" s="1">
        <v>1</v>
      </c>
      <c r="J197" s="2">
        <v>258.62</v>
      </c>
    </row>
    <row r="198" spans="2:10" x14ac:dyDescent="0.2">
      <c r="B198" t="s">
        <v>453</v>
      </c>
      <c r="C198" t="s">
        <v>165</v>
      </c>
      <c r="D198" t="s">
        <v>456</v>
      </c>
      <c r="E198" t="s">
        <v>306</v>
      </c>
      <c r="F198" t="s">
        <v>307</v>
      </c>
      <c r="G198" t="s">
        <v>1033</v>
      </c>
      <c r="H198" t="s">
        <v>30</v>
      </c>
      <c r="I198" s="1">
        <v>1</v>
      </c>
      <c r="J198" s="2">
        <v>258.62</v>
      </c>
    </row>
    <row r="199" spans="2:10" x14ac:dyDescent="0.2">
      <c r="B199" t="s">
        <v>453</v>
      </c>
      <c r="C199" t="s">
        <v>165</v>
      </c>
      <c r="D199" t="s">
        <v>456</v>
      </c>
      <c r="E199" t="s">
        <v>356</v>
      </c>
      <c r="F199" t="s">
        <v>357</v>
      </c>
      <c r="G199" t="s">
        <v>1033</v>
      </c>
      <c r="H199" t="s">
        <v>30</v>
      </c>
      <c r="I199" s="1">
        <v>1</v>
      </c>
      <c r="J199" s="2">
        <v>2198.2800000000002</v>
      </c>
    </row>
    <row r="200" spans="2:10" x14ac:dyDescent="0.2">
      <c r="B200" t="s">
        <v>453</v>
      </c>
      <c r="C200" t="s">
        <v>166</v>
      </c>
      <c r="D200" t="s">
        <v>456</v>
      </c>
      <c r="E200" t="s">
        <v>167</v>
      </c>
      <c r="F200" t="s">
        <v>168</v>
      </c>
      <c r="G200" t="s">
        <v>1033</v>
      </c>
      <c r="H200" t="s">
        <v>30</v>
      </c>
      <c r="I200" s="1">
        <v>1</v>
      </c>
      <c r="J200" s="2">
        <v>1267.24</v>
      </c>
    </row>
    <row r="201" spans="2:10" x14ac:dyDescent="0.2">
      <c r="B201" t="s">
        <v>453</v>
      </c>
      <c r="C201" t="s">
        <v>166</v>
      </c>
      <c r="D201" t="s">
        <v>456</v>
      </c>
      <c r="E201" t="s">
        <v>44</v>
      </c>
      <c r="F201" t="s">
        <v>45</v>
      </c>
      <c r="G201" t="s">
        <v>1033</v>
      </c>
      <c r="H201" t="s">
        <v>30</v>
      </c>
      <c r="I201" s="1">
        <v>1</v>
      </c>
      <c r="J201" s="2">
        <v>81.900000000000006</v>
      </c>
    </row>
    <row r="202" spans="2:10" x14ac:dyDescent="0.2">
      <c r="B202" t="s">
        <v>453</v>
      </c>
      <c r="C202" t="s">
        <v>166</v>
      </c>
      <c r="D202" t="s">
        <v>456</v>
      </c>
      <c r="E202" t="s">
        <v>494</v>
      </c>
      <c r="F202" t="s">
        <v>495</v>
      </c>
      <c r="G202" t="s">
        <v>1033</v>
      </c>
      <c r="H202" t="s">
        <v>30</v>
      </c>
      <c r="I202" s="1">
        <v>1</v>
      </c>
      <c r="J202" s="2">
        <v>301.72000000000003</v>
      </c>
    </row>
    <row r="203" spans="2:10" x14ac:dyDescent="0.2">
      <c r="B203" t="s">
        <v>453</v>
      </c>
      <c r="C203" t="s">
        <v>166</v>
      </c>
      <c r="D203" t="s">
        <v>456</v>
      </c>
      <c r="E203" t="s">
        <v>28</v>
      </c>
      <c r="F203" t="s">
        <v>29</v>
      </c>
      <c r="G203" t="s">
        <v>1033</v>
      </c>
      <c r="H203" t="s">
        <v>30</v>
      </c>
      <c r="I203" s="1">
        <v>1</v>
      </c>
      <c r="J203" s="2">
        <v>155.16999999999999</v>
      </c>
    </row>
    <row r="204" spans="2:10" x14ac:dyDescent="0.2">
      <c r="B204" t="s">
        <v>453</v>
      </c>
      <c r="C204" t="s">
        <v>335</v>
      </c>
      <c r="D204" t="s">
        <v>456</v>
      </c>
      <c r="E204" t="s">
        <v>338</v>
      </c>
      <c r="F204" t="s">
        <v>339</v>
      </c>
      <c r="G204" t="s">
        <v>1033</v>
      </c>
      <c r="H204" t="s">
        <v>30</v>
      </c>
      <c r="I204" s="1">
        <v>1</v>
      </c>
      <c r="J204" s="2">
        <v>1525.86</v>
      </c>
    </row>
    <row r="205" spans="2:10" x14ac:dyDescent="0.2">
      <c r="B205" t="s">
        <v>453</v>
      </c>
      <c r="C205" t="s">
        <v>335</v>
      </c>
      <c r="D205" t="s">
        <v>456</v>
      </c>
      <c r="E205" t="s">
        <v>275</v>
      </c>
      <c r="F205" t="s">
        <v>276</v>
      </c>
      <c r="G205" t="s">
        <v>1033</v>
      </c>
      <c r="H205" t="s">
        <v>30</v>
      </c>
      <c r="I205" s="1">
        <v>1</v>
      </c>
      <c r="J205" s="2">
        <v>1551.72</v>
      </c>
    </row>
    <row r="206" spans="2:10" x14ac:dyDescent="0.2">
      <c r="B206" t="s">
        <v>453</v>
      </c>
      <c r="C206" t="s">
        <v>335</v>
      </c>
      <c r="D206" t="s">
        <v>456</v>
      </c>
      <c r="E206" t="s">
        <v>333</v>
      </c>
      <c r="F206" t="s">
        <v>334</v>
      </c>
      <c r="G206" t="s">
        <v>1033</v>
      </c>
      <c r="H206" t="s">
        <v>30</v>
      </c>
      <c r="I206" s="1">
        <v>1</v>
      </c>
      <c r="J206" s="2">
        <v>2413.79</v>
      </c>
    </row>
    <row r="207" spans="2:10" x14ac:dyDescent="0.2">
      <c r="B207" t="s">
        <v>453</v>
      </c>
      <c r="C207" t="s">
        <v>418</v>
      </c>
      <c r="D207" t="s">
        <v>456</v>
      </c>
      <c r="E207" t="s">
        <v>425</v>
      </c>
      <c r="F207" t="s">
        <v>426</v>
      </c>
      <c r="G207" t="s">
        <v>1033</v>
      </c>
      <c r="H207" t="s">
        <v>30</v>
      </c>
      <c r="I207" s="1">
        <v>1</v>
      </c>
      <c r="J207" s="2">
        <v>1137.93</v>
      </c>
    </row>
    <row r="208" spans="2:10" x14ac:dyDescent="0.2">
      <c r="B208" t="s">
        <v>453</v>
      </c>
      <c r="C208" t="s">
        <v>418</v>
      </c>
      <c r="D208" t="s">
        <v>456</v>
      </c>
      <c r="E208" t="s">
        <v>333</v>
      </c>
      <c r="F208" t="s">
        <v>334</v>
      </c>
      <c r="G208" t="s">
        <v>1033</v>
      </c>
      <c r="H208" t="s">
        <v>30</v>
      </c>
      <c r="I208" s="1">
        <v>1</v>
      </c>
      <c r="J208" s="2">
        <v>2413.79</v>
      </c>
    </row>
    <row r="209" spans="2:10" x14ac:dyDescent="0.2">
      <c r="B209" t="s">
        <v>453</v>
      </c>
      <c r="C209" t="s">
        <v>186</v>
      </c>
      <c r="D209" t="s">
        <v>456</v>
      </c>
      <c r="E209" t="s">
        <v>498</v>
      </c>
      <c r="F209" t="s">
        <v>499</v>
      </c>
      <c r="G209" t="s">
        <v>1033</v>
      </c>
      <c r="H209" t="s">
        <v>30</v>
      </c>
      <c r="I209" s="1">
        <v>1</v>
      </c>
      <c r="J209" s="2">
        <v>2672.41</v>
      </c>
    </row>
    <row r="210" spans="2:10" x14ac:dyDescent="0.2">
      <c r="B210" t="s">
        <v>453</v>
      </c>
      <c r="C210" t="s">
        <v>186</v>
      </c>
      <c r="D210" t="s">
        <v>456</v>
      </c>
      <c r="E210" t="s">
        <v>500</v>
      </c>
      <c r="F210" t="s">
        <v>501</v>
      </c>
      <c r="G210" t="s">
        <v>1033</v>
      </c>
      <c r="H210" t="s">
        <v>30</v>
      </c>
      <c r="I210" s="1">
        <v>1</v>
      </c>
      <c r="J210" s="2">
        <v>3017.24</v>
      </c>
    </row>
    <row r="211" spans="2:10" x14ac:dyDescent="0.2">
      <c r="B211" t="s">
        <v>453</v>
      </c>
      <c r="C211" t="s">
        <v>197</v>
      </c>
      <c r="D211" t="s">
        <v>456</v>
      </c>
      <c r="E211" t="s">
        <v>324</v>
      </c>
      <c r="F211" t="s">
        <v>325</v>
      </c>
      <c r="G211" t="s">
        <v>1033</v>
      </c>
      <c r="H211" t="s">
        <v>30</v>
      </c>
      <c r="I211" s="1">
        <v>1</v>
      </c>
      <c r="J211" s="2">
        <v>2000</v>
      </c>
    </row>
    <row r="212" spans="2:10" x14ac:dyDescent="0.2">
      <c r="B212" t="s">
        <v>453</v>
      </c>
      <c r="C212" t="s">
        <v>197</v>
      </c>
      <c r="D212" t="s">
        <v>456</v>
      </c>
      <c r="E212" t="s">
        <v>505</v>
      </c>
      <c r="F212" t="s">
        <v>506</v>
      </c>
      <c r="G212" t="s">
        <v>1033</v>
      </c>
      <c r="H212" t="s">
        <v>30</v>
      </c>
      <c r="I212" s="1">
        <v>1</v>
      </c>
      <c r="J212" s="2">
        <v>775.86</v>
      </c>
    </row>
    <row r="213" spans="2:10" x14ac:dyDescent="0.2">
      <c r="B213" t="s">
        <v>453</v>
      </c>
      <c r="C213" t="s">
        <v>206</v>
      </c>
      <c r="D213" t="s">
        <v>456</v>
      </c>
      <c r="E213" t="s">
        <v>510</v>
      </c>
      <c r="F213" t="s">
        <v>511</v>
      </c>
      <c r="G213" t="s">
        <v>1033</v>
      </c>
      <c r="H213" t="s">
        <v>30</v>
      </c>
      <c r="I213" s="1">
        <v>1</v>
      </c>
      <c r="J213" s="2">
        <v>2224.14</v>
      </c>
    </row>
    <row r="214" spans="2:10" x14ac:dyDescent="0.2">
      <c r="B214" t="s">
        <v>453</v>
      </c>
      <c r="C214" t="s">
        <v>220</v>
      </c>
      <c r="D214" t="s">
        <v>456</v>
      </c>
      <c r="E214" t="s">
        <v>512</v>
      </c>
      <c r="F214" t="s">
        <v>513</v>
      </c>
      <c r="G214" t="s">
        <v>1033</v>
      </c>
      <c r="H214" t="s">
        <v>30</v>
      </c>
      <c r="I214" s="1">
        <v>1</v>
      </c>
      <c r="J214" s="2">
        <v>1293.0999999999999</v>
      </c>
    </row>
    <row r="215" spans="2:10" x14ac:dyDescent="0.2">
      <c r="B215" t="s">
        <v>453</v>
      </c>
      <c r="C215" t="s">
        <v>220</v>
      </c>
      <c r="D215" t="s">
        <v>456</v>
      </c>
      <c r="E215" t="s">
        <v>514</v>
      </c>
      <c r="F215" t="s">
        <v>515</v>
      </c>
      <c r="G215" t="s">
        <v>1033</v>
      </c>
      <c r="H215" t="s">
        <v>30</v>
      </c>
      <c r="I215" s="1">
        <v>1</v>
      </c>
      <c r="J215" s="2">
        <v>1293.0999999999999</v>
      </c>
    </row>
    <row r="216" spans="2:10" x14ac:dyDescent="0.2">
      <c r="B216" t="s">
        <v>453</v>
      </c>
      <c r="C216" t="s">
        <v>220</v>
      </c>
      <c r="D216" t="s">
        <v>456</v>
      </c>
      <c r="E216" t="s">
        <v>249</v>
      </c>
      <c r="F216" t="s">
        <v>250</v>
      </c>
      <c r="G216" t="s">
        <v>1033</v>
      </c>
      <c r="H216" t="s">
        <v>30</v>
      </c>
      <c r="I216" s="1">
        <v>1</v>
      </c>
      <c r="J216" s="2">
        <v>517.24</v>
      </c>
    </row>
    <row r="217" spans="2:10" x14ac:dyDescent="0.2">
      <c r="B217" t="s">
        <v>453</v>
      </c>
      <c r="C217" t="s">
        <v>220</v>
      </c>
      <c r="D217" t="s">
        <v>456</v>
      </c>
      <c r="E217" t="s">
        <v>324</v>
      </c>
      <c r="F217" t="s">
        <v>325</v>
      </c>
      <c r="G217" t="s">
        <v>1033</v>
      </c>
      <c r="H217" t="s">
        <v>30</v>
      </c>
      <c r="I217" s="1">
        <v>1</v>
      </c>
      <c r="J217" s="2">
        <v>2000</v>
      </c>
    </row>
    <row r="218" spans="2:10" x14ac:dyDescent="0.2">
      <c r="B218" t="s">
        <v>453</v>
      </c>
      <c r="C218" t="s">
        <v>220</v>
      </c>
      <c r="D218" t="s">
        <v>456</v>
      </c>
      <c r="E218" t="s">
        <v>70</v>
      </c>
      <c r="F218" t="s">
        <v>71</v>
      </c>
      <c r="G218" t="s">
        <v>1033</v>
      </c>
      <c r="H218" t="s">
        <v>30</v>
      </c>
      <c r="I218" s="1">
        <v>1</v>
      </c>
      <c r="J218" s="2">
        <v>2112.0700000000002</v>
      </c>
    </row>
    <row r="219" spans="2:10" x14ac:dyDescent="0.2">
      <c r="B219" t="s">
        <v>453</v>
      </c>
      <c r="C219" t="s">
        <v>220</v>
      </c>
      <c r="D219" t="s">
        <v>456</v>
      </c>
      <c r="E219" t="s">
        <v>177</v>
      </c>
      <c r="F219" t="s">
        <v>178</v>
      </c>
      <c r="G219" t="s">
        <v>1033</v>
      </c>
      <c r="H219" t="s">
        <v>30</v>
      </c>
      <c r="I219" s="1">
        <v>1</v>
      </c>
      <c r="J219" s="2">
        <v>637.92999999999995</v>
      </c>
    </row>
    <row r="220" spans="2:10" x14ac:dyDescent="0.2">
      <c r="B220" t="s">
        <v>453</v>
      </c>
      <c r="C220" t="s">
        <v>220</v>
      </c>
      <c r="D220" t="s">
        <v>456</v>
      </c>
      <c r="E220" t="s">
        <v>505</v>
      </c>
      <c r="F220" t="s">
        <v>506</v>
      </c>
      <c r="G220" t="s">
        <v>1033</v>
      </c>
      <c r="H220" t="s">
        <v>30</v>
      </c>
      <c r="I220" s="1">
        <v>1</v>
      </c>
      <c r="J220" s="2">
        <v>775.86</v>
      </c>
    </row>
    <row r="221" spans="2:10" x14ac:dyDescent="0.2">
      <c r="B221" t="s">
        <v>453</v>
      </c>
      <c r="C221" t="s">
        <v>220</v>
      </c>
      <c r="D221" t="s">
        <v>456</v>
      </c>
      <c r="E221" t="s">
        <v>342</v>
      </c>
      <c r="F221" t="s">
        <v>343</v>
      </c>
      <c r="G221" t="s">
        <v>1033</v>
      </c>
      <c r="H221" t="s">
        <v>30</v>
      </c>
      <c r="I221" s="1">
        <v>1</v>
      </c>
      <c r="J221" s="2">
        <v>1681.03</v>
      </c>
    </row>
    <row r="222" spans="2:10" x14ac:dyDescent="0.2">
      <c r="B222" t="s">
        <v>453</v>
      </c>
      <c r="C222" t="s">
        <v>225</v>
      </c>
      <c r="D222" t="s">
        <v>130</v>
      </c>
      <c r="E222" t="s">
        <v>44</v>
      </c>
      <c r="F222" t="s">
        <v>45</v>
      </c>
      <c r="G222" t="s">
        <v>1033</v>
      </c>
      <c r="H222" t="s">
        <v>30</v>
      </c>
      <c r="I222" s="1">
        <v>2</v>
      </c>
      <c r="J222" s="2">
        <v>163.80000000000001</v>
      </c>
    </row>
    <row r="223" spans="2:10" x14ac:dyDescent="0.2">
      <c r="B223" t="s">
        <v>453</v>
      </c>
      <c r="C223" t="s">
        <v>225</v>
      </c>
      <c r="D223" t="s">
        <v>130</v>
      </c>
      <c r="E223" t="s">
        <v>350</v>
      </c>
      <c r="F223" t="s">
        <v>351</v>
      </c>
      <c r="G223" t="s">
        <v>1033</v>
      </c>
      <c r="H223" t="s">
        <v>30</v>
      </c>
      <c r="I223" s="1">
        <v>1</v>
      </c>
      <c r="J223" s="2">
        <v>818.97</v>
      </c>
    </row>
    <row r="224" spans="2:10" x14ac:dyDescent="0.2">
      <c r="B224" t="s">
        <v>453</v>
      </c>
      <c r="C224" t="s">
        <v>225</v>
      </c>
      <c r="D224" t="s">
        <v>130</v>
      </c>
      <c r="E224" t="s">
        <v>177</v>
      </c>
      <c r="F224" t="s">
        <v>178</v>
      </c>
      <c r="G224" t="s">
        <v>1033</v>
      </c>
      <c r="H224" t="s">
        <v>30</v>
      </c>
      <c r="I224" s="1">
        <v>1</v>
      </c>
      <c r="J224" s="2">
        <v>637.92999999999995</v>
      </c>
    </row>
    <row r="225" spans="2:10" x14ac:dyDescent="0.2">
      <c r="B225" t="s">
        <v>453</v>
      </c>
      <c r="C225" t="s">
        <v>225</v>
      </c>
      <c r="D225" t="s">
        <v>130</v>
      </c>
      <c r="E225" t="s">
        <v>28</v>
      </c>
      <c r="F225" t="s">
        <v>29</v>
      </c>
      <c r="G225" t="s">
        <v>1033</v>
      </c>
      <c r="H225" t="s">
        <v>30</v>
      </c>
      <c r="I225" s="1">
        <v>3</v>
      </c>
      <c r="J225" s="2">
        <v>465.51</v>
      </c>
    </row>
    <row r="226" spans="2:10" x14ac:dyDescent="0.2">
      <c r="B226" t="s">
        <v>453</v>
      </c>
      <c r="C226" t="s">
        <v>227</v>
      </c>
      <c r="D226" t="s">
        <v>456</v>
      </c>
      <c r="E226" t="s">
        <v>44</v>
      </c>
      <c r="F226" t="s">
        <v>45</v>
      </c>
      <c r="G226" t="s">
        <v>1033</v>
      </c>
      <c r="H226" t="s">
        <v>30</v>
      </c>
      <c r="I226" s="1">
        <v>5</v>
      </c>
      <c r="J226" s="2">
        <v>409.5</v>
      </c>
    </row>
    <row r="227" spans="2:10" x14ac:dyDescent="0.2">
      <c r="B227" t="s">
        <v>453</v>
      </c>
      <c r="C227" t="s">
        <v>228</v>
      </c>
      <c r="D227" t="s">
        <v>456</v>
      </c>
      <c r="E227" t="s">
        <v>356</v>
      </c>
      <c r="F227" t="s">
        <v>357</v>
      </c>
      <c r="G227" t="s">
        <v>1033</v>
      </c>
      <c r="H227" t="s">
        <v>30</v>
      </c>
      <c r="I227" s="1">
        <v>1</v>
      </c>
      <c r="J227" s="2">
        <v>2198.2800000000002</v>
      </c>
    </row>
    <row r="228" spans="2:10" x14ac:dyDescent="0.2">
      <c r="B228" t="s">
        <v>453</v>
      </c>
      <c r="C228" t="s">
        <v>233</v>
      </c>
      <c r="D228" t="s">
        <v>130</v>
      </c>
      <c r="E228" t="s">
        <v>70</v>
      </c>
      <c r="F228" t="s">
        <v>71</v>
      </c>
      <c r="G228" t="s">
        <v>1033</v>
      </c>
      <c r="H228" t="s">
        <v>30</v>
      </c>
      <c r="I228" s="1">
        <v>1</v>
      </c>
      <c r="J228" s="2">
        <v>2112.0700000000002</v>
      </c>
    </row>
    <row r="229" spans="2:10" x14ac:dyDescent="0.2">
      <c r="B229" t="s">
        <v>453</v>
      </c>
      <c r="C229" t="s">
        <v>236</v>
      </c>
      <c r="D229" t="s">
        <v>456</v>
      </c>
      <c r="E229" t="s">
        <v>310</v>
      </c>
      <c r="F229" t="s">
        <v>311</v>
      </c>
      <c r="G229" t="s">
        <v>1033</v>
      </c>
      <c r="H229" t="s">
        <v>30</v>
      </c>
      <c r="I229" s="1">
        <v>1</v>
      </c>
      <c r="J229" s="2">
        <v>474.14</v>
      </c>
    </row>
    <row r="230" spans="2:10" x14ac:dyDescent="0.2">
      <c r="B230" t="s">
        <v>453</v>
      </c>
      <c r="C230" t="s">
        <v>237</v>
      </c>
      <c r="D230" t="s">
        <v>456</v>
      </c>
      <c r="E230" t="s">
        <v>514</v>
      </c>
      <c r="F230" t="s">
        <v>515</v>
      </c>
      <c r="G230" t="s">
        <v>1033</v>
      </c>
      <c r="H230" t="s">
        <v>30</v>
      </c>
      <c r="I230" s="1">
        <v>1</v>
      </c>
      <c r="J230" s="2">
        <v>1293.0999999999999</v>
      </c>
    </row>
    <row r="231" spans="2:10" x14ac:dyDescent="0.2">
      <c r="B231" t="s">
        <v>453</v>
      </c>
      <c r="C231" t="s">
        <v>237</v>
      </c>
      <c r="D231" t="s">
        <v>456</v>
      </c>
      <c r="E231" t="s">
        <v>189</v>
      </c>
      <c r="F231" t="s">
        <v>190</v>
      </c>
      <c r="G231" t="s">
        <v>1033</v>
      </c>
      <c r="H231" t="s">
        <v>30</v>
      </c>
      <c r="I231" s="1">
        <v>1</v>
      </c>
      <c r="J231" s="2">
        <v>818.97</v>
      </c>
    </row>
    <row r="232" spans="2:10" x14ac:dyDescent="0.2">
      <c r="B232" t="s">
        <v>453</v>
      </c>
      <c r="C232" t="s">
        <v>237</v>
      </c>
      <c r="D232" t="s">
        <v>456</v>
      </c>
      <c r="E232" t="s">
        <v>435</v>
      </c>
      <c r="F232" t="s">
        <v>436</v>
      </c>
      <c r="G232" t="s">
        <v>1033</v>
      </c>
      <c r="H232" t="s">
        <v>30</v>
      </c>
      <c r="I232" s="1">
        <v>1</v>
      </c>
      <c r="J232" s="2">
        <v>2060.9299999999998</v>
      </c>
    </row>
    <row r="233" spans="2:10" x14ac:dyDescent="0.2">
      <c r="B233" t="s">
        <v>453</v>
      </c>
      <c r="C233" t="s">
        <v>248</v>
      </c>
      <c r="D233" t="s">
        <v>456</v>
      </c>
      <c r="E233" t="s">
        <v>201</v>
      </c>
      <c r="F233" t="s">
        <v>202</v>
      </c>
      <c r="G233" t="s">
        <v>1033</v>
      </c>
      <c r="H233" t="s">
        <v>30</v>
      </c>
      <c r="I233" s="1">
        <v>1</v>
      </c>
      <c r="J233" s="2">
        <v>948.28</v>
      </c>
    </row>
    <row r="234" spans="2:10" x14ac:dyDescent="0.2">
      <c r="B234" t="s">
        <v>453</v>
      </c>
      <c r="C234" t="s">
        <v>248</v>
      </c>
      <c r="D234" t="s">
        <v>456</v>
      </c>
      <c r="E234" t="s">
        <v>285</v>
      </c>
      <c r="F234" t="s">
        <v>286</v>
      </c>
      <c r="G234" t="s">
        <v>1033</v>
      </c>
      <c r="H234" t="s">
        <v>30</v>
      </c>
      <c r="I234" s="1">
        <v>1</v>
      </c>
      <c r="J234" s="2">
        <v>1034.48</v>
      </c>
    </row>
    <row r="235" spans="2:10" x14ac:dyDescent="0.2">
      <c r="B235" t="s">
        <v>453</v>
      </c>
      <c r="C235" t="s">
        <v>248</v>
      </c>
      <c r="D235" t="s">
        <v>456</v>
      </c>
      <c r="E235" t="s">
        <v>28</v>
      </c>
      <c r="F235" t="s">
        <v>29</v>
      </c>
      <c r="G235" t="s">
        <v>1033</v>
      </c>
      <c r="H235" t="s">
        <v>30</v>
      </c>
      <c r="I235" s="1">
        <v>1</v>
      </c>
      <c r="J235" s="2">
        <v>155.16999999999999</v>
      </c>
    </row>
    <row r="236" spans="2:10" x14ac:dyDescent="0.2">
      <c r="B236" t="s">
        <v>531</v>
      </c>
      <c r="C236" t="s">
        <v>10</v>
      </c>
      <c r="D236" t="s">
        <v>532</v>
      </c>
      <c r="E236" t="s">
        <v>318</v>
      </c>
      <c r="F236" t="s">
        <v>319</v>
      </c>
      <c r="G236" t="s">
        <v>1033</v>
      </c>
      <c r="H236" t="s">
        <v>30</v>
      </c>
      <c r="I236" s="1">
        <v>1</v>
      </c>
      <c r="J236" s="2">
        <v>456.9</v>
      </c>
    </row>
    <row r="237" spans="2:10" x14ac:dyDescent="0.2">
      <c r="B237" t="s">
        <v>531</v>
      </c>
      <c r="C237" t="s">
        <v>10</v>
      </c>
      <c r="D237" t="s">
        <v>532</v>
      </c>
      <c r="E237" t="s">
        <v>238</v>
      </c>
      <c r="F237" t="s">
        <v>239</v>
      </c>
      <c r="G237" t="s">
        <v>1033</v>
      </c>
      <c r="H237" t="s">
        <v>30</v>
      </c>
      <c r="I237" s="1">
        <v>1</v>
      </c>
      <c r="J237" s="2">
        <v>396.55</v>
      </c>
    </row>
    <row r="238" spans="2:10" x14ac:dyDescent="0.2">
      <c r="B238" t="s">
        <v>531</v>
      </c>
      <c r="C238" t="s">
        <v>10</v>
      </c>
      <c r="D238" t="s">
        <v>532</v>
      </c>
      <c r="E238" t="s">
        <v>44</v>
      </c>
      <c r="F238" t="s">
        <v>45</v>
      </c>
      <c r="G238" t="s">
        <v>1033</v>
      </c>
      <c r="H238" t="s">
        <v>30</v>
      </c>
      <c r="I238" s="1">
        <v>1</v>
      </c>
      <c r="J238" s="2">
        <v>81.900000000000006</v>
      </c>
    </row>
    <row r="239" spans="2:10" x14ac:dyDescent="0.2">
      <c r="B239" t="s">
        <v>531</v>
      </c>
      <c r="C239" t="s">
        <v>10</v>
      </c>
      <c r="D239" t="s">
        <v>532</v>
      </c>
      <c r="E239" t="s">
        <v>28</v>
      </c>
      <c r="F239" t="s">
        <v>29</v>
      </c>
      <c r="G239" t="s">
        <v>1033</v>
      </c>
      <c r="H239" t="s">
        <v>30</v>
      </c>
      <c r="I239" s="1">
        <v>1</v>
      </c>
      <c r="J239" s="2">
        <v>155.16999999999999</v>
      </c>
    </row>
    <row r="240" spans="2:10" x14ac:dyDescent="0.2">
      <c r="B240" t="s">
        <v>531</v>
      </c>
      <c r="C240" t="s">
        <v>18</v>
      </c>
      <c r="D240" t="s">
        <v>532</v>
      </c>
      <c r="E240" t="s">
        <v>44</v>
      </c>
      <c r="F240" t="s">
        <v>45</v>
      </c>
      <c r="G240" t="s">
        <v>1033</v>
      </c>
      <c r="H240" t="s">
        <v>30</v>
      </c>
      <c r="I240" s="1">
        <v>2</v>
      </c>
      <c r="J240" s="2">
        <v>163.80000000000001</v>
      </c>
    </row>
    <row r="241" spans="2:10" x14ac:dyDescent="0.2">
      <c r="B241" t="s">
        <v>531</v>
      </c>
      <c r="C241" t="s">
        <v>18</v>
      </c>
      <c r="D241" t="s">
        <v>532</v>
      </c>
      <c r="E241" t="s">
        <v>416</v>
      </c>
      <c r="F241" t="s">
        <v>417</v>
      </c>
      <c r="G241" t="s">
        <v>1033</v>
      </c>
      <c r="H241" t="s">
        <v>30</v>
      </c>
      <c r="I241" s="1">
        <v>1</v>
      </c>
      <c r="J241" s="2">
        <v>2258.62</v>
      </c>
    </row>
    <row r="242" spans="2:10" x14ac:dyDescent="0.2">
      <c r="B242" t="s">
        <v>531</v>
      </c>
      <c r="C242" t="s">
        <v>18</v>
      </c>
      <c r="D242" t="s">
        <v>532</v>
      </c>
      <c r="E242" t="s">
        <v>28</v>
      </c>
      <c r="F242" t="s">
        <v>29</v>
      </c>
      <c r="G242" t="s">
        <v>1033</v>
      </c>
      <c r="H242" t="s">
        <v>30</v>
      </c>
      <c r="I242" s="1">
        <v>3</v>
      </c>
      <c r="J242" s="2">
        <v>465.51</v>
      </c>
    </row>
    <row r="243" spans="2:10" x14ac:dyDescent="0.2">
      <c r="B243" t="s">
        <v>531</v>
      </c>
      <c r="C243" t="s">
        <v>51</v>
      </c>
      <c r="D243" t="s">
        <v>32</v>
      </c>
      <c r="E243" t="s">
        <v>553</v>
      </c>
      <c r="F243" t="s">
        <v>554</v>
      </c>
      <c r="G243" t="s">
        <v>1033</v>
      </c>
      <c r="H243" t="s">
        <v>30</v>
      </c>
      <c r="I243" s="1">
        <v>1</v>
      </c>
      <c r="J243" s="2">
        <v>1379.31</v>
      </c>
    </row>
    <row r="244" spans="2:10" x14ac:dyDescent="0.2">
      <c r="B244" t="s">
        <v>531</v>
      </c>
      <c r="C244" t="s">
        <v>65</v>
      </c>
      <c r="D244" t="s">
        <v>32</v>
      </c>
      <c r="E244" t="s">
        <v>318</v>
      </c>
      <c r="F244" t="s">
        <v>319</v>
      </c>
      <c r="G244" t="s">
        <v>1033</v>
      </c>
      <c r="H244" t="s">
        <v>30</v>
      </c>
      <c r="I244" s="1">
        <v>1</v>
      </c>
      <c r="J244" s="2">
        <v>456.9</v>
      </c>
    </row>
    <row r="245" spans="2:10" x14ac:dyDescent="0.2">
      <c r="B245" t="s">
        <v>531</v>
      </c>
      <c r="C245" t="s">
        <v>82</v>
      </c>
      <c r="D245" t="s">
        <v>532</v>
      </c>
      <c r="E245" t="s">
        <v>44</v>
      </c>
      <c r="F245" t="s">
        <v>45</v>
      </c>
      <c r="G245" t="s">
        <v>1033</v>
      </c>
      <c r="H245" t="s">
        <v>30</v>
      </c>
      <c r="I245" s="1">
        <v>2</v>
      </c>
      <c r="J245" s="2">
        <v>163.80000000000001</v>
      </c>
    </row>
    <row r="246" spans="2:10" x14ac:dyDescent="0.2">
      <c r="B246" t="s">
        <v>531</v>
      </c>
      <c r="C246" t="s">
        <v>82</v>
      </c>
      <c r="D246" t="s">
        <v>532</v>
      </c>
      <c r="E246" t="s">
        <v>555</v>
      </c>
      <c r="F246" t="s">
        <v>556</v>
      </c>
      <c r="G246" t="s">
        <v>1033</v>
      </c>
      <c r="H246" t="s">
        <v>30</v>
      </c>
      <c r="I246" s="1">
        <v>1</v>
      </c>
      <c r="J246" s="2">
        <v>1034.48</v>
      </c>
    </row>
    <row r="247" spans="2:10" x14ac:dyDescent="0.2">
      <c r="B247" t="s">
        <v>531</v>
      </c>
      <c r="C247" t="s">
        <v>82</v>
      </c>
      <c r="D247" t="s">
        <v>532</v>
      </c>
      <c r="E247" t="s">
        <v>559</v>
      </c>
      <c r="F247" t="s">
        <v>560</v>
      </c>
      <c r="G247" t="s">
        <v>1033</v>
      </c>
      <c r="H247" t="s">
        <v>30</v>
      </c>
      <c r="I247" s="1">
        <v>1</v>
      </c>
      <c r="J247" s="2">
        <v>1706.9</v>
      </c>
    </row>
    <row r="248" spans="2:10" x14ac:dyDescent="0.2">
      <c r="B248" t="s">
        <v>531</v>
      </c>
      <c r="C248" t="s">
        <v>88</v>
      </c>
      <c r="D248" t="s">
        <v>532</v>
      </c>
      <c r="E248" t="s">
        <v>399</v>
      </c>
      <c r="F248" t="s">
        <v>400</v>
      </c>
      <c r="G248" t="s">
        <v>1033</v>
      </c>
      <c r="H248" t="s">
        <v>30</v>
      </c>
      <c r="I248" s="1">
        <v>1</v>
      </c>
      <c r="J248" s="2">
        <v>818.97</v>
      </c>
    </row>
    <row r="249" spans="2:10" x14ac:dyDescent="0.2">
      <c r="B249" t="s">
        <v>531</v>
      </c>
      <c r="C249" t="s">
        <v>88</v>
      </c>
      <c r="D249" t="s">
        <v>532</v>
      </c>
      <c r="E249" t="s">
        <v>310</v>
      </c>
      <c r="F249" t="s">
        <v>311</v>
      </c>
      <c r="G249" t="s">
        <v>1033</v>
      </c>
      <c r="H249" t="s">
        <v>30</v>
      </c>
      <c r="I249" s="1">
        <v>1</v>
      </c>
      <c r="J249" s="2">
        <v>474.14</v>
      </c>
    </row>
    <row r="250" spans="2:10" x14ac:dyDescent="0.2">
      <c r="B250" t="s">
        <v>531</v>
      </c>
      <c r="C250" t="s">
        <v>88</v>
      </c>
      <c r="D250" t="s">
        <v>532</v>
      </c>
      <c r="E250" t="s">
        <v>568</v>
      </c>
      <c r="F250" t="s">
        <v>569</v>
      </c>
      <c r="G250" t="s">
        <v>1033</v>
      </c>
      <c r="H250" t="s">
        <v>30</v>
      </c>
      <c r="I250" s="1">
        <v>1</v>
      </c>
      <c r="J250" s="2">
        <v>517.24</v>
      </c>
    </row>
    <row r="251" spans="2:10" x14ac:dyDescent="0.2">
      <c r="B251" t="s">
        <v>531</v>
      </c>
      <c r="C251" t="s">
        <v>117</v>
      </c>
      <c r="D251" t="s">
        <v>532</v>
      </c>
      <c r="E251" t="s">
        <v>44</v>
      </c>
      <c r="F251" t="s">
        <v>45</v>
      </c>
      <c r="G251" t="s">
        <v>1033</v>
      </c>
      <c r="H251" t="s">
        <v>30</v>
      </c>
      <c r="I251" s="1">
        <v>1</v>
      </c>
      <c r="J251" s="2">
        <v>81.900000000000006</v>
      </c>
    </row>
    <row r="252" spans="2:10" x14ac:dyDescent="0.2">
      <c r="B252" t="s">
        <v>531</v>
      </c>
      <c r="C252" t="s">
        <v>129</v>
      </c>
      <c r="D252" t="s">
        <v>532</v>
      </c>
      <c r="E252" t="s">
        <v>273</v>
      </c>
      <c r="F252" t="s">
        <v>274</v>
      </c>
      <c r="G252" t="s">
        <v>1033</v>
      </c>
      <c r="H252" t="s">
        <v>30</v>
      </c>
      <c r="I252" s="1">
        <v>1</v>
      </c>
      <c r="J252" s="2">
        <v>1293.0999999999999</v>
      </c>
    </row>
    <row r="253" spans="2:10" x14ac:dyDescent="0.2">
      <c r="B253" t="s">
        <v>531</v>
      </c>
      <c r="C253" t="s">
        <v>134</v>
      </c>
      <c r="D253" t="s">
        <v>532</v>
      </c>
      <c r="E253" t="s">
        <v>573</v>
      </c>
      <c r="F253" t="s">
        <v>574</v>
      </c>
      <c r="G253" t="s">
        <v>1033</v>
      </c>
      <c r="H253" t="s">
        <v>30</v>
      </c>
      <c r="I253" s="1">
        <v>1</v>
      </c>
      <c r="J253" s="2">
        <v>775.86</v>
      </c>
    </row>
    <row r="254" spans="2:10" x14ac:dyDescent="0.2">
      <c r="B254" t="s">
        <v>531</v>
      </c>
      <c r="C254" t="s">
        <v>135</v>
      </c>
      <c r="D254" t="s">
        <v>532</v>
      </c>
      <c r="E254" t="s">
        <v>44</v>
      </c>
      <c r="F254" t="s">
        <v>45</v>
      </c>
      <c r="G254" t="s">
        <v>1033</v>
      </c>
      <c r="H254" t="s">
        <v>30</v>
      </c>
      <c r="I254" s="1">
        <v>1</v>
      </c>
      <c r="J254" s="2">
        <v>81.900000000000006</v>
      </c>
    </row>
    <row r="255" spans="2:10" x14ac:dyDescent="0.2">
      <c r="B255" t="s">
        <v>531</v>
      </c>
      <c r="C255" t="s">
        <v>135</v>
      </c>
      <c r="D255" t="s">
        <v>532</v>
      </c>
      <c r="E255" t="s">
        <v>269</v>
      </c>
      <c r="F255" t="s">
        <v>270</v>
      </c>
      <c r="G255" t="s">
        <v>1033</v>
      </c>
      <c r="H255" t="s">
        <v>30</v>
      </c>
      <c r="I255" s="1">
        <v>1</v>
      </c>
      <c r="J255" s="2">
        <v>948.28</v>
      </c>
    </row>
    <row r="256" spans="2:10" x14ac:dyDescent="0.2">
      <c r="B256" t="s">
        <v>531</v>
      </c>
      <c r="C256" t="s">
        <v>144</v>
      </c>
      <c r="D256" t="s">
        <v>532</v>
      </c>
      <c r="E256" t="s">
        <v>167</v>
      </c>
      <c r="F256" t="s">
        <v>168</v>
      </c>
      <c r="G256" t="s">
        <v>1033</v>
      </c>
      <c r="H256" t="s">
        <v>30</v>
      </c>
      <c r="I256" s="1">
        <v>1</v>
      </c>
      <c r="J256" s="2">
        <v>1267.24</v>
      </c>
    </row>
    <row r="257" spans="2:10" x14ac:dyDescent="0.2">
      <c r="B257" t="s">
        <v>531</v>
      </c>
      <c r="C257" t="s">
        <v>166</v>
      </c>
      <c r="D257" t="s">
        <v>532</v>
      </c>
      <c r="E257" t="s">
        <v>201</v>
      </c>
      <c r="F257" t="s">
        <v>202</v>
      </c>
      <c r="G257" t="s">
        <v>1033</v>
      </c>
      <c r="H257" t="s">
        <v>30</v>
      </c>
      <c r="I257" s="1">
        <v>1</v>
      </c>
      <c r="J257" s="2">
        <v>948.28</v>
      </c>
    </row>
    <row r="258" spans="2:10" x14ac:dyDescent="0.2">
      <c r="B258" t="s">
        <v>531</v>
      </c>
      <c r="C258" t="s">
        <v>185</v>
      </c>
      <c r="D258" t="s">
        <v>532</v>
      </c>
      <c r="E258" t="s">
        <v>414</v>
      </c>
      <c r="F258" t="s">
        <v>415</v>
      </c>
      <c r="G258" t="s">
        <v>1033</v>
      </c>
      <c r="H258" t="s">
        <v>30</v>
      </c>
      <c r="I258" s="1">
        <v>1</v>
      </c>
      <c r="J258" s="2">
        <v>646.54999999999995</v>
      </c>
    </row>
    <row r="259" spans="2:10" x14ac:dyDescent="0.2">
      <c r="B259" t="s">
        <v>531</v>
      </c>
      <c r="C259" t="s">
        <v>197</v>
      </c>
      <c r="D259" t="s">
        <v>532</v>
      </c>
      <c r="E259" t="s">
        <v>575</v>
      </c>
      <c r="F259" t="s">
        <v>576</v>
      </c>
      <c r="G259" t="s">
        <v>1033</v>
      </c>
      <c r="H259" t="s">
        <v>30</v>
      </c>
      <c r="I259" s="1">
        <v>1</v>
      </c>
      <c r="J259" s="2">
        <v>474.14</v>
      </c>
    </row>
    <row r="260" spans="2:10" x14ac:dyDescent="0.2">
      <c r="B260" t="s">
        <v>531</v>
      </c>
      <c r="C260" t="s">
        <v>220</v>
      </c>
      <c r="D260" t="s">
        <v>532</v>
      </c>
      <c r="E260" t="s">
        <v>44</v>
      </c>
      <c r="F260" t="s">
        <v>45</v>
      </c>
      <c r="G260" t="s">
        <v>1033</v>
      </c>
      <c r="H260" t="s">
        <v>30</v>
      </c>
      <c r="I260" s="1">
        <v>1</v>
      </c>
      <c r="J260" s="2">
        <v>81.900000000000006</v>
      </c>
    </row>
    <row r="261" spans="2:10" x14ac:dyDescent="0.2">
      <c r="B261" t="s">
        <v>531</v>
      </c>
      <c r="C261" t="s">
        <v>220</v>
      </c>
      <c r="D261" t="s">
        <v>532</v>
      </c>
      <c r="E261" t="s">
        <v>579</v>
      </c>
      <c r="F261" t="s">
        <v>580</v>
      </c>
      <c r="G261" t="s">
        <v>1033</v>
      </c>
      <c r="H261" t="s">
        <v>30</v>
      </c>
      <c r="I261" s="1">
        <v>1</v>
      </c>
      <c r="J261" s="2">
        <v>77.59</v>
      </c>
    </row>
    <row r="262" spans="2:10" x14ac:dyDescent="0.2">
      <c r="B262" t="s">
        <v>531</v>
      </c>
      <c r="C262" t="s">
        <v>236</v>
      </c>
      <c r="D262" t="s">
        <v>532</v>
      </c>
      <c r="E262" t="s">
        <v>559</v>
      </c>
      <c r="F262" t="s">
        <v>560</v>
      </c>
      <c r="G262" t="s">
        <v>1033</v>
      </c>
      <c r="H262" t="s">
        <v>30</v>
      </c>
      <c r="I262" s="1">
        <v>1</v>
      </c>
      <c r="J262" s="2">
        <v>1706.9</v>
      </c>
    </row>
    <row r="263" spans="2:10" x14ac:dyDescent="0.2">
      <c r="B263" t="s">
        <v>531</v>
      </c>
      <c r="C263" t="s">
        <v>248</v>
      </c>
      <c r="D263" t="s">
        <v>532</v>
      </c>
      <c r="E263" t="s">
        <v>44</v>
      </c>
      <c r="F263" t="s">
        <v>45</v>
      </c>
      <c r="G263" t="s">
        <v>1033</v>
      </c>
      <c r="H263" t="s">
        <v>30</v>
      </c>
      <c r="I263" s="1">
        <v>1</v>
      </c>
      <c r="J263" s="2">
        <v>81.900000000000006</v>
      </c>
    </row>
    <row r="264" spans="2:10" x14ac:dyDescent="0.2">
      <c r="B264" t="s">
        <v>531</v>
      </c>
      <c r="C264" t="s">
        <v>248</v>
      </c>
      <c r="D264" t="s">
        <v>532</v>
      </c>
      <c r="E264" t="s">
        <v>201</v>
      </c>
      <c r="F264" t="s">
        <v>202</v>
      </c>
      <c r="G264" t="s">
        <v>1033</v>
      </c>
      <c r="H264" t="s">
        <v>30</v>
      </c>
      <c r="I264" s="1">
        <v>1</v>
      </c>
      <c r="J264" s="2">
        <v>948.28</v>
      </c>
    </row>
    <row r="265" spans="2:10" x14ac:dyDescent="0.2">
      <c r="B265" t="s">
        <v>583</v>
      </c>
      <c r="C265" t="s">
        <v>10</v>
      </c>
      <c r="D265" t="s">
        <v>584</v>
      </c>
      <c r="E265" t="s">
        <v>70</v>
      </c>
      <c r="F265" t="s">
        <v>71</v>
      </c>
      <c r="G265" t="s">
        <v>1033</v>
      </c>
      <c r="H265" t="s">
        <v>30</v>
      </c>
      <c r="I265" s="1">
        <v>1</v>
      </c>
      <c r="J265" s="2">
        <v>2112.0700000000002</v>
      </c>
    </row>
    <row r="266" spans="2:10" x14ac:dyDescent="0.2">
      <c r="B266" t="s">
        <v>583</v>
      </c>
      <c r="C266" t="s">
        <v>18</v>
      </c>
      <c r="D266" t="s">
        <v>584</v>
      </c>
      <c r="E266" t="s">
        <v>302</v>
      </c>
      <c r="F266" t="s">
        <v>303</v>
      </c>
      <c r="G266" t="s">
        <v>1033</v>
      </c>
      <c r="H266" t="s">
        <v>30</v>
      </c>
      <c r="I266" s="1">
        <v>1</v>
      </c>
      <c r="J266" s="2">
        <v>474.14</v>
      </c>
    </row>
    <row r="267" spans="2:10" x14ac:dyDescent="0.2">
      <c r="B267" t="s">
        <v>583</v>
      </c>
      <c r="C267" t="s">
        <v>18</v>
      </c>
      <c r="D267" t="s">
        <v>584</v>
      </c>
      <c r="E267" t="s">
        <v>28</v>
      </c>
      <c r="F267" t="s">
        <v>29</v>
      </c>
      <c r="G267" t="s">
        <v>1033</v>
      </c>
      <c r="H267" t="s">
        <v>30</v>
      </c>
      <c r="I267" s="1">
        <v>2</v>
      </c>
      <c r="J267" s="2">
        <v>310.33999999999997</v>
      </c>
    </row>
    <row r="268" spans="2:10" x14ac:dyDescent="0.2">
      <c r="B268" t="s">
        <v>583</v>
      </c>
      <c r="C268" t="s">
        <v>31</v>
      </c>
      <c r="D268" t="s">
        <v>584</v>
      </c>
      <c r="E268" t="s">
        <v>44</v>
      </c>
      <c r="F268" t="s">
        <v>45</v>
      </c>
      <c r="G268" t="s">
        <v>1033</v>
      </c>
      <c r="H268" t="s">
        <v>30</v>
      </c>
      <c r="I268" s="1">
        <v>1</v>
      </c>
      <c r="J268" s="2">
        <v>81.900000000000006</v>
      </c>
    </row>
    <row r="269" spans="2:10" x14ac:dyDescent="0.2">
      <c r="B269" t="s">
        <v>583</v>
      </c>
      <c r="C269" t="s">
        <v>31</v>
      </c>
      <c r="D269" t="s">
        <v>584</v>
      </c>
      <c r="E269" t="s">
        <v>399</v>
      </c>
      <c r="F269" t="s">
        <v>400</v>
      </c>
      <c r="G269" t="s">
        <v>1033</v>
      </c>
      <c r="H269" t="s">
        <v>30</v>
      </c>
      <c r="I269" s="1">
        <v>1</v>
      </c>
      <c r="J269" s="2">
        <v>818.97</v>
      </c>
    </row>
    <row r="270" spans="2:10" x14ac:dyDescent="0.2">
      <c r="B270" t="s">
        <v>583</v>
      </c>
      <c r="C270" t="s">
        <v>40</v>
      </c>
      <c r="D270" t="s">
        <v>130</v>
      </c>
      <c r="E270" t="s">
        <v>167</v>
      </c>
      <c r="F270" t="s">
        <v>168</v>
      </c>
      <c r="G270" t="s">
        <v>1033</v>
      </c>
      <c r="H270" t="s">
        <v>30</v>
      </c>
      <c r="I270" s="1">
        <v>1</v>
      </c>
      <c r="J270" s="2">
        <v>1267.24</v>
      </c>
    </row>
    <row r="271" spans="2:10" x14ac:dyDescent="0.2">
      <c r="B271" t="s">
        <v>583</v>
      </c>
      <c r="C271" t="s">
        <v>51</v>
      </c>
      <c r="D271" t="s">
        <v>584</v>
      </c>
      <c r="E271" t="s">
        <v>275</v>
      </c>
      <c r="F271" t="s">
        <v>276</v>
      </c>
      <c r="G271" t="s">
        <v>1033</v>
      </c>
      <c r="H271" t="s">
        <v>30</v>
      </c>
      <c r="I271" s="1">
        <v>1</v>
      </c>
      <c r="J271" s="2">
        <v>1551.72</v>
      </c>
    </row>
    <row r="272" spans="2:10" x14ac:dyDescent="0.2">
      <c r="B272" t="s">
        <v>583</v>
      </c>
      <c r="C272" t="s">
        <v>51</v>
      </c>
      <c r="D272" t="s">
        <v>584</v>
      </c>
      <c r="E272" t="s">
        <v>28</v>
      </c>
      <c r="F272" t="s">
        <v>29</v>
      </c>
      <c r="G272" t="s">
        <v>1033</v>
      </c>
      <c r="H272" t="s">
        <v>30</v>
      </c>
      <c r="I272" s="1">
        <v>1</v>
      </c>
      <c r="J272" s="2">
        <v>155.16999999999999</v>
      </c>
    </row>
    <row r="273" spans="2:10" x14ac:dyDescent="0.2">
      <c r="B273" t="s">
        <v>583</v>
      </c>
      <c r="C273" t="s">
        <v>65</v>
      </c>
      <c r="D273" t="s">
        <v>130</v>
      </c>
      <c r="E273" t="s">
        <v>44</v>
      </c>
      <c r="F273" t="s">
        <v>45</v>
      </c>
      <c r="G273" t="s">
        <v>1033</v>
      </c>
      <c r="H273" t="s">
        <v>30</v>
      </c>
      <c r="I273" s="1">
        <v>1</v>
      </c>
      <c r="J273" s="2">
        <v>81.900000000000006</v>
      </c>
    </row>
    <row r="274" spans="2:10" x14ac:dyDescent="0.2">
      <c r="B274" t="s">
        <v>583</v>
      </c>
      <c r="C274" t="s">
        <v>82</v>
      </c>
      <c r="D274" t="s">
        <v>584</v>
      </c>
      <c r="E274" t="s">
        <v>44</v>
      </c>
      <c r="F274" t="s">
        <v>45</v>
      </c>
      <c r="G274" t="s">
        <v>1033</v>
      </c>
      <c r="H274" t="s">
        <v>30</v>
      </c>
      <c r="I274" s="1">
        <v>3</v>
      </c>
      <c r="J274" s="2">
        <v>245.7</v>
      </c>
    </row>
    <row r="275" spans="2:10" x14ac:dyDescent="0.2">
      <c r="B275" t="s">
        <v>583</v>
      </c>
      <c r="C275" t="s">
        <v>88</v>
      </c>
      <c r="D275" t="s">
        <v>584</v>
      </c>
      <c r="E275" t="s">
        <v>44</v>
      </c>
      <c r="F275" t="s">
        <v>45</v>
      </c>
      <c r="G275" t="s">
        <v>1033</v>
      </c>
      <c r="H275" t="s">
        <v>30</v>
      </c>
      <c r="I275" s="1">
        <v>1</v>
      </c>
      <c r="J275" s="2">
        <v>81.900000000000006</v>
      </c>
    </row>
    <row r="276" spans="2:10" x14ac:dyDescent="0.2">
      <c r="B276" t="s">
        <v>583</v>
      </c>
      <c r="C276" t="s">
        <v>129</v>
      </c>
      <c r="D276" t="s">
        <v>584</v>
      </c>
      <c r="E276" t="s">
        <v>44</v>
      </c>
      <c r="F276" t="s">
        <v>45</v>
      </c>
      <c r="G276" t="s">
        <v>1033</v>
      </c>
      <c r="H276" t="s">
        <v>30</v>
      </c>
      <c r="I276" s="1">
        <v>1</v>
      </c>
      <c r="J276" s="2">
        <v>81.900000000000006</v>
      </c>
    </row>
    <row r="277" spans="2:10" x14ac:dyDescent="0.2">
      <c r="B277" t="s">
        <v>583</v>
      </c>
      <c r="C277" t="s">
        <v>134</v>
      </c>
      <c r="D277" t="s">
        <v>584</v>
      </c>
      <c r="E277" t="s">
        <v>328</v>
      </c>
      <c r="F277" t="s">
        <v>329</v>
      </c>
      <c r="G277" t="s">
        <v>1033</v>
      </c>
      <c r="H277" t="s">
        <v>30</v>
      </c>
      <c r="I277" s="1">
        <v>1</v>
      </c>
      <c r="J277" s="2">
        <v>172.41</v>
      </c>
    </row>
    <row r="278" spans="2:10" x14ac:dyDescent="0.2">
      <c r="B278" t="s">
        <v>583</v>
      </c>
      <c r="C278" t="s">
        <v>135</v>
      </c>
      <c r="D278" t="s">
        <v>584</v>
      </c>
      <c r="E278" t="s">
        <v>579</v>
      </c>
      <c r="F278" t="s">
        <v>580</v>
      </c>
      <c r="G278" t="s">
        <v>1033</v>
      </c>
      <c r="H278" t="s">
        <v>30</v>
      </c>
      <c r="I278" s="1">
        <v>1</v>
      </c>
      <c r="J278" s="2">
        <v>77.59</v>
      </c>
    </row>
    <row r="279" spans="2:10" x14ac:dyDescent="0.2">
      <c r="B279" t="s">
        <v>583</v>
      </c>
      <c r="C279" t="s">
        <v>141</v>
      </c>
      <c r="D279" t="s">
        <v>130</v>
      </c>
      <c r="E279" t="s">
        <v>28</v>
      </c>
      <c r="F279" t="s">
        <v>29</v>
      </c>
      <c r="G279" t="s">
        <v>1033</v>
      </c>
      <c r="H279" t="s">
        <v>30</v>
      </c>
      <c r="I279" s="1">
        <v>2</v>
      </c>
      <c r="J279" s="2">
        <v>310.33999999999997</v>
      </c>
    </row>
    <row r="280" spans="2:10" x14ac:dyDescent="0.2">
      <c r="B280" t="s">
        <v>583</v>
      </c>
      <c r="C280" t="s">
        <v>144</v>
      </c>
      <c r="D280" t="s">
        <v>584</v>
      </c>
      <c r="E280" t="s">
        <v>600</v>
      </c>
      <c r="F280" t="s">
        <v>601</v>
      </c>
      <c r="G280" t="s">
        <v>1033</v>
      </c>
      <c r="H280" t="s">
        <v>30</v>
      </c>
      <c r="I280" s="1">
        <v>1</v>
      </c>
      <c r="J280" s="2">
        <v>301.72000000000003</v>
      </c>
    </row>
    <row r="281" spans="2:10" x14ac:dyDescent="0.2">
      <c r="B281" t="s">
        <v>583</v>
      </c>
      <c r="C281" t="s">
        <v>165</v>
      </c>
      <c r="D281" t="s">
        <v>584</v>
      </c>
      <c r="E281" t="s">
        <v>318</v>
      </c>
      <c r="F281" t="s">
        <v>319</v>
      </c>
      <c r="G281" t="s">
        <v>1033</v>
      </c>
      <c r="H281" t="s">
        <v>30</v>
      </c>
      <c r="I281" s="1">
        <v>1</v>
      </c>
      <c r="J281" s="2">
        <v>456.9</v>
      </c>
    </row>
    <row r="282" spans="2:10" x14ac:dyDescent="0.2">
      <c r="B282" t="s">
        <v>583</v>
      </c>
      <c r="C282" t="s">
        <v>165</v>
      </c>
      <c r="D282" t="s">
        <v>584</v>
      </c>
      <c r="E282" t="s">
        <v>66</v>
      </c>
      <c r="F282" t="s">
        <v>67</v>
      </c>
      <c r="G282" t="s">
        <v>1033</v>
      </c>
      <c r="H282" t="s">
        <v>30</v>
      </c>
      <c r="I282" s="1">
        <v>1</v>
      </c>
      <c r="J282" s="2">
        <v>1681.03</v>
      </c>
    </row>
    <row r="283" spans="2:10" x14ac:dyDescent="0.2">
      <c r="B283" t="s">
        <v>583</v>
      </c>
      <c r="C283" t="s">
        <v>165</v>
      </c>
      <c r="D283" t="s">
        <v>584</v>
      </c>
      <c r="E283" t="s">
        <v>605</v>
      </c>
      <c r="F283" t="s">
        <v>606</v>
      </c>
      <c r="G283" t="s">
        <v>1033</v>
      </c>
      <c r="H283" t="s">
        <v>30</v>
      </c>
      <c r="I283" s="1">
        <v>1</v>
      </c>
      <c r="J283" s="2">
        <v>465.52</v>
      </c>
    </row>
    <row r="284" spans="2:10" x14ac:dyDescent="0.2">
      <c r="B284" t="s">
        <v>583</v>
      </c>
      <c r="C284" t="s">
        <v>165</v>
      </c>
      <c r="D284" t="s">
        <v>584</v>
      </c>
      <c r="E284" t="s">
        <v>28</v>
      </c>
      <c r="F284" t="s">
        <v>29</v>
      </c>
      <c r="G284" t="s">
        <v>1033</v>
      </c>
      <c r="H284" t="s">
        <v>30</v>
      </c>
      <c r="I284" s="1">
        <v>1</v>
      </c>
      <c r="J284" s="2">
        <v>155.16999999999999</v>
      </c>
    </row>
    <row r="285" spans="2:10" x14ac:dyDescent="0.2">
      <c r="B285" t="s">
        <v>583</v>
      </c>
      <c r="C285" t="s">
        <v>166</v>
      </c>
      <c r="D285" t="s">
        <v>584</v>
      </c>
      <c r="E285" t="s">
        <v>324</v>
      </c>
      <c r="F285" t="s">
        <v>325</v>
      </c>
      <c r="G285" t="s">
        <v>1033</v>
      </c>
      <c r="H285" t="s">
        <v>30</v>
      </c>
      <c r="I285" s="1">
        <v>1</v>
      </c>
      <c r="J285" s="2">
        <v>2000</v>
      </c>
    </row>
    <row r="286" spans="2:10" x14ac:dyDescent="0.2">
      <c r="B286" t="s">
        <v>583</v>
      </c>
      <c r="C286" t="s">
        <v>185</v>
      </c>
      <c r="D286" t="s">
        <v>584</v>
      </c>
      <c r="E286" t="s">
        <v>278</v>
      </c>
      <c r="F286" t="s">
        <v>279</v>
      </c>
      <c r="G286" t="s">
        <v>1033</v>
      </c>
      <c r="H286" t="s">
        <v>30</v>
      </c>
      <c r="I286" s="1">
        <v>1</v>
      </c>
      <c r="J286" s="2">
        <v>112.07</v>
      </c>
    </row>
    <row r="287" spans="2:10" x14ac:dyDescent="0.2">
      <c r="B287" t="s">
        <v>583</v>
      </c>
      <c r="C287" t="s">
        <v>186</v>
      </c>
      <c r="D287" t="s">
        <v>584</v>
      </c>
      <c r="E287" t="s">
        <v>609</v>
      </c>
      <c r="F287" t="s">
        <v>610</v>
      </c>
      <c r="G287" t="s">
        <v>1033</v>
      </c>
      <c r="H287" t="s">
        <v>30</v>
      </c>
      <c r="I287" s="1">
        <v>1</v>
      </c>
      <c r="J287" s="2">
        <v>1267.24</v>
      </c>
    </row>
    <row r="288" spans="2:10" x14ac:dyDescent="0.2">
      <c r="B288" t="s">
        <v>583</v>
      </c>
      <c r="C288" t="s">
        <v>186</v>
      </c>
      <c r="D288" t="s">
        <v>584</v>
      </c>
      <c r="E288" t="s">
        <v>425</v>
      </c>
      <c r="F288" t="s">
        <v>426</v>
      </c>
      <c r="G288" t="s">
        <v>1033</v>
      </c>
      <c r="H288" t="s">
        <v>30</v>
      </c>
      <c r="I288" s="1">
        <v>1</v>
      </c>
      <c r="J288" s="2">
        <v>1137.93</v>
      </c>
    </row>
    <row r="289" spans="2:10" x14ac:dyDescent="0.2">
      <c r="B289" t="s">
        <v>583</v>
      </c>
      <c r="C289" t="s">
        <v>206</v>
      </c>
      <c r="D289" t="s">
        <v>584</v>
      </c>
      <c r="E289" t="s">
        <v>28</v>
      </c>
      <c r="F289" t="s">
        <v>29</v>
      </c>
      <c r="G289" t="s">
        <v>1033</v>
      </c>
      <c r="H289" t="s">
        <v>30</v>
      </c>
      <c r="I289" s="1">
        <v>1</v>
      </c>
      <c r="J289" s="2">
        <v>155.16999999999999</v>
      </c>
    </row>
    <row r="290" spans="2:10" x14ac:dyDescent="0.2">
      <c r="B290" t="s">
        <v>583</v>
      </c>
      <c r="C290" t="s">
        <v>220</v>
      </c>
      <c r="D290" t="s">
        <v>584</v>
      </c>
      <c r="E290" t="s">
        <v>338</v>
      </c>
      <c r="F290" t="s">
        <v>339</v>
      </c>
      <c r="G290" t="s">
        <v>1033</v>
      </c>
      <c r="H290" t="s">
        <v>30</v>
      </c>
      <c r="I290" s="1">
        <v>1</v>
      </c>
      <c r="J290" s="2">
        <v>1525.86</v>
      </c>
    </row>
    <row r="291" spans="2:10" x14ac:dyDescent="0.2">
      <c r="B291" t="s">
        <v>583</v>
      </c>
      <c r="C291" t="s">
        <v>225</v>
      </c>
      <c r="D291" t="s">
        <v>584</v>
      </c>
      <c r="E291" t="s">
        <v>414</v>
      </c>
      <c r="F291" t="s">
        <v>415</v>
      </c>
      <c r="G291" t="s">
        <v>1033</v>
      </c>
      <c r="H291" t="s">
        <v>30</v>
      </c>
      <c r="I291" s="1">
        <v>1</v>
      </c>
      <c r="J291" s="2">
        <v>646.54999999999995</v>
      </c>
    </row>
    <row r="292" spans="2:10" x14ac:dyDescent="0.2">
      <c r="B292" t="s">
        <v>583</v>
      </c>
      <c r="C292" t="s">
        <v>227</v>
      </c>
      <c r="D292" t="s">
        <v>584</v>
      </c>
      <c r="E292" t="s">
        <v>306</v>
      </c>
      <c r="F292" t="s">
        <v>307</v>
      </c>
      <c r="G292" t="s">
        <v>1033</v>
      </c>
      <c r="H292" t="s">
        <v>30</v>
      </c>
      <c r="I292" s="1">
        <v>1</v>
      </c>
      <c r="J292" s="2">
        <v>258.62</v>
      </c>
    </row>
    <row r="293" spans="2:10" x14ac:dyDescent="0.2">
      <c r="B293" t="s">
        <v>583</v>
      </c>
      <c r="C293" t="s">
        <v>227</v>
      </c>
      <c r="D293" t="s">
        <v>584</v>
      </c>
      <c r="E293" t="s">
        <v>249</v>
      </c>
      <c r="F293" t="s">
        <v>250</v>
      </c>
      <c r="G293" t="s">
        <v>1033</v>
      </c>
      <c r="H293" t="s">
        <v>30</v>
      </c>
      <c r="I293" s="1">
        <v>1</v>
      </c>
      <c r="J293" s="2">
        <v>517.24</v>
      </c>
    </row>
    <row r="294" spans="2:10" x14ac:dyDescent="0.2">
      <c r="B294" t="s">
        <v>583</v>
      </c>
      <c r="C294" t="s">
        <v>233</v>
      </c>
      <c r="D294" t="s">
        <v>584</v>
      </c>
      <c r="E294" t="s">
        <v>611</v>
      </c>
      <c r="F294" t="s">
        <v>612</v>
      </c>
      <c r="G294" t="s">
        <v>1033</v>
      </c>
      <c r="H294" t="s">
        <v>30</v>
      </c>
      <c r="I294" s="1">
        <v>1</v>
      </c>
      <c r="J294" s="2">
        <v>793.1</v>
      </c>
    </row>
    <row r="295" spans="2:10" x14ac:dyDescent="0.2">
      <c r="B295" t="s">
        <v>583</v>
      </c>
      <c r="C295" t="s">
        <v>233</v>
      </c>
      <c r="D295" t="s">
        <v>584</v>
      </c>
      <c r="E295" t="s">
        <v>505</v>
      </c>
      <c r="F295" t="s">
        <v>506</v>
      </c>
      <c r="G295" t="s">
        <v>1033</v>
      </c>
      <c r="H295" t="s">
        <v>30</v>
      </c>
      <c r="I295" s="1">
        <v>1</v>
      </c>
      <c r="J295" s="2">
        <v>775.86</v>
      </c>
    </row>
    <row r="296" spans="2:10" x14ac:dyDescent="0.2">
      <c r="B296" t="s">
        <v>583</v>
      </c>
      <c r="C296" t="s">
        <v>236</v>
      </c>
      <c r="D296" t="s">
        <v>130</v>
      </c>
      <c r="E296" t="s">
        <v>352</v>
      </c>
      <c r="F296" t="s">
        <v>353</v>
      </c>
      <c r="G296" t="s">
        <v>1033</v>
      </c>
      <c r="H296" t="s">
        <v>30</v>
      </c>
      <c r="I296" s="1">
        <v>1</v>
      </c>
      <c r="J296" s="2">
        <v>1422.41</v>
      </c>
    </row>
    <row r="297" spans="2:10" x14ac:dyDescent="0.2">
      <c r="B297" t="s">
        <v>583</v>
      </c>
      <c r="C297" t="s">
        <v>237</v>
      </c>
      <c r="D297" t="s">
        <v>584</v>
      </c>
      <c r="E297" t="s">
        <v>44</v>
      </c>
      <c r="F297" t="s">
        <v>45</v>
      </c>
      <c r="G297" t="s">
        <v>1033</v>
      </c>
      <c r="H297" t="s">
        <v>30</v>
      </c>
      <c r="I297" s="1">
        <v>1</v>
      </c>
      <c r="J297" s="2">
        <v>81.900000000000006</v>
      </c>
    </row>
    <row r="298" spans="2:10" x14ac:dyDescent="0.2">
      <c r="B298" t="s">
        <v>583</v>
      </c>
      <c r="C298" t="s">
        <v>237</v>
      </c>
      <c r="D298" t="s">
        <v>584</v>
      </c>
      <c r="E298" t="s">
        <v>257</v>
      </c>
      <c r="F298" t="s">
        <v>258</v>
      </c>
      <c r="G298" t="s">
        <v>1033</v>
      </c>
      <c r="H298" t="s">
        <v>30</v>
      </c>
      <c r="I298" s="1">
        <v>1</v>
      </c>
      <c r="J298" s="2">
        <v>1577.59</v>
      </c>
    </row>
    <row r="299" spans="2:10" x14ac:dyDescent="0.2">
      <c r="B299" t="s">
        <v>615</v>
      </c>
      <c r="C299" t="s">
        <v>10</v>
      </c>
      <c r="D299" t="s">
        <v>616</v>
      </c>
      <c r="E299" t="s">
        <v>611</v>
      </c>
      <c r="F299" t="s">
        <v>612</v>
      </c>
      <c r="G299" t="s">
        <v>1033</v>
      </c>
      <c r="H299" t="s">
        <v>30</v>
      </c>
      <c r="I299" s="1">
        <v>1</v>
      </c>
      <c r="J299" s="2">
        <v>793.1</v>
      </c>
    </row>
    <row r="300" spans="2:10" x14ac:dyDescent="0.2">
      <c r="B300" t="s">
        <v>615</v>
      </c>
      <c r="C300" t="s">
        <v>10</v>
      </c>
      <c r="D300" t="s">
        <v>616</v>
      </c>
      <c r="E300" t="s">
        <v>617</v>
      </c>
      <c r="F300" t="s">
        <v>618</v>
      </c>
      <c r="G300" t="s">
        <v>1033</v>
      </c>
      <c r="H300" t="s">
        <v>30</v>
      </c>
      <c r="I300" s="1">
        <v>1</v>
      </c>
      <c r="J300" s="2">
        <v>73.28</v>
      </c>
    </row>
    <row r="301" spans="2:10" x14ac:dyDescent="0.2">
      <c r="B301" t="s">
        <v>615</v>
      </c>
      <c r="C301" t="s">
        <v>18</v>
      </c>
      <c r="D301" t="s">
        <v>616</v>
      </c>
      <c r="E301" t="s">
        <v>399</v>
      </c>
      <c r="F301" t="s">
        <v>400</v>
      </c>
      <c r="G301" t="s">
        <v>1033</v>
      </c>
      <c r="H301" t="s">
        <v>30</v>
      </c>
      <c r="I301" s="1">
        <v>2</v>
      </c>
      <c r="J301" s="2">
        <v>1637.94</v>
      </c>
    </row>
    <row r="302" spans="2:10" x14ac:dyDescent="0.2">
      <c r="B302" t="s">
        <v>615</v>
      </c>
      <c r="C302" t="s">
        <v>18</v>
      </c>
      <c r="D302" t="s">
        <v>616</v>
      </c>
      <c r="E302" t="s">
        <v>70</v>
      </c>
      <c r="F302" t="s">
        <v>71</v>
      </c>
      <c r="G302" t="s">
        <v>1033</v>
      </c>
      <c r="H302" t="s">
        <v>30</v>
      </c>
      <c r="I302" s="1">
        <v>1</v>
      </c>
      <c r="J302" s="2">
        <v>2112.0700000000002</v>
      </c>
    </row>
    <row r="303" spans="2:10" x14ac:dyDescent="0.2">
      <c r="B303" t="s">
        <v>615</v>
      </c>
      <c r="C303" t="s">
        <v>40</v>
      </c>
      <c r="D303" t="s">
        <v>616</v>
      </c>
      <c r="E303" t="s">
        <v>97</v>
      </c>
      <c r="F303" t="s">
        <v>98</v>
      </c>
      <c r="G303" t="s">
        <v>1033</v>
      </c>
      <c r="H303" t="s">
        <v>30</v>
      </c>
      <c r="I303" s="1">
        <v>1</v>
      </c>
      <c r="J303" s="2">
        <v>2500</v>
      </c>
    </row>
    <row r="304" spans="2:10" x14ac:dyDescent="0.2">
      <c r="B304" t="s">
        <v>615</v>
      </c>
      <c r="C304" t="s">
        <v>51</v>
      </c>
      <c r="D304" t="s">
        <v>616</v>
      </c>
      <c r="E304" t="s">
        <v>344</v>
      </c>
      <c r="F304" t="s">
        <v>345</v>
      </c>
      <c r="G304" t="s">
        <v>1033</v>
      </c>
      <c r="H304" t="s">
        <v>30</v>
      </c>
      <c r="I304" s="1">
        <v>1</v>
      </c>
      <c r="J304" s="2">
        <v>2163.79</v>
      </c>
    </row>
    <row r="305" spans="2:10" x14ac:dyDescent="0.2">
      <c r="B305" t="s">
        <v>615</v>
      </c>
      <c r="C305" t="s">
        <v>82</v>
      </c>
      <c r="D305" t="s">
        <v>616</v>
      </c>
      <c r="E305" t="s">
        <v>627</v>
      </c>
      <c r="F305" t="s">
        <v>628</v>
      </c>
      <c r="G305" t="s">
        <v>1033</v>
      </c>
      <c r="H305" t="s">
        <v>30</v>
      </c>
      <c r="I305" s="1">
        <v>1</v>
      </c>
      <c r="J305" s="2">
        <v>344.83</v>
      </c>
    </row>
    <row r="306" spans="2:10" x14ac:dyDescent="0.2">
      <c r="B306" t="s">
        <v>615</v>
      </c>
      <c r="C306" t="s">
        <v>117</v>
      </c>
      <c r="D306" t="s">
        <v>616</v>
      </c>
      <c r="E306" t="s">
        <v>167</v>
      </c>
      <c r="F306" t="s">
        <v>168</v>
      </c>
      <c r="G306" t="s">
        <v>1033</v>
      </c>
      <c r="H306" t="s">
        <v>30</v>
      </c>
      <c r="I306" s="1">
        <v>1</v>
      </c>
      <c r="J306" s="2">
        <v>1267.24</v>
      </c>
    </row>
    <row r="307" spans="2:10" x14ac:dyDescent="0.2">
      <c r="B307" t="s">
        <v>615</v>
      </c>
      <c r="C307" t="s">
        <v>117</v>
      </c>
      <c r="D307" t="s">
        <v>616</v>
      </c>
      <c r="E307" t="s">
        <v>70</v>
      </c>
      <c r="F307" t="s">
        <v>71</v>
      </c>
      <c r="G307" t="s">
        <v>1033</v>
      </c>
      <c r="H307" t="s">
        <v>30</v>
      </c>
      <c r="I307" s="1">
        <v>1</v>
      </c>
      <c r="J307" s="2">
        <v>2112.0700000000002</v>
      </c>
    </row>
    <row r="308" spans="2:10" x14ac:dyDescent="0.2">
      <c r="B308" t="s">
        <v>615</v>
      </c>
      <c r="C308" t="s">
        <v>166</v>
      </c>
      <c r="D308" t="s">
        <v>616</v>
      </c>
      <c r="E308" t="s">
        <v>66</v>
      </c>
      <c r="F308" t="s">
        <v>67</v>
      </c>
      <c r="G308" t="s">
        <v>1033</v>
      </c>
      <c r="H308" t="s">
        <v>30</v>
      </c>
      <c r="I308" s="1">
        <v>1</v>
      </c>
      <c r="J308" s="2">
        <v>1681.03</v>
      </c>
    </row>
    <row r="309" spans="2:10" x14ac:dyDescent="0.2">
      <c r="B309" t="s">
        <v>615</v>
      </c>
      <c r="C309" t="s">
        <v>335</v>
      </c>
      <c r="D309" t="s">
        <v>130</v>
      </c>
      <c r="E309" t="s">
        <v>70</v>
      </c>
      <c r="F309" t="s">
        <v>71</v>
      </c>
      <c r="G309" t="s">
        <v>1033</v>
      </c>
      <c r="H309" t="s">
        <v>30</v>
      </c>
      <c r="I309" s="1">
        <v>1</v>
      </c>
      <c r="J309" s="2">
        <v>2112.0700000000002</v>
      </c>
    </row>
    <row r="310" spans="2:10" x14ac:dyDescent="0.2">
      <c r="B310" t="s">
        <v>615</v>
      </c>
      <c r="C310" t="s">
        <v>206</v>
      </c>
      <c r="D310" t="s">
        <v>616</v>
      </c>
      <c r="E310" t="s">
        <v>249</v>
      </c>
      <c r="F310" t="s">
        <v>250</v>
      </c>
      <c r="G310" t="s">
        <v>1033</v>
      </c>
      <c r="H310" t="s">
        <v>30</v>
      </c>
      <c r="I310" s="1">
        <v>1</v>
      </c>
      <c r="J310" s="2">
        <v>517.24</v>
      </c>
    </row>
    <row r="311" spans="2:10" x14ac:dyDescent="0.2">
      <c r="B311" t="s">
        <v>615</v>
      </c>
      <c r="C311" t="s">
        <v>206</v>
      </c>
      <c r="D311" t="s">
        <v>616</v>
      </c>
      <c r="E311" t="s">
        <v>189</v>
      </c>
      <c r="F311" t="s">
        <v>190</v>
      </c>
      <c r="G311" t="s">
        <v>1033</v>
      </c>
      <c r="H311" t="s">
        <v>30</v>
      </c>
      <c r="I311" s="1">
        <v>1</v>
      </c>
      <c r="J311" s="2">
        <v>818.97</v>
      </c>
    </row>
    <row r="312" spans="2:10" x14ac:dyDescent="0.2">
      <c r="B312" t="s">
        <v>615</v>
      </c>
      <c r="C312" t="s">
        <v>206</v>
      </c>
      <c r="D312" t="s">
        <v>616</v>
      </c>
      <c r="E312" t="s">
        <v>28</v>
      </c>
      <c r="F312" t="s">
        <v>29</v>
      </c>
      <c r="G312" t="s">
        <v>1033</v>
      </c>
      <c r="H312" t="s">
        <v>30</v>
      </c>
      <c r="I312" s="1">
        <v>1</v>
      </c>
      <c r="J312" s="2">
        <v>155.16999999999999</v>
      </c>
    </row>
    <row r="313" spans="2:10" x14ac:dyDescent="0.2">
      <c r="B313" t="s">
        <v>615</v>
      </c>
      <c r="C313" t="s">
        <v>220</v>
      </c>
      <c r="D313" t="s">
        <v>616</v>
      </c>
      <c r="E313" t="s">
        <v>414</v>
      </c>
      <c r="F313" t="s">
        <v>415</v>
      </c>
      <c r="G313" t="s">
        <v>1033</v>
      </c>
      <c r="H313" t="s">
        <v>30</v>
      </c>
      <c r="I313" s="1">
        <v>1</v>
      </c>
      <c r="J313" s="2">
        <v>646.54999999999995</v>
      </c>
    </row>
    <row r="314" spans="2:10" x14ac:dyDescent="0.2">
      <c r="B314" t="s">
        <v>615</v>
      </c>
      <c r="C314" t="s">
        <v>220</v>
      </c>
      <c r="D314" t="s">
        <v>616</v>
      </c>
      <c r="E314" t="s">
        <v>324</v>
      </c>
      <c r="F314" t="s">
        <v>325</v>
      </c>
      <c r="G314" t="s">
        <v>1033</v>
      </c>
      <c r="H314" t="s">
        <v>30</v>
      </c>
      <c r="I314" s="1">
        <v>1</v>
      </c>
      <c r="J314" s="2">
        <v>2000</v>
      </c>
    </row>
    <row r="315" spans="2:10" x14ac:dyDescent="0.2">
      <c r="B315" t="s">
        <v>615</v>
      </c>
      <c r="C315" t="s">
        <v>220</v>
      </c>
      <c r="D315" t="s">
        <v>616</v>
      </c>
      <c r="E315" t="s">
        <v>28</v>
      </c>
      <c r="F315" t="s">
        <v>29</v>
      </c>
      <c r="G315" t="s">
        <v>1033</v>
      </c>
      <c r="H315" t="s">
        <v>30</v>
      </c>
      <c r="I315" s="1">
        <v>1</v>
      </c>
      <c r="J315" s="2">
        <v>155.16999999999999</v>
      </c>
    </row>
    <row r="316" spans="2:10" x14ac:dyDescent="0.2">
      <c r="B316" t="s">
        <v>615</v>
      </c>
      <c r="C316" t="s">
        <v>225</v>
      </c>
      <c r="D316" t="s">
        <v>616</v>
      </c>
      <c r="E316" t="s">
        <v>238</v>
      </c>
      <c r="F316" t="s">
        <v>239</v>
      </c>
      <c r="G316" t="s">
        <v>1033</v>
      </c>
      <c r="H316" t="s">
        <v>30</v>
      </c>
      <c r="I316" s="1">
        <v>1</v>
      </c>
      <c r="J316" s="2">
        <v>396.55</v>
      </c>
    </row>
    <row r="317" spans="2:10" x14ac:dyDescent="0.2">
      <c r="B317" t="s">
        <v>615</v>
      </c>
      <c r="C317" t="s">
        <v>225</v>
      </c>
      <c r="D317" t="s">
        <v>616</v>
      </c>
      <c r="E317" t="s">
        <v>637</v>
      </c>
      <c r="F317" t="s">
        <v>638</v>
      </c>
      <c r="G317" t="s">
        <v>1033</v>
      </c>
      <c r="H317" t="s">
        <v>30</v>
      </c>
      <c r="I317" s="1">
        <v>1</v>
      </c>
      <c r="J317" s="2">
        <v>689.66</v>
      </c>
    </row>
    <row r="318" spans="2:10" x14ac:dyDescent="0.2">
      <c r="B318" t="s">
        <v>615</v>
      </c>
      <c r="C318" t="s">
        <v>225</v>
      </c>
      <c r="D318" t="s">
        <v>616</v>
      </c>
      <c r="E318" t="s">
        <v>639</v>
      </c>
      <c r="F318" t="s">
        <v>640</v>
      </c>
      <c r="G318" t="s">
        <v>1033</v>
      </c>
      <c r="H318" t="s">
        <v>30</v>
      </c>
      <c r="I318" s="1">
        <v>1</v>
      </c>
      <c r="J318" s="2">
        <v>344.83</v>
      </c>
    </row>
    <row r="319" spans="2:10" x14ac:dyDescent="0.2">
      <c r="B319" t="s">
        <v>615</v>
      </c>
      <c r="C319" t="s">
        <v>227</v>
      </c>
      <c r="D319" t="s">
        <v>616</v>
      </c>
      <c r="E319" t="s">
        <v>644</v>
      </c>
      <c r="F319" t="s">
        <v>645</v>
      </c>
      <c r="G319" t="s">
        <v>1033</v>
      </c>
      <c r="H319" t="s">
        <v>30</v>
      </c>
      <c r="I319" s="1">
        <v>1</v>
      </c>
      <c r="J319" s="2">
        <v>431.03</v>
      </c>
    </row>
    <row r="320" spans="2:10" x14ac:dyDescent="0.2">
      <c r="B320" t="s">
        <v>615</v>
      </c>
      <c r="C320" t="s">
        <v>227</v>
      </c>
      <c r="D320" t="s">
        <v>616</v>
      </c>
      <c r="E320" t="s">
        <v>318</v>
      </c>
      <c r="F320" t="s">
        <v>319</v>
      </c>
      <c r="G320" t="s">
        <v>1033</v>
      </c>
      <c r="H320" t="s">
        <v>30</v>
      </c>
      <c r="I320" s="1">
        <v>1</v>
      </c>
      <c r="J320" s="2">
        <v>456.9</v>
      </c>
    </row>
    <row r="321" spans="2:10" x14ac:dyDescent="0.2">
      <c r="B321" t="s">
        <v>615</v>
      </c>
      <c r="C321" t="s">
        <v>236</v>
      </c>
      <c r="D321" t="s">
        <v>616</v>
      </c>
      <c r="E321" t="s">
        <v>318</v>
      </c>
      <c r="F321" t="s">
        <v>319</v>
      </c>
      <c r="G321" t="s">
        <v>1033</v>
      </c>
      <c r="H321" t="s">
        <v>30</v>
      </c>
      <c r="I321" s="1">
        <v>1</v>
      </c>
      <c r="J321" s="2">
        <v>456.9</v>
      </c>
    </row>
    <row r="322" spans="2:10" x14ac:dyDescent="0.2">
      <c r="B322" t="s">
        <v>615</v>
      </c>
      <c r="C322" t="s">
        <v>236</v>
      </c>
      <c r="D322" t="s">
        <v>616</v>
      </c>
      <c r="E322" t="s">
        <v>28</v>
      </c>
      <c r="F322" t="s">
        <v>29</v>
      </c>
      <c r="G322" t="s">
        <v>1033</v>
      </c>
      <c r="H322" t="s">
        <v>30</v>
      </c>
      <c r="I322" s="1">
        <v>1</v>
      </c>
      <c r="J322" s="2">
        <v>155.16999999999999</v>
      </c>
    </row>
    <row r="323" spans="2:10" x14ac:dyDescent="0.2">
      <c r="B323" t="s">
        <v>615</v>
      </c>
      <c r="C323" t="s">
        <v>237</v>
      </c>
      <c r="D323" t="s">
        <v>616</v>
      </c>
      <c r="E323" t="s">
        <v>28</v>
      </c>
      <c r="F323" t="s">
        <v>29</v>
      </c>
      <c r="G323" t="s">
        <v>1033</v>
      </c>
      <c r="H323" t="s">
        <v>30</v>
      </c>
      <c r="I323" s="1">
        <v>1</v>
      </c>
      <c r="J323" s="2">
        <v>155.16999999999999</v>
      </c>
    </row>
    <row r="324" spans="2:10" x14ac:dyDescent="0.2">
      <c r="B324" t="s">
        <v>615</v>
      </c>
      <c r="C324" t="s">
        <v>248</v>
      </c>
      <c r="D324" t="s">
        <v>616</v>
      </c>
      <c r="E324" t="s">
        <v>169</v>
      </c>
      <c r="F324" t="s">
        <v>170</v>
      </c>
      <c r="G324" t="s">
        <v>1033</v>
      </c>
      <c r="H324" t="s">
        <v>30</v>
      </c>
      <c r="I324" s="1">
        <v>1</v>
      </c>
      <c r="J324" s="2">
        <v>258.62</v>
      </c>
    </row>
    <row r="325" spans="2:10" x14ac:dyDescent="0.2">
      <c r="B325" t="s">
        <v>654</v>
      </c>
      <c r="C325" t="s">
        <v>10</v>
      </c>
      <c r="D325" t="s">
        <v>655</v>
      </c>
      <c r="E325" t="s">
        <v>44</v>
      </c>
      <c r="F325" t="s">
        <v>45</v>
      </c>
      <c r="G325" t="s">
        <v>1033</v>
      </c>
      <c r="H325" t="s">
        <v>30</v>
      </c>
      <c r="I325" s="1">
        <v>2</v>
      </c>
      <c r="J325" s="2">
        <v>163.80000000000001</v>
      </c>
    </row>
    <row r="326" spans="2:10" x14ac:dyDescent="0.2">
      <c r="B326" t="s">
        <v>654</v>
      </c>
      <c r="C326" t="s">
        <v>18</v>
      </c>
      <c r="D326" t="s">
        <v>655</v>
      </c>
      <c r="E326" t="s">
        <v>44</v>
      </c>
      <c r="F326" t="s">
        <v>45</v>
      </c>
      <c r="G326" t="s">
        <v>1033</v>
      </c>
      <c r="H326" t="s">
        <v>30</v>
      </c>
      <c r="I326" s="1">
        <v>1</v>
      </c>
      <c r="J326" s="2">
        <v>81.900000000000006</v>
      </c>
    </row>
    <row r="327" spans="2:10" x14ac:dyDescent="0.2">
      <c r="B327" t="s">
        <v>654</v>
      </c>
      <c r="C327" t="s">
        <v>18</v>
      </c>
      <c r="D327" t="s">
        <v>655</v>
      </c>
      <c r="E327" t="s">
        <v>553</v>
      </c>
      <c r="F327" t="s">
        <v>554</v>
      </c>
      <c r="G327" t="s">
        <v>1033</v>
      </c>
      <c r="H327" t="s">
        <v>30</v>
      </c>
      <c r="I327" s="1">
        <v>1</v>
      </c>
      <c r="J327" s="2">
        <v>1379.31</v>
      </c>
    </row>
    <row r="328" spans="2:10" x14ac:dyDescent="0.2">
      <c r="B328" t="s">
        <v>654</v>
      </c>
      <c r="C328" t="s">
        <v>18</v>
      </c>
      <c r="D328" t="s">
        <v>655</v>
      </c>
      <c r="E328" t="s">
        <v>662</v>
      </c>
      <c r="F328" t="s">
        <v>663</v>
      </c>
      <c r="G328" t="s">
        <v>1033</v>
      </c>
      <c r="H328" t="s">
        <v>30</v>
      </c>
      <c r="I328" s="1">
        <v>1</v>
      </c>
      <c r="J328" s="2">
        <v>344.83</v>
      </c>
    </row>
    <row r="329" spans="2:10" x14ac:dyDescent="0.2">
      <c r="B329" t="s">
        <v>654</v>
      </c>
      <c r="C329" t="s">
        <v>18</v>
      </c>
      <c r="D329" t="s">
        <v>655</v>
      </c>
      <c r="E329" t="s">
        <v>97</v>
      </c>
      <c r="F329" t="s">
        <v>98</v>
      </c>
      <c r="G329" t="s">
        <v>1033</v>
      </c>
      <c r="H329" t="s">
        <v>30</v>
      </c>
      <c r="I329" s="1">
        <v>1</v>
      </c>
      <c r="J329" s="2">
        <v>2500</v>
      </c>
    </row>
    <row r="330" spans="2:10" x14ac:dyDescent="0.2">
      <c r="B330" t="s">
        <v>654</v>
      </c>
      <c r="C330" t="s">
        <v>18</v>
      </c>
      <c r="D330" t="s">
        <v>655</v>
      </c>
      <c r="E330" t="s">
        <v>559</v>
      </c>
      <c r="F330" t="s">
        <v>664</v>
      </c>
      <c r="G330" t="s">
        <v>1033</v>
      </c>
      <c r="H330" t="s">
        <v>30</v>
      </c>
      <c r="I330" s="1">
        <v>1</v>
      </c>
      <c r="J330" s="2">
        <v>551.72</v>
      </c>
    </row>
    <row r="331" spans="2:10" x14ac:dyDescent="0.2">
      <c r="B331" t="s">
        <v>654</v>
      </c>
      <c r="C331" t="s">
        <v>40</v>
      </c>
      <c r="D331" t="s">
        <v>655</v>
      </c>
      <c r="E331" t="s">
        <v>41</v>
      </c>
      <c r="F331" t="s">
        <v>42</v>
      </c>
      <c r="G331" t="s">
        <v>1033</v>
      </c>
      <c r="H331" t="s">
        <v>30</v>
      </c>
      <c r="I331" s="1">
        <v>1</v>
      </c>
      <c r="J331" s="2">
        <v>34.479999999999997</v>
      </c>
    </row>
    <row r="332" spans="2:10" x14ac:dyDescent="0.2">
      <c r="B332" t="s">
        <v>654</v>
      </c>
      <c r="C332" t="s">
        <v>40</v>
      </c>
      <c r="D332" t="s">
        <v>655</v>
      </c>
      <c r="E332" t="s">
        <v>553</v>
      </c>
      <c r="F332" t="s">
        <v>554</v>
      </c>
      <c r="G332" t="s">
        <v>1033</v>
      </c>
      <c r="H332" t="s">
        <v>30</v>
      </c>
      <c r="I332" s="1">
        <v>1</v>
      </c>
      <c r="J332" s="2">
        <v>1379.31</v>
      </c>
    </row>
    <row r="333" spans="2:10" x14ac:dyDescent="0.2">
      <c r="B333" t="s">
        <v>654</v>
      </c>
      <c r="C333" t="s">
        <v>40</v>
      </c>
      <c r="D333" t="s">
        <v>655</v>
      </c>
      <c r="E333" t="s">
        <v>368</v>
      </c>
      <c r="F333" t="s">
        <v>369</v>
      </c>
      <c r="G333" t="s">
        <v>1033</v>
      </c>
      <c r="H333" t="s">
        <v>30</v>
      </c>
      <c r="I333" s="1">
        <v>1</v>
      </c>
      <c r="J333" s="2">
        <v>612.07000000000005</v>
      </c>
    </row>
    <row r="334" spans="2:10" x14ac:dyDescent="0.2">
      <c r="B334" t="s">
        <v>654</v>
      </c>
      <c r="C334" t="s">
        <v>40</v>
      </c>
      <c r="D334" t="s">
        <v>655</v>
      </c>
      <c r="E334" t="s">
        <v>605</v>
      </c>
      <c r="F334" t="s">
        <v>606</v>
      </c>
      <c r="G334" t="s">
        <v>1033</v>
      </c>
      <c r="H334" t="s">
        <v>30</v>
      </c>
      <c r="I334" s="1">
        <v>1</v>
      </c>
      <c r="J334" s="2">
        <v>465.52</v>
      </c>
    </row>
    <row r="335" spans="2:10" x14ac:dyDescent="0.2">
      <c r="B335" t="s">
        <v>654</v>
      </c>
      <c r="C335" t="s">
        <v>51</v>
      </c>
      <c r="D335" t="s">
        <v>655</v>
      </c>
      <c r="E335" t="s">
        <v>318</v>
      </c>
      <c r="F335" t="s">
        <v>319</v>
      </c>
      <c r="G335" t="s">
        <v>1033</v>
      </c>
      <c r="H335" t="s">
        <v>30</v>
      </c>
      <c r="I335" s="1">
        <v>1</v>
      </c>
      <c r="J335" s="2">
        <v>456.9</v>
      </c>
    </row>
    <row r="336" spans="2:10" x14ac:dyDescent="0.2">
      <c r="B336" t="s">
        <v>654</v>
      </c>
      <c r="C336" t="s">
        <v>65</v>
      </c>
      <c r="D336" t="s">
        <v>655</v>
      </c>
      <c r="E336" t="s">
        <v>44</v>
      </c>
      <c r="F336" t="s">
        <v>45</v>
      </c>
      <c r="G336" t="s">
        <v>1033</v>
      </c>
      <c r="H336" t="s">
        <v>30</v>
      </c>
      <c r="I336" s="1">
        <v>1</v>
      </c>
      <c r="J336" s="2">
        <v>81.900000000000006</v>
      </c>
    </row>
    <row r="337" spans="2:10" x14ac:dyDescent="0.2">
      <c r="B337" t="s">
        <v>654</v>
      </c>
      <c r="C337" t="s">
        <v>65</v>
      </c>
      <c r="D337" t="s">
        <v>655</v>
      </c>
      <c r="E337" t="s">
        <v>70</v>
      </c>
      <c r="F337" t="s">
        <v>71</v>
      </c>
      <c r="G337" t="s">
        <v>1033</v>
      </c>
      <c r="H337" t="s">
        <v>30</v>
      </c>
      <c r="I337" s="1">
        <v>1</v>
      </c>
      <c r="J337" s="2">
        <v>2112.0700000000002</v>
      </c>
    </row>
    <row r="338" spans="2:10" x14ac:dyDescent="0.2">
      <c r="B338" t="s">
        <v>654</v>
      </c>
      <c r="C338" t="s">
        <v>65</v>
      </c>
      <c r="D338" t="s">
        <v>655</v>
      </c>
      <c r="E338" t="s">
        <v>665</v>
      </c>
      <c r="F338" t="s">
        <v>666</v>
      </c>
      <c r="G338" t="s">
        <v>1033</v>
      </c>
      <c r="H338" t="s">
        <v>30</v>
      </c>
      <c r="I338" s="1">
        <v>1</v>
      </c>
      <c r="J338" s="2">
        <v>646.54999999999995</v>
      </c>
    </row>
    <row r="339" spans="2:10" x14ac:dyDescent="0.2">
      <c r="B339" t="s">
        <v>654</v>
      </c>
      <c r="C339" t="s">
        <v>65</v>
      </c>
      <c r="D339" t="s">
        <v>655</v>
      </c>
      <c r="E339" t="s">
        <v>28</v>
      </c>
      <c r="F339" t="s">
        <v>29</v>
      </c>
      <c r="G339" t="s">
        <v>1033</v>
      </c>
      <c r="H339" t="s">
        <v>30</v>
      </c>
      <c r="I339" s="1">
        <v>1</v>
      </c>
      <c r="J339" s="2">
        <v>155.16999999999999</v>
      </c>
    </row>
    <row r="340" spans="2:10" x14ac:dyDescent="0.2">
      <c r="B340" t="s">
        <v>654</v>
      </c>
      <c r="C340" t="s">
        <v>82</v>
      </c>
      <c r="D340" t="s">
        <v>655</v>
      </c>
      <c r="E340" t="s">
        <v>66</v>
      </c>
      <c r="F340" t="s">
        <v>67</v>
      </c>
      <c r="G340" t="s">
        <v>1033</v>
      </c>
      <c r="H340" t="s">
        <v>30</v>
      </c>
      <c r="I340" s="1">
        <v>1</v>
      </c>
      <c r="J340" s="2">
        <v>1681.03</v>
      </c>
    </row>
    <row r="341" spans="2:10" x14ac:dyDescent="0.2">
      <c r="B341" t="s">
        <v>654</v>
      </c>
      <c r="C341" t="s">
        <v>82</v>
      </c>
      <c r="D341" t="s">
        <v>655</v>
      </c>
      <c r="E341" t="s">
        <v>97</v>
      </c>
      <c r="F341" t="s">
        <v>98</v>
      </c>
      <c r="G341" t="s">
        <v>1033</v>
      </c>
      <c r="H341" t="s">
        <v>30</v>
      </c>
      <c r="I341" s="1">
        <v>1</v>
      </c>
      <c r="J341" s="2">
        <v>2500</v>
      </c>
    </row>
    <row r="342" spans="2:10" x14ac:dyDescent="0.2">
      <c r="B342" t="s">
        <v>654</v>
      </c>
      <c r="C342" t="s">
        <v>82</v>
      </c>
      <c r="D342" t="s">
        <v>655</v>
      </c>
      <c r="E342" t="s">
        <v>273</v>
      </c>
      <c r="F342" t="s">
        <v>274</v>
      </c>
      <c r="G342" t="s">
        <v>1033</v>
      </c>
      <c r="H342" t="s">
        <v>30</v>
      </c>
      <c r="I342" s="1">
        <v>1</v>
      </c>
      <c r="J342" s="2">
        <v>1293.0999999999999</v>
      </c>
    </row>
    <row r="343" spans="2:10" x14ac:dyDescent="0.2">
      <c r="B343" t="s">
        <v>654</v>
      </c>
      <c r="C343" t="s">
        <v>117</v>
      </c>
      <c r="D343" t="s">
        <v>655</v>
      </c>
      <c r="E343" t="s">
        <v>44</v>
      </c>
      <c r="F343" t="s">
        <v>45</v>
      </c>
      <c r="G343" t="s">
        <v>1033</v>
      </c>
      <c r="H343" t="s">
        <v>30</v>
      </c>
      <c r="I343" s="1">
        <v>2</v>
      </c>
      <c r="J343" s="2">
        <v>163.80000000000001</v>
      </c>
    </row>
    <row r="344" spans="2:10" x14ac:dyDescent="0.2">
      <c r="B344" t="s">
        <v>654</v>
      </c>
      <c r="C344" t="s">
        <v>117</v>
      </c>
      <c r="D344" t="s">
        <v>655</v>
      </c>
      <c r="E344" t="s">
        <v>667</v>
      </c>
      <c r="F344" t="s">
        <v>668</v>
      </c>
      <c r="G344" t="s">
        <v>1033</v>
      </c>
      <c r="H344" t="s">
        <v>30</v>
      </c>
      <c r="I344" s="1">
        <v>1</v>
      </c>
      <c r="J344" s="2">
        <v>310.33999999999997</v>
      </c>
    </row>
    <row r="345" spans="2:10" x14ac:dyDescent="0.2">
      <c r="B345" t="s">
        <v>654</v>
      </c>
      <c r="C345" t="s">
        <v>134</v>
      </c>
      <c r="D345" t="s">
        <v>655</v>
      </c>
      <c r="E345" t="s">
        <v>573</v>
      </c>
      <c r="F345" t="s">
        <v>574</v>
      </c>
      <c r="G345" t="s">
        <v>1033</v>
      </c>
      <c r="H345" t="s">
        <v>30</v>
      </c>
      <c r="I345" s="1">
        <v>1</v>
      </c>
      <c r="J345" s="2">
        <v>775.86</v>
      </c>
    </row>
    <row r="346" spans="2:10" x14ac:dyDescent="0.2">
      <c r="B346" t="s">
        <v>654</v>
      </c>
      <c r="C346" t="s">
        <v>135</v>
      </c>
      <c r="D346" t="s">
        <v>655</v>
      </c>
      <c r="E346" t="s">
        <v>637</v>
      </c>
      <c r="F346" t="s">
        <v>638</v>
      </c>
      <c r="G346" t="s">
        <v>1033</v>
      </c>
      <c r="H346" t="s">
        <v>30</v>
      </c>
      <c r="I346" s="1">
        <v>1</v>
      </c>
      <c r="J346" s="2">
        <v>689.66</v>
      </c>
    </row>
    <row r="347" spans="2:10" x14ac:dyDescent="0.2">
      <c r="B347" t="s">
        <v>654</v>
      </c>
      <c r="C347" t="s">
        <v>135</v>
      </c>
      <c r="D347" t="s">
        <v>655</v>
      </c>
      <c r="E347" t="s">
        <v>41</v>
      </c>
      <c r="F347" t="s">
        <v>42</v>
      </c>
      <c r="G347" t="s">
        <v>1033</v>
      </c>
      <c r="H347" t="s">
        <v>30</v>
      </c>
      <c r="I347" s="1">
        <v>1</v>
      </c>
      <c r="J347" s="2">
        <v>34.479999999999997</v>
      </c>
    </row>
    <row r="348" spans="2:10" x14ac:dyDescent="0.2">
      <c r="B348" t="s">
        <v>654</v>
      </c>
      <c r="C348" t="s">
        <v>135</v>
      </c>
      <c r="D348" t="s">
        <v>655</v>
      </c>
      <c r="E348" t="s">
        <v>44</v>
      </c>
      <c r="F348" t="s">
        <v>45</v>
      </c>
      <c r="G348" t="s">
        <v>1033</v>
      </c>
      <c r="H348" t="s">
        <v>30</v>
      </c>
      <c r="I348" s="1">
        <v>1</v>
      </c>
      <c r="J348" s="2">
        <v>81.900000000000006</v>
      </c>
    </row>
    <row r="349" spans="2:10" x14ac:dyDescent="0.2">
      <c r="B349" t="s">
        <v>654</v>
      </c>
      <c r="C349" t="s">
        <v>135</v>
      </c>
      <c r="D349" t="s">
        <v>655</v>
      </c>
      <c r="E349" t="s">
        <v>269</v>
      </c>
      <c r="F349" t="s">
        <v>270</v>
      </c>
      <c r="G349" t="s">
        <v>1033</v>
      </c>
      <c r="H349" t="s">
        <v>30</v>
      </c>
      <c r="I349" s="1">
        <v>1</v>
      </c>
      <c r="J349" s="2">
        <v>948.28</v>
      </c>
    </row>
    <row r="350" spans="2:10" x14ac:dyDescent="0.2">
      <c r="B350" t="s">
        <v>654</v>
      </c>
      <c r="C350" t="s">
        <v>141</v>
      </c>
      <c r="D350" t="s">
        <v>655</v>
      </c>
      <c r="E350" t="s">
        <v>44</v>
      </c>
      <c r="F350" t="s">
        <v>45</v>
      </c>
      <c r="G350" t="s">
        <v>1033</v>
      </c>
      <c r="H350" t="s">
        <v>30</v>
      </c>
      <c r="I350" s="1">
        <v>1</v>
      </c>
      <c r="J350" s="2">
        <v>81.900000000000006</v>
      </c>
    </row>
    <row r="351" spans="2:10" x14ac:dyDescent="0.2">
      <c r="B351" t="s">
        <v>654</v>
      </c>
      <c r="C351" t="s">
        <v>141</v>
      </c>
      <c r="D351" t="s">
        <v>655</v>
      </c>
      <c r="E351" t="s">
        <v>667</v>
      </c>
      <c r="F351" t="s">
        <v>668</v>
      </c>
      <c r="G351" t="s">
        <v>1033</v>
      </c>
      <c r="H351" t="s">
        <v>30</v>
      </c>
      <c r="I351" s="1">
        <v>1</v>
      </c>
      <c r="J351" s="2">
        <v>310.33999999999997</v>
      </c>
    </row>
    <row r="352" spans="2:10" x14ac:dyDescent="0.2">
      <c r="B352" t="s">
        <v>654</v>
      </c>
      <c r="C352" t="s">
        <v>141</v>
      </c>
      <c r="D352" t="s">
        <v>655</v>
      </c>
      <c r="E352" t="s">
        <v>28</v>
      </c>
      <c r="F352" t="s">
        <v>29</v>
      </c>
      <c r="G352" t="s">
        <v>1033</v>
      </c>
      <c r="H352" t="s">
        <v>30</v>
      </c>
      <c r="I352" s="1">
        <v>2</v>
      </c>
      <c r="J352" s="2">
        <v>310.33999999999997</v>
      </c>
    </row>
    <row r="353" spans="2:10" x14ac:dyDescent="0.2">
      <c r="B353" t="s">
        <v>654</v>
      </c>
      <c r="C353" t="s">
        <v>144</v>
      </c>
      <c r="D353" t="s">
        <v>655</v>
      </c>
      <c r="E353" t="s">
        <v>41</v>
      </c>
      <c r="F353" t="s">
        <v>42</v>
      </c>
      <c r="G353" t="s">
        <v>1033</v>
      </c>
      <c r="H353" t="s">
        <v>30</v>
      </c>
      <c r="I353" s="1">
        <v>2</v>
      </c>
      <c r="J353" s="2">
        <v>68.959999999999994</v>
      </c>
    </row>
    <row r="354" spans="2:10" x14ac:dyDescent="0.2">
      <c r="B354" t="s">
        <v>654</v>
      </c>
      <c r="C354" t="s">
        <v>144</v>
      </c>
      <c r="D354" t="s">
        <v>655</v>
      </c>
      <c r="E354" t="s">
        <v>611</v>
      </c>
      <c r="F354" t="s">
        <v>612</v>
      </c>
      <c r="G354" t="s">
        <v>1033</v>
      </c>
      <c r="H354" t="s">
        <v>30</v>
      </c>
      <c r="I354" s="1">
        <v>2</v>
      </c>
      <c r="J354" s="2">
        <v>1586.2</v>
      </c>
    </row>
    <row r="355" spans="2:10" x14ac:dyDescent="0.2">
      <c r="B355" t="s">
        <v>654</v>
      </c>
      <c r="C355" t="s">
        <v>144</v>
      </c>
      <c r="D355" t="s">
        <v>655</v>
      </c>
      <c r="E355" t="s">
        <v>44</v>
      </c>
      <c r="F355" t="s">
        <v>45</v>
      </c>
      <c r="G355" t="s">
        <v>1033</v>
      </c>
      <c r="H355" t="s">
        <v>30</v>
      </c>
      <c r="I355" s="1">
        <v>1</v>
      </c>
      <c r="J355" s="2">
        <v>81.900000000000006</v>
      </c>
    </row>
    <row r="356" spans="2:10" x14ac:dyDescent="0.2">
      <c r="B356" t="s">
        <v>654</v>
      </c>
      <c r="C356" t="s">
        <v>144</v>
      </c>
      <c r="D356" t="s">
        <v>655</v>
      </c>
      <c r="E356" t="s">
        <v>328</v>
      </c>
      <c r="F356" t="s">
        <v>329</v>
      </c>
      <c r="G356" t="s">
        <v>1033</v>
      </c>
      <c r="H356" t="s">
        <v>30</v>
      </c>
      <c r="I356" s="1">
        <v>1</v>
      </c>
      <c r="J356" s="2">
        <v>172.41</v>
      </c>
    </row>
    <row r="357" spans="2:10" x14ac:dyDescent="0.2">
      <c r="B357" t="s">
        <v>654</v>
      </c>
      <c r="C357" t="s">
        <v>144</v>
      </c>
      <c r="D357" t="s">
        <v>655</v>
      </c>
      <c r="E357" t="s">
        <v>370</v>
      </c>
      <c r="F357" t="s">
        <v>371</v>
      </c>
      <c r="G357" t="s">
        <v>1033</v>
      </c>
      <c r="H357" t="s">
        <v>30</v>
      </c>
      <c r="I357" s="1">
        <v>1</v>
      </c>
      <c r="J357" s="2">
        <v>1034.48</v>
      </c>
    </row>
    <row r="358" spans="2:10" x14ac:dyDescent="0.2">
      <c r="B358" t="s">
        <v>654</v>
      </c>
      <c r="C358" t="s">
        <v>165</v>
      </c>
      <c r="D358" t="s">
        <v>655</v>
      </c>
      <c r="E358" t="s">
        <v>97</v>
      </c>
      <c r="F358" t="s">
        <v>98</v>
      </c>
      <c r="G358" t="s">
        <v>1033</v>
      </c>
      <c r="H358" t="s">
        <v>30</v>
      </c>
      <c r="I358" s="1">
        <v>1</v>
      </c>
      <c r="J358" s="2">
        <v>2500</v>
      </c>
    </row>
    <row r="359" spans="2:10" x14ac:dyDescent="0.2">
      <c r="B359" t="s">
        <v>654</v>
      </c>
      <c r="C359" t="s">
        <v>165</v>
      </c>
      <c r="D359" t="s">
        <v>655</v>
      </c>
      <c r="E359" t="s">
        <v>251</v>
      </c>
      <c r="F359" t="s">
        <v>252</v>
      </c>
      <c r="G359" t="s">
        <v>1033</v>
      </c>
      <c r="H359" t="s">
        <v>30</v>
      </c>
      <c r="I359" s="1">
        <v>1</v>
      </c>
      <c r="J359" s="2">
        <v>1500</v>
      </c>
    </row>
    <row r="360" spans="2:10" x14ac:dyDescent="0.2">
      <c r="B360" t="s">
        <v>654</v>
      </c>
      <c r="C360" t="s">
        <v>165</v>
      </c>
      <c r="D360" t="s">
        <v>655</v>
      </c>
      <c r="E360" t="s">
        <v>500</v>
      </c>
      <c r="F360" t="s">
        <v>501</v>
      </c>
      <c r="G360" t="s">
        <v>1033</v>
      </c>
      <c r="H360" t="s">
        <v>30</v>
      </c>
      <c r="I360" s="1">
        <v>1</v>
      </c>
      <c r="J360" s="2">
        <v>3017.24</v>
      </c>
    </row>
    <row r="361" spans="2:10" x14ac:dyDescent="0.2">
      <c r="B361" t="s">
        <v>654</v>
      </c>
      <c r="C361" t="s">
        <v>166</v>
      </c>
      <c r="D361" t="s">
        <v>655</v>
      </c>
      <c r="E361" t="s">
        <v>28</v>
      </c>
      <c r="F361" t="s">
        <v>29</v>
      </c>
      <c r="G361" t="s">
        <v>1033</v>
      </c>
      <c r="H361" t="s">
        <v>30</v>
      </c>
      <c r="I361" s="1">
        <v>1</v>
      </c>
      <c r="J361" s="2">
        <v>155.16999999999999</v>
      </c>
    </row>
    <row r="362" spans="2:10" x14ac:dyDescent="0.2">
      <c r="B362" t="s">
        <v>654</v>
      </c>
      <c r="C362" t="s">
        <v>335</v>
      </c>
      <c r="D362" t="s">
        <v>655</v>
      </c>
      <c r="E362" t="s">
        <v>387</v>
      </c>
      <c r="F362" t="s">
        <v>388</v>
      </c>
      <c r="G362" t="s">
        <v>1033</v>
      </c>
      <c r="H362" t="s">
        <v>30</v>
      </c>
      <c r="I362" s="1">
        <v>1</v>
      </c>
      <c r="J362" s="2">
        <v>775.86</v>
      </c>
    </row>
    <row r="363" spans="2:10" x14ac:dyDescent="0.2">
      <c r="B363" t="s">
        <v>654</v>
      </c>
      <c r="C363" t="s">
        <v>418</v>
      </c>
      <c r="D363" t="s">
        <v>655</v>
      </c>
      <c r="E363" t="s">
        <v>673</v>
      </c>
      <c r="F363" t="s">
        <v>674</v>
      </c>
      <c r="G363" t="s">
        <v>1033</v>
      </c>
      <c r="H363" t="s">
        <v>30</v>
      </c>
      <c r="I363" s="1">
        <v>1</v>
      </c>
      <c r="J363" s="2">
        <v>625</v>
      </c>
    </row>
    <row r="364" spans="2:10" x14ac:dyDescent="0.2">
      <c r="B364" t="s">
        <v>654</v>
      </c>
      <c r="C364" t="s">
        <v>418</v>
      </c>
      <c r="D364" t="s">
        <v>655</v>
      </c>
      <c r="E364" t="s">
        <v>187</v>
      </c>
      <c r="F364" t="s">
        <v>188</v>
      </c>
      <c r="G364" t="s">
        <v>1033</v>
      </c>
      <c r="H364" t="s">
        <v>30</v>
      </c>
      <c r="I364" s="1">
        <v>1</v>
      </c>
      <c r="J364" s="2">
        <v>258.62</v>
      </c>
    </row>
    <row r="365" spans="2:10" x14ac:dyDescent="0.2">
      <c r="B365" t="s">
        <v>654</v>
      </c>
      <c r="C365" t="s">
        <v>418</v>
      </c>
      <c r="D365" t="s">
        <v>655</v>
      </c>
      <c r="E365" t="s">
        <v>605</v>
      </c>
      <c r="F365" t="s">
        <v>606</v>
      </c>
      <c r="G365" t="s">
        <v>1033</v>
      </c>
      <c r="H365" t="s">
        <v>30</v>
      </c>
      <c r="I365" s="1">
        <v>1</v>
      </c>
      <c r="J365" s="2">
        <v>465.52</v>
      </c>
    </row>
    <row r="366" spans="2:10" x14ac:dyDescent="0.2">
      <c r="B366" t="s">
        <v>654</v>
      </c>
      <c r="C366" t="s">
        <v>186</v>
      </c>
      <c r="D366" t="s">
        <v>655</v>
      </c>
      <c r="E366" t="s">
        <v>44</v>
      </c>
      <c r="F366" t="s">
        <v>45</v>
      </c>
      <c r="G366" t="s">
        <v>1033</v>
      </c>
      <c r="H366" t="s">
        <v>30</v>
      </c>
      <c r="I366" s="1">
        <v>2</v>
      </c>
      <c r="J366" s="2">
        <v>163.80000000000001</v>
      </c>
    </row>
    <row r="367" spans="2:10" x14ac:dyDescent="0.2">
      <c r="B367" t="s">
        <v>654</v>
      </c>
      <c r="C367" t="s">
        <v>186</v>
      </c>
      <c r="D367" t="s">
        <v>655</v>
      </c>
      <c r="E367" t="s">
        <v>399</v>
      </c>
      <c r="F367" t="s">
        <v>400</v>
      </c>
      <c r="G367" t="s">
        <v>1033</v>
      </c>
      <c r="H367" t="s">
        <v>30</v>
      </c>
      <c r="I367" s="1">
        <v>1</v>
      </c>
      <c r="J367" s="2">
        <v>818.97</v>
      </c>
    </row>
    <row r="368" spans="2:10" x14ac:dyDescent="0.2">
      <c r="B368" t="s">
        <v>654</v>
      </c>
      <c r="C368" t="s">
        <v>186</v>
      </c>
      <c r="D368" t="s">
        <v>655</v>
      </c>
      <c r="E368" t="s">
        <v>559</v>
      </c>
      <c r="F368" t="s">
        <v>560</v>
      </c>
      <c r="G368" t="s">
        <v>1033</v>
      </c>
      <c r="H368" t="s">
        <v>30</v>
      </c>
      <c r="I368" s="1">
        <v>1</v>
      </c>
      <c r="J368" s="2">
        <v>1706.9</v>
      </c>
    </row>
    <row r="369" spans="2:10" x14ac:dyDescent="0.2">
      <c r="B369" t="s">
        <v>654</v>
      </c>
      <c r="C369" t="s">
        <v>197</v>
      </c>
      <c r="D369" t="s">
        <v>655</v>
      </c>
      <c r="E369" t="s">
        <v>575</v>
      </c>
      <c r="F369" t="s">
        <v>576</v>
      </c>
      <c r="G369" t="s">
        <v>1033</v>
      </c>
      <c r="H369" t="s">
        <v>30</v>
      </c>
      <c r="I369" s="1">
        <v>1</v>
      </c>
      <c r="J369" s="2">
        <v>474.14</v>
      </c>
    </row>
    <row r="370" spans="2:10" x14ac:dyDescent="0.2">
      <c r="B370" t="s">
        <v>654</v>
      </c>
      <c r="C370" t="s">
        <v>197</v>
      </c>
      <c r="D370" t="s">
        <v>655</v>
      </c>
      <c r="E370" t="s">
        <v>278</v>
      </c>
      <c r="F370" t="s">
        <v>279</v>
      </c>
      <c r="G370" t="s">
        <v>1033</v>
      </c>
      <c r="H370" t="s">
        <v>30</v>
      </c>
      <c r="I370" s="1">
        <v>1</v>
      </c>
      <c r="J370" s="2">
        <v>112.07</v>
      </c>
    </row>
    <row r="371" spans="2:10" x14ac:dyDescent="0.2">
      <c r="B371" t="s">
        <v>654</v>
      </c>
      <c r="C371" t="s">
        <v>206</v>
      </c>
      <c r="D371" t="s">
        <v>655</v>
      </c>
      <c r="E371" t="s">
        <v>675</v>
      </c>
      <c r="F371" t="s">
        <v>676</v>
      </c>
      <c r="G371" t="s">
        <v>1033</v>
      </c>
      <c r="H371" t="s">
        <v>30</v>
      </c>
      <c r="I371" s="1">
        <v>1</v>
      </c>
      <c r="J371" s="2">
        <v>1508.62</v>
      </c>
    </row>
    <row r="372" spans="2:10" x14ac:dyDescent="0.2">
      <c r="B372" t="s">
        <v>654</v>
      </c>
      <c r="C372" t="s">
        <v>206</v>
      </c>
      <c r="D372" t="s">
        <v>655</v>
      </c>
      <c r="E372" t="s">
        <v>677</v>
      </c>
      <c r="F372" t="s">
        <v>678</v>
      </c>
      <c r="G372" t="s">
        <v>1033</v>
      </c>
      <c r="H372" t="s">
        <v>30</v>
      </c>
      <c r="I372" s="1">
        <v>1</v>
      </c>
      <c r="J372" s="2">
        <v>1116.3800000000001</v>
      </c>
    </row>
    <row r="373" spans="2:10" x14ac:dyDescent="0.2">
      <c r="B373" t="s">
        <v>654</v>
      </c>
      <c r="C373" t="s">
        <v>206</v>
      </c>
      <c r="D373" t="s">
        <v>655</v>
      </c>
      <c r="E373" t="s">
        <v>490</v>
      </c>
      <c r="F373" t="s">
        <v>491</v>
      </c>
      <c r="G373" t="s">
        <v>1033</v>
      </c>
      <c r="H373" t="s">
        <v>30</v>
      </c>
      <c r="I373" s="1">
        <v>1</v>
      </c>
      <c r="J373" s="2">
        <v>1982.76</v>
      </c>
    </row>
    <row r="374" spans="2:10" x14ac:dyDescent="0.2">
      <c r="B374" t="s">
        <v>654</v>
      </c>
      <c r="C374" t="s">
        <v>227</v>
      </c>
      <c r="D374" t="s">
        <v>655</v>
      </c>
      <c r="E374" t="s">
        <v>679</v>
      </c>
      <c r="F374" t="s">
        <v>680</v>
      </c>
      <c r="G374" t="s">
        <v>1033</v>
      </c>
      <c r="H374" t="s">
        <v>30</v>
      </c>
      <c r="I374" s="1">
        <v>1</v>
      </c>
      <c r="J374" s="2">
        <v>1293.0999999999999</v>
      </c>
    </row>
    <row r="375" spans="2:10" x14ac:dyDescent="0.2">
      <c r="B375" t="s">
        <v>654</v>
      </c>
      <c r="C375" t="s">
        <v>228</v>
      </c>
      <c r="D375" t="s">
        <v>655</v>
      </c>
      <c r="E375" t="s">
        <v>28</v>
      </c>
      <c r="F375" t="s">
        <v>29</v>
      </c>
      <c r="G375" t="s">
        <v>1033</v>
      </c>
      <c r="H375" t="s">
        <v>30</v>
      </c>
      <c r="I375" s="1">
        <v>1</v>
      </c>
      <c r="J375" s="2">
        <v>155.16999999999999</v>
      </c>
    </row>
    <row r="376" spans="2:10" x14ac:dyDescent="0.2">
      <c r="B376" t="s">
        <v>654</v>
      </c>
      <c r="C376" t="s">
        <v>233</v>
      </c>
      <c r="D376" t="s">
        <v>655</v>
      </c>
      <c r="E376" t="s">
        <v>44</v>
      </c>
      <c r="F376" t="s">
        <v>45</v>
      </c>
      <c r="G376" t="s">
        <v>1033</v>
      </c>
      <c r="H376" t="s">
        <v>30</v>
      </c>
      <c r="I376" s="1">
        <v>1</v>
      </c>
      <c r="J376" s="2">
        <v>81.900000000000006</v>
      </c>
    </row>
    <row r="377" spans="2:10" x14ac:dyDescent="0.2">
      <c r="B377" t="s">
        <v>654</v>
      </c>
      <c r="C377" t="s">
        <v>236</v>
      </c>
      <c r="D377" t="s">
        <v>655</v>
      </c>
      <c r="E377" t="s">
        <v>41</v>
      </c>
      <c r="F377" t="s">
        <v>42</v>
      </c>
      <c r="G377" t="s">
        <v>1033</v>
      </c>
      <c r="H377" t="s">
        <v>30</v>
      </c>
      <c r="I377" s="1">
        <v>3</v>
      </c>
      <c r="J377" s="2">
        <v>103.44999999999999</v>
      </c>
    </row>
    <row r="378" spans="2:10" x14ac:dyDescent="0.2">
      <c r="B378" t="s">
        <v>654</v>
      </c>
      <c r="C378" t="s">
        <v>236</v>
      </c>
      <c r="D378" t="s">
        <v>655</v>
      </c>
      <c r="E378" t="s">
        <v>44</v>
      </c>
      <c r="F378" t="s">
        <v>45</v>
      </c>
      <c r="G378" t="s">
        <v>1033</v>
      </c>
      <c r="H378" t="s">
        <v>30</v>
      </c>
      <c r="I378" s="1">
        <v>1</v>
      </c>
      <c r="J378" s="2">
        <v>81.900000000000006</v>
      </c>
    </row>
    <row r="379" spans="2:10" x14ac:dyDescent="0.2">
      <c r="B379" t="s">
        <v>654</v>
      </c>
      <c r="C379" t="s">
        <v>236</v>
      </c>
      <c r="D379" t="s">
        <v>655</v>
      </c>
      <c r="E379" t="s">
        <v>368</v>
      </c>
      <c r="F379" t="s">
        <v>369</v>
      </c>
      <c r="G379" t="s">
        <v>1033</v>
      </c>
      <c r="H379" t="s">
        <v>30</v>
      </c>
      <c r="I379" s="1">
        <v>1</v>
      </c>
      <c r="J379" s="2">
        <v>612.07000000000005</v>
      </c>
    </row>
    <row r="380" spans="2:10" x14ac:dyDescent="0.2">
      <c r="B380" t="s">
        <v>654</v>
      </c>
      <c r="C380" t="s">
        <v>236</v>
      </c>
      <c r="D380" t="s">
        <v>655</v>
      </c>
      <c r="E380" t="s">
        <v>354</v>
      </c>
      <c r="F380" t="s">
        <v>355</v>
      </c>
      <c r="G380" t="s">
        <v>1033</v>
      </c>
      <c r="H380" t="s">
        <v>30</v>
      </c>
      <c r="I380" s="1">
        <v>1</v>
      </c>
      <c r="J380" s="2">
        <v>2543.1</v>
      </c>
    </row>
    <row r="381" spans="2:10" x14ac:dyDescent="0.2">
      <c r="B381" t="s">
        <v>654</v>
      </c>
      <c r="C381" t="s">
        <v>236</v>
      </c>
      <c r="D381" t="s">
        <v>655</v>
      </c>
      <c r="E381" t="s">
        <v>310</v>
      </c>
      <c r="F381" t="s">
        <v>681</v>
      </c>
      <c r="G381" t="s">
        <v>1033</v>
      </c>
      <c r="H381" t="s">
        <v>30</v>
      </c>
      <c r="I381" s="1">
        <v>1</v>
      </c>
      <c r="J381" s="2">
        <v>258.62</v>
      </c>
    </row>
    <row r="382" spans="2:10" x14ac:dyDescent="0.2">
      <c r="B382" t="s">
        <v>654</v>
      </c>
      <c r="C382" t="s">
        <v>237</v>
      </c>
      <c r="D382" t="s">
        <v>655</v>
      </c>
      <c r="E382" t="s">
        <v>44</v>
      </c>
      <c r="F382" t="s">
        <v>45</v>
      </c>
      <c r="G382" t="s">
        <v>1033</v>
      </c>
      <c r="H382" t="s">
        <v>30</v>
      </c>
      <c r="I382" s="1">
        <v>2</v>
      </c>
      <c r="J382" s="2">
        <v>163.80000000000001</v>
      </c>
    </row>
    <row r="383" spans="2:10" x14ac:dyDescent="0.2">
      <c r="B383" t="s">
        <v>654</v>
      </c>
      <c r="C383" t="s">
        <v>248</v>
      </c>
      <c r="D383" t="s">
        <v>655</v>
      </c>
      <c r="E383" t="s">
        <v>44</v>
      </c>
      <c r="F383" t="s">
        <v>45</v>
      </c>
      <c r="G383" t="s">
        <v>1033</v>
      </c>
      <c r="H383" t="s">
        <v>30</v>
      </c>
      <c r="I383" s="1">
        <v>1</v>
      </c>
      <c r="J383" s="2">
        <v>81.900000000000006</v>
      </c>
    </row>
    <row r="384" spans="2:10" x14ac:dyDescent="0.2">
      <c r="B384" t="s">
        <v>654</v>
      </c>
      <c r="C384" t="s">
        <v>248</v>
      </c>
      <c r="D384" t="s">
        <v>655</v>
      </c>
      <c r="E384" t="s">
        <v>494</v>
      </c>
      <c r="F384" t="s">
        <v>495</v>
      </c>
      <c r="G384" t="s">
        <v>1033</v>
      </c>
      <c r="H384" t="s">
        <v>30</v>
      </c>
      <c r="I384" s="1">
        <v>1</v>
      </c>
      <c r="J384" s="2">
        <v>301.72000000000003</v>
      </c>
    </row>
    <row r="385" spans="2:10" x14ac:dyDescent="0.2">
      <c r="B385" t="s">
        <v>654</v>
      </c>
      <c r="C385" t="s">
        <v>248</v>
      </c>
      <c r="D385" t="s">
        <v>655</v>
      </c>
      <c r="E385" t="s">
        <v>275</v>
      </c>
      <c r="F385" t="s">
        <v>689</v>
      </c>
      <c r="G385" t="s">
        <v>1033</v>
      </c>
      <c r="H385" t="s">
        <v>30</v>
      </c>
      <c r="I385" s="1">
        <v>1</v>
      </c>
      <c r="J385" s="2">
        <v>448.28</v>
      </c>
    </row>
    <row r="386" spans="2:10" x14ac:dyDescent="0.2">
      <c r="B386" t="s">
        <v>654</v>
      </c>
      <c r="C386" t="s">
        <v>248</v>
      </c>
      <c r="D386" t="s">
        <v>655</v>
      </c>
      <c r="E386" t="s">
        <v>28</v>
      </c>
      <c r="F386" t="s">
        <v>29</v>
      </c>
      <c r="G386" t="s">
        <v>1033</v>
      </c>
      <c r="H386" t="s">
        <v>30</v>
      </c>
      <c r="I386" s="1">
        <v>1</v>
      </c>
      <c r="J386" s="2">
        <v>155.16999999999999</v>
      </c>
    </row>
    <row r="387" spans="2:10" x14ac:dyDescent="0.2">
      <c r="B387" t="s">
        <v>690</v>
      </c>
      <c r="C387" t="s">
        <v>10</v>
      </c>
      <c r="D387" t="s">
        <v>691</v>
      </c>
      <c r="E387" t="s">
        <v>611</v>
      </c>
      <c r="F387" t="s">
        <v>612</v>
      </c>
      <c r="G387" t="s">
        <v>1033</v>
      </c>
      <c r="H387" t="s">
        <v>30</v>
      </c>
      <c r="I387" s="1">
        <v>2</v>
      </c>
      <c r="J387" s="2">
        <v>1586.2</v>
      </c>
    </row>
    <row r="388" spans="2:10" x14ac:dyDescent="0.2">
      <c r="B388" t="s">
        <v>690</v>
      </c>
      <c r="C388" t="s">
        <v>18</v>
      </c>
      <c r="D388" t="s">
        <v>691</v>
      </c>
      <c r="E388" t="s">
        <v>573</v>
      </c>
      <c r="F388" t="s">
        <v>574</v>
      </c>
      <c r="G388" t="s">
        <v>1033</v>
      </c>
      <c r="H388" t="s">
        <v>30</v>
      </c>
      <c r="I388" s="1">
        <v>1</v>
      </c>
      <c r="J388" s="2">
        <v>775.86</v>
      </c>
    </row>
    <row r="389" spans="2:10" x14ac:dyDescent="0.2">
      <c r="B389" t="s">
        <v>690</v>
      </c>
      <c r="C389" t="s">
        <v>40</v>
      </c>
      <c r="D389" t="s">
        <v>691</v>
      </c>
      <c r="E389" t="s">
        <v>644</v>
      </c>
      <c r="F389" t="s">
        <v>645</v>
      </c>
      <c r="G389" t="s">
        <v>1033</v>
      </c>
      <c r="H389" t="s">
        <v>30</v>
      </c>
      <c r="I389" s="1">
        <v>1</v>
      </c>
      <c r="J389" s="2">
        <v>431.03</v>
      </c>
    </row>
    <row r="390" spans="2:10" x14ac:dyDescent="0.2">
      <c r="B390" t="s">
        <v>690</v>
      </c>
      <c r="C390" t="s">
        <v>40</v>
      </c>
      <c r="D390" t="s">
        <v>691</v>
      </c>
      <c r="E390" t="s">
        <v>167</v>
      </c>
      <c r="F390" t="s">
        <v>168</v>
      </c>
      <c r="G390" t="s">
        <v>1033</v>
      </c>
      <c r="H390" t="s">
        <v>30</v>
      </c>
      <c r="I390" s="1">
        <v>1</v>
      </c>
      <c r="J390" s="2">
        <v>1267.24</v>
      </c>
    </row>
    <row r="391" spans="2:10" x14ac:dyDescent="0.2">
      <c r="B391" t="s">
        <v>690</v>
      </c>
      <c r="C391" t="s">
        <v>40</v>
      </c>
      <c r="D391" t="s">
        <v>691</v>
      </c>
      <c r="E391" t="s">
        <v>553</v>
      </c>
      <c r="F391" t="s">
        <v>554</v>
      </c>
      <c r="G391" t="s">
        <v>1033</v>
      </c>
      <c r="H391" t="s">
        <v>30</v>
      </c>
      <c r="I391" s="1">
        <v>1</v>
      </c>
      <c r="J391" s="2">
        <v>1379.31</v>
      </c>
    </row>
    <row r="392" spans="2:10" x14ac:dyDescent="0.2">
      <c r="B392" t="s">
        <v>690</v>
      </c>
      <c r="C392" t="s">
        <v>40</v>
      </c>
      <c r="D392" t="s">
        <v>691</v>
      </c>
      <c r="E392" t="s">
        <v>579</v>
      </c>
      <c r="F392" t="s">
        <v>580</v>
      </c>
      <c r="G392" t="s">
        <v>1033</v>
      </c>
      <c r="H392" t="s">
        <v>30</v>
      </c>
      <c r="I392" s="1">
        <v>1</v>
      </c>
      <c r="J392" s="2">
        <v>77.59</v>
      </c>
    </row>
    <row r="393" spans="2:10" x14ac:dyDescent="0.2">
      <c r="B393" t="s">
        <v>690</v>
      </c>
      <c r="C393" t="s">
        <v>40</v>
      </c>
      <c r="D393" t="s">
        <v>691</v>
      </c>
      <c r="E393" t="s">
        <v>278</v>
      </c>
      <c r="F393" t="s">
        <v>279</v>
      </c>
      <c r="G393" t="s">
        <v>1033</v>
      </c>
      <c r="H393" t="s">
        <v>30</v>
      </c>
      <c r="I393" s="1">
        <v>1</v>
      </c>
      <c r="J393" s="2">
        <v>112.07</v>
      </c>
    </row>
    <row r="394" spans="2:10" x14ac:dyDescent="0.2">
      <c r="B394" t="s">
        <v>690</v>
      </c>
      <c r="C394" t="s">
        <v>40</v>
      </c>
      <c r="D394" t="s">
        <v>691</v>
      </c>
      <c r="E394" t="s">
        <v>95</v>
      </c>
      <c r="F394" t="s">
        <v>96</v>
      </c>
      <c r="G394" t="s">
        <v>1033</v>
      </c>
      <c r="H394" t="s">
        <v>30</v>
      </c>
      <c r="I394" s="1">
        <v>1</v>
      </c>
      <c r="J394" s="2">
        <v>1706.9</v>
      </c>
    </row>
    <row r="395" spans="2:10" x14ac:dyDescent="0.2">
      <c r="B395" t="s">
        <v>690</v>
      </c>
      <c r="C395" t="s">
        <v>40</v>
      </c>
      <c r="D395" t="s">
        <v>691</v>
      </c>
      <c r="E395" t="s">
        <v>251</v>
      </c>
      <c r="F395" t="s">
        <v>252</v>
      </c>
      <c r="G395" t="s">
        <v>1033</v>
      </c>
      <c r="H395" t="s">
        <v>30</v>
      </c>
      <c r="I395" s="1">
        <v>1</v>
      </c>
      <c r="J395" s="2">
        <v>1500</v>
      </c>
    </row>
    <row r="396" spans="2:10" x14ac:dyDescent="0.2">
      <c r="B396" t="s">
        <v>690</v>
      </c>
      <c r="C396" t="s">
        <v>40</v>
      </c>
      <c r="D396" t="s">
        <v>691</v>
      </c>
      <c r="E396" t="s">
        <v>273</v>
      </c>
      <c r="F396" t="s">
        <v>274</v>
      </c>
      <c r="G396" t="s">
        <v>1033</v>
      </c>
      <c r="H396" t="s">
        <v>30</v>
      </c>
      <c r="I396" s="1">
        <v>1</v>
      </c>
      <c r="J396" s="2">
        <v>1293.0999999999999</v>
      </c>
    </row>
    <row r="397" spans="2:10" x14ac:dyDescent="0.2">
      <c r="B397" t="s">
        <v>690</v>
      </c>
      <c r="C397" t="s">
        <v>40</v>
      </c>
      <c r="D397" t="s">
        <v>691</v>
      </c>
      <c r="E397" t="s">
        <v>28</v>
      </c>
      <c r="F397" t="s">
        <v>29</v>
      </c>
      <c r="G397" t="s">
        <v>1033</v>
      </c>
      <c r="H397" t="s">
        <v>30</v>
      </c>
      <c r="I397" s="1">
        <v>2</v>
      </c>
      <c r="J397" s="2">
        <v>310.33999999999997</v>
      </c>
    </row>
    <row r="398" spans="2:10" x14ac:dyDescent="0.2">
      <c r="B398" t="s">
        <v>690</v>
      </c>
      <c r="C398" t="s">
        <v>82</v>
      </c>
      <c r="D398" t="s">
        <v>691</v>
      </c>
      <c r="E398" t="s">
        <v>273</v>
      </c>
      <c r="F398" t="s">
        <v>274</v>
      </c>
      <c r="G398" t="s">
        <v>1033</v>
      </c>
      <c r="H398" t="s">
        <v>30</v>
      </c>
      <c r="I398" s="1">
        <v>1</v>
      </c>
      <c r="J398" s="2">
        <v>1293.0999999999999</v>
      </c>
    </row>
    <row r="399" spans="2:10" x14ac:dyDescent="0.2">
      <c r="B399" t="s">
        <v>690</v>
      </c>
      <c r="C399" t="s">
        <v>82</v>
      </c>
      <c r="D399" t="s">
        <v>691</v>
      </c>
      <c r="E399" t="s">
        <v>719</v>
      </c>
      <c r="F399" t="s">
        <v>720</v>
      </c>
      <c r="G399" t="s">
        <v>1033</v>
      </c>
      <c r="H399" t="s">
        <v>30</v>
      </c>
      <c r="I399" s="1">
        <v>1</v>
      </c>
      <c r="J399" s="2">
        <v>818.97</v>
      </c>
    </row>
    <row r="400" spans="2:10" x14ac:dyDescent="0.2">
      <c r="B400" t="s">
        <v>690</v>
      </c>
      <c r="C400" t="s">
        <v>117</v>
      </c>
      <c r="D400" t="s">
        <v>691</v>
      </c>
      <c r="E400" t="s">
        <v>44</v>
      </c>
      <c r="F400" t="s">
        <v>45</v>
      </c>
      <c r="G400" t="s">
        <v>1033</v>
      </c>
      <c r="H400" t="s">
        <v>30</v>
      </c>
      <c r="I400" s="1">
        <v>1</v>
      </c>
      <c r="J400" s="2">
        <v>81.900000000000006</v>
      </c>
    </row>
    <row r="401" spans="2:10" x14ac:dyDescent="0.2">
      <c r="B401" t="s">
        <v>690</v>
      </c>
      <c r="C401" t="s">
        <v>117</v>
      </c>
      <c r="D401" t="s">
        <v>691</v>
      </c>
      <c r="E401" t="s">
        <v>97</v>
      </c>
      <c r="F401" t="s">
        <v>98</v>
      </c>
      <c r="G401" t="s">
        <v>1033</v>
      </c>
      <c r="H401" t="s">
        <v>30</v>
      </c>
      <c r="I401" s="1">
        <v>1</v>
      </c>
      <c r="J401" s="2">
        <v>2500</v>
      </c>
    </row>
    <row r="402" spans="2:10" x14ac:dyDescent="0.2">
      <c r="B402" t="s">
        <v>690</v>
      </c>
      <c r="C402" t="s">
        <v>117</v>
      </c>
      <c r="D402" t="s">
        <v>691</v>
      </c>
      <c r="E402" t="s">
        <v>442</v>
      </c>
      <c r="F402" t="s">
        <v>443</v>
      </c>
      <c r="G402" t="s">
        <v>1033</v>
      </c>
      <c r="H402" t="s">
        <v>30</v>
      </c>
      <c r="I402" s="1">
        <v>1</v>
      </c>
      <c r="J402" s="2">
        <v>2500</v>
      </c>
    </row>
    <row r="403" spans="2:10" x14ac:dyDescent="0.2">
      <c r="B403" t="s">
        <v>690</v>
      </c>
      <c r="C403" t="s">
        <v>117</v>
      </c>
      <c r="D403" t="s">
        <v>691</v>
      </c>
      <c r="E403" t="s">
        <v>28</v>
      </c>
      <c r="F403" t="s">
        <v>29</v>
      </c>
      <c r="G403" t="s">
        <v>1033</v>
      </c>
      <c r="H403" t="s">
        <v>30</v>
      </c>
      <c r="I403" s="1">
        <v>1</v>
      </c>
      <c r="J403" s="2">
        <v>155.16999999999999</v>
      </c>
    </row>
    <row r="404" spans="2:10" x14ac:dyDescent="0.2">
      <c r="B404" t="s">
        <v>690</v>
      </c>
      <c r="C404" t="s">
        <v>141</v>
      </c>
      <c r="D404" t="s">
        <v>691</v>
      </c>
      <c r="E404" t="s">
        <v>28</v>
      </c>
      <c r="F404" t="s">
        <v>29</v>
      </c>
      <c r="G404" t="s">
        <v>1033</v>
      </c>
      <c r="H404" t="s">
        <v>30</v>
      </c>
      <c r="I404" s="1">
        <v>1</v>
      </c>
      <c r="J404" s="2">
        <v>155.16999999999999</v>
      </c>
    </row>
    <row r="405" spans="2:10" x14ac:dyDescent="0.2">
      <c r="B405" t="s">
        <v>690</v>
      </c>
      <c r="C405" t="s">
        <v>166</v>
      </c>
      <c r="D405" t="s">
        <v>691</v>
      </c>
      <c r="E405" t="s">
        <v>486</v>
      </c>
      <c r="F405" t="s">
        <v>487</v>
      </c>
      <c r="G405" t="s">
        <v>1033</v>
      </c>
      <c r="H405" t="s">
        <v>30</v>
      </c>
      <c r="I405" s="1">
        <v>1</v>
      </c>
      <c r="J405" s="2">
        <v>258.62</v>
      </c>
    </row>
    <row r="406" spans="2:10" x14ac:dyDescent="0.2">
      <c r="B406" t="s">
        <v>690</v>
      </c>
      <c r="C406" t="s">
        <v>166</v>
      </c>
      <c r="D406" t="s">
        <v>691</v>
      </c>
      <c r="E406" t="s">
        <v>273</v>
      </c>
      <c r="F406" t="s">
        <v>274</v>
      </c>
      <c r="G406" t="s">
        <v>1033</v>
      </c>
      <c r="H406" t="s">
        <v>30</v>
      </c>
      <c r="I406" s="1">
        <v>1</v>
      </c>
      <c r="J406" s="2">
        <v>1293.0999999999999</v>
      </c>
    </row>
    <row r="407" spans="2:10" x14ac:dyDescent="0.2">
      <c r="B407" t="s">
        <v>690</v>
      </c>
      <c r="C407" t="s">
        <v>197</v>
      </c>
      <c r="D407" t="s">
        <v>691</v>
      </c>
      <c r="E407" t="s">
        <v>167</v>
      </c>
      <c r="F407" t="s">
        <v>168</v>
      </c>
      <c r="G407" t="s">
        <v>1033</v>
      </c>
      <c r="H407" t="s">
        <v>30</v>
      </c>
      <c r="I407" s="1">
        <v>1</v>
      </c>
      <c r="J407" s="2">
        <v>1267.24</v>
      </c>
    </row>
    <row r="408" spans="2:10" x14ac:dyDescent="0.2">
      <c r="B408" t="s">
        <v>690</v>
      </c>
      <c r="C408" t="s">
        <v>197</v>
      </c>
      <c r="D408" t="s">
        <v>691</v>
      </c>
      <c r="E408" t="s">
        <v>350</v>
      </c>
      <c r="F408" t="s">
        <v>351</v>
      </c>
      <c r="G408" t="s">
        <v>1033</v>
      </c>
      <c r="H408" t="s">
        <v>30</v>
      </c>
      <c r="I408" s="1">
        <v>1</v>
      </c>
      <c r="J408" s="2">
        <v>818.97</v>
      </c>
    </row>
    <row r="409" spans="2:10" x14ac:dyDescent="0.2">
      <c r="B409" t="s">
        <v>690</v>
      </c>
      <c r="C409" t="s">
        <v>197</v>
      </c>
      <c r="D409" t="s">
        <v>691</v>
      </c>
      <c r="E409" t="s">
        <v>278</v>
      </c>
      <c r="F409" t="s">
        <v>279</v>
      </c>
      <c r="G409" t="s">
        <v>1033</v>
      </c>
      <c r="H409" t="s">
        <v>30</v>
      </c>
      <c r="I409" s="1">
        <v>1</v>
      </c>
      <c r="J409" s="2">
        <v>112.07</v>
      </c>
    </row>
    <row r="410" spans="2:10" x14ac:dyDescent="0.2">
      <c r="B410" t="s">
        <v>690</v>
      </c>
      <c r="C410" t="s">
        <v>197</v>
      </c>
      <c r="D410" t="s">
        <v>691</v>
      </c>
      <c r="E410" t="s">
        <v>177</v>
      </c>
      <c r="F410" t="s">
        <v>178</v>
      </c>
      <c r="G410" t="s">
        <v>1033</v>
      </c>
      <c r="H410" t="s">
        <v>30</v>
      </c>
      <c r="I410" s="1">
        <v>1</v>
      </c>
      <c r="J410" s="2">
        <v>637.92999999999995</v>
      </c>
    </row>
    <row r="411" spans="2:10" x14ac:dyDescent="0.2">
      <c r="B411" t="s">
        <v>690</v>
      </c>
      <c r="C411" t="s">
        <v>197</v>
      </c>
      <c r="D411" t="s">
        <v>691</v>
      </c>
      <c r="E411" t="s">
        <v>729</v>
      </c>
      <c r="F411" t="s">
        <v>730</v>
      </c>
      <c r="G411" t="s">
        <v>1033</v>
      </c>
      <c r="H411" t="s">
        <v>30</v>
      </c>
      <c r="I411" s="1">
        <v>1</v>
      </c>
      <c r="J411" s="2">
        <v>1724.14</v>
      </c>
    </row>
    <row r="412" spans="2:10" x14ac:dyDescent="0.2">
      <c r="B412" t="s">
        <v>690</v>
      </c>
      <c r="C412" t="s">
        <v>206</v>
      </c>
      <c r="D412" t="s">
        <v>691</v>
      </c>
      <c r="E412" t="s">
        <v>41</v>
      </c>
      <c r="F412" t="s">
        <v>42</v>
      </c>
      <c r="G412" t="s">
        <v>1033</v>
      </c>
      <c r="H412" t="s">
        <v>30</v>
      </c>
      <c r="I412" s="1">
        <v>2</v>
      </c>
      <c r="J412" s="2">
        <v>68.959999999999994</v>
      </c>
    </row>
    <row r="413" spans="2:10" x14ac:dyDescent="0.2">
      <c r="B413" t="s">
        <v>690</v>
      </c>
      <c r="C413" t="s">
        <v>206</v>
      </c>
      <c r="D413" t="s">
        <v>691</v>
      </c>
      <c r="E413" t="s">
        <v>605</v>
      </c>
      <c r="F413" t="s">
        <v>606</v>
      </c>
      <c r="G413" t="s">
        <v>1033</v>
      </c>
      <c r="H413" t="s">
        <v>30</v>
      </c>
      <c r="I413" s="1">
        <v>1</v>
      </c>
      <c r="J413" s="2">
        <v>465.52</v>
      </c>
    </row>
    <row r="414" spans="2:10" x14ac:dyDescent="0.2">
      <c r="B414" t="s">
        <v>690</v>
      </c>
      <c r="C414" t="s">
        <v>220</v>
      </c>
      <c r="D414" t="s">
        <v>691</v>
      </c>
      <c r="E414" t="s">
        <v>41</v>
      </c>
      <c r="F414" t="s">
        <v>42</v>
      </c>
      <c r="G414" t="s">
        <v>1033</v>
      </c>
      <c r="H414" t="s">
        <v>30</v>
      </c>
      <c r="I414" s="1">
        <v>2</v>
      </c>
      <c r="J414" s="2">
        <v>68.97</v>
      </c>
    </row>
    <row r="415" spans="2:10" x14ac:dyDescent="0.2">
      <c r="B415" t="s">
        <v>690</v>
      </c>
      <c r="C415" t="s">
        <v>227</v>
      </c>
      <c r="D415" t="s">
        <v>691</v>
      </c>
      <c r="E415" t="s">
        <v>358</v>
      </c>
      <c r="F415" t="s">
        <v>359</v>
      </c>
      <c r="G415" t="s">
        <v>1033</v>
      </c>
      <c r="H415" t="s">
        <v>30</v>
      </c>
      <c r="I415" s="1">
        <v>1</v>
      </c>
      <c r="J415" s="2">
        <v>1500</v>
      </c>
    </row>
    <row r="416" spans="2:10" x14ac:dyDescent="0.2">
      <c r="B416" t="s">
        <v>690</v>
      </c>
      <c r="C416" t="s">
        <v>228</v>
      </c>
      <c r="D416" t="s">
        <v>691</v>
      </c>
      <c r="E416" t="s">
        <v>167</v>
      </c>
      <c r="F416" t="s">
        <v>168</v>
      </c>
      <c r="G416" t="s">
        <v>1033</v>
      </c>
      <c r="H416" t="s">
        <v>30</v>
      </c>
      <c r="I416" s="1">
        <v>1</v>
      </c>
      <c r="J416" s="2">
        <v>1267.24</v>
      </c>
    </row>
    <row r="417" spans="2:10" x14ac:dyDescent="0.2">
      <c r="B417" t="s">
        <v>690</v>
      </c>
      <c r="C417" t="s">
        <v>237</v>
      </c>
      <c r="D417" t="s">
        <v>691</v>
      </c>
      <c r="E417" t="s">
        <v>44</v>
      </c>
      <c r="F417" t="s">
        <v>45</v>
      </c>
      <c r="G417" t="s">
        <v>1033</v>
      </c>
      <c r="H417" t="s">
        <v>30</v>
      </c>
      <c r="I417" s="1">
        <v>1</v>
      </c>
      <c r="J417" s="2">
        <v>81.900000000000006</v>
      </c>
    </row>
    <row r="418" spans="2:10" x14ac:dyDescent="0.2">
      <c r="B418" t="s">
        <v>690</v>
      </c>
      <c r="C418" t="s">
        <v>237</v>
      </c>
      <c r="D418" t="s">
        <v>691</v>
      </c>
      <c r="E418" t="s">
        <v>28</v>
      </c>
      <c r="F418" t="s">
        <v>29</v>
      </c>
      <c r="G418" t="s">
        <v>1033</v>
      </c>
      <c r="H418" t="s">
        <v>30</v>
      </c>
      <c r="I418" s="1">
        <v>1</v>
      </c>
      <c r="J418" s="2">
        <v>155.16999999999999</v>
      </c>
    </row>
    <row r="419" spans="2:10" x14ac:dyDescent="0.2">
      <c r="B419" t="s">
        <v>690</v>
      </c>
      <c r="C419" t="s">
        <v>248</v>
      </c>
      <c r="D419" t="s">
        <v>691</v>
      </c>
      <c r="E419" t="s">
        <v>167</v>
      </c>
      <c r="F419" t="s">
        <v>168</v>
      </c>
      <c r="G419" t="s">
        <v>1033</v>
      </c>
      <c r="H419" t="s">
        <v>30</v>
      </c>
      <c r="I419" s="1">
        <v>1</v>
      </c>
      <c r="J419" s="2">
        <v>1267.24</v>
      </c>
    </row>
    <row r="420" spans="2:10" x14ac:dyDescent="0.2">
      <c r="B420" t="s">
        <v>690</v>
      </c>
      <c r="C420" t="s">
        <v>248</v>
      </c>
      <c r="D420" t="s">
        <v>691</v>
      </c>
      <c r="E420" t="s">
        <v>278</v>
      </c>
      <c r="F420" t="s">
        <v>279</v>
      </c>
      <c r="G420" t="s">
        <v>1033</v>
      </c>
      <c r="H420" t="s">
        <v>30</v>
      </c>
      <c r="I420" s="1">
        <v>1</v>
      </c>
      <c r="J420" s="2">
        <v>112.07</v>
      </c>
    </row>
    <row r="421" spans="2:10" x14ac:dyDescent="0.2">
      <c r="B421" t="s">
        <v>690</v>
      </c>
      <c r="C421" t="s">
        <v>248</v>
      </c>
      <c r="D421" t="s">
        <v>691</v>
      </c>
      <c r="E421" t="s">
        <v>738</v>
      </c>
      <c r="F421" t="s">
        <v>739</v>
      </c>
      <c r="G421" t="s">
        <v>1033</v>
      </c>
      <c r="H421" t="s">
        <v>30</v>
      </c>
      <c r="I421" s="1">
        <v>1</v>
      </c>
      <c r="J421" s="2">
        <v>1329.11</v>
      </c>
    </row>
    <row r="422" spans="2:10" x14ac:dyDescent="0.2">
      <c r="B422" t="s">
        <v>740</v>
      </c>
      <c r="C422" t="s">
        <v>18</v>
      </c>
      <c r="D422" t="s">
        <v>741</v>
      </c>
      <c r="E422" t="s">
        <v>318</v>
      </c>
      <c r="F422" t="s">
        <v>319</v>
      </c>
      <c r="G422" t="s">
        <v>1033</v>
      </c>
      <c r="H422" t="s">
        <v>30</v>
      </c>
      <c r="I422" s="1">
        <v>2</v>
      </c>
      <c r="J422" s="2">
        <v>913.8</v>
      </c>
    </row>
    <row r="423" spans="2:10" x14ac:dyDescent="0.2">
      <c r="B423" t="s">
        <v>740</v>
      </c>
      <c r="C423" t="s">
        <v>40</v>
      </c>
      <c r="D423" t="s">
        <v>741</v>
      </c>
      <c r="E423" t="s">
        <v>399</v>
      </c>
      <c r="F423" t="s">
        <v>400</v>
      </c>
      <c r="G423" t="s">
        <v>1033</v>
      </c>
      <c r="H423" t="s">
        <v>30</v>
      </c>
      <c r="I423" s="1">
        <v>1</v>
      </c>
      <c r="J423" s="2">
        <v>818.97</v>
      </c>
    </row>
    <row r="424" spans="2:10" x14ac:dyDescent="0.2">
      <c r="B424" t="s">
        <v>740</v>
      </c>
      <c r="C424" t="s">
        <v>51</v>
      </c>
      <c r="D424" t="s">
        <v>130</v>
      </c>
      <c r="E424" t="s">
        <v>505</v>
      </c>
      <c r="F424" t="s">
        <v>506</v>
      </c>
      <c r="G424" t="s">
        <v>1033</v>
      </c>
      <c r="H424" t="s">
        <v>30</v>
      </c>
      <c r="I424" s="1">
        <v>1</v>
      </c>
      <c r="J424" s="2">
        <v>775.86</v>
      </c>
    </row>
    <row r="425" spans="2:10" x14ac:dyDescent="0.2">
      <c r="B425" t="s">
        <v>740</v>
      </c>
      <c r="C425" t="s">
        <v>51</v>
      </c>
      <c r="D425" t="s">
        <v>130</v>
      </c>
      <c r="E425" t="s">
        <v>742</v>
      </c>
      <c r="F425" t="s">
        <v>743</v>
      </c>
      <c r="G425" t="s">
        <v>1033</v>
      </c>
      <c r="H425" t="s">
        <v>30</v>
      </c>
      <c r="I425" s="1">
        <v>1</v>
      </c>
      <c r="J425" s="2">
        <v>2672.41</v>
      </c>
    </row>
    <row r="426" spans="2:10" x14ac:dyDescent="0.2">
      <c r="B426" t="s">
        <v>740</v>
      </c>
      <c r="C426" t="s">
        <v>82</v>
      </c>
      <c r="D426" t="s">
        <v>741</v>
      </c>
      <c r="E426" t="s">
        <v>41</v>
      </c>
      <c r="F426" t="s">
        <v>42</v>
      </c>
      <c r="G426" t="s">
        <v>1033</v>
      </c>
      <c r="H426" t="s">
        <v>30</v>
      </c>
      <c r="I426" s="1">
        <v>1</v>
      </c>
      <c r="J426" s="2">
        <v>34.479999999999997</v>
      </c>
    </row>
    <row r="427" spans="2:10" x14ac:dyDescent="0.2">
      <c r="B427" t="s">
        <v>740</v>
      </c>
      <c r="C427" t="s">
        <v>82</v>
      </c>
      <c r="D427" t="s">
        <v>741</v>
      </c>
      <c r="E427" t="s">
        <v>273</v>
      </c>
      <c r="F427" t="s">
        <v>274</v>
      </c>
      <c r="G427" t="s">
        <v>1033</v>
      </c>
      <c r="H427" t="s">
        <v>30</v>
      </c>
      <c r="I427" s="1">
        <v>1</v>
      </c>
      <c r="J427" s="2">
        <v>1293.0999999999999</v>
      </c>
    </row>
    <row r="428" spans="2:10" x14ac:dyDescent="0.2">
      <c r="B428" t="s">
        <v>740</v>
      </c>
      <c r="C428" t="s">
        <v>88</v>
      </c>
      <c r="D428" t="s">
        <v>741</v>
      </c>
      <c r="E428" t="s">
        <v>70</v>
      </c>
      <c r="F428" t="s">
        <v>71</v>
      </c>
      <c r="G428" t="s">
        <v>1033</v>
      </c>
      <c r="H428" t="s">
        <v>30</v>
      </c>
      <c r="I428" s="1">
        <v>1</v>
      </c>
      <c r="J428" s="2">
        <v>2112.0700000000002</v>
      </c>
    </row>
    <row r="429" spans="2:10" x14ac:dyDescent="0.2">
      <c r="B429" t="s">
        <v>740</v>
      </c>
      <c r="C429" t="s">
        <v>88</v>
      </c>
      <c r="D429" t="s">
        <v>741</v>
      </c>
      <c r="E429" t="s">
        <v>505</v>
      </c>
      <c r="F429" t="s">
        <v>506</v>
      </c>
      <c r="G429" t="s">
        <v>1033</v>
      </c>
      <c r="H429" t="s">
        <v>30</v>
      </c>
      <c r="I429" s="1">
        <v>2</v>
      </c>
      <c r="J429" s="2">
        <v>1551.72</v>
      </c>
    </row>
    <row r="430" spans="2:10" x14ac:dyDescent="0.2">
      <c r="B430" t="s">
        <v>740</v>
      </c>
      <c r="C430" t="s">
        <v>117</v>
      </c>
      <c r="D430" t="s">
        <v>741</v>
      </c>
      <c r="E430" t="s">
        <v>308</v>
      </c>
      <c r="F430" t="s">
        <v>309</v>
      </c>
      <c r="G430" t="s">
        <v>1033</v>
      </c>
      <c r="H430" t="s">
        <v>30</v>
      </c>
      <c r="I430" s="1">
        <v>1</v>
      </c>
      <c r="J430" s="2">
        <v>818.97</v>
      </c>
    </row>
    <row r="431" spans="2:10" x14ac:dyDescent="0.2">
      <c r="B431" t="s">
        <v>740</v>
      </c>
      <c r="C431" t="s">
        <v>117</v>
      </c>
      <c r="D431" t="s">
        <v>741</v>
      </c>
      <c r="E431" t="s">
        <v>372</v>
      </c>
      <c r="F431" t="s">
        <v>373</v>
      </c>
      <c r="G431" t="s">
        <v>1033</v>
      </c>
      <c r="H431" t="s">
        <v>30</v>
      </c>
      <c r="I431" s="1">
        <v>1</v>
      </c>
      <c r="J431" s="2">
        <v>2465.52</v>
      </c>
    </row>
    <row r="432" spans="2:10" x14ac:dyDescent="0.2">
      <c r="B432" t="s">
        <v>740</v>
      </c>
      <c r="C432" t="s">
        <v>129</v>
      </c>
      <c r="D432" t="s">
        <v>741</v>
      </c>
      <c r="E432" t="s">
        <v>467</v>
      </c>
      <c r="F432" t="s">
        <v>468</v>
      </c>
      <c r="G432" t="s">
        <v>1033</v>
      </c>
      <c r="H432" t="s">
        <v>30</v>
      </c>
      <c r="I432" s="1">
        <v>1</v>
      </c>
      <c r="J432" s="2">
        <v>775.86</v>
      </c>
    </row>
    <row r="433" spans="2:10" x14ac:dyDescent="0.2">
      <c r="B433" t="s">
        <v>740</v>
      </c>
      <c r="C433" t="s">
        <v>129</v>
      </c>
      <c r="D433" t="s">
        <v>741</v>
      </c>
      <c r="E433" t="s">
        <v>273</v>
      </c>
      <c r="F433" t="s">
        <v>274</v>
      </c>
      <c r="G433" t="s">
        <v>1033</v>
      </c>
      <c r="H433" t="s">
        <v>30</v>
      </c>
      <c r="I433" s="1">
        <v>1</v>
      </c>
      <c r="J433" s="2">
        <v>1293.0999999999999</v>
      </c>
    </row>
    <row r="434" spans="2:10" x14ac:dyDescent="0.2">
      <c r="B434" t="s">
        <v>740</v>
      </c>
      <c r="C434" t="s">
        <v>129</v>
      </c>
      <c r="D434" t="s">
        <v>741</v>
      </c>
      <c r="E434" t="s">
        <v>416</v>
      </c>
      <c r="F434" t="s">
        <v>417</v>
      </c>
      <c r="G434" t="s">
        <v>1033</v>
      </c>
      <c r="H434" t="s">
        <v>30</v>
      </c>
      <c r="I434" s="1">
        <v>1</v>
      </c>
      <c r="J434" s="2">
        <v>2258.62</v>
      </c>
    </row>
    <row r="435" spans="2:10" x14ac:dyDescent="0.2">
      <c r="B435" t="s">
        <v>740</v>
      </c>
      <c r="C435" t="s">
        <v>129</v>
      </c>
      <c r="D435" t="s">
        <v>741</v>
      </c>
      <c r="E435" t="s">
        <v>28</v>
      </c>
      <c r="F435" t="s">
        <v>29</v>
      </c>
      <c r="G435" t="s">
        <v>1033</v>
      </c>
      <c r="H435" t="s">
        <v>30</v>
      </c>
      <c r="I435" s="1">
        <v>1</v>
      </c>
      <c r="J435" s="2">
        <v>155.16999999999999</v>
      </c>
    </row>
    <row r="436" spans="2:10" x14ac:dyDescent="0.2">
      <c r="B436" t="s">
        <v>740</v>
      </c>
      <c r="C436" t="s">
        <v>134</v>
      </c>
      <c r="D436" t="s">
        <v>741</v>
      </c>
      <c r="E436" t="s">
        <v>97</v>
      </c>
      <c r="F436" t="s">
        <v>98</v>
      </c>
      <c r="G436" t="s">
        <v>1033</v>
      </c>
      <c r="H436" t="s">
        <v>30</v>
      </c>
      <c r="I436" s="1">
        <v>2</v>
      </c>
      <c r="J436" s="2">
        <v>5000</v>
      </c>
    </row>
    <row r="437" spans="2:10" x14ac:dyDescent="0.2">
      <c r="B437" t="s">
        <v>740</v>
      </c>
      <c r="C437" t="s">
        <v>134</v>
      </c>
      <c r="D437" t="s">
        <v>741</v>
      </c>
      <c r="E437" t="s">
        <v>559</v>
      </c>
      <c r="F437" t="s">
        <v>560</v>
      </c>
      <c r="G437" t="s">
        <v>1033</v>
      </c>
      <c r="H437" t="s">
        <v>30</v>
      </c>
      <c r="I437" s="1">
        <v>1</v>
      </c>
      <c r="J437" s="2">
        <v>1706.9</v>
      </c>
    </row>
    <row r="438" spans="2:10" x14ac:dyDescent="0.2">
      <c r="B438" t="s">
        <v>740</v>
      </c>
      <c r="C438" t="s">
        <v>135</v>
      </c>
      <c r="D438" t="s">
        <v>741</v>
      </c>
      <c r="E438" t="s">
        <v>44</v>
      </c>
      <c r="F438" t="s">
        <v>45</v>
      </c>
      <c r="G438" t="s">
        <v>1033</v>
      </c>
      <c r="H438" t="s">
        <v>30</v>
      </c>
      <c r="I438" s="1">
        <v>2</v>
      </c>
      <c r="J438" s="2">
        <v>163.80000000000001</v>
      </c>
    </row>
    <row r="439" spans="2:10" x14ac:dyDescent="0.2">
      <c r="B439" t="s">
        <v>740</v>
      </c>
      <c r="C439" t="s">
        <v>135</v>
      </c>
      <c r="D439" t="s">
        <v>741</v>
      </c>
      <c r="E439" t="s">
        <v>746</v>
      </c>
      <c r="F439" t="s">
        <v>747</v>
      </c>
      <c r="G439" t="s">
        <v>1033</v>
      </c>
      <c r="H439" t="s">
        <v>30</v>
      </c>
      <c r="I439" s="1">
        <v>1</v>
      </c>
      <c r="J439" s="2">
        <v>474.14</v>
      </c>
    </row>
    <row r="440" spans="2:10" x14ac:dyDescent="0.2">
      <c r="B440" t="s">
        <v>740</v>
      </c>
      <c r="C440" t="s">
        <v>141</v>
      </c>
      <c r="D440" t="s">
        <v>741</v>
      </c>
      <c r="E440" t="s">
        <v>559</v>
      </c>
      <c r="F440" t="s">
        <v>560</v>
      </c>
      <c r="G440" t="s">
        <v>1033</v>
      </c>
      <c r="H440" t="s">
        <v>30</v>
      </c>
      <c r="I440" s="1">
        <v>1</v>
      </c>
      <c r="J440" s="2">
        <v>1706.9</v>
      </c>
    </row>
    <row r="441" spans="2:10" x14ac:dyDescent="0.2">
      <c r="B441" t="s">
        <v>740</v>
      </c>
      <c r="C441" t="s">
        <v>165</v>
      </c>
      <c r="D441" t="s">
        <v>741</v>
      </c>
      <c r="E441" t="s">
        <v>167</v>
      </c>
      <c r="F441" t="s">
        <v>168</v>
      </c>
      <c r="G441" t="s">
        <v>1033</v>
      </c>
      <c r="H441" t="s">
        <v>30</v>
      </c>
      <c r="I441" s="1">
        <v>1</v>
      </c>
      <c r="J441" s="2">
        <v>1267.24</v>
      </c>
    </row>
    <row r="442" spans="2:10" x14ac:dyDescent="0.2">
      <c r="B442" t="s">
        <v>740</v>
      </c>
      <c r="C442" t="s">
        <v>165</v>
      </c>
      <c r="D442" t="s">
        <v>741</v>
      </c>
      <c r="E442" t="s">
        <v>255</v>
      </c>
      <c r="F442" t="s">
        <v>256</v>
      </c>
      <c r="G442" t="s">
        <v>1033</v>
      </c>
      <c r="H442" t="s">
        <v>30</v>
      </c>
      <c r="I442" s="1">
        <v>1</v>
      </c>
      <c r="J442" s="2">
        <v>517.24</v>
      </c>
    </row>
    <row r="443" spans="2:10" x14ac:dyDescent="0.2">
      <c r="B443" t="s">
        <v>740</v>
      </c>
      <c r="C443" t="s">
        <v>166</v>
      </c>
      <c r="D443" t="s">
        <v>741</v>
      </c>
      <c r="E443" t="s">
        <v>66</v>
      </c>
      <c r="F443" t="s">
        <v>67</v>
      </c>
      <c r="G443" t="s">
        <v>1033</v>
      </c>
      <c r="H443" t="s">
        <v>30</v>
      </c>
      <c r="I443" s="1">
        <v>1</v>
      </c>
      <c r="J443" s="2">
        <v>1681.03</v>
      </c>
    </row>
    <row r="444" spans="2:10" x14ac:dyDescent="0.2">
      <c r="B444" t="s">
        <v>740</v>
      </c>
      <c r="C444" t="s">
        <v>166</v>
      </c>
      <c r="D444" t="s">
        <v>741</v>
      </c>
      <c r="E444" t="s">
        <v>273</v>
      </c>
      <c r="F444" t="s">
        <v>274</v>
      </c>
      <c r="G444" t="s">
        <v>1033</v>
      </c>
      <c r="H444" t="s">
        <v>30</v>
      </c>
      <c r="I444" s="1">
        <v>1</v>
      </c>
      <c r="J444" s="2">
        <v>1293.0999999999999</v>
      </c>
    </row>
    <row r="445" spans="2:10" x14ac:dyDescent="0.2">
      <c r="B445" t="s">
        <v>740</v>
      </c>
      <c r="C445" t="s">
        <v>335</v>
      </c>
      <c r="D445" t="s">
        <v>741</v>
      </c>
      <c r="E445" t="s">
        <v>756</v>
      </c>
      <c r="F445" t="s">
        <v>757</v>
      </c>
      <c r="G445" t="s">
        <v>1033</v>
      </c>
      <c r="H445" t="s">
        <v>30</v>
      </c>
      <c r="I445" s="1">
        <v>1</v>
      </c>
      <c r="J445" s="2">
        <v>1956.9</v>
      </c>
    </row>
    <row r="446" spans="2:10" x14ac:dyDescent="0.2">
      <c r="B446" t="s">
        <v>740</v>
      </c>
      <c r="C446" t="s">
        <v>186</v>
      </c>
      <c r="D446" t="s">
        <v>741</v>
      </c>
      <c r="E446" t="s">
        <v>758</v>
      </c>
      <c r="F446" t="s">
        <v>759</v>
      </c>
      <c r="G446" t="s">
        <v>1033</v>
      </c>
      <c r="H446" t="s">
        <v>30</v>
      </c>
      <c r="I446" s="1">
        <v>1</v>
      </c>
      <c r="J446" s="2">
        <v>1681.03</v>
      </c>
    </row>
    <row r="447" spans="2:10" x14ac:dyDescent="0.2">
      <c r="B447" t="s">
        <v>740</v>
      </c>
      <c r="C447" t="s">
        <v>197</v>
      </c>
      <c r="D447" t="s">
        <v>130</v>
      </c>
      <c r="E447" t="s">
        <v>486</v>
      </c>
      <c r="F447" t="s">
        <v>487</v>
      </c>
      <c r="G447" t="s">
        <v>1033</v>
      </c>
      <c r="H447" t="s">
        <v>30</v>
      </c>
      <c r="I447" s="1">
        <v>1</v>
      </c>
      <c r="J447" s="2">
        <v>258.62</v>
      </c>
    </row>
    <row r="448" spans="2:10" x14ac:dyDescent="0.2">
      <c r="B448" t="s">
        <v>740</v>
      </c>
      <c r="C448" t="s">
        <v>197</v>
      </c>
      <c r="D448" t="s">
        <v>130</v>
      </c>
      <c r="E448" t="s">
        <v>358</v>
      </c>
      <c r="F448" t="s">
        <v>359</v>
      </c>
      <c r="G448" t="s">
        <v>1033</v>
      </c>
      <c r="H448" t="s">
        <v>30</v>
      </c>
      <c r="I448" s="1">
        <v>1</v>
      </c>
      <c r="J448" s="2">
        <v>1500</v>
      </c>
    </row>
    <row r="449" spans="2:10" x14ac:dyDescent="0.2">
      <c r="B449" t="s">
        <v>740</v>
      </c>
      <c r="C449" t="s">
        <v>197</v>
      </c>
      <c r="D449" t="s">
        <v>130</v>
      </c>
      <c r="E449" t="s">
        <v>760</v>
      </c>
      <c r="F449" t="s">
        <v>761</v>
      </c>
      <c r="G449" t="s">
        <v>1033</v>
      </c>
      <c r="H449" t="s">
        <v>30</v>
      </c>
      <c r="I449" s="1">
        <v>1</v>
      </c>
      <c r="J449" s="2">
        <v>1896.55</v>
      </c>
    </row>
    <row r="450" spans="2:10" x14ac:dyDescent="0.2">
      <c r="B450" t="s">
        <v>740</v>
      </c>
      <c r="C450" t="s">
        <v>206</v>
      </c>
      <c r="D450" t="s">
        <v>741</v>
      </c>
      <c r="E450" t="s">
        <v>41</v>
      </c>
      <c r="F450" t="s">
        <v>42</v>
      </c>
      <c r="G450" t="s">
        <v>1033</v>
      </c>
      <c r="H450" t="s">
        <v>30</v>
      </c>
      <c r="I450" s="1">
        <v>6</v>
      </c>
      <c r="J450" s="2">
        <v>206.9</v>
      </c>
    </row>
    <row r="451" spans="2:10" x14ac:dyDescent="0.2">
      <c r="B451" t="s">
        <v>740</v>
      </c>
      <c r="C451" t="s">
        <v>206</v>
      </c>
      <c r="D451" t="s">
        <v>741</v>
      </c>
      <c r="E451" t="s">
        <v>167</v>
      </c>
      <c r="F451" t="s">
        <v>168</v>
      </c>
      <c r="G451" t="s">
        <v>1033</v>
      </c>
      <c r="H451" t="s">
        <v>30</v>
      </c>
      <c r="I451" s="1">
        <v>1</v>
      </c>
      <c r="J451" s="2">
        <v>1267.24</v>
      </c>
    </row>
    <row r="452" spans="2:10" x14ac:dyDescent="0.2">
      <c r="B452" t="s">
        <v>740</v>
      </c>
      <c r="C452" t="s">
        <v>206</v>
      </c>
      <c r="D452" t="s">
        <v>741</v>
      </c>
      <c r="E452" t="s">
        <v>201</v>
      </c>
      <c r="F452" t="s">
        <v>202</v>
      </c>
      <c r="G452" t="s">
        <v>1033</v>
      </c>
      <c r="H452" t="s">
        <v>30</v>
      </c>
      <c r="I452" s="1">
        <v>1</v>
      </c>
      <c r="J452" s="2">
        <v>948.28</v>
      </c>
    </row>
    <row r="453" spans="2:10" x14ac:dyDescent="0.2">
      <c r="B453" t="s">
        <v>740</v>
      </c>
      <c r="C453" t="s">
        <v>206</v>
      </c>
      <c r="D453" t="s">
        <v>741</v>
      </c>
      <c r="E453" t="s">
        <v>342</v>
      </c>
      <c r="F453" t="s">
        <v>343</v>
      </c>
      <c r="G453" t="s">
        <v>1033</v>
      </c>
      <c r="H453" t="s">
        <v>30</v>
      </c>
      <c r="I453" s="1">
        <v>1</v>
      </c>
      <c r="J453" s="2">
        <v>1681.03</v>
      </c>
    </row>
    <row r="454" spans="2:10" x14ac:dyDescent="0.2">
      <c r="B454" t="s">
        <v>740</v>
      </c>
      <c r="C454" t="s">
        <v>220</v>
      </c>
      <c r="D454" t="s">
        <v>741</v>
      </c>
      <c r="E454" t="s">
        <v>762</v>
      </c>
      <c r="F454" t="s">
        <v>763</v>
      </c>
      <c r="G454" t="s">
        <v>1033</v>
      </c>
      <c r="H454" t="s">
        <v>30</v>
      </c>
      <c r="I454" s="1">
        <v>1</v>
      </c>
      <c r="J454" s="2">
        <v>2396.5500000000002</v>
      </c>
    </row>
    <row r="455" spans="2:10" x14ac:dyDescent="0.2">
      <c r="B455" t="s">
        <v>740</v>
      </c>
      <c r="C455" t="s">
        <v>228</v>
      </c>
      <c r="D455" t="s">
        <v>741</v>
      </c>
      <c r="E455" t="s">
        <v>768</v>
      </c>
      <c r="F455" t="s">
        <v>769</v>
      </c>
      <c r="G455" t="s">
        <v>1033</v>
      </c>
      <c r="H455" t="s">
        <v>30</v>
      </c>
      <c r="I455" s="1">
        <v>1</v>
      </c>
      <c r="J455" s="2">
        <v>344.83</v>
      </c>
    </row>
    <row r="456" spans="2:10" x14ac:dyDescent="0.2">
      <c r="B456" t="s">
        <v>740</v>
      </c>
      <c r="C456" t="s">
        <v>228</v>
      </c>
      <c r="D456" t="s">
        <v>741</v>
      </c>
      <c r="E456" t="s">
        <v>201</v>
      </c>
      <c r="F456" t="s">
        <v>202</v>
      </c>
      <c r="G456" t="s">
        <v>1033</v>
      </c>
      <c r="H456" t="s">
        <v>30</v>
      </c>
      <c r="I456" s="1">
        <v>1</v>
      </c>
      <c r="J456" s="2">
        <v>948.28</v>
      </c>
    </row>
    <row r="457" spans="2:10" x14ac:dyDescent="0.2">
      <c r="B457" t="s">
        <v>740</v>
      </c>
      <c r="C457" t="s">
        <v>233</v>
      </c>
      <c r="D457" t="s">
        <v>32</v>
      </c>
      <c r="E457" t="s">
        <v>324</v>
      </c>
      <c r="F457" t="s">
        <v>325</v>
      </c>
      <c r="G457" t="s">
        <v>1033</v>
      </c>
      <c r="H457" t="s">
        <v>30</v>
      </c>
      <c r="I457" s="1">
        <v>1</v>
      </c>
      <c r="J457" s="2">
        <v>2000</v>
      </c>
    </row>
    <row r="458" spans="2:10" x14ac:dyDescent="0.2">
      <c r="B458" t="s">
        <v>740</v>
      </c>
      <c r="C458" t="s">
        <v>233</v>
      </c>
      <c r="D458" t="s">
        <v>32</v>
      </c>
      <c r="E458" t="s">
        <v>774</v>
      </c>
      <c r="F458" t="s">
        <v>775</v>
      </c>
      <c r="G458" t="s">
        <v>1033</v>
      </c>
      <c r="H458" t="s">
        <v>30</v>
      </c>
      <c r="I458" s="1">
        <v>1</v>
      </c>
      <c r="J458" s="2">
        <v>853.45</v>
      </c>
    </row>
    <row r="459" spans="2:10" x14ac:dyDescent="0.2">
      <c r="B459" t="s">
        <v>740</v>
      </c>
      <c r="C459" t="s">
        <v>236</v>
      </c>
      <c r="D459" t="s">
        <v>741</v>
      </c>
      <c r="E459" t="s">
        <v>318</v>
      </c>
      <c r="F459" t="s">
        <v>319</v>
      </c>
      <c r="G459" t="s">
        <v>1033</v>
      </c>
      <c r="H459" t="s">
        <v>30</v>
      </c>
      <c r="I459" s="1">
        <v>1</v>
      </c>
      <c r="J459" s="2">
        <v>456.9</v>
      </c>
    </row>
    <row r="460" spans="2:10" x14ac:dyDescent="0.2">
      <c r="B460" t="s">
        <v>740</v>
      </c>
      <c r="C460" t="s">
        <v>236</v>
      </c>
      <c r="D460" t="s">
        <v>741</v>
      </c>
      <c r="E460" t="s">
        <v>326</v>
      </c>
      <c r="F460" t="s">
        <v>327</v>
      </c>
      <c r="G460" t="s">
        <v>1033</v>
      </c>
      <c r="H460" t="s">
        <v>30</v>
      </c>
      <c r="I460" s="1">
        <v>1</v>
      </c>
      <c r="J460" s="2">
        <v>1862.07</v>
      </c>
    </row>
    <row r="461" spans="2:10" x14ac:dyDescent="0.2">
      <c r="B461" t="s">
        <v>740</v>
      </c>
      <c r="C461" t="s">
        <v>236</v>
      </c>
      <c r="D461" t="s">
        <v>741</v>
      </c>
      <c r="E461" t="s">
        <v>746</v>
      </c>
      <c r="F461" t="s">
        <v>747</v>
      </c>
      <c r="G461" t="s">
        <v>1033</v>
      </c>
      <c r="H461" t="s">
        <v>30</v>
      </c>
      <c r="I461" s="1">
        <v>1</v>
      </c>
      <c r="J461" s="2">
        <v>474.14</v>
      </c>
    </row>
    <row r="462" spans="2:10" x14ac:dyDescent="0.2">
      <c r="B462" t="s">
        <v>740</v>
      </c>
      <c r="C462" t="s">
        <v>236</v>
      </c>
      <c r="D462" t="s">
        <v>741</v>
      </c>
      <c r="E462" t="s">
        <v>354</v>
      </c>
      <c r="F462" t="s">
        <v>355</v>
      </c>
      <c r="G462" t="s">
        <v>1033</v>
      </c>
      <c r="H462" t="s">
        <v>30</v>
      </c>
      <c r="I462" s="1">
        <v>1</v>
      </c>
      <c r="J462" s="2">
        <v>2543.1</v>
      </c>
    </row>
    <row r="463" spans="2:10" x14ac:dyDescent="0.2">
      <c r="B463" t="s">
        <v>740</v>
      </c>
      <c r="C463" t="s">
        <v>236</v>
      </c>
      <c r="D463" t="s">
        <v>741</v>
      </c>
      <c r="E463" t="s">
        <v>342</v>
      </c>
      <c r="F463" t="s">
        <v>343</v>
      </c>
      <c r="G463" t="s">
        <v>1033</v>
      </c>
      <c r="H463" t="s">
        <v>30</v>
      </c>
      <c r="I463" s="1">
        <v>1</v>
      </c>
      <c r="J463" s="2">
        <v>1681.03</v>
      </c>
    </row>
    <row r="464" spans="2:10" x14ac:dyDescent="0.2">
      <c r="B464" t="s">
        <v>740</v>
      </c>
      <c r="C464" t="s">
        <v>237</v>
      </c>
      <c r="D464" t="s">
        <v>741</v>
      </c>
      <c r="E464" t="s">
        <v>776</v>
      </c>
      <c r="F464" t="s">
        <v>777</v>
      </c>
      <c r="G464" t="s">
        <v>1033</v>
      </c>
      <c r="H464" t="s">
        <v>30</v>
      </c>
      <c r="I464" s="1">
        <v>1</v>
      </c>
      <c r="J464" s="2">
        <v>818.97</v>
      </c>
    </row>
    <row r="465" spans="2:10" x14ac:dyDescent="0.2">
      <c r="B465" t="s">
        <v>740</v>
      </c>
      <c r="C465" t="s">
        <v>237</v>
      </c>
      <c r="D465" t="s">
        <v>741</v>
      </c>
      <c r="E465" t="s">
        <v>273</v>
      </c>
      <c r="F465" t="s">
        <v>274</v>
      </c>
      <c r="G465" t="s">
        <v>1033</v>
      </c>
      <c r="H465" t="s">
        <v>30</v>
      </c>
      <c r="I465" s="1">
        <v>1</v>
      </c>
      <c r="J465" s="2">
        <v>1293.0999999999999</v>
      </c>
    </row>
    <row r="466" spans="2:10" x14ac:dyDescent="0.2">
      <c r="B466" t="s">
        <v>740</v>
      </c>
      <c r="C466" t="s">
        <v>248</v>
      </c>
      <c r="D466" t="s">
        <v>741</v>
      </c>
      <c r="E466" t="s">
        <v>41</v>
      </c>
      <c r="F466" t="s">
        <v>42</v>
      </c>
      <c r="G466" t="s">
        <v>1033</v>
      </c>
      <c r="H466" t="s">
        <v>30</v>
      </c>
      <c r="I466" s="1">
        <v>2</v>
      </c>
      <c r="J466" s="2">
        <v>68.959999999999994</v>
      </c>
    </row>
    <row r="467" spans="2:10" x14ac:dyDescent="0.2">
      <c r="B467" t="s">
        <v>740</v>
      </c>
      <c r="C467" t="s">
        <v>248</v>
      </c>
      <c r="D467" t="s">
        <v>741</v>
      </c>
      <c r="E467" t="s">
        <v>44</v>
      </c>
      <c r="F467" t="s">
        <v>45</v>
      </c>
      <c r="G467" t="s">
        <v>1033</v>
      </c>
      <c r="H467" t="s">
        <v>30</v>
      </c>
      <c r="I467" s="1">
        <v>1</v>
      </c>
      <c r="J467" s="2">
        <v>81.900000000000006</v>
      </c>
    </row>
    <row r="468" spans="2:10" x14ac:dyDescent="0.2">
      <c r="B468" t="s">
        <v>740</v>
      </c>
      <c r="C468" t="s">
        <v>248</v>
      </c>
      <c r="D468" t="s">
        <v>741</v>
      </c>
      <c r="E468" t="s">
        <v>600</v>
      </c>
      <c r="F468" t="s">
        <v>601</v>
      </c>
      <c r="G468" t="s">
        <v>1033</v>
      </c>
      <c r="H468" t="s">
        <v>30</v>
      </c>
      <c r="I468" s="1">
        <v>1</v>
      </c>
      <c r="J468" s="2">
        <v>301.72000000000003</v>
      </c>
    </row>
    <row r="469" spans="2:10" x14ac:dyDescent="0.2">
      <c r="B469" t="s">
        <v>740</v>
      </c>
      <c r="C469" t="s">
        <v>248</v>
      </c>
      <c r="D469" t="s">
        <v>741</v>
      </c>
      <c r="E469" t="s">
        <v>333</v>
      </c>
      <c r="F469" t="s">
        <v>334</v>
      </c>
      <c r="G469" t="s">
        <v>1033</v>
      </c>
      <c r="H469" t="s">
        <v>30</v>
      </c>
      <c r="I469" s="1">
        <v>1</v>
      </c>
      <c r="J469" s="2">
        <v>2413.79</v>
      </c>
    </row>
    <row r="470" spans="2:10" x14ac:dyDescent="0.2">
      <c r="B470" t="s">
        <v>740</v>
      </c>
      <c r="C470" t="s">
        <v>248</v>
      </c>
      <c r="D470" t="s">
        <v>741</v>
      </c>
      <c r="E470" t="s">
        <v>28</v>
      </c>
      <c r="F470" t="s">
        <v>29</v>
      </c>
      <c r="G470" t="s">
        <v>1033</v>
      </c>
      <c r="H470" t="s">
        <v>30</v>
      </c>
      <c r="I470" s="1">
        <v>1</v>
      </c>
      <c r="J470" s="2">
        <v>155.16999999999999</v>
      </c>
    </row>
    <row r="471" spans="2:10" x14ac:dyDescent="0.2">
      <c r="B471" t="s">
        <v>780</v>
      </c>
      <c r="C471" t="s">
        <v>10</v>
      </c>
      <c r="D471" t="s">
        <v>781</v>
      </c>
      <c r="E471" t="s">
        <v>44</v>
      </c>
      <c r="F471" t="s">
        <v>45</v>
      </c>
      <c r="G471" t="s">
        <v>1033</v>
      </c>
      <c r="H471" t="s">
        <v>30</v>
      </c>
      <c r="I471" s="1">
        <v>1</v>
      </c>
      <c r="J471" s="2">
        <v>81.900000000000006</v>
      </c>
    </row>
    <row r="472" spans="2:10" x14ac:dyDescent="0.2">
      <c r="B472" t="s">
        <v>780</v>
      </c>
      <c r="C472" t="s">
        <v>10</v>
      </c>
      <c r="D472" t="s">
        <v>781</v>
      </c>
      <c r="E472" t="s">
        <v>246</v>
      </c>
      <c r="F472" t="s">
        <v>247</v>
      </c>
      <c r="G472" t="s">
        <v>1033</v>
      </c>
      <c r="H472" t="s">
        <v>30</v>
      </c>
      <c r="I472" s="1">
        <v>1</v>
      </c>
      <c r="J472" s="2">
        <v>2008.62</v>
      </c>
    </row>
    <row r="473" spans="2:10" x14ac:dyDescent="0.2">
      <c r="B473" t="s">
        <v>780</v>
      </c>
      <c r="C473" t="s">
        <v>18</v>
      </c>
      <c r="D473" t="s">
        <v>781</v>
      </c>
      <c r="E473" t="s">
        <v>44</v>
      </c>
      <c r="F473" t="s">
        <v>45</v>
      </c>
      <c r="G473" t="s">
        <v>1033</v>
      </c>
      <c r="H473" t="s">
        <v>30</v>
      </c>
      <c r="I473" s="1">
        <v>1</v>
      </c>
      <c r="J473" s="2">
        <v>81.900000000000006</v>
      </c>
    </row>
    <row r="474" spans="2:10" x14ac:dyDescent="0.2">
      <c r="B474" t="s">
        <v>780</v>
      </c>
      <c r="C474" t="s">
        <v>18</v>
      </c>
      <c r="D474" t="s">
        <v>781</v>
      </c>
      <c r="E474" t="s">
        <v>70</v>
      </c>
      <c r="F474" t="s">
        <v>71</v>
      </c>
      <c r="G474" t="s">
        <v>1033</v>
      </c>
      <c r="H474" t="s">
        <v>30</v>
      </c>
      <c r="I474" s="1">
        <v>1</v>
      </c>
      <c r="J474" s="2">
        <v>2112.0700000000002</v>
      </c>
    </row>
    <row r="475" spans="2:10" x14ac:dyDescent="0.2">
      <c r="B475" t="s">
        <v>780</v>
      </c>
      <c r="C475" t="s">
        <v>18</v>
      </c>
      <c r="D475" t="s">
        <v>781</v>
      </c>
      <c r="E475" t="s">
        <v>28</v>
      </c>
      <c r="F475" t="s">
        <v>29</v>
      </c>
      <c r="G475" t="s">
        <v>1033</v>
      </c>
      <c r="H475" t="s">
        <v>30</v>
      </c>
      <c r="I475" s="1">
        <v>1</v>
      </c>
      <c r="J475" s="2">
        <v>155.16999999999999</v>
      </c>
    </row>
    <row r="476" spans="2:10" x14ac:dyDescent="0.2">
      <c r="B476" t="s">
        <v>780</v>
      </c>
      <c r="C476" t="s">
        <v>31</v>
      </c>
      <c r="D476" t="s">
        <v>781</v>
      </c>
      <c r="E476" t="s">
        <v>44</v>
      </c>
      <c r="F476" t="s">
        <v>45</v>
      </c>
      <c r="G476" t="s">
        <v>1033</v>
      </c>
      <c r="H476" t="s">
        <v>30</v>
      </c>
      <c r="I476" s="1">
        <v>3</v>
      </c>
      <c r="J476" s="2">
        <v>245.70000000000002</v>
      </c>
    </row>
    <row r="477" spans="2:10" x14ac:dyDescent="0.2">
      <c r="B477" t="s">
        <v>780</v>
      </c>
      <c r="C477" t="s">
        <v>31</v>
      </c>
      <c r="D477" t="s">
        <v>781</v>
      </c>
      <c r="E477" t="s">
        <v>399</v>
      </c>
      <c r="F477" t="s">
        <v>400</v>
      </c>
      <c r="G477" t="s">
        <v>1033</v>
      </c>
      <c r="H477" t="s">
        <v>30</v>
      </c>
      <c r="I477" s="1">
        <v>1</v>
      </c>
      <c r="J477" s="2">
        <v>818.97</v>
      </c>
    </row>
    <row r="478" spans="2:10" x14ac:dyDescent="0.2">
      <c r="B478" t="s">
        <v>780</v>
      </c>
      <c r="C478" t="s">
        <v>51</v>
      </c>
      <c r="D478" t="s">
        <v>781</v>
      </c>
      <c r="E478" t="s">
        <v>44</v>
      </c>
      <c r="F478" t="s">
        <v>45</v>
      </c>
      <c r="G478" t="s">
        <v>1033</v>
      </c>
      <c r="H478" t="s">
        <v>30</v>
      </c>
      <c r="I478" s="1">
        <v>2</v>
      </c>
      <c r="J478" s="2">
        <v>163.80000000000001</v>
      </c>
    </row>
    <row r="479" spans="2:10" x14ac:dyDescent="0.2">
      <c r="B479" t="s">
        <v>780</v>
      </c>
      <c r="C479" t="s">
        <v>82</v>
      </c>
      <c r="D479" t="s">
        <v>781</v>
      </c>
      <c r="E479" t="s">
        <v>44</v>
      </c>
      <c r="F479" t="s">
        <v>45</v>
      </c>
      <c r="G479" t="s">
        <v>1033</v>
      </c>
      <c r="H479" t="s">
        <v>30</v>
      </c>
      <c r="I479" s="1">
        <v>2</v>
      </c>
      <c r="J479" s="2">
        <v>163.80000000000001</v>
      </c>
    </row>
    <row r="480" spans="2:10" x14ac:dyDescent="0.2">
      <c r="B480" t="s">
        <v>780</v>
      </c>
      <c r="C480" t="s">
        <v>82</v>
      </c>
      <c r="D480" t="s">
        <v>781</v>
      </c>
      <c r="E480" t="s">
        <v>28</v>
      </c>
      <c r="F480" t="s">
        <v>29</v>
      </c>
      <c r="G480" t="s">
        <v>1033</v>
      </c>
      <c r="H480" t="s">
        <v>30</v>
      </c>
      <c r="I480" s="1">
        <v>1</v>
      </c>
      <c r="J480" s="2">
        <v>155.16999999999999</v>
      </c>
    </row>
    <row r="481" spans="2:10" x14ac:dyDescent="0.2">
      <c r="B481" t="s">
        <v>780</v>
      </c>
      <c r="C481" t="s">
        <v>88</v>
      </c>
      <c r="D481" t="s">
        <v>781</v>
      </c>
      <c r="E481" t="s">
        <v>44</v>
      </c>
      <c r="F481" t="s">
        <v>45</v>
      </c>
      <c r="G481" t="s">
        <v>1033</v>
      </c>
      <c r="H481" t="s">
        <v>30</v>
      </c>
      <c r="I481" s="1">
        <v>4</v>
      </c>
      <c r="J481" s="2">
        <v>327.60000000000002</v>
      </c>
    </row>
    <row r="482" spans="2:10" x14ac:dyDescent="0.2">
      <c r="B482" t="s">
        <v>780</v>
      </c>
      <c r="C482" t="s">
        <v>88</v>
      </c>
      <c r="D482" t="s">
        <v>781</v>
      </c>
      <c r="E482" t="s">
        <v>605</v>
      </c>
      <c r="F482" t="s">
        <v>606</v>
      </c>
      <c r="G482" t="s">
        <v>1033</v>
      </c>
      <c r="H482" t="s">
        <v>30</v>
      </c>
      <c r="I482" s="1">
        <v>1</v>
      </c>
      <c r="J482" s="2">
        <v>465.52</v>
      </c>
    </row>
    <row r="483" spans="2:10" x14ac:dyDescent="0.2">
      <c r="B483" t="s">
        <v>780</v>
      </c>
      <c r="C483" t="s">
        <v>88</v>
      </c>
      <c r="D483" t="s">
        <v>781</v>
      </c>
      <c r="E483" t="s">
        <v>28</v>
      </c>
      <c r="F483" t="s">
        <v>29</v>
      </c>
      <c r="G483" t="s">
        <v>1033</v>
      </c>
      <c r="H483" t="s">
        <v>30</v>
      </c>
      <c r="I483" s="1">
        <v>1</v>
      </c>
      <c r="J483" s="2">
        <v>155.16999999999999</v>
      </c>
    </row>
    <row r="484" spans="2:10" x14ac:dyDescent="0.2">
      <c r="B484" t="s">
        <v>780</v>
      </c>
      <c r="C484" t="s">
        <v>117</v>
      </c>
      <c r="D484" t="s">
        <v>781</v>
      </c>
      <c r="E484" t="s">
        <v>41</v>
      </c>
      <c r="F484" t="s">
        <v>42</v>
      </c>
      <c r="G484" t="s">
        <v>1033</v>
      </c>
      <c r="H484" t="s">
        <v>30</v>
      </c>
      <c r="I484" s="1">
        <v>1</v>
      </c>
      <c r="J484" s="2">
        <v>34.479999999999997</v>
      </c>
    </row>
    <row r="485" spans="2:10" x14ac:dyDescent="0.2">
      <c r="B485" t="s">
        <v>780</v>
      </c>
      <c r="C485" t="s">
        <v>117</v>
      </c>
      <c r="D485" t="s">
        <v>781</v>
      </c>
      <c r="E485" t="s">
        <v>44</v>
      </c>
      <c r="F485" t="s">
        <v>45</v>
      </c>
      <c r="G485" t="s">
        <v>1033</v>
      </c>
      <c r="H485" t="s">
        <v>30</v>
      </c>
      <c r="I485" s="1">
        <v>3</v>
      </c>
      <c r="J485" s="2">
        <v>245.70000000000002</v>
      </c>
    </row>
    <row r="486" spans="2:10" x14ac:dyDescent="0.2">
      <c r="B486" t="s">
        <v>780</v>
      </c>
      <c r="C486" t="s">
        <v>117</v>
      </c>
      <c r="D486" t="s">
        <v>781</v>
      </c>
      <c r="E486" t="s">
        <v>675</v>
      </c>
      <c r="F486" t="s">
        <v>676</v>
      </c>
      <c r="G486" t="s">
        <v>1033</v>
      </c>
      <c r="H486" t="s">
        <v>30</v>
      </c>
      <c r="I486" s="1">
        <v>1</v>
      </c>
      <c r="J486" s="2">
        <v>1508.62</v>
      </c>
    </row>
    <row r="487" spans="2:10" x14ac:dyDescent="0.2">
      <c r="B487" t="s">
        <v>780</v>
      </c>
      <c r="C487" t="s">
        <v>117</v>
      </c>
      <c r="D487" t="s">
        <v>781</v>
      </c>
      <c r="E487" t="s">
        <v>278</v>
      </c>
      <c r="F487" t="s">
        <v>279</v>
      </c>
      <c r="G487" t="s">
        <v>1033</v>
      </c>
      <c r="H487" t="s">
        <v>30</v>
      </c>
      <c r="I487" s="1">
        <v>1</v>
      </c>
      <c r="J487" s="2">
        <v>112.07</v>
      </c>
    </row>
    <row r="488" spans="2:10" x14ac:dyDescent="0.2">
      <c r="B488" t="s">
        <v>780</v>
      </c>
      <c r="C488" t="s">
        <v>117</v>
      </c>
      <c r="D488" t="s">
        <v>781</v>
      </c>
      <c r="E488" t="s">
        <v>399</v>
      </c>
      <c r="F488" t="s">
        <v>400</v>
      </c>
      <c r="G488" t="s">
        <v>1033</v>
      </c>
      <c r="H488" t="s">
        <v>30</v>
      </c>
      <c r="I488" s="1">
        <v>1</v>
      </c>
      <c r="J488" s="2">
        <v>818.97</v>
      </c>
    </row>
    <row r="489" spans="2:10" x14ac:dyDescent="0.2">
      <c r="B489" t="s">
        <v>780</v>
      </c>
      <c r="C489" t="s">
        <v>117</v>
      </c>
      <c r="D489" t="s">
        <v>781</v>
      </c>
      <c r="E489" t="s">
        <v>70</v>
      </c>
      <c r="F489" t="s">
        <v>71</v>
      </c>
      <c r="G489" t="s">
        <v>1033</v>
      </c>
      <c r="H489" t="s">
        <v>30</v>
      </c>
      <c r="I489" s="1">
        <v>1</v>
      </c>
      <c r="J489" s="2">
        <v>2112.0700000000002</v>
      </c>
    </row>
    <row r="490" spans="2:10" x14ac:dyDescent="0.2">
      <c r="B490" t="s">
        <v>780</v>
      </c>
      <c r="C490" t="s">
        <v>117</v>
      </c>
      <c r="D490" t="s">
        <v>781</v>
      </c>
      <c r="E490" t="s">
        <v>505</v>
      </c>
      <c r="F490" t="s">
        <v>506</v>
      </c>
      <c r="G490" t="s">
        <v>1033</v>
      </c>
      <c r="H490" t="s">
        <v>30</v>
      </c>
      <c r="I490" s="1">
        <v>1</v>
      </c>
      <c r="J490" s="2">
        <v>775.86</v>
      </c>
    </row>
    <row r="491" spans="2:10" x14ac:dyDescent="0.2">
      <c r="B491" t="s">
        <v>780</v>
      </c>
      <c r="C491" t="s">
        <v>117</v>
      </c>
      <c r="D491" t="s">
        <v>781</v>
      </c>
      <c r="E491" t="s">
        <v>285</v>
      </c>
      <c r="F491" t="s">
        <v>286</v>
      </c>
      <c r="G491" t="s">
        <v>1033</v>
      </c>
      <c r="H491" t="s">
        <v>30</v>
      </c>
      <c r="I491" s="1">
        <v>1</v>
      </c>
      <c r="J491" s="2">
        <v>1034.48</v>
      </c>
    </row>
    <row r="492" spans="2:10" x14ac:dyDescent="0.2">
      <c r="B492" t="s">
        <v>780</v>
      </c>
      <c r="C492" t="s">
        <v>129</v>
      </c>
      <c r="D492" t="s">
        <v>781</v>
      </c>
      <c r="E492" t="s">
        <v>44</v>
      </c>
      <c r="F492" t="s">
        <v>45</v>
      </c>
      <c r="G492" t="s">
        <v>1033</v>
      </c>
      <c r="H492" t="s">
        <v>30</v>
      </c>
      <c r="I492" s="1">
        <v>1</v>
      </c>
      <c r="J492" s="2">
        <v>81.900000000000006</v>
      </c>
    </row>
    <row r="493" spans="2:10" x14ac:dyDescent="0.2">
      <c r="B493" t="s">
        <v>780</v>
      </c>
      <c r="C493" t="s">
        <v>134</v>
      </c>
      <c r="D493" t="s">
        <v>781</v>
      </c>
      <c r="E493" t="s">
        <v>302</v>
      </c>
      <c r="F493" t="s">
        <v>303</v>
      </c>
      <c r="G493" t="s">
        <v>1033</v>
      </c>
      <c r="H493" t="s">
        <v>30</v>
      </c>
      <c r="I493" s="1">
        <v>1</v>
      </c>
      <c r="J493" s="2">
        <v>474.14</v>
      </c>
    </row>
    <row r="494" spans="2:10" x14ac:dyDescent="0.2">
      <c r="B494" t="s">
        <v>780</v>
      </c>
      <c r="C494" t="s">
        <v>135</v>
      </c>
      <c r="D494" t="s">
        <v>781</v>
      </c>
      <c r="E494" t="s">
        <v>44</v>
      </c>
      <c r="F494" t="s">
        <v>45</v>
      </c>
      <c r="G494" t="s">
        <v>1033</v>
      </c>
      <c r="H494" t="s">
        <v>30</v>
      </c>
      <c r="I494" s="1">
        <v>1</v>
      </c>
      <c r="J494" s="2">
        <v>81.900000000000006</v>
      </c>
    </row>
    <row r="495" spans="2:10" x14ac:dyDescent="0.2">
      <c r="B495" t="s">
        <v>780</v>
      </c>
      <c r="C495" t="s">
        <v>135</v>
      </c>
      <c r="D495" t="s">
        <v>781</v>
      </c>
      <c r="E495" t="s">
        <v>310</v>
      </c>
      <c r="F495" t="s">
        <v>311</v>
      </c>
      <c r="G495" t="s">
        <v>1033</v>
      </c>
      <c r="H495" t="s">
        <v>30</v>
      </c>
      <c r="I495" s="1">
        <v>1</v>
      </c>
      <c r="J495" s="2">
        <v>474.14</v>
      </c>
    </row>
    <row r="496" spans="2:10" x14ac:dyDescent="0.2">
      <c r="B496" t="s">
        <v>780</v>
      </c>
      <c r="C496" t="s">
        <v>135</v>
      </c>
      <c r="D496" t="s">
        <v>781</v>
      </c>
      <c r="E496" t="s">
        <v>800</v>
      </c>
      <c r="F496" t="s">
        <v>801</v>
      </c>
      <c r="G496" t="s">
        <v>1033</v>
      </c>
      <c r="H496" t="s">
        <v>30</v>
      </c>
      <c r="I496" s="1">
        <v>1</v>
      </c>
      <c r="J496" s="2">
        <v>1715.52</v>
      </c>
    </row>
    <row r="497" spans="2:10" x14ac:dyDescent="0.2">
      <c r="B497" t="s">
        <v>780</v>
      </c>
      <c r="C497" t="s">
        <v>144</v>
      </c>
      <c r="D497" t="s">
        <v>781</v>
      </c>
      <c r="E497" t="s">
        <v>312</v>
      </c>
      <c r="F497" t="s">
        <v>313</v>
      </c>
      <c r="G497" t="s">
        <v>1033</v>
      </c>
      <c r="H497" t="s">
        <v>30</v>
      </c>
      <c r="I497" s="1">
        <v>1</v>
      </c>
      <c r="J497" s="2">
        <v>603.45000000000005</v>
      </c>
    </row>
    <row r="498" spans="2:10" x14ac:dyDescent="0.2">
      <c r="B498" t="s">
        <v>780</v>
      </c>
      <c r="C498" t="s">
        <v>165</v>
      </c>
      <c r="D498" t="s">
        <v>781</v>
      </c>
      <c r="E498" t="s">
        <v>802</v>
      </c>
      <c r="F498" t="s">
        <v>803</v>
      </c>
      <c r="G498" t="s">
        <v>1033</v>
      </c>
      <c r="H498" t="s">
        <v>30</v>
      </c>
      <c r="I498" s="1">
        <v>1</v>
      </c>
      <c r="J498" s="2">
        <v>366.38</v>
      </c>
    </row>
    <row r="499" spans="2:10" x14ac:dyDescent="0.2">
      <c r="B499" t="s">
        <v>780</v>
      </c>
      <c r="C499" t="s">
        <v>165</v>
      </c>
      <c r="D499" t="s">
        <v>781</v>
      </c>
      <c r="E499" t="s">
        <v>804</v>
      </c>
      <c r="F499" t="s">
        <v>805</v>
      </c>
      <c r="G499" t="s">
        <v>1033</v>
      </c>
      <c r="H499" t="s">
        <v>30</v>
      </c>
      <c r="I499" s="1">
        <v>1</v>
      </c>
      <c r="J499" s="2">
        <v>137.93</v>
      </c>
    </row>
    <row r="500" spans="2:10" x14ac:dyDescent="0.2">
      <c r="B500" t="s">
        <v>780</v>
      </c>
      <c r="C500" t="s">
        <v>165</v>
      </c>
      <c r="D500" t="s">
        <v>781</v>
      </c>
      <c r="E500" t="s">
        <v>44</v>
      </c>
      <c r="F500" t="s">
        <v>45</v>
      </c>
      <c r="G500" t="s">
        <v>1033</v>
      </c>
      <c r="H500" t="s">
        <v>30</v>
      </c>
      <c r="I500" s="1">
        <v>2</v>
      </c>
      <c r="J500" s="2">
        <v>163.80000000000001</v>
      </c>
    </row>
    <row r="501" spans="2:10" x14ac:dyDescent="0.2">
      <c r="B501" t="s">
        <v>780</v>
      </c>
      <c r="C501" t="s">
        <v>165</v>
      </c>
      <c r="D501" t="s">
        <v>781</v>
      </c>
      <c r="E501" t="s">
        <v>490</v>
      </c>
      <c r="F501" t="s">
        <v>491</v>
      </c>
      <c r="G501" t="s">
        <v>1033</v>
      </c>
      <c r="H501" t="s">
        <v>30</v>
      </c>
      <c r="I501" s="1">
        <v>1</v>
      </c>
      <c r="J501" s="2">
        <v>1982.76</v>
      </c>
    </row>
    <row r="502" spans="2:10" x14ac:dyDescent="0.2">
      <c r="B502" t="s">
        <v>780</v>
      </c>
      <c r="C502" t="s">
        <v>165</v>
      </c>
      <c r="D502" t="s">
        <v>781</v>
      </c>
      <c r="E502" t="s">
        <v>273</v>
      </c>
      <c r="F502" t="s">
        <v>274</v>
      </c>
      <c r="G502" t="s">
        <v>1033</v>
      </c>
      <c r="H502" t="s">
        <v>30</v>
      </c>
      <c r="I502" s="1">
        <v>1</v>
      </c>
      <c r="J502" s="2">
        <v>1293.0999999999999</v>
      </c>
    </row>
    <row r="503" spans="2:10" x14ac:dyDescent="0.2">
      <c r="B503" t="s">
        <v>780</v>
      </c>
      <c r="C503" t="s">
        <v>165</v>
      </c>
      <c r="D503" t="s">
        <v>781</v>
      </c>
      <c r="E503" t="s">
        <v>806</v>
      </c>
      <c r="F503" t="s">
        <v>807</v>
      </c>
      <c r="G503" t="s">
        <v>1033</v>
      </c>
      <c r="H503" t="s">
        <v>30</v>
      </c>
      <c r="I503" s="1">
        <v>1</v>
      </c>
      <c r="J503" s="2">
        <v>2232.7600000000002</v>
      </c>
    </row>
    <row r="504" spans="2:10" x14ac:dyDescent="0.2">
      <c r="B504" t="s">
        <v>780</v>
      </c>
      <c r="C504" t="s">
        <v>165</v>
      </c>
      <c r="D504" t="s">
        <v>781</v>
      </c>
      <c r="E504" t="s">
        <v>28</v>
      </c>
      <c r="F504" t="s">
        <v>29</v>
      </c>
      <c r="G504" t="s">
        <v>1033</v>
      </c>
      <c r="H504" t="s">
        <v>30</v>
      </c>
      <c r="I504" s="1">
        <v>1</v>
      </c>
      <c r="J504" s="2">
        <v>155.16999999999999</v>
      </c>
    </row>
    <row r="505" spans="2:10" x14ac:dyDescent="0.2">
      <c r="B505" t="s">
        <v>780</v>
      </c>
      <c r="C505" t="s">
        <v>166</v>
      </c>
      <c r="D505" t="s">
        <v>781</v>
      </c>
      <c r="E505" t="s">
        <v>611</v>
      </c>
      <c r="F505" t="s">
        <v>612</v>
      </c>
      <c r="G505" t="s">
        <v>1033</v>
      </c>
      <c r="H505" t="s">
        <v>30</v>
      </c>
      <c r="I505" s="1">
        <v>1</v>
      </c>
      <c r="J505" s="2">
        <v>793.1</v>
      </c>
    </row>
    <row r="506" spans="2:10" x14ac:dyDescent="0.2">
      <c r="B506" t="s">
        <v>780</v>
      </c>
      <c r="C506" t="s">
        <v>185</v>
      </c>
      <c r="D506" t="s">
        <v>781</v>
      </c>
      <c r="E506" t="s">
        <v>44</v>
      </c>
      <c r="F506" t="s">
        <v>45</v>
      </c>
      <c r="G506" t="s">
        <v>1033</v>
      </c>
      <c r="H506" t="s">
        <v>30</v>
      </c>
      <c r="I506" s="1">
        <v>1</v>
      </c>
      <c r="J506" s="2">
        <v>81.900000000000006</v>
      </c>
    </row>
    <row r="507" spans="2:10" x14ac:dyDescent="0.2">
      <c r="B507" t="s">
        <v>780</v>
      </c>
      <c r="C507" t="s">
        <v>185</v>
      </c>
      <c r="D507" t="s">
        <v>781</v>
      </c>
      <c r="E507" t="s">
        <v>808</v>
      </c>
      <c r="F507" t="s">
        <v>809</v>
      </c>
      <c r="G507" t="s">
        <v>1033</v>
      </c>
      <c r="H507" t="s">
        <v>30</v>
      </c>
      <c r="I507" s="1">
        <v>1</v>
      </c>
      <c r="J507" s="2">
        <v>806.03</v>
      </c>
    </row>
    <row r="508" spans="2:10" x14ac:dyDescent="0.2">
      <c r="B508" t="s">
        <v>780</v>
      </c>
      <c r="C508" t="s">
        <v>185</v>
      </c>
      <c r="D508" t="s">
        <v>781</v>
      </c>
      <c r="E508" t="s">
        <v>249</v>
      </c>
      <c r="F508" t="s">
        <v>250</v>
      </c>
      <c r="G508" t="s">
        <v>1033</v>
      </c>
      <c r="H508" t="s">
        <v>30</v>
      </c>
      <c r="I508" s="1">
        <v>1</v>
      </c>
      <c r="J508" s="2">
        <v>517.24</v>
      </c>
    </row>
    <row r="509" spans="2:10" x14ac:dyDescent="0.2">
      <c r="B509" t="s">
        <v>780</v>
      </c>
      <c r="C509" t="s">
        <v>185</v>
      </c>
      <c r="D509" t="s">
        <v>781</v>
      </c>
      <c r="E509" t="s">
        <v>177</v>
      </c>
      <c r="F509" t="s">
        <v>178</v>
      </c>
      <c r="G509" t="s">
        <v>1033</v>
      </c>
      <c r="H509" t="s">
        <v>30</v>
      </c>
      <c r="I509" s="1">
        <v>1</v>
      </c>
      <c r="J509" s="2">
        <v>637.92999999999995</v>
      </c>
    </row>
    <row r="510" spans="2:10" x14ac:dyDescent="0.2">
      <c r="B510" t="s">
        <v>780</v>
      </c>
      <c r="C510" t="s">
        <v>185</v>
      </c>
      <c r="D510" t="s">
        <v>781</v>
      </c>
      <c r="E510" t="s">
        <v>746</v>
      </c>
      <c r="F510" t="s">
        <v>747</v>
      </c>
      <c r="G510" t="s">
        <v>1033</v>
      </c>
      <c r="H510" t="s">
        <v>30</v>
      </c>
      <c r="I510" s="1">
        <v>1</v>
      </c>
      <c r="J510" s="2">
        <v>474.14</v>
      </c>
    </row>
    <row r="511" spans="2:10" x14ac:dyDescent="0.2">
      <c r="B511" t="s">
        <v>780</v>
      </c>
      <c r="C511" t="s">
        <v>185</v>
      </c>
      <c r="D511" t="s">
        <v>781</v>
      </c>
      <c r="E511" t="s">
        <v>255</v>
      </c>
      <c r="F511" t="s">
        <v>256</v>
      </c>
      <c r="G511" t="s">
        <v>1033</v>
      </c>
      <c r="H511" t="s">
        <v>30</v>
      </c>
      <c r="I511" s="1">
        <v>1</v>
      </c>
      <c r="J511" s="2">
        <v>517.24</v>
      </c>
    </row>
    <row r="512" spans="2:10" x14ac:dyDescent="0.2">
      <c r="B512" t="s">
        <v>780</v>
      </c>
      <c r="C512" t="s">
        <v>185</v>
      </c>
      <c r="D512" t="s">
        <v>781</v>
      </c>
      <c r="E512" t="s">
        <v>257</v>
      </c>
      <c r="F512" t="s">
        <v>258</v>
      </c>
      <c r="G512" t="s">
        <v>1033</v>
      </c>
      <c r="H512" t="s">
        <v>30</v>
      </c>
      <c r="I512" s="1">
        <v>1</v>
      </c>
      <c r="J512" s="2">
        <v>1577.59</v>
      </c>
    </row>
    <row r="513" spans="2:10" x14ac:dyDescent="0.2">
      <c r="B513" t="s">
        <v>780</v>
      </c>
      <c r="C513" t="s">
        <v>335</v>
      </c>
      <c r="D513" t="s">
        <v>781</v>
      </c>
      <c r="E513" t="s">
        <v>810</v>
      </c>
      <c r="F513" t="s">
        <v>811</v>
      </c>
      <c r="G513" t="s">
        <v>1033</v>
      </c>
      <c r="H513" t="s">
        <v>30</v>
      </c>
      <c r="I513" s="1">
        <v>1</v>
      </c>
      <c r="J513" s="2">
        <v>318.97000000000003</v>
      </c>
    </row>
    <row r="514" spans="2:10" x14ac:dyDescent="0.2">
      <c r="B514" t="s">
        <v>780</v>
      </c>
      <c r="C514" t="s">
        <v>335</v>
      </c>
      <c r="D514" t="s">
        <v>781</v>
      </c>
      <c r="E514" t="s">
        <v>251</v>
      </c>
      <c r="F514" t="s">
        <v>252</v>
      </c>
      <c r="G514" t="s">
        <v>1033</v>
      </c>
      <c r="H514" t="s">
        <v>30</v>
      </c>
      <c r="I514" s="1">
        <v>1</v>
      </c>
      <c r="J514" s="2">
        <v>1500</v>
      </c>
    </row>
    <row r="515" spans="2:10" x14ac:dyDescent="0.2">
      <c r="B515" t="s">
        <v>780</v>
      </c>
      <c r="C515" t="s">
        <v>335</v>
      </c>
      <c r="D515" t="s">
        <v>781</v>
      </c>
      <c r="E515" t="s">
        <v>505</v>
      </c>
      <c r="F515" t="s">
        <v>506</v>
      </c>
      <c r="G515" t="s">
        <v>1033</v>
      </c>
      <c r="H515" t="s">
        <v>30</v>
      </c>
      <c r="I515" s="1">
        <v>1</v>
      </c>
      <c r="J515" s="2">
        <v>775.86</v>
      </c>
    </row>
    <row r="516" spans="2:10" x14ac:dyDescent="0.2">
      <c r="B516" t="s">
        <v>780</v>
      </c>
      <c r="C516" t="s">
        <v>335</v>
      </c>
      <c r="D516" t="s">
        <v>781</v>
      </c>
      <c r="E516" t="s">
        <v>255</v>
      </c>
      <c r="F516" t="s">
        <v>256</v>
      </c>
      <c r="G516" t="s">
        <v>1033</v>
      </c>
      <c r="H516" t="s">
        <v>30</v>
      </c>
      <c r="I516" s="1">
        <v>1</v>
      </c>
      <c r="J516" s="2">
        <v>517.24</v>
      </c>
    </row>
    <row r="517" spans="2:10" x14ac:dyDescent="0.2">
      <c r="B517" t="s">
        <v>780</v>
      </c>
      <c r="C517" t="s">
        <v>335</v>
      </c>
      <c r="D517" t="s">
        <v>781</v>
      </c>
      <c r="E517" t="s">
        <v>273</v>
      </c>
      <c r="F517" t="s">
        <v>274</v>
      </c>
      <c r="G517" t="s">
        <v>1033</v>
      </c>
      <c r="H517" t="s">
        <v>30</v>
      </c>
      <c r="I517" s="1">
        <v>1</v>
      </c>
      <c r="J517" s="2">
        <v>1293.0999999999999</v>
      </c>
    </row>
    <row r="518" spans="2:10" x14ac:dyDescent="0.2">
      <c r="B518" t="s">
        <v>780</v>
      </c>
      <c r="C518" t="s">
        <v>335</v>
      </c>
      <c r="D518" t="s">
        <v>781</v>
      </c>
      <c r="E518" t="s">
        <v>762</v>
      </c>
      <c r="F518" t="s">
        <v>763</v>
      </c>
      <c r="G518" t="s">
        <v>1033</v>
      </c>
      <c r="H518" t="s">
        <v>30</v>
      </c>
      <c r="I518" s="1">
        <v>1</v>
      </c>
      <c r="J518" s="2">
        <v>2396.5500000000002</v>
      </c>
    </row>
    <row r="519" spans="2:10" x14ac:dyDescent="0.2">
      <c r="B519" t="s">
        <v>780</v>
      </c>
      <c r="C519" t="s">
        <v>335</v>
      </c>
      <c r="D519" t="s">
        <v>781</v>
      </c>
      <c r="E519" t="s">
        <v>115</v>
      </c>
      <c r="F519" t="s">
        <v>116</v>
      </c>
      <c r="G519" t="s">
        <v>1033</v>
      </c>
      <c r="H519" t="s">
        <v>30</v>
      </c>
      <c r="I519" s="1">
        <v>1</v>
      </c>
      <c r="J519" s="2">
        <v>2465.52</v>
      </c>
    </row>
    <row r="520" spans="2:10" x14ac:dyDescent="0.2">
      <c r="B520" t="s">
        <v>780</v>
      </c>
      <c r="C520" t="s">
        <v>418</v>
      </c>
      <c r="D520" t="s">
        <v>781</v>
      </c>
      <c r="E520" t="s">
        <v>498</v>
      </c>
      <c r="F520" t="s">
        <v>499</v>
      </c>
      <c r="G520" t="s">
        <v>1033</v>
      </c>
      <c r="H520" t="s">
        <v>30</v>
      </c>
      <c r="I520" s="1">
        <v>1</v>
      </c>
      <c r="J520" s="2">
        <v>2672.41</v>
      </c>
    </row>
    <row r="521" spans="2:10" x14ac:dyDescent="0.2">
      <c r="B521" t="s">
        <v>780</v>
      </c>
      <c r="C521" t="s">
        <v>418</v>
      </c>
      <c r="D521" t="s">
        <v>781</v>
      </c>
      <c r="E521" t="s">
        <v>195</v>
      </c>
      <c r="F521" t="s">
        <v>196</v>
      </c>
      <c r="G521" t="s">
        <v>1033</v>
      </c>
      <c r="H521" t="s">
        <v>30</v>
      </c>
      <c r="I521" s="1">
        <v>1</v>
      </c>
      <c r="J521" s="2">
        <v>2120.69</v>
      </c>
    </row>
    <row r="522" spans="2:10" x14ac:dyDescent="0.2">
      <c r="B522" t="s">
        <v>780</v>
      </c>
      <c r="C522" t="s">
        <v>186</v>
      </c>
      <c r="D522" t="s">
        <v>226</v>
      </c>
      <c r="E522" t="s">
        <v>611</v>
      </c>
      <c r="F522" t="s">
        <v>612</v>
      </c>
      <c r="G522" t="s">
        <v>1033</v>
      </c>
      <c r="H522" t="s">
        <v>30</v>
      </c>
      <c r="I522" s="1">
        <v>1</v>
      </c>
      <c r="J522" s="2">
        <v>793.1</v>
      </c>
    </row>
    <row r="523" spans="2:10" x14ac:dyDescent="0.2">
      <c r="B523" t="s">
        <v>780</v>
      </c>
      <c r="C523" t="s">
        <v>186</v>
      </c>
      <c r="D523" t="s">
        <v>226</v>
      </c>
      <c r="E523" t="s">
        <v>169</v>
      </c>
      <c r="F523" t="s">
        <v>170</v>
      </c>
      <c r="G523" t="s">
        <v>1033</v>
      </c>
      <c r="H523" t="s">
        <v>30</v>
      </c>
      <c r="I523" s="1">
        <v>1</v>
      </c>
      <c r="J523" s="2">
        <v>258.62</v>
      </c>
    </row>
    <row r="524" spans="2:10" x14ac:dyDescent="0.2">
      <c r="B524" t="s">
        <v>780</v>
      </c>
      <c r="C524" t="s">
        <v>197</v>
      </c>
      <c r="D524" t="s">
        <v>781</v>
      </c>
      <c r="E524" t="s">
        <v>238</v>
      </c>
      <c r="F524" t="s">
        <v>239</v>
      </c>
      <c r="G524" t="s">
        <v>1033</v>
      </c>
      <c r="H524" t="s">
        <v>30</v>
      </c>
      <c r="I524" s="1">
        <v>1</v>
      </c>
      <c r="J524" s="2">
        <v>396.55</v>
      </c>
    </row>
    <row r="525" spans="2:10" x14ac:dyDescent="0.2">
      <c r="B525" t="s">
        <v>780</v>
      </c>
      <c r="C525" t="s">
        <v>197</v>
      </c>
      <c r="D525" t="s">
        <v>781</v>
      </c>
      <c r="E525" t="s">
        <v>611</v>
      </c>
      <c r="F525" t="s">
        <v>612</v>
      </c>
      <c r="G525" t="s">
        <v>1033</v>
      </c>
      <c r="H525" t="s">
        <v>30</v>
      </c>
      <c r="I525" s="1">
        <v>1</v>
      </c>
      <c r="J525" s="2">
        <v>793.1</v>
      </c>
    </row>
    <row r="526" spans="2:10" x14ac:dyDescent="0.2">
      <c r="B526" t="s">
        <v>780</v>
      </c>
      <c r="C526" t="s">
        <v>197</v>
      </c>
      <c r="D526" t="s">
        <v>781</v>
      </c>
      <c r="E526" t="s">
        <v>756</v>
      </c>
      <c r="F526" t="s">
        <v>757</v>
      </c>
      <c r="G526" t="s">
        <v>1033</v>
      </c>
      <c r="H526" t="s">
        <v>30</v>
      </c>
      <c r="I526" s="1">
        <v>1</v>
      </c>
      <c r="J526" s="2">
        <v>1956.9</v>
      </c>
    </row>
    <row r="527" spans="2:10" x14ac:dyDescent="0.2">
      <c r="B527" t="s">
        <v>780</v>
      </c>
      <c r="C527" t="s">
        <v>206</v>
      </c>
      <c r="D527" t="s">
        <v>781</v>
      </c>
      <c r="E527" t="s">
        <v>350</v>
      </c>
      <c r="F527" t="s">
        <v>351</v>
      </c>
      <c r="G527" t="s">
        <v>1033</v>
      </c>
      <c r="H527" t="s">
        <v>30</v>
      </c>
      <c r="I527" s="1">
        <v>1</v>
      </c>
      <c r="J527" s="2">
        <v>818.97</v>
      </c>
    </row>
    <row r="528" spans="2:10" x14ac:dyDescent="0.2">
      <c r="B528" t="s">
        <v>780</v>
      </c>
      <c r="C528" t="s">
        <v>220</v>
      </c>
      <c r="D528" t="s">
        <v>781</v>
      </c>
      <c r="E528" t="s">
        <v>44</v>
      </c>
      <c r="F528" t="s">
        <v>45</v>
      </c>
      <c r="G528" t="s">
        <v>1033</v>
      </c>
      <c r="H528" t="s">
        <v>30</v>
      </c>
      <c r="I528" s="1">
        <v>2</v>
      </c>
      <c r="J528" s="2">
        <v>163.80000000000001</v>
      </c>
    </row>
    <row r="529" spans="2:10" x14ac:dyDescent="0.2">
      <c r="B529" t="s">
        <v>780</v>
      </c>
      <c r="C529" t="s">
        <v>220</v>
      </c>
      <c r="D529" t="s">
        <v>781</v>
      </c>
      <c r="E529" t="s">
        <v>28</v>
      </c>
      <c r="F529" t="s">
        <v>29</v>
      </c>
      <c r="G529" t="s">
        <v>1033</v>
      </c>
      <c r="H529" t="s">
        <v>30</v>
      </c>
      <c r="I529" s="1">
        <v>2</v>
      </c>
      <c r="J529" s="2">
        <v>310.33999999999997</v>
      </c>
    </row>
    <row r="530" spans="2:10" x14ac:dyDescent="0.2">
      <c r="B530" t="s">
        <v>780</v>
      </c>
      <c r="C530" t="s">
        <v>225</v>
      </c>
      <c r="D530" t="s">
        <v>781</v>
      </c>
      <c r="E530" t="s">
        <v>41</v>
      </c>
      <c r="F530" t="s">
        <v>42</v>
      </c>
      <c r="G530" t="s">
        <v>1033</v>
      </c>
      <c r="H530" t="s">
        <v>30</v>
      </c>
      <c r="I530" s="1">
        <v>1</v>
      </c>
      <c r="J530" s="2">
        <v>34.479999999999997</v>
      </c>
    </row>
    <row r="531" spans="2:10" x14ac:dyDescent="0.2">
      <c r="B531" t="s">
        <v>780</v>
      </c>
      <c r="C531" t="s">
        <v>228</v>
      </c>
      <c r="D531" t="s">
        <v>781</v>
      </c>
      <c r="E531" t="s">
        <v>44</v>
      </c>
      <c r="F531" t="s">
        <v>45</v>
      </c>
      <c r="G531" t="s">
        <v>1033</v>
      </c>
      <c r="H531" t="s">
        <v>30</v>
      </c>
      <c r="I531" s="1">
        <v>1</v>
      </c>
      <c r="J531" s="2">
        <v>81.900000000000006</v>
      </c>
    </row>
    <row r="532" spans="2:10" x14ac:dyDescent="0.2">
      <c r="B532" t="s">
        <v>780</v>
      </c>
      <c r="C532" t="s">
        <v>228</v>
      </c>
      <c r="D532" t="s">
        <v>781</v>
      </c>
      <c r="E532" t="s">
        <v>28</v>
      </c>
      <c r="F532" t="s">
        <v>29</v>
      </c>
      <c r="G532" t="s">
        <v>1033</v>
      </c>
      <c r="H532" t="s">
        <v>30</v>
      </c>
      <c r="I532" s="1">
        <v>1</v>
      </c>
      <c r="J532" s="2">
        <v>155.16999999999999</v>
      </c>
    </row>
    <row r="533" spans="2:10" x14ac:dyDescent="0.2">
      <c r="B533" t="s">
        <v>780</v>
      </c>
      <c r="C533" t="s">
        <v>236</v>
      </c>
      <c r="D533" t="s">
        <v>781</v>
      </c>
      <c r="E533" t="s">
        <v>820</v>
      </c>
      <c r="F533" t="s">
        <v>821</v>
      </c>
      <c r="G533" t="s">
        <v>1033</v>
      </c>
      <c r="H533" t="s">
        <v>30</v>
      </c>
      <c r="I533" s="1">
        <v>1</v>
      </c>
      <c r="J533" s="2">
        <v>258.62</v>
      </c>
    </row>
    <row r="534" spans="2:10" x14ac:dyDescent="0.2">
      <c r="B534" t="s">
        <v>780</v>
      </c>
      <c r="C534" t="s">
        <v>237</v>
      </c>
      <c r="D534" t="s">
        <v>277</v>
      </c>
      <c r="E534" t="s">
        <v>822</v>
      </c>
      <c r="F534" t="s">
        <v>823</v>
      </c>
      <c r="G534" t="s">
        <v>1033</v>
      </c>
      <c r="H534" t="s">
        <v>30</v>
      </c>
      <c r="I534" s="1">
        <v>1</v>
      </c>
      <c r="J534" s="2">
        <v>793.1</v>
      </c>
    </row>
    <row r="535" spans="2:10" x14ac:dyDescent="0.2">
      <c r="B535" t="s">
        <v>780</v>
      </c>
      <c r="C535" t="s">
        <v>237</v>
      </c>
      <c r="D535" t="s">
        <v>277</v>
      </c>
      <c r="E535" t="s">
        <v>273</v>
      </c>
      <c r="F535" t="s">
        <v>274</v>
      </c>
      <c r="G535" t="s">
        <v>1033</v>
      </c>
      <c r="H535" t="s">
        <v>30</v>
      </c>
      <c r="I535" s="1">
        <v>1</v>
      </c>
      <c r="J535" s="2">
        <v>1293.0999999999999</v>
      </c>
    </row>
    <row r="536" spans="2:10" x14ac:dyDescent="0.2">
      <c r="B536" t="s">
        <v>780</v>
      </c>
      <c r="C536" t="s">
        <v>237</v>
      </c>
      <c r="D536" t="s">
        <v>277</v>
      </c>
      <c r="E536" t="s">
        <v>28</v>
      </c>
      <c r="F536" t="s">
        <v>29</v>
      </c>
      <c r="G536" t="s">
        <v>1033</v>
      </c>
      <c r="H536" t="s">
        <v>30</v>
      </c>
      <c r="I536" s="1">
        <v>1</v>
      </c>
      <c r="J536" s="2">
        <v>155.16999999999999</v>
      </c>
    </row>
    <row r="537" spans="2:10" x14ac:dyDescent="0.2">
      <c r="B537" t="s">
        <v>780</v>
      </c>
      <c r="C537" t="s">
        <v>248</v>
      </c>
      <c r="D537" t="s">
        <v>781</v>
      </c>
      <c r="E537" t="s">
        <v>167</v>
      </c>
      <c r="F537" t="s">
        <v>168</v>
      </c>
      <c r="G537" t="s">
        <v>1033</v>
      </c>
      <c r="H537" t="s">
        <v>30</v>
      </c>
      <c r="I537" s="1">
        <v>1</v>
      </c>
      <c r="J537" s="2">
        <v>1267.24</v>
      </c>
    </row>
    <row r="538" spans="2:10" x14ac:dyDescent="0.2">
      <c r="B538" t="s">
        <v>780</v>
      </c>
      <c r="C538" t="s">
        <v>248</v>
      </c>
      <c r="D538" t="s">
        <v>781</v>
      </c>
      <c r="E538" t="s">
        <v>44</v>
      </c>
      <c r="F538" t="s">
        <v>45</v>
      </c>
      <c r="G538" t="s">
        <v>1033</v>
      </c>
      <c r="H538" t="s">
        <v>30</v>
      </c>
      <c r="I538" s="1">
        <v>1</v>
      </c>
      <c r="J538" s="2">
        <v>81.900000000000006</v>
      </c>
    </row>
    <row r="539" spans="2:10" x14ac:dyDescent="0.2">
      <c r="B539" t="s">
        <v>824</v>
      </c>
      <c r="C539" t="s">
        <v>10</v>
      </c>
      <c r="D539" t="s">
        <v>825</v>
      </c>
      <c r="E539" t="s">
        <v>826</v>
      </c>
      <c r="F539" t="s">
        <v>827</v>
      </c>
      <c r="G539" t="s">
        <v>1033</v>
      </c>
      <c r="H539" t="s">
        <v>30</v>
      </c>
      <c r="I539" s="1">
        <v>1</v>
      </c>
      <c r="J539" s="2">
        <v>521.54999999999995</v>
      </c>
    </row>
    <row r="540" spans="2:10" x14ac:dyDescent="0.2">
      <c r="B540" t="s">
        <v>824</v>
      </c>
      <c r="C540" t="s">
        <v>10</v>
      </c>
      <c r="D540" t="s">
        <v>825</v>
      </c>
      <c r="E540" t="s">
        <v>828</v>
      </c>
      <c r="F540" t="s">
        <v>829</v>
      </c>
      <c r="G540" t="s">
        <v>1033</v>
      </c>
      <c r="H540" t="s">
        <v>30</v>
      </c>
      <c r="I540" s="1">
        <v>1</v>
      </c>
      <c r="J540" s="2">
        <v>474.14</v>
      </c>
    </row>
    <row r="541" spans="2:10" x14ac:dyDescent="0.2">
      <c r="B541" t="s">
        <v>824</v>
      </c>
      <c r="C541" t="s">
        <v>10</v>
      </c>
      <c r="D541" t="s">
        <v>825</v>
      </c>
      <c r="E541" t="s">
        <v>97</v>
      </c>
      <c r="F541" t="s">
        <v>98</v>
      </c>
      <c r="G541" t="s">
        <v>1033</v>
      </c>
      <c r="H541" t="s">
        <v>30</v>
      </c>
      <c r="I541" s="1">
        <v>1</v>
      </c>
      <c r="J541" s="2">
        <v>2500</v>
      </c>
    </row>
    <row r="542" spans="2:10" x14ac:dyDescent="0.2">
      <c r="B542" t="s">
        <v>824</v>
      </c>
      <c r="C542" t="s">
        <v>10</v>
      </c>
      <c r="D542" t="s">
        <v>825</v>
      </c>
      <c r="E542" t="s">
        <v>605</v>
      </c>
      <c r="F542" t="s">
        <v>606</v>
      </c>
      <c r="G542" t="s">
        <v>1033</v>
      </c>
      <c r="H542" t="s">
        <v>30</v>
      </c>
      <c r="I542" s="1">
        <v>1</v>
      </c>
      <c r="J542" s="2">
        <v>465.52</v>
      </c>
    </row>
    <row r="543" spans="2:10" x14ac:dyDescent="0.2">
      <c r="B543" t="s">
        <v>824</v>
      </c>
      <c r="C543" t="s">
        <v>10</v>
      </c>
      <c r="D543" t="s">
        <v>825</v>
      </c>
      <c r="E543" t="s">
        <v>115</v>
      </c>
      <c r="F543" t="s">
        <v>116</v>
      </c>
      <c r="G543" t="s">
        <v>1033</v>
      </c>
      <c r="H543" t="s">
        <v>30</v>
      </c>
      <c r="I543" s="1">
        <v>1</v>
      </c>
      <c r="J543" s="2">
        <v>2465.52</v>
      </c>
    </row>
    <row r="544" spans="2:10" x14ac:dyDescent="0.2">
      <c r="B544" t="s">
        <v>824</v>
      </c>
      <c r="C544" t="s">
        <v>31</v>
      </c>
      <c r="D544" t="s">
        <v>825</v>
      </c>
      <c r="E544" t="s">
        <v>328</v>
      </c>
      <c r="F544" t="s">
        <v>329</v>
      </c>
      <c r="G544" t="s">
        <v>1033</v>
      </c>
      <c r="H544" t="s">
        <v>30</v>
      </c>
      <c r="I544" s="1">
        <v>1</v>
      </c>
      <c r="J544" s="2">
        <v>172.41</v>
      </c>
    </row>
    <row r="545" spans="2:10" x14ac:dyDescent="0.2">
      <c r="B545" t="s">
        <v>824</v>
      </c>
      <c r="C545" t="s">
        <v>40</v>
      </c>
      <c r="D545" t="s">
        <v>825</v>
      </c>
      <c r="E545" t="s">
        <v>44</v>
      </c>
      <c r="F545" t="s">
        <v>45</v>
      </c>
      <c r="G545" t="s">
        <v>1033</v>
      </c>
      <c r="H545" t="s">
        <v>30</v>
      </c>
      <c r="I545" s="1">
        <v>1</v>
      </c>
      <c r="J545" s="2">
        <v>81.900000000000006</v>
      </c>
    </row>
    <row r="546" spans="2:10" x14ac:dyDescent="0.2">
      <c r="B546" t="s">
        <v>824</v>
      </c>
      <c r="C546" t="s">
        <v>40</v>
      </c>
      <c r="D546" t="s">
        <v>825</v>
      </c>
      <c r="E546" t="s">
        <v>97</v>
      </c>
      <c r="F546" t="s">
        <v>98</v>
      </c>
      <c r="G546" t="s">
        <v>1033</v>
      </c>
      <c r="H546" t="s">
        <v>30</v>
      </c>
      <c r="I546" s="1">
        <v>1</v>
      </c>
      <c r="J546" s="2">
        <v>2500</v>
      </c>
    </row>
    <row r="547" spans="2:10" x14ac:dyDescent="0.2">
      <c r="B547" t="s">
        <v>824</v>
      </c>
      <c r="C547" t="s">
        <v>51</v>
      </c>
      <c r="D547" t="s">
        <v>825</v>
      </c>
      <c r="E547" t="s">
        <v>318</v>
      </c>
      <c r="F547" t="s">
        <v>319</v>
      </c>
      <c r="G547" t="s">
        <v>1033</v>
      </c>
      <c r="H547" t="s">
        <v>30</v>
      </c>
      <c r="I547" s="1">
        <v>1</v>
      </c>
      <c r="J547" s="2">
        <v>456.9</v>
      </c>
    </row>
    <row r="548" spans="2:10" x14ac:dyDescent="0.2">
      <c r="B548" t="s">
        <v>824</v>
      </c>
      <c r="C548" t="s">
        <v>82</v>
      </c>
      <c r="D548" t="s">
        <v>277</v>
      </c>
      <c r="E548" t="s">
        <v>840</v>
      </c>
      <c r="F548" t="s">
        <v>841</v>
      </c>
      <c r="G548" t="s">
        <v>1033</v>
      </c>
      <c r="H548" t="s">
        <v>30</v>
      </c>
      <c r="I548" s="1">
        <v>1</v>
      </c>
      <c r="J548" s="2">
        <v>2982.76</v>
      </c>
    </row>
    <row r="549" spans="2:10" x14ac:dyDescent="0.2">
      <c r="B549" t="s">
        <v>824</v>
      </c>
      <c r="C549" t="s">
        <v>88</v>
      </c>
      <c r="D549" t="s">
        <v>825</v>
      </c>
      <c r="E549" t="s">
        <v>44</v>
      </c>
      <c r="F549" t="s">
        <v>45</v>
      </c>
      <c r="G549" t="s">
        <v>1033</v>
      </c>
      <c r="H549" t="s">
        <v>30</v>
      </c>
      <c r="I549" s="1">
        <v>1</v>
      </c>
      <c r="J549" s="2">
        <v>81.900000000000006</v>
      </c>
    </row>
    <row r="550" spans="2:10" x14ac:dyDescent="0.2">
      <c r="B550" t="s">
        <v>824</v>
      </c>
      <c r="C550" t="s">
        <v>88</v>
      </c>
      <c r="D550" t="s">
        <v>825</v>
      </c>
      <c r="E550" t="s">
        <v>28</v>
      </c>
      <c r="F550" t="s">
        <v>29</v>
      </c>
      <c r="G550" t="s">
        <v>1033</v>
      </c>
      <c r="H550" t="s">
        <v>30</v>
      </c>
      <c r="I550" s="1">
        <v>2</v>
      </c>
      <c r="J550" s="2">
        <v>310.33999999999997</v>
      </c>
    </row>
    <row r="551" spans="2:10" x14ac:dyDescent="0.2">
      <c r="B551" t="s">
        <v>824</v>
      </c>
      <c r="C551" t="s">
        <v>129</v>
      </c>
      <c r="D551" t="s">
        <v>825</v>
      </c>
      <c r="E551" t="s">
        <v>187</v>
      </c>
      <c r="F551" t="s">
        <v>188</v>
      </c>
      <c r="G551" t="s">
        <v>1033</v>
      </c>
      <c r="H551" t="s">
        <v>30</v>
      </c>
      <c r="I551" s="1">
        <v>1</v>
      </c>
      <c r="J551" s="2">
        <v>258.62</v>
      </c>
    </row>
    <row r="552" spans="2:10" x14ac:dyDescent="0.2">
      <c r="B552" t="s">
        <v>824</v>
      </c>
      <c r="C552" t="s">
        <v>134</v>
      </c>
      <c r="D552" t="s">
        <v>825</v>
      </c>
      <c r="E552" t="s">
        <v>251</v>
      </c>
      <c r="F552" t="s">
        <v>252</v>
      </c>
      <c r="G552" t="s">
        <v>1033</v>
      </c>
      <c r="H552" t="s">
        <v>30</v>
      </c>
      <c r="I552" s="1">
        <v>1</v>
      </c>
      <c r="J552" s="2">
        <v>1500</v>
      </c>
    </row>
    <row r="553" spans="2:10" x14ac:dyDescent="0.2">
      <c r="B553" t="s">
        <v>824</v>
      </c>
      <c r="C553" t="s">
        <v>141</v>
      </c>
      <c r="D553" t="s">
        <v>825</v>
      </c>
      <c r="E553" t="s">
        <v>844</v>
      </c>
      <c r="F553" t="s">
        <v>845</v>
      </c>
      <c r="G553" t="s">
        <v>1033</v>
      </c>
      <c r="H553" t="s">
        <v>30</v>
      </c>
      <c r="I553" s="1">
        <v>1</v>
      </c>
      <c r="J553" s="2">
        <v>1810.34</v>
      </c>
    </row>
    <row r="554" spans="2:10" x14ac:dyDescent="0.2">
      <c r="B554" t="s">
        <v>824</v>
      </c>
      <c r="C554" t="s">
        <v>144</v>
      </c>
      <c r="D554" t="s">
        <v>277</v>
      </c>
      <c r="E554" t="s">
        <v>44</v>
      </c>
      <c r="F554" t="s">
        <v>45</v>
      </c>
      <c r="G554" t="s">
        <v>1033</v>
      </c>
      <c r="H554" t="s">
        <v>30</v>
      </c>
      <c r="I554" s="1">
        <v>2</v>
      </c>
      <c r="J554" s="2">
        <v>163.80000000000001</v>
      </c>
    </row>
    <row r="555" spans="2:10" x14ac:dyDescent="0.2">
      <c r="B555" t="s">
        <v>824</v>
      </c>
      <c r="C555" t="s">
        <v>144</v>
      </c>
      <c r="D555" t="s">
        <v>277</v>
      </c>
      <c r="E555" t="s">
        <v>372</v>
      </c>
      <c r="F555" t="s">
        <v>373</v>
      </c>
      <c r="G555" t="s">
        <v>1033</v>
      </c>
      <c r="H555" t="s">
        <v>30</v>
      </c>
      <c r="I555" s="1">
        <v>1</v>
      </c>
      <c r="J555" s="2">
        <v>2465.52</v>
      </c>
    </row>
    <row r="556" spans="2:10" x14ac:dyDescent="0.2">
      <c r="B556" t="s">
        <v>824</v>
      </c>
      <c r="C556" t="s">
        <v>144</v>
      </c>
      <c r="D556" t="s">
        <v>277</v>
      </c>
      <c r="E556" t="s">
        <v>28</v>
      </c>
      <c r="F556" t="s">
        <v>29</v>
      </c>
      <c r="G556" t="s">
        <v>1033</v>
      </c>
      <c r="H556" t="s">
        <v>30</v>
      </c>
      <c r="I556" s="1">
        <v>1</v>
      </c>
      <c r="J556" s="2">
        <v>155.16999999999999</v>
      </c>
    </row>
    <row r="557" spans="2:10" x14ac:dyDescent="0.2">
      <c r="B557" t="s">
        <v>824</v>
      </c>
      <c r="C557" t="s">
        <v>165</v>
      </c>
      <c r="D557" t="s">
        <v>825</v>
      </c>
      <c r="E557" t="s">
        <v>644</v>
      </c>
      <c r="F557" t="s">
        <v>645</v>
      </c>
      <c r="G557" t="s">
        <v>1033</v>
      </c>
      <c r="H557" t="s">
        <v>30</v>
      </c>
      <c r="I557" s="1">
        <v>1</v>
      </c>
      <c r="J557" s="2">
        <v>431.03</v>
      </c>
    </row>
    <row r="558" spans="2:10" x14ac:dyDescent="0.2">
      <c r="B558" t="s">
        <v>824</v>
      </c>
      <c r="C558" t="s">
        <v>165</v>
      </c>
      <c r="D558" t="s">
        <v>825</v>
      </c>
      <c r="E558" t="s">
        <v>238</v>
      </c>
      <c r="F558" t="s">
        <v>239</v>
      </c>
      <c r="G558" t="s">
        <v>1033</v>
      </c>
      <c r="H558" t="s">
        <v>30</v>
      </c>
      <c r="I558" s="1">
        <v>1</v>
      </c>
      <c r="J558" s="2">
        <v>396.55</v>
      </c>
    </row>
    <row r="559" spans="2:10" x14ac:dyDescent="0.2">
      <c r="B559" t="s">
        <v>824</v>
      </c>
      <c r="C559" t="s">
        <v>165</v>
      </c>
      <c r="D559" t="s">
        <v>825</v>
      </c>
      <c r="E559" t="s">
        <v>44</v>
      </c>
      <c r="F559" t="s">
        <v>45</v>
      </c>
      <c r="G559" t="s">
        <v>1033</v>
      </c>
      <c r="H559" t="s">
        <v>30</v>
      </c>
      <c r="I559" s="1">
        <v>2</v>
      </c>
      <c r="J559" s="2">
        <v>163.80000000000001</v>
      </c>
    </row>
    <row r="560" spans="2:10" x14ac:dyDescent="0.2">
      <c r="B560" t="s">
        <v>824</v>
      </c>
      <c r="C560" t="s">
        <v>165</v>
      </c>
      <c r="D560" t="s">
        <v>825</v>
      </c>
      <c r="E560" t="s">
        <v>28</v>
      </c>
      <c r="F560" t="s">
        <v>29</v>
      </c>
      <c r="G560" t="s">
        <v>1033</v>
      </c>
      <c r="H560" t="s">
        <v>30</v>
      </c>
      <c r="I560" s="1">
        <v>2</v>
      </c>
      <c r="J560" s="2">
        <v>310.33999999999997</v>
      </c>
    </row>
    <row r="561" spans="2:10" x14ac:dyDescent="0.2">
      <c r="B561" t="s">
        <v>824</v>
      </c>
      <c r="C561" t="s">
        <v>166</v>
      </c>
      <c r="D561" t="s">
        <v>825</v>
      </c>
      <c r="E561" t="s">
        <v>44</v>
      </c>
      <c r="F561" t="s">
        <v>45</v>
      </c>
      <c r="G561" t="s">
        <v>1033</v>
      </c>
      <c r="H561" t="s">
        <v>30</v>
      </c>
      <c r="I561" s="1">
        <v>1</v>
      </c>
      <c r="J561" s="2">
        <v>81.900000000000006</v>
      </c>
    </row>
    <row r="562" spans="2:10" x14ac:dyDescent="0.2">
      <c r="B562" t="s">
        <v>824</v>
      </c>
      <c r="C562" t="s">
        <v>166</v>
      </c>
      <c r="D562" t="s">
        <v>825</v>
      </c>
      <c r="E562" t="s">
        <v>848</v>
      </c>
      <c r="F562" t="s">
        <v>849</v>
      </c>
      <c r="G562" t="s">
        <v>1033</v>
      </c>
      <c r="H562" t="s">
        <v>30</v>
      </c>
      <c r="I562" s="1">
        <v>1</v>
      </c>
      <c r="J562" s="2">
        <v>379.31</v>
      </c>
    </row>
    <row r="563" spans="2:10" x14ac:dyDescent="0.2">
      <c r="B563" t="s">
        <v>824</v>
      </c>
      <c r="C563" t="s">
        <v>166</v>
      </c>
      <c r="D563" t="s">
        <v>825</v>
      </c>
      <c r="E563" t="s">
        <v>579</v>
      </c>
      <c r="F563" t="s">
        <v>580</v>
      </c>
      <c r="G563" t="s">
        <v>1033</v>
      </c>
      <c r="H563" t="s">
        <v>30</v>
      </c>
      <c r="I563" s="1">
        <v>1</v>
      </c>
      <c r="J563" s="2">
        <v>77.59</v>
      </c>
    </row>
    <row r="564" spans="2:10" x14ac:dyDescent="0.2">
      <c r="B564" t="s">
        <v>824</v>
      </c>
      <c r="C564" t="s">
        <v>185</v>
      </c>
      <c r="D564" t="s">
        <v>825</v>
      </c>
      <c r="E564" t="s">
        <v>579</v>
      </c>
      <c r="F564" t="s">
        <v>580</v>
      </c>
      <c r="G564" t="s">
        <v>1033</v>
      </c>
      <c r="H564" t="s">
        <v>30</v>
      </c>
      <c r="I564" s="1">
        <v>1</v>
      </c>
      <c r="J564" s="2">
        <v>77.59</v>
      </c>
    </row>
    <row r="565" spans="2:10" x14ac:dyDescent="0.2">
      <c r="B565" t="s">
        <v>824</v>
      </c>
      <c r="C565" t="s">
        <v>335</v>
      </c>
      <c r="D565" t="s">
        <v>825</v>
      </c>
      <c r="E565" t="s">
        <v>44</v>
      </c>
      <c r="F565" t="s">
        <v>45</v>
      </c>
      <c r="G565" t="s">
        <v>1033</v>
      </c>
      <c r="H565" t="s">
        <v>30</v>
      </c>
      <c r="I565" s="1">
        <v>2</v>
      </c>
      <c r="J565" s="2">
        <v>163.80000000000001</v>
      </c>
    </row>
    <row r="566" spans="2:10" x14ac:dyDescent="0.2">
      <c r="B566" t="s">
        <v>824</v>
      </c>
      <c r="C566" t="s">
        <v>335</v>
      </c>
      <c r="D566" t="s">
        <v>825</v>
      </c>
      <c r="E566" t="s">
        <v>828</v>
      </c>
      <c r="F566" t="s">
        <v>829</v>
      </c>
      <c r="G566" t="s">
        <v>1033</v>
      </c>
      <c r="H566" t="s">
        <v>30</v>
      </c>
      <c r="I566" s="1">
        <v>1</v>
      </c>
      <c r="J566" s="2">
        <v>474.14</v>
      </c>
    </row>
    <row r="567" spans="2:10" x14ac:dyDescent="0.2">
      <c r="B567" t="s">
        <v>824</v>
      </c>
      <c r="C567" t="s">
        <v>335</v>
      </c>
      <c r="D567" t="s">
        <v>825</v>
      </c>
      <c r="E567" t="s">
        <v>70</v>
      </c>
      <c r="F567" t="s">
        <v>71</v>
      </c>
      <c r="G567" t="s">
        <v>1033</v>
      </c>
      <c r="H567" t="s">
        <v>30</v>
      </c>
      <c r="I567" s="1">
        <v>1</v>
      </c>
      <c r="J567" s="2">
        <v>2112.0700000000002</v>
      </c>
    </row>
    <row r="568" spans="2:10" x14ac:dyDescent="0.2">
      <c r="B568" t="s">
        <v>824</v>
      </c>
      <c r="C568" t="s">
        <v>335</v>
      </c>
      <c r="D568" t="s">
        <v>825</v>
      </c>
      <c r="E568" t="s">
        <v>28</v>
      </c>
      <c r="F568" t="s">
        <v>29</v>
      </c>
      <c r="G568" t="s">
        <v>1033</v>
      </c>
      <c r="H568" t="s">
        <v>30</v>
      </c>
      <c r="I568" s="1">
        <v>2</v>
      </c>
      <c r="J568" s="2">
        <v>310.33999999999997</v>
      </c>
    </row>
    <row r="569" spans="2:10" x14ac:dyDescent="0.2">
      <c r="B569" t="s">
        <v>824</v>
      </c>
      <c r="C569" t="s">
        <v>186</v>
      </c>
      <c r="D569" t="s">
        <v>825</v>
      </c>
      <c r="E569" t="s">
        <v>302</v>
      </c>
      <c r="F569" t="s">
        <v>303</v>
      </c>
      <c r="G569" t="s">
        <v>1033</v>
      </c>
      <c r="H569" t="s">
        <v>30</v>
      </c>
      <c r="I569" s="1">
        <v>1</v>
      </c>
      <c r="J569" s="2">
        <v>474.14</v>
      </c>
    </row>
    <row r="570" spans="2:10" x14ac:dyDescent="0.2">
      <c r="B570" t="s">
        <v>824</v>
      </c>
      <c r="C570" t="s">
        <v>186</v>
      </c>
      <c r="D570" t="s">
        <v>825</v>
      </c>
      <c r="E570" t="s">
        <v>850</v>
      </c>
      <c r="F570" t="s">
        <v>851</v>
      </c>
      <c r="G570" t="s">
        <v>1033</v>
      </c>
      <c r="H570" t="s">
        <v>30</v>
      </c>
      <c r="I570" s="1">
        <v>1</v>
      </c>
      <c r="J570" s="2">
        <v>1189.6600000000001</v>
      </c>
    </row>
    <row r="571" spans="2:10" x14ac:dyDescent="0.2">
      <c r="B571" t="s">
        <v>824</v>
      </c>
      <c r="C571" t="s">
        <v>197</v>
      </c>
      <c r="D571" t="s">
        <v>277</v>
      </c>
      <c r="E571" t="s">
        <v>338</v>
      </c>
      <c r="F571" t="s">
        <v>339</v>
      </c>
      <c r="G571" t="s">
        <v>1033</v>
      </c>
      <c r="H571" t="s">
        <v>30</v>
      </c>
      <c r="I571" s="1">
        <v>1</v>
      </c>
      <c r="J571" s="2">
        <v>1525.86</v>
      </c>
    </row>
    <row r="572" spans="2:10" x14ac:dyDescent="0.2">
      <c r="B572" t="s">
        <v>824</v>
      </c>
      <c r="C572" t="s">
        <v>197</v>
      </c>
      <c r="D572" t="s">
        <v>277</v>
      </c>
      <c r="E572" t="s">
        <v>70</v>
      </c>
      <c r="F572" t="s">
        <v>71</v>
      </c>
      <c r="G572" t="s">
        <v>1033</v>
      </c>
      <c r="H572" t="s">
        <v>30</v>
      </c>
      <c r="I572" s="1">
        <v>1</v>
      </c>
      <c r="J572" s="2">
        <v>2112.0700000000002</v>
      </c>
    </row>
    <row r="573" spans="2:10" x14ac:dyDescent="0.2">
      <c r="B573" t="s">
        <v>824</v>
      </c>
      <c r="C573" t="s">
        <v>197</v>
      </c>
      <c r="D573" t="s">
        <v>277</v>
      </c>
      <c r="E573" t="s">
        <v>852</v>
      </c>
      <c r="F573" t="s">
        <v>853</v>
      </c>
      <c r="G573" t="s">
        <v>1033</v>
      </c>
      <c r="H573" t="s">
        <v>30</v>
      </c>
      <c r="I573" s="1">
        <v>1</v>
      </c>
      <c r="J573" s="2">
        <v>818.97</v>
      </c>
    </row>
    <row r="574" spans="2:10" x14ac:dyDescent="0.2">
      <c r="B574" t="s">
        <v>824</v>
      </c>
      <c r="C574" t="s">
        <v>220</v>
      </c>
      <c r="D574" t="s">
        <v>825</v>
      </c>
      <c r="E574" t="s">
        <v>44</v>
      </c>
      <c r="F574" t="s">
        <v>45</v>
      </c>
      <c r="G574" t="s">
        <v>1033</v>
      </c>
      <c r="H574" t="s">
        <v>30</v>
      </c>
      <c r="I574" s="1">
        <v>1</v>
      </c>
      <c r="J574" s="2">
        <v>81.900000000000006</v>
      </c>
    </row>
    <row r="575" spans="2:10" x14ac:dyDescent="0.2">
      <c r="B575" t="s">
        <v>824</v>
      </c>
      <c r="C575" t="s">
        <v>220</v>
      </c>
      <c r="D575" t="s">
        <v>825</v>
      </c>
      <c r="E575" t="s">
        <v>553</v>
      </c>
      <c r="F575" t="s">
        <v>554</v>
      </c>
      <c r="G575" t="s">
        <v>1033</v>
      </c>
      <c r="H575" t="s">
        <v>30</v>
      </c>
      <c r="I575" s="1">
        <v>1</v>
      </c>
      <c r="J575" s="2">
        <v>1379.31</v>
      </c>
    </row>
    <row r="576" spans="2:10" x14ac:dyDescent="0.2">
      <c r="B576" t="s">
        <v>824</v>
      </c>
      <c r="C576" t="s">
        <v>228</v>
      </c>
      <c r="D576" t="s">
        <v>825</v>
      </c>
      <c r="E576" t="s">
        <v>44</v>
      </c>
      <c r="F576" t="s">
        <v>45</v>
      </c>
      <c r="G576" t="s">
        <v>1033</v>
      </c>
      <c r="H576" t="s">
        <v>30</v>
      </c>
      <c r="I576" s="1">
        <v>1</v>
      </c>
      <c r="J576" s="2">
        <v>81.900000000000006</v>
      </c>
    </row>
    <row r="577" spans="2:10" x14ac:dyDescent="0.2">
      <c r="B577" t="s">
        <v>824</v>
      </c>
      <c r="C577" t="s">
        <v>233</v>
      </c>
      <c r="D577" t="s">
        <v>277</v>
      </c>
      <c r="E577" t="s">
        <v>324</v>
      </c>
      <c r="F577" t="s">
        <v>325</v>
      </c>
      <c r="G577" t="s">
        <v>1033</v>
      </c>
      <c r="H577" t="s">
        <v>30</v>
      </c>
      <c r="I577" s="1">
        <v>1</v>
      </c>
      <c r="J577" s="2">
        <v>2000</v>
      </c>
    </row>
    <row r="578" spans="2:10" x14ac:dyDescent="0.2">
      <c r="B578" t="s">
        <v>824</v>
      </c>
      <c r="C578" t="s">
        <v>233</v>
      </c>
      <c r="D578" t="s">
        <v>277</v>
      </c>
      <c r="E578" t="s">
        <v>573</v>
      </c>
      <c r="F578" t="s">
        <v>574</v>
      </c>
      <c r="G578" t="s">
        <v>1033</v>
      </c>
      <c r="H578" t="s">
        <v>30</v>
      </c>
      <c r="I578" s="1">
        <v>1</v>
      </c>
      <c r="J578" s="2">
        <v>775.86</v>
      </c>
    </row>
    <row r="579" spans="2:10" x14ac:dyDescent="0.2">
      <c r="B579" t="s">
        <v>824</v>
      </c>
      <c r="C579" t="s">
        <v>248</v>
      </c>
      <c r="D579" t="s">
        <v>825</v>
      </c>
      <c r="E579" t="s">
        <v>302</v>
      </c>
      <c r="F579" t="s">
        <v>303</v>
      </c>
      <c r="G579" t="s">
        <v>1033</v>
      </c>
      <c r="H579" t="s">
        <v>30</v>
      </c>
      <c r="I579" s="1">
        <v>1</v>
      </c>
      <c r="J579" s="2">
        <v>474.14</v>
      </c>
    </row>
    <row r="580" spans="2:10" x14ac:dyDescent="0.2">
      <c r="B580" t="s">
        <v>824</v>
      </c>
      <c r="C580" t="s">
        <v>248</v>
      </c>
      <c r="D580" t="s">
        <v>825</v>
      </c>
      <c r="E580" t="s">
        <v>70</v>
      </c>
      <c r="F580" t="s">
        <v>71</v>
      </c>
      <c r="G580" t="s">
        <v>1033</v>
      </c>
      <c r="H580" t="s">
        <v>30</v>
      </c>
      <c r="I580" s="1">
        <v>2</v>
      </c>
      <c r="J580" s="2">
        <v>4224.1400000000003</v>
      </c>
    </row>
    <row r="581" spans="2:10" x14ac:dyDescent="0.2">
      <c r="B581" t="s">
        <v>824</v>
      </c>
      <c r="C581" t="s">
        <v>248</v>
      </c>
      <c r="D581" t="s">
        <v>825</v>
      </c>
      <c r="E581" t="s">
        <v>28</v>
      </c>
      <c r="F581" t="s">
        <v>29</v>
      </c>
      <c r="G581" t="s">
        <v>1033</v>
      </c>
      <c r="H581" t="s">
        <v>30</v>
      </c>
      <c r="I581" s="1">
        <v>1</v>
      </c>
      <c r="J581" s="2">
        <v>155.16999999999999</v>
      </c>
    </row>
    <row r="582" spans="2:10" x14ac:dyDescent="0.2">
      <c r="B582" t="s">
        <v>866</v>
      </c>
      <c r="C582" t="s">
        <v>10</v>
      </c>
      <c r="D582" t="s">
        <v>226</v>
      </c>
      <c r="E582" t="s">
        <v>559</v>
      </c>
      <c r="F582" t="s">
        <v>560</v>
      </c>
      <c r="G582" t="s">
        <v>1033</v>
      </c>
      <c r="H582" t="s">
        <v>30</v>
      </c>
      <c r="I582" s="1">
        <v>1</v>
      </c>
      <c r="J582" s="2">
        <v>1706.9</v>
      </c>
    </row>
    <row r="583" spans="2:10" x14ac:dyDescent="0.2">
      <c r="B583" t="s">
        <v>866</v>
      </c>
      <c r="C583" t="s">
        <v>18</v>
      </c>
      <c r="D583" t="s">
        <v>226</v>
      </c>
      <c r="E583" t="s">
        <v>312</v>
      </c>
      <c r="F583" t="s">
        <v>313</v>
      </c>
      <c r="G583" t="s">
        <v>1033</v>
      </c>
      <c r="H583" t="s">
        <v>30</v>
      </c>
      <c r="I583" s="1">
        <v>1</v>
      </c>
      <c r="J583" s="2">
        <v>603.45000000000005</v>
      </c>
    </row>
    <row r="584" spans="2:10" x14ac:dyDescent="0.2">
      <c r="B584" t="s">
        <v>866</v>
      </c>
      <c r="C584" t="s">
        <v>18</v>
      </c>
      <c r="D584" t="s">
        <v>226</v>
      </c>
      <c r="E584" t="s">
        <v>28</v>
      </c>
      <c r="F584" t="s">
        <v>29</v>
      </c>
      <c r="G584" t="s">
        <v>1033</v>
      </c>
      <c r="H584" t="s">
        <v>30</v>
      </c>
      <c r="I584" s="1">
        <v>2</v>
      </c>
      <c r="J584" s="2">
        <v>310.33999999999997</v>
      </c>
    </row>
    <row r="585" spans="2:10" x14ac:dyDescent="0.2">
      <c r="B585" t="s">
        <v>866</v>
      </c>
      <c r="C585" t="s">
        <v>31</v>
      </c>
      <c r="D585" t="s">
        <v>226</v>
      </c>
      <c r="E585" t="s">
        <v>28</v>
      </c>
      <c r="F585" t="s">
        <v>29</v>
      </c>
      <c r="G585" t="s">
        <v>1033</v>
      </c>
      <c r="H585" t="s">
        <v>30</v>
      </c>
      <c r="I585" s="1">
        <v>1</v>
      </c>
      <c r="J585" s="2">
        <v>155.16999999999999</v>
      </c>
    </row>
    <row r="586" spans="2:10" x14ac:dyDescent="0.2">
      <c r="B586" t="s">
        <v>866</v>
      </c>
      <c r="C586" t="s">
        <v>40</v>
      </c>
      <c r="D586" t="s">
        <v>226</v>
      </c>
      <c r="E586" t="s">
        <v>372</v>
      </c>
      <c r="F586" t="s">
        <v>373</v>
      </c>
      <c r="G586" t="s">
        <v>1033</v>
      </c>
      <c r="H586" t="s">
        <v>30</v>
      </c>
      <c r="I586" s="1">
        <v>1</v>
      </c>
      <c r="J586" s="2">
        <v>2465.52</v>
      </c>
    </row>
    <row r="587" spans="2:10" x14ac:dyDescent="0.2">
      <c r="B587" t="s">
        <v>866</v>
      </c>
      <c r="C587" t="s">
        <v>40</v>
      </c>
      <c r="D587" t="s">
        <v>226</v>
      </c>
      <c r="E587" t="s">
        <v>28</v>
      </c>
      <c r="F587" t="s">
        <v>29</v>
      </c>
      <c r="G587" t="s">
        <v>1033</v>
      </c>
      <c r="H587" t="s">
        <v>30</v>
      </c>
      <c r="I587" s="1">
        <v>2</v>
      </c>
      <c r="J587" s="2">
        <v>310.33999999999997</v>
      </c>
    </row>
    <row r="588" spans="2:10" x14ac:dyDescent="0.2">
      <c r="B588" t="s">
        <v>866</v>
      </c>
      <c r="C588" t="s">
        <v>51</v>
      </c>
      <c r="D588" t="s">
        <v>226</v>
      </c>
      <c r="E588" t="s">
        <v>44</v>
      </c>
      <c r="F588" t="s">
        <v>45</v>
      </c>
      <c r="G588" t="s">
        <v>1033</v>
      </c>
      <c r="H588" t="s">
        <v>30</v>
      </c>
      <c r="I588" s="1">
        <v>3</v>
      </c>
      <c r="J588" s="2">
        <v>245.70000000000002</v>
      </c>
    </row>
    <row r="589" spans="2:10" x14ac:dyDescent="0.2">
      <c r="B589" t="s">
        <v>866</v>
      </c>
      <c r="C589" t="s">
        <v>51</v>
      </c>
      <c r="D589" t="s">
        <v>226</v>
      </c>
      <c r="E589" t="s">
        <v>871</v>
      </c>
      <c r="F589" t="s">
        <v>872</v>
      </c>
      <c r="G589" t="s">
        <v>1033</v>
      </c>
      <c r="H589" t="s">
        <v>30</v>
      </c>
      <c r="I589" s="1">
        <v>1</v>
      </c>
      <c r="J589" s="2">
        <v>2327.59</v>
      </c>
    </row>
    <row r="590" spans="2:10" x14ac:dyDescent="0.2">
      <c r="B590" t="s">
        <v>866</v>
      </c>
      <c r="C590" t="s">
        <v>51</v>
      </c>
      <c r="D590" t="s">
        <v>226</v>
      </c>
      <c r="E590" t="s">
        <v>28</v>
      </c>
      <c r="F590" t="s">
        <v>29</v>
      </c>
      <c r="G590" t="s">
        <v>1033</v>
      </c>
      <c r="H590" t="s">
        <v>30</v>
      </c>
      <c r="I590" s="1">
        <v>1</v>
      </c>
      <c r="J590" s="2">
        <v>155.16999999999999</v>
      </c>
    </row>
    <row r="591" spans="2:10" x14ac:dyDescent="0.2">
      <c r="B591" t="s">
        <v>866</v>
      </c>
      <c r="C591" t="s">
        <v>65</v>
      </c>
      <c r="D591" t="s">
        <v>226</v>
      </c>
      <c r="E591" t="s">
        <v>318</v>
      </c>
      <c r="F591" t="s">
        <v>319</v>
      </c>
      <c r="G591" t="s">
        <v>1033</v>
      </c>
      <c r="H591" t="s">
        <v>30</v>
      </c>
      <c r="I591" s="1">
        <v>1</v>
      </c>
      <c r="J591" s="2">
        <v>456.9</v>
      </c>
    </row>
    <row r="592" spans="2:10" x14ac:dyDescent="0.2">
      <c r="B592" t="s">
        <v>866</v>
      </c>
      <c r="C592" t="s">
        <v>65</v>
      </c>
      <c r="D592" t="s">
        <v>226</v>
      </c>
      <c r="E592" t="s">
        <v>399</v>
      </c>
      <c r="F592" t="s">
        <v>400</v>
      </c>
      <c r="G592" t="s">
        <v>1033</v>
      </c>
      <c r="H592" t="s">
        <v>30</v>
      </c>
      <c r="I592" s="1">
        <v>1</v>
      </c>
      <c r="J592" s="2">
        <v>818.97</v>
      </c>
    </row>
    <row r="593" spans="2:10" x14ac:dyDescent="0.2">
      <c r="B593" t="s">
        <v>866</v>
      </c>
      <c r="C593" t="s">
        <v>65</v>
      </c>
      <c r="D593" t="s">
        <v>226</v>
      </c>
      <c r="E593" t="s">
        <v>273</v>
      </c>
      <c r="F593" t="s">
        <v>274</v>
      </c>
      <c r="G593" t="s">
        <v>1033</v>
      </c>
      <c r="H593" t="s">
        <v>30</v>
      </c>
      <c r="I593" s="1">
        <v>1</v>
      </c>
      <c r="J593" s="2">
        <v>1293.0999999999999</v>
      </c>
    </row>
    <row r="594" spans="2:10" x14ac:dyDescent="0.2">
      <c r="B594" t="s">
        <v>866</v>
      </c>
      <c r="C594" t="s">
        <v>65</v>
      </c>
      <c r="D594" t="s">
        <v>226</v>
      </c>
      <c r="E594" t="s">
        <v>28</v>
      </c>
      <c r="F594" t="s">
        <v>29</v>
      </c>
      <c r="G594" t="s">
        <v>1033</v>
      </c>
      <c r="H594" t="s">
        <v>30</v>
      </c>
      <c r="I594" s="1">
        <v>1</v>
      </c>
      <c r="J594" s="2">
        <v>155.16999999999999</v>
      </c>
    </row>
    <row r="595" spans="2:10" x14ac:dyDescent="0.2">
      <c r="B595" t="s">
        <v>866</v>
      </c>
      <c r="C595" t="s">
        <v>82</v>
      </c>
      <c r="D595" t="s">
        <v>130</v>
      </c>
      <c r="E595" t="s">
        <v>573</v>
      </c>
      <c r="F595" t="s">
        <v>574</v>
      </c>
      <c r="G595" t="s">
        <v>1033</v>
      </c>
      <c r="H595" t="s">
        <v>30</v>
      </c>
      <c r="I595" s="1">
        <v>1</v>
      </c>
      <c r="J595" s="2">
        <v>775.86</v>
      </c>
    </row>
    <row r="596" spans="2:10" x14ac:dyDescent="0.2">
      <c r="B596" t="s">
        <v>866</v>
      </c>
      <c r="C596" t="s">
        <v>88</v>
      </c>
      <c r="D596" t="s">
        <v>226</v>
      </c>
      <c r="E596" t="s">
        <v>44</v>
      </c>
      <c r="F596" t="s">
        <v>45</v>
      </c>
      <c r="G596" t="s">
        <v>1033</v>
      </c>
      <c r="H596" t="s">
        <v>30</v>
      </c>
      <c r="I596" s="1">
        <v>3</v>
      </c>
      <c r="J596" s="2">
        <v>245.70000000000002</v>
      </c>
    </row>
    <row r="597" spans="2:10" x14ac:dyDescent="0.2">
      <c r="B597" t="s">
        <v>866</v>
      </c>
      <c r="C597" t="s">
        <v>88</v>
      </c>
      <c r="D597" t="s">
        <v>226</v>
      </c>
      <c r="E597" t="s">
        <v>877</v>
      </c>
      <c r="F597" t="s">
        <v>878</v>
      </c>
      <c r="G597" t="s">
        <v>1033</v>
      </c>
      <c r="H597" t="s">
        <v>30</v>
      </c>
      <c r="I597" s="1">
        <v>1</v>
      </c>
      <c r="J597" s="2">
        <v>1551.72</v>
      </c>
    </row>
    <row r="598" spans="2:10" x14ac:dyDescent="0.2">
      <c r="B598" t="s">
        <v>866</v>
      </c>
      <c r="C598" t="s">
        <v>88</v>
      </c>
      <c r="D598" t="s">
        <v>226</v>
      </c>
      <c r="E598" t="s">
        <v>28</v>
      </c>
      <c r="F598" t="s">
        <v>29</v>
      </c>
      <c r="G598" t="s">
        <v>1033</v>
      </c>
      <c r="H598" t="s">
        <v>30</v>
      </c>
      <c r="I598" s="1">
        <v>1</v>
      </c>
      <c r="J598" s="2">
        <v>155.16999999999999</v>
      </c>
    </row>
    <row r="599" spans="2:10" x14ac:dyDescent="0.2">
      <c r="B599" t="s">
        <v>866</v>
      </c>
      <c r="C599" t="s">
        <v>117</v>
      </c>
      <c r="D599" t="s">
        <v>226</v>
      </c>
      <c r="E599" t="s">
        <v>66</v>
      </c>
      <c r="F599" t="s">
        <v>67</v>
      </c>
      <c r="G599" t="s">
        <v>1033</v>
      </c>
      <c r="H599" t="s">
        <v>30</v>
      </c>
      <c r="I599" s="1">
        <v>1</v>
      </c>
      <c r="J599" s="2">
        <v>1681.03</v>
      </c>
    </row>
    <row r="600" spans="2:10" x14ac:dyDescent="0.2">
      <c r="B600" t="s">
        <v>866</v>
      </c>
      <c r="C600" t="s">
        <v>117</v>
      </c>
      <c r="D600" t="s">
        <v>226</v>
      </c>
      <c r="E600" t="s">
        <v>44</v>
      </c>
      <c r="F600" t="s">
        <v>45</v>
      </c>
      <c r="G600" t="s">
        <v>1033</v>
      </c>
      <c r="H600" t="s">
        <v>30</v>
      </c>
      <c r="I600" s="1">
        <v>1</v>
      </c>
      <c r="J600" s="2">
        <v>81.900000000000006</v>
      </c>
    </row>
    <row r="601" spans="2:10" x14ac:dyDescent="0.2">
      <c r="B601" t="s">
        <v>866</v>
      </c>
      <c r="C601" t="s">
        <v>129</v>
      </c>
      <c r="D601" t="s">
        <v>226</v>
      </c>
      <c r="E601" t="s">
        <v>318</v>
      </c>
      <c r="F601" t="s">
        <v>319</v>
      </c>
      <c r="G601" t="s">
        <v>1033</v>
      </c>
      <c r="H601" t="s">
        <v>30</v>
      </c>
      <c r="I601" s="1">
        <v>1</v>
      </c>
      <c r="J601" s="2">
        <v>456.9</v>
      </c>
    </row>
    <row r="602" spans="2:10" x14ac:dyDescent="0.2">
      <c r="B602" t="s">
        <v>866</v>
      </c>
      <c r="C602" t="s">
        <v>135</v>
      </c>
      <c r="D602" t="s">
        <v>32</v>
      </c>
      <c r="E602" t="s">
        <v>883</v>
      </c>
      <c r="F602" t="s">
        <v>884</v>
      </c>
      <c r="G602" t="s">
        <v>1033</v>
      </c>
      <c r="H602" t="s">
        <v>30</v>
      </c>
      <c r="I602" s="1">
        <v>1</v>
      </c>
      <c r="J602" s="2">
        <v>1551.72</v>
      </c>
    </row>
    <row r="603" spans="2:10" x14ac:dyDescent="0.2">
      <c r="B603" t="s">
        <v>866</v>
      </c>
      <c r="C603" t="s">
        <v>135</v>
      </c>
      <c r="D603" t="s">
        <v>32</v>
      </c>
      <c r="E603" t="s">
        <v>28</v>
      </c>
      <c r="F603" t="s">
        <v>29</v>
      </c>
      <c r="G603" t="s">
        <v>1033</v>
      </c>
      <c r="H603" t="s">
        <v>30</v>
      </c>
      <c r="I603" s="1">
        <v>1</v>
      </c>
      <c r="J603" s="2">
        <v>155.16999999999999</v>
      </c>
    </row>
    <row r="604" spans="2:10" x14ac:dyDescent="0.2">
      <c r="B604" t="s">
        <v>866</v>
      </c>
      <c r="C604" t="s">
        <v>141</v>
      </c>
      <c r="D604" t="s">
        <v>277</v>
      </c>
      <c r="E604" t="s">
        <v>28</v>
      </c>
      <c r="F604" t="s">
        <v>29</v>
      </c>
      <c r="G604" t="s">
        <v>1033</v>
      </c>
      <c r="H604" t="s">
        <v>30</v>
      </c>
      <c r="I604" s="1">
        <v>1</v>
      </c>
      <c r="J604" s="2">
        <v>155.16999999999999</v>
      </c>
    </row>
    <row r="605" spans="2:10" x14ac:dyDescent="0.2">
      <c r="B605" t="s">
        <v>866</v>
      </c>
      <c r="C605" t="s">
        <v>144</v>
      </c>
      <c r="D605" t="s">
        <v>32</v>
      </c>
      <c r="E605" t="s">
        <v>399</v>
      </c>
      <c r="F605" t="s">
        <v>400</v>
      </c>
      <c r="G605" t="s">
        <v>1033</v>
      </c>
      <c r="H605" t="s">
        <v>30</v>
      </c>
      <c r="I605" s="1">
        <v>1</v>
      </c>
      <c r="J605" s="2">
        <v>818.97</v>
      </c>
    </row>
    <row r="606" spans="2:10" x14ac:dyDescent="0.2">
      <c r="B606" t="s">
        <v>866</v>
      </c>
      <c r="C606" t="s">
        <v>144</v>
      </c>
      <c r="D606" t="s">
        <v>32</v>
      </c>
      <c r="E606" t="s">
        <v>312</v>
      </c>
      <c r="F606" t="s">
        <v>313</v>
      </c>
      <c r="G606" t="s">
        <v>1033</v>
      </c>
      <c r="H606" t="s">
        <v>30</v>
      </c>
      <c r="I606" s="1">
        <v>1</v>
      </c>
      <c r="J606" s="2">
        <v>603.45000000000005</v>
      </c>
    </row>
    <row r="607" spans="2:10" x14ac:dyDescent="0.2">
      <c r="B607" t="s">
        <v>866</v>
      </c>
      <c r="C607" t="s">
        <v>165</v>
      </c>
      <c r="D607" t="s">
        <v>32</v>
      </c>
      <c r="E607" t="s">
        <v>575</v>
      </c>
      <c r="F607" t="s">
        <v>576</v>
      </c>
      <c r="G607" t="s">
        <v>1033</v>
      </c>
      <c r="H607" t="s">
        <v>30</v>
      </c>
      <c r="I607" s="1">
        <v>1</v>
      </c>
      <c r="J607" s="2">
        <v>474.14</v>
      </c>
    </row>
    <row r="608" spans="2:10" x14ac:dyDescent="0.2">
      <c r="B608" t="s">
        <v>866</v>
      </c>
      <c r="C608" t="s">
        <v>165</v>
      </c>
      <c r="D608" t="s">
        <v>32</v>
      </c>
      <c r="E608" t="s">
        <v>273</v>
      </c>
      <c r="F608" t="s">
        <v>274</v>
      </c>
      <c r="G608" t="s">
        <v>1033</v>
      </c>
      <c r="H608" t="s">
        <v>30</v>
      </c>
      <c r="I608" s="1">
        <v>1</v>
      </c>
      <c r="J608" s="2">
        <v>1293.0999999999999</v>
      </c>
    </row>
    <row r="609" spans="2:10" x14ac:dyDescent="0.2">
      <c r="B609" t="s">
        <v>866</v>
      </c>
      <c r="C609" t="s">
        <v>166</v>
      </c>
      <c r="D609" t="s">
        <v>277</v>
      </c>
      <c r="E609" t="s">
        <v>44</v>
      </c>
      <c r="F609" t="s">
        <v>45</v>
      </c>
      <c r="G609" t="s">
        <v>1033</v>
      </c>
      <c r="H609" t="s">
        <v>30</v>
      </c>
      <c r="I609" s="1">
        <v>1</v>
      </c>
      <c r="J609" s="2">
        <v>81.900000000000006</v>
      </c>
    </row>
    <row r="610" spans="2:10" x14ac:dyDescent="0.2">
      <c r="B610" t="s">
        <v>866</v>
      </c>
      <c r="C610" t="s">
        <v>166</v>
      </c>
      <c r="D610" t="s">
        <v>277</v>
      </c>
      <c r="E610" t="s">
        <v>889</v>
      </c>
      <c r="F610" t="s">
        <v>890</v>
      </c>
      <c r="G610" t="s">
        <v>1033</v>
      </c>
      <c r="H610" t="s">
        <v>30</v>
      </c>
      <c r="I610" s="1">
        <v>1</v>
      </c>
      <c r="J610" s="2">
        <v>2379.31</v>
      </c>
    </row>
    <row r="611" spans="2:10" x14ac:dyDescent="0.2">
      <c r="B611" t="s">
        <v>866</v>
      </c>
      <c r="C611" t="s">
        <v>166</v>
      </c>
      <c r="D611" t="s">
        <v>277</v>
      </c>
      <c r="E611" t="s">
        <v>370</v>
      </c>
      <c r="F611" t="s">
        <v>371</v>
      </c>
      <c r="G611" t="s">
        <v>1033</v>
      </c>
      <c r="H611" t="s">
        <v>30</v>
      </c>
      <c r="I611" s="1">
        <v>1</v>
      </c>
      <c r="J611" s="2">
        <v>1034.48</v>
      </c>
    </row>
    <row r="612" spans="2:10" x14ac:dyDescent="0.2">
      <c r="B612" t="s">
        <v>866</v>
      </c>
      <c r="C612" t="s">
        <v>418</v>
      </c>
      <c r="D612" t="s">
        <v>32</v>
      </c>
      <c r="E612" t="s">
        <v>44</v>
      </c>
      <c r="F612" t="s">
        <v>45</v>
      </c>
      <c r="G612" t="s">
        <v>1033</v>
      </c>
      <c r="H612" t="s">
        <v>30</v>
      </c>
      <c r="I612" s="1">
        <v>1</v>
      </c>
      <c r="J612" s="2">
        <v>81.900000000000006</v>
      </c>
    </row>
    <row r="613" spans="2:10" x14ac:dyDescent="0.2">
      <c r="B613" t="s">
        <v>866</v>
      </c>
      <c r="C613" t="s">
        <v>418</v>
      </c>
      <c r="D613" t="s">
        <v>32</v>
      </c>
      <c r="E613" t="s">
        <v>249</v>
      </c>
      <c r="F613" t="s">
        <v>250</v>
      </c>
      <c r="G613" t="s">
        <v>1033</v>
      </c>
      <c r="H613" t="s">
        <v>30</v>
      </c>
      <c r="I613" s="1">
        <v>1</v>
      </c>
      <c r="J613" s="2">
        <v>517.24</v>
      </c>
    </row>
    <row r="614" spans="2:10" x14ac:dyDescent="0.2">
      <c r="B614" t="s">
        <v>866</v>
      </c>
      <c r="C614" t="s">
        <v>418</v>
      </c>
      <c r="D614" t="s">
        <v>32</v>
      </c>
      <c r="E614" t="s">
        <v>425</v>
      </c>
      <c r="F614" t="s">
        <v>426</v>
      </c>
      <c r="G614" t="s">
        <v>1033</v>
      </c>
      <c r="H614" t="s">
        <v>30</v>
      </c>
      <c r="I614" s="1">
        <v>1</v>
      </c>
      <c r="J614" s="2">
        <v>1137.93</v>
      </c>
    </row>
    <row r="615" spans="2:10" x14ac:dyDescent="0.2">
      <c r="B615" t="s">
        <v>866</v>
      </c>
      <c r="C615" t="s">
        <v>197</v>
      </c>
      <c r="D615" t="s">
        <v>32</v>
      </c>
      <c r="E615" t="s">
        <v>318</v>
      </c>
      <c r="F615" t="s">
        <v>319</v>
      </c>
      <c r="G615" t="s">
        <v>1033</v>
      </c>
      <c r="H615" t="s">
        <v>30</v>
      </c>
      <c r="I615" s="1">
        <v>1</v>
      </c>
      <c r="J615" s="2">
        <v>456.9</v>
      </c>
    </row>
    <row r="616" spans="2:10" x14ac:dyDescent="0.2">
      <c r="B616" t="s">
        <v>866</v>
      </c>
      <c r="C616" t="s">
        <v>197</v>
      </c>
      <c r="D616" t="s">
        <v>32</v>
      </c>
      <c r="E616" t="s">
        <v>338</v>
      </c>
      <c r="F616" t="s">
        <v>339</v>
      </c>
      <c r="G616" t="s">
        <v>1033</v>
      </c>
      <c r="H616" t="s">
        <v>30</v>
      </c>
      <c r="I616" s="1">
        <v>1</v>
      </c>
      <c r="J616" s="2">
        <v>1525.86</v>
      </c>
    </row>
    <row r="617" spans="2:10" x14ac:dyDescent="0.2">
      <c r="B617" t="s">
        <v>866</v>
      </c>
      <c r="C617" t="s">
        <v>197</v>
      </c>
      <c r="D617" t="s">
        <v>32</v>
      </c>
      <c r="E617" t="s">
        <v>201</v>
      </c>
      <c r="F617" t="s">
        <v>202</v>
      </c>
      <c r="G617" t="s">
        <v>1033</v>
      </c>
      <c r="H617" t="s">
        <v>30</v>
      </c>
      <c r="I617" s="1">
        <v>1</v>
      </c>
      <c r="J617" s="2">
        <v>948.28</v>
      </c>
    </row>
    <row r="618" spans="2:10" x14ac:dyDescent="0.2">
      <c r="B618" t="s">
        <v>866</v>
      </c>
      <c r="C618" t="s">
        <v>206</v>
      </c>
      <c r="D618" t="s">
        <v>32</v>
      </c>
      <c r="E618" t="s">
        <v>249</v>
      </c>
      <c r="F618" t="s">
        <v>250</v>
      </c>
      <c r="G618" t="s">
        <v>1033</v>
      </c>
      <c r="H618" t="s">
        <v>30</v>
      </c>
      <c r="I618" s="1">
        <v>1</v>
      </c>
      <c r="J618" s="2">
        <v>517.24</v>
      </c>
    </row>
    <row r="619" spans="2:10" x14ac:dyDescent="0.2">
      <c r="B619" t="s">
        <v>866</v>
      </c>
      <c r="C619" t="s">
        <v>206</v>
      </c>
      <c r="D619" t="s">
        <v>32</v>
      </c>
      <c r="E619" t="s">
        <v>312</v>
      </c>
      <c r="F619" t="s">
        <v>313</v>
      </c>
      <c r="G619" t="s">
        <v>1033</v>
      </c>
      <c r="H619" t="s">
        <v>30</v>
      </c>
      <c r="I619" s="1">
        <v>1</v>
      </c>
      <c r="J619" s="2">
        <v>603.45000000000005</v>
      </c>
    </row>
    <row r="620" spans="2:10" x14ac:dyDescent="0.2">
      <c r="B620" t="s">
        <v>866</v>
      </c>
      <c r="C620" t="s">
        <v>220</v>
      </c>
      <c r="D620" t="s">
        <v>32</v>
      </c>
      <c r="E620" t="s">
        <v>333</v>
      </c>
      <c r="F620" t="s">
        <v>334</v>
      </c>
      <c r="G620" t="s">
        <v>1033</v>
      </c>
      <c r="H620" t="s">
        <v>30</v>
      </c>
      <c r="I620" s="1">
        <v>1</v>
      </c>
      <c r="J620" s="2">
        <v>2413.79</v>
      </c>
    </row>
    <row r="621" spans="2:10" x14ac:dyDescent="0.2">
      <c r="B621" t="s">
        <v>866</v>
      </c>
      <c r="C621" t="s">
        <v>225</v>
      </c>
      <c r="D621" t="s">
        <v>32</v>
      </c>
      <c r="E621" t="s">
        <v>44</v>
      </c>
      <c r="F621" t="s">
        <v>45</v>
      </c>
      <c r="G621" t="s">
        <v>1033</v>
      </c>
      <c r="H621" t="s">
        <v>30</v>
      </c>
      <c r="I621" s="1">
        <v>1</v>
      </c>
      <c r="J621" s="2">
        <v>81.900000000000006</v>
      </c>
    </row>
    <row r="622" spans="2:10" x14ac:dyDescent="0.2">
      <c r="B622" t="s">
        <v>866</v>
      </c>
      <c r="C622" t="s">
        <v>225</v>
      </c>
      <c r="D622" t="s">
        <v>32</v>
      </c>
      <c r="E622" t="s">
        <v>895</v>
      </c>
      <c r="F622" t="s">
        <v>896</v>
      </c>
      <c r="G622" t="s">
        <v>1033</v>
      </c>
      <c r="H622" t="s">
        <v>30</v>
      </c>
      <c r="I622" s="1">
        <v>1</v>
      </c>
      <c r="J622" s="2">
        <v>301.72000000000003</v>
      </c>
    </row>
    <row r="623" spans="2:10" x14ac:dyDescent="0.2">
      <c r="B623" t="s">
        <v>866</v>
      </c>
      <c r="C623" t="s">
        <v>225</v>
      </c>
      <c r="D623" t="s">
        <v>32</v>
      </c>
      <c r="E623" t="s">
        <v>762</v>
      </c>
      <c r="F623" t="s">
        <v>763</v>
      </c>
      <c r="G623" t="s">
        <v>1033</v>
      </c>
      <c r="H623" t="s">
        <v>30</v>
      </c>
      <c r="I623" s="1">
        <v>1</v>
      </c>
      <c r="J623" s="2">
        <v>2396.5500000000002</v>
      </c>
    </row>
    <row r="624" spans="2:10" x14ac:dyDescent="0.2">
      <c r="B624" t="s">
        <v>866</v>
      </c>
      <c r="C624" t="s">
        <v>233</v>
      </c>
      <c r="D624" t="s">
        <v>226</v>
      </c>
      <c r="E624" t="s">
        <v>44</v>
      </c>
      <c r="F624" t="s">
        <v>45</v>
      </c>
      <c r="G624" t="s">
        <v>1033</v>
      </c>
      <c r="H624" t="s">
        <v>30</v>
      </c>
      <c r="I624" s="1">
        <v>2</v>
      </c>
      <c r="J624" s="2">
        <v>163.80000000000001</v>
      </c>
    </row>
    <row r="625" spans="2:10" x14ac:dyDescent="0.2">
      <c r="B625" t="s">
        <v>866</v>
      </c>
      <c r="C625" t="s">
        <v>233</v>
      </c>
      <c r="D625" t="s">
        <v>226</v>
      </c>
      <c r="E625" t="s">
        <v>324</v>
      </c>
      <c r="F625" t="s">
        <v>325</v>
      </c>
      <c r="G625" t="s">
        <v>1033</v>
      </c>
      <c r="H625" t="s">
        <v>30</v>
      </c>
      <c r="I625" s="1">
        <v>1</v>
      </c>
      <c r="J625" s="2">
        <v>2000</v>
      </c>
    </row>
    <row r="626" spans="2:10" x14ac:dyDescent="0.2">
      <c r="B626" t="s">
        <v>866</v>
      </c>
      <c r="C626" t="s">
        <v>233</v>
      </c>
      <c r="D626" t="s">
        <v>226</v>
      </c>
      <c r="E626" t="s">
        <v>28</v>
      </c>
      <c r="F626" t="s">
        <v>29</v>
      </c>
      <c r="G626" t="s">
        <v>1033</v>
      </c>
      <c r="H626" t="s">
        <v>30</v>
      </c>
      <c r="I626" s="1">
        <v>2</v>
      </c>
      <c r="J626" s="2">
        <v>310.33999999999997</v>
      </c>
    </row>
    <row r="627" spans="2:10" x14ac:dyDescent="0.2">
      <c r="B627" t="s">
        <v>866</v>
      </c>
      <c r="C627" t="s">
        <v>236</v>
      </c>
      <c r="D627" t="s">
        <v>226</v>
      </c>
      <c r="E627" t="s">
        <v>44</v>
      </c>
      <c r="F627" t="s">
        <v>45</v>
      </c>
      <c r="G627" t="s">
        <v>1033</v>
      </c>
      <c r="H627" t="s">
        <v>30</v>
      </c>
      <c r="I627" s="1">
        <v>1</v>
      </c>
      <c r="J627" s="2">
        <v>81.900000000000006</v>
      </c>
    </row>
    <row r="628" spans="2:10" x14ac:dyDescent="0.2">
      <c r="B628" t="s">
        <v>866</v>
      </c>
      <c r="C628" t="s">
        <v>237</v>
      </c>
      <c r="D628" t="s">
        <v>226</v>
      </c>
      <c r="E628" t="s">
        <v>901</v>
      </c>
      <c r="F628" t="s">
        <v>902</v>
      </c>
      <c r="G628" t="s">
        <v>1033</v>
      </c>
      <c r="H628" t="s">
        <v>30</v>
      </c>
      <c r="I628" s="1">
        <v>1</v>
      </c>
      <c r="J628" s="2">
        <v>284.48</v>
      </c>
    </row>
    <row r="629" spans="2:10" x14ac:dyDescent="0.2">
      <c r="B629" t="s">
        <v>866</v>
      </c>
      <c r="C629" t="s">
        <v>237</v>
      </c>
      <c r="D629" t="s">
        <v>226</v>
      </c>
      <c r="E629" t="s">
        <v>414</v>
      </c>
      <c r="F629" t="s">
        <v>415</v>
      </c>
      <c r="G629" t="s">
        <v>1033</v>
      </c>
      <c r="H629" t="s">
        <v>30</v>
      </c>
      <c r="I629" s="1">
        <v>1</v>
      </c>
      <c r="J629" s="2">
        <v>646.54999999999995</v>
      </c>
    </row>
    <row r="630" spans="2:10" x14ac:dyDescent="0.2">
      <c r="B630" t="s">
        <v>866</v>
      </c>
      <c r="C630" t="s">
        <v>248</v>
      </c>
      <c r="D630" t="s">
        <v>226</v>
      </c>
      <c r="E630" t="s">
        <v>44</v>
      </c>
      <c r="F630" t="s">
        <v>45</v>
      </c>
      <c r="G630" t="s">
        <v>1033</v>
      </c>
      <c r="H630" t="s">
        <v>30</v>
      </c>
      <c r="I630" s="1">
        <v>1</v>
      </c>
      <c r="J630" s="2">
        <v>81.900000000000006</v>
      </c>
    </row>
    <row r="631" spans="2:10" x14ac:dyDescent="0.2">
      <c r="B631" t="s">
        <v>866</v>
      </c>
      <c r="C631" t="s">
        <v>248</v>
      </c>
      <c r="D631" t="s">
        <v>226</v>
      </c>
      <c r="E631" t="s">
        <v>273</v>
      </c>
      <c r="F631" t="s">
        <v>274</v>
      </c>
      <c r="G631" t="s">
        <v>1033</v>
      </c>
      <c r="H631" t="s">
        <v>30</v>
      </c>
      <c r="I631" s="1">
        <v>1</v>
      </c>
      <c r="J631" s="2">
        <v>1293.0999999999999</v>
      </c>
    </row>
    <row r="632" spans="2:10" x14ac:dyDescent="0.2">
      <c r="B632" t="s">
        <v>866</v>
      </c>
      <c r="C632" t="s">
        <v>248</v>
      </c>
      <c r="D632" t="s">
        <v>226</v>
      </c>
      <c r="E632" t="s">
        <v>905</v>
      </c>
      <c r="F632" t="s">
        <v>906</v>
      </c>
      <c r="G632" t="s">
        <v>1033</v>
      </c>
      <c r="H632" t="s">
        <v>30</v>
      </c>
      <c r="I632" s="1">
        <v>1</v>
      </c>
      <c r="J632" s="2">
        <v>2672.41</v>
      </c>
    </row>
    <row r="633" spans="2:10" x14ac:dyDescent="0.2">
      <c r="B633" t="s">
        <v>907</v>
      </c>
      <c r="C633" t="s">
        <v>10</v>
      </c>
      <c r="D633" t="s">
        <v>908</v>
      </c>
      <c r="E633" t="s">
        <v>302</v>
      </c>
      <c r="F633" t="s">
        <v>303</v>
      </c>
      <c r="G633" t="s">
        <v>1033</v>
      </c>
      <c r="H633" t="s">
        <v>30</v>
      </c>
      <c r="I633" s="1">
        <v>1</v>
      </c>
      <c r="J633" s="2">
        <v>474.14</v>
      </c>
    </row>
    <row r="634" spans="2:10" x14ac:dyDescent="0.2">
      <c r="B634" t="s">
        <v>907</v>
      </c>
      <c r="C634" t="s">
        <v>10</v>
      </c>
      <c r="D634" t="s">
        <v>908</v>
      </c>
      <c r="E634" t="s">
        <v>399</v>
      </c>
      <c r="F634" t="s">
        <v>400</v>
      </c>
      <c r="G634" t="s">
        <v>1033</v>
      </c>
      <c r="H634" t="s">
        <v>30</v>
      </c>
      <c r="I634" s="1">
        <v>1</v>
      </c>
      <c r="J634" s="2">
        <v>818.97</v>
      </c>
    </row>
    <row r="635" spans="2:10" x14ac:dyDescent="0.2">
      <c r="B635" t="s">
        <v>907</v>
      </c>
      <c r="C635" t="s">
        <v>10</v>
      </c>
      <c r="D635" t="s">
        <v>908</v>
      </c>
      <c r="E635" t="s">
        <v>505</v>
      </c>
      <c r="F635" t="s">
        <v>506</v>
      </c>
      <c r="G635" t="s">
        <v>1033</v>
      </c>
      <c r="H635" t="s">
        <v>30</v>
      </c>
      <c r="I635" s="1">
        <v>1</v>
      </c>
      <c r="J635" s="2">
        <v>775.86</v>
      </c>
    </row>
    <row r="636" spans="2:10" x14ac:dyDescent="0.2">
      <c r="B636" t="s">
        <v>907</v>
      </c>
      <c r="C636" t="s">
        <v>10</v>
      </c>
      <c r="D636" t="s">
        <v>908</v>
      </c>
      <c r="E636" t="s">
        <v>484</v>
      </c>
      <c r="F636" t="s">
        <v>485</v>
      </c>
      <c r="G636" t="s">
        <v>1033</v>
      </c>
      <c r="H636" t="s">
        <v>30</v>
      </c>
      <c r="I636" s="1">
        <v>1</v>
      </c>
      <c r="J636" s="2">
        <v>2163.79</v>
      </c>
    </row>
    <row r="637" spans="2:10" x14ac:dyDescent="0.2">
      <c r="B637" t="s">
        <v>907</v>
      </c>
      <c r="C637" t="s">
        <v>18</v>
      </c>
      <c r="D637" t="s">
        <v>908</v>
      </c>
      <c r="E637" t="s">
        <v>238</v>
      </c>
      <c r="F637" t="s">
        <v>239</v>
      </c>
      <c r="G637" t="s">
        <v>1033</v>
      </c>
      <c r="H637" t="s">
        <v>30</v>
      </c>
      <c r="I637" s="1">
        <v>1</v>
      </c>
      <c r="J637" s="2">
        <v>396.55</v>
      </c>
    </row>
    <row r="638" spans="2:10" x14ac:dyDescent="0.2">
      <c r="B638" t="s">
        <v>907</v>
      </c>
      <c r="C638" t="s">
        <v>18</v>
      </c>
      <c r="D638" t="s">
        <v>908</v>
      </c>
      <c r="E638" t="s">
        <v>44</v>
      </c>
      <c r="F638" t="s">
        <v>45</v>
      </c>
      <c r="G638" t="s">
        <v>1033</v>
      </c>
      <c r="H638" t="s">
        <v>30</v>
      </c>
      <c r="I638" s="1">
        <v>2</v>
      </c>
      <c r="J638" s="2">
        <v>163.80000000000001</v>
      </c>
    </row>
    <row r="639" spans="2:10" x14ac:dyDescent="0.2">
      <c r="B639" t="s">
        <v>907</v>
      </c>
      <c r="C639" t="s">
        <v>18</v>
      </c>
      <c r="D639" t="s">
        <v>908</v>
      </c>
      <c r="E639" t="s">
        <v>498</v>
      </c>
      <c r="F639" t="s">
        <v>499</v>
      </c>
      <c r="G639" t="s">
        <v>1033</v>
      </c>
      <c r="H639" t="s">
        <v>30</v>
      </c>
      <c r="I639" s="1">
        <v>1</v>
      </c>
      <c r="J639" s="2">
        <v>2672.41</v>
      </c>
    </row>
    <row r="640" spans="2:10" x14ac:dyDescent="0.2">
      <c r="B640" t="s">
        <v>907</v>
      </c>
      <c r="C640" t="s">
        <v>18</v>
      </c>
      <c r="D640" t="s">
        <v>908</v>
      </c>
      <c r="E640" t="s">
        <v>28</v>
      </c>
      <c r="F640" t="s">
        <v>29</v>
      </c>
      <c r="G640" t="s">
        <v>1033</v>
      </c>
      <c r="H640" t="s">
        <v>30</v>
      </c>
      <c r="I640" s="1">
        <v>1</v>
      </c>
      <c r="J640" s="2">
        <v>155.16999999999999</v>
      </c>
    </row>
    <row r="641" spans="2:10" x14ac:dyDescent="0.2">
      <c r="B641" t="s">
        <v>907</v>
      </c>
      <c r="C641" t="s">
        <v>31</v>
      </c>
      <c r="D641" t="s">
        <v>130</v>
      </c>
      <c r="E641" t="s">
        <v>871</v>
      </c>
      <c r="F641" t="s">
        <v>872</v>
      </c>
      <c r="G641" t="s">
        <v>1033</v>
      </c>
      <c r="H641" t="s">
        <v>30</v>
      </c>
      <c r="I641" s="1">
        <v>1</v>
      </c>
      <c r="J641" s="2">
        <v>2327.59</v>
      </c>
    </row>
    <row r="642" spans="2:10" x14ac:dyDescent="0.2">
      <c r="B642" t="s">
        <v>907</v>
      </c>
      <c r="C642" t="s">
        <v>40</v>
      </c>
      <c r="D642" t="s">
        <v>908</v>
      </c>
      <c r="E642" t="s">
        <v>356</v>
      </c>
      <c r="F642" t="s">
        <v>357</v>
      </c>
      <c r="G642" t="s">
        <v>1033</v>
      </c>
      <c r="H642" t="s">
        <v>30</v>
      </c>
      <c r="I642" s="1">
        <v>1</v>
      </c>
      <c r="J642" s="2">
        <v>2198.2800000000002</v>
      </c>
    </row>
    <row r="643" spans="2:10" x14ac:dyDescent="0.2">
      <c r="B643" t="s">
        <v>907</v>
      </c>
      <c r="C643" t="s">
        <v>40</v>
      </c>
      <c r="D643" t="s">
        <v>908</v>
      </c>
      <c r="E643" t="s">
        <v>308</v>
      </c>
      <c r="F643" t="s">
        <v>309</v>
      </c>
      <c r="G643" t="s">
        <v>1033</v>
      </c>
      <c r="H643" t="s">
        <v>30</v>
      </c>
      <c r="I643" s="1">
        <v>1</v>
      </c>
      <c r="J643" s="2">
        <v>818.97</v>
      </c>
    </row>
    <row r="644" spans="2:10" x14ac:dyDescent="0.2">
      <c r="B644" t="s">
        <v>907</v>
      </c>
      <c r="C644" t="s">
        <v>51</v>
      </c>
      <c r="D644" t="s">
        <v>908</v>
      </c>
      <c r="E644" t="s">
        <v>238</v>
      </c>
      <c r="F644" t="s">
        <v>239</v>
      </c>
      <c r="G644" t="s">
        <v>1033</v>
      </c>
      <c r="H644" t="s">
        <v>30</v>
      </c>
      <c r="I644" s="1">
        <v>1</v>
      </c>
      <c r="J644" s="2">
        <v>396.55</v>
      </c>
    </row>
    <row r="645" spans="2:10" x14ac:dyDescent="0.2">
      <c r="B645" t="s">
        <v>907</v>
      </c>
      <c r="C645" t="s">
        <v>51</v>
      </c>
      <c r="D645" t="s">
        <v>908</v>
      </c>
      <c r="E645" t="s">
        <v>275</v>
      </c>
      <c r="F645" t="s">
        <v>276</v>
      </c>
      <c r="G645" t="s">
        <v>1033</v>
      </c>
      <c r="H645" t="s">
        <v>30</v>
      </c>
      <c r="I645" s="1">
        <v>1</v>
      </c>
      <c r="J645" s="2">
        <v>1551.72</v>
      </c>
    </row>
    <row r="646" spans="2:10" x14ac:dyDescent="0.2">
      <c r="B646" t="s">
        <v>907</v>
      </c>
      <c r="C646" t="s">
        <v>82</v>
      </c>
      <c r="D646" t="s">
        <v>908</v>
      </c>
      <c r="E646" t="s">
        <v>368</v>
      </c>
      <c r="F646" t="s">
        <v>369</v>
      </c>
      <c r="G646" t="s">
        <v>1033</v>
      </c>
      <c r="H646" t="s">
        <v>30</v>
      </c>
      <c r="I646" s="1">
        <v>1</v>
      </c>
      <c r="J646" s="2">
        <v>612.07000000000005</v>
      </c>
    </row>
    <row r="647" spans="2:10" x14ac:dyDescent="0.2">
      <c r="B647" t="s">
        <v>907</v>
      </c>
      <c r="C647" t="s">
        <v>82</v>
      </c>
      <c r="D647" t="s">
        <v>908</v>
      </c>
      <c r="E647" t="s">
        <v>312</v>
      </c>
      <c r="F647" t="s">
        <v>313</v>
      </c>
      <c r="G647" t="s">
        <v>1033</v>
      </c>
      <c r="H647" t="s">
        <v>30</v>
      </c>
      <c r="I647" s="1">
        <v>1</v>
      </c>
      <c r="J647" s="2">
        <v>603.45000000000005</v>
      </c>
    </row>
    <row r="648" spans="2:10" x14ac:dyDescent="0.2">
      <c r="B648" t="s">
        <v>907</v>
      </c>
      <c r="C648" t="s">
        <v>82</v>
      </c>
      <c r="D648" t="s">
        <v>908</v>
      </c>
      <c r="E648" t="s">
        <v>370</v>
      </c>
      <c r="F648" t="s">
        <v>371</v>
      </c>
      <c r="G648" t="s">
        <v>1033</v>
      </c>
      <c r="H648" t="s">
        <v>30</v>
      </c>
      <c r="I648" s="1">
        <v>1</v>
      </c>
      <c r="J648" s="2">
        <v>1034.48</v>
      </c>
    </row>
    <row r="649" spans="2:10" x14ac:dyDescent="0.2">
      <c r="B649" t="s">
        <v>907</v>
      </c>
      <c r="C649" t="s">
        <v>88</v>
      </c>
      <c r="D649" t="s">
        <v>908</v>
      </c>
      <c r="E649" t="s">
        <v>611</v>
      </c>
      <c r="F649" t="s">
        <v>612</v>
      </c>
      <c r="G649" t="s">
        <v>1033</v>
      </c>
      <c r="H649" t="s">
        <v>30</v>
      </c>
      <c r="I649" s="1">
        <v>1</v>
      </c>
      <c r="J649" s="2">
        <v>793.1</v>
      </c>
    </row>
    <row r="650" spans="2:10" x14ac:dyDescent="0.2">
      <c r="B650" t="s">
        <v>907</v>
      </c>
      <c r="C650" t="s">
        <v>88</v>
      </c>
      <c r="D650" t="s">
        <v>908</v>
      </c>
      <c r="E650" t="s">
        <v>909</v>
      </c>
      <c r="F650" t="s">
        <v>910</v>
      </c>
      <c r="G650" t="s">
        <v>1033</v>
      </c>
      <c r="H650" t="s">
        <v>30</v>
      </c>
      <c r="I650" s="1">
        <v>1</v>
      </c>
      <c r="J650" s="2">
        <v>379.31</v>
      </c>
    </row>
    <row r="651" spans="2:10" x14ac:dyDescent="0.2">
      <c r="B651" t="s">
        <v>907</v>
      </c>
      <c r="C651" t="s">
        <v>88</v>
      </c>
      <c r="D651" t="s">
        <v>908</v>
      </c>
      <c r="E651" t="s">
        <v>70</v>
      </c>
      <c r="F651" t="s">
        <v>71</v>
      </c>
      <c r="G651" t="s">
        <v>1033</v>
      </c>
      <c r="H651" t="s">
        <v>30</v>
      </c>
      <c r="I651" s="1">
        <v>1</v>
      </c>
      <c r="J651" s="2">
        <v>2112.0700000000002</v>
      </c>
    </row>
    <row r="652" spans="2:10" x14ac:dyDescent="0.2">
      <c r="B652" t="s">
        <v>907</v>
      </c>
      <c r="C652" t="s">
        <v>88</v>
      </c>
      <c r="D652" t="s">
        <v>908</v>
      </c>
      <c r="E652" t="s">
        <v>28</v>
      </c>
      <c r="F652" t="s">
        <v>29</v>
      </c>
      <c r="G652" t="s">
        <v>1033</v>
      </c>
      <c r="H652" t="s">
        <v>30</v>
      </c>
      <c r="I652" s="1">
        <v>1</v>
      </c>
      <c r="J652" s="2">
        <v>155.16999999999999</v>
      </c>
    </row>
    <row r="653" spans="2:10" x14ac:dyDescent="0.2">
      <c r="B653" t="s">
        <v>907</v>
      </c>
      <c r="C653" t="s">
        <v>117</v>
      </c>
      <c r="D653" t="s">
        <v>908</v>
      </c>
      <c r="E653" t="s">
        <v>318</v>
      </c>
      <c r="F653" t="s">
        <v>319</v>
      </c>
      <c r="G653" t="s">
        <v>1033</v>
      </c>
      <c r="H653" t="s">
        <v>30</v>
      </c>
      <c r="I653" s="1">
        <v>1</v>
      </c>
      <c r="J653" s="2">
        <v>456.9</v>
      </c>
    </row>
    <row r="654" spans="2:10" x14ac:dyDescent="0.2">
      <c r="B654" t="s">
        <v>907</v>
      </c>
      <c r="C654" t="s">
        <v>117</v>
      </c>
      <c r="D654" t="s">
        <v>908</v>
      </c>
      <c r="E654" t="s">
        <v>312</v>
      </c>
      <c r="F654" t="s">
        <v>313</v>
      </c>
      <c r="G654" t="s">
        <v>1033</v>
      </c>
      <c r="H654" t="s">
        <v>30</v>
      </c>
      <c r="I654" s="1">
        <v>1</v>
      </c>
      <c r="J654" s="2">
        <v>603.45000000000005</v>
      </c>
    </row>
    <row r="655" spans="2:10" x14ac:dyDescent="0.2">
      <c r="B655" t="s">
        <v>907</v>
      </c>
      <c r="C655" t="s">
        <v>117</v>
      </c>
      <c r="D655" t="s">
        <v>908</v>
      </c>
      <c r="E655" t="s">
        <v>895</v>
      </c>
      <c r="F655" t="s">
        <v>896</v>
      </c>
      <c r="G655" t="s">
        <v>1033</v>
      </c>
      <c r="H655" t="s">
        <v>30</v>
      </c>
      <c r="I655" s="1">
        <v>1</v>
      </c>
      <c r="J655" s="2">
        <v>301.72000000000003</v>
      </c>
    </row>
    <row r="656" spans="2:10" x14ac:dyDescent="0.2">
      <c r="B656" t="s">
        <v>907</v>
      </c>
      <c r="C656" t="s">
        <v>117</v>
      </c>
      <c r="D656" t="s">
        <v>908</v>
      </c>
      <c r="E656" t="s">
        <v>28</v>
      </c>
      <c r="F656" t="s">
        <v>29</v>
      </c>
      <c r="G656" t="s">
        <v>1033</v>
      </c>
      <c r="H656" t="s">
        <v>30</v>
      </c>
      <c r="I656" s="1">
        <v>1</v>
      </c>
      <c r="J656" s="2">
        <v>155.16999999999999</v>
      </c>
    </row>
    <row r="657" spans="2:10" x14ac:dyDescent="0.2">
      <c r="B657" t="s">
        <v>907</v>
      </c>
      <c r="C657" t="s">
        <v>129</v>
      </c>
      <c r="D657" t="s">
        <v>908</v>
      </c>
      <c r="E657" t="s">
        <v>238</v>
      </c>
      <c r="F657" t="s">
        <v>239</v>
      </c>
      <c r="G657" t="s">
        <v>1033</v>
      </c>
      <c r="H657" t="s">
        <v>30</v>
      </c>
      <c r="I657" s="1">
        <v>1</v>
      </c>
      <c r="J657" s="2">
        <v>396.55</v>
      </c>
    </row>
    <row r="658" spans="2:10" x14ac:dyDescent="0.2">
      <c r="B658" t="s">
        <v>907</v>
      </c>
      <c r="C658" t="s">
        <v>134</v>
      </c>
      <c r="D658" t="s">
        <v>130</v>
      </c>
      <c r="E658" t="s">
        <v>679</v>
      </c>
      <c r="F658" t="s">
        <v>680</v>
      </c>
      <c r="G658" t="s">
        <v>1033</v>
      </c>
      <c r="H658" t="s">
        <v>30</v>
      </c>
      <c r="I658" s="1">
        <v>1</v>
      </c>
      <c r="J658" s="2">
        <v>1293.0999999999999</v>
      </c>
    </row>
    <row r="659" spans="2:10" x14ac:dyDescent="0.2">
      <c r="B659" t="s">
        <v>907</v>
      </c>
      <c r="C659" t="s">
        <v>135</v>
      </c>
      <c r="D659" t="s">
        <v>908</v>
      </c>
      <c r="E659" t="s">
        <v>318</v>
      </c>
      <c r="F659" t="s">
        <v>319</v>
      </c>
      <c r="G659" t="s">
        <v>1033</v>
      </c>
      <c r="H659" t="s">
        <v>30</v>
      </c>
      <c r="I659" s="1">
        <v>1</v>
      </c>
      <c r="J659" s="2">
        <v>456.9</v>
      </c>
    </row>
    <row r="660" spans="2:10" x14ac:dyDescent="0.2">
      <c r="B660" t="s">
        <v>907</v>
      </c>
      <c r="C660" t="s">
        <v>135</v>
      </c>
      <c r="D660" t="s">
        <v>908</v>
      </c>
      <c r="E660" t="s">
        <v>915</v>
      </c>
      <c r="F660" t="s">
        <v>916</v>
      </c>
      <c r="G660" t="s">
        <v>1033</v>
      </c>
      <c r="H660" t="s">
        <v>30</v>
      </c>
      <c r="I660" s="1">
        <v>1</v>
      </c>
      <c r="J660" s="2">
        <v>301.72000000000003</v>
      </c>
    </row>
    <row r="661" spans="2:10" x14ac:dyDescent="0.2">
      <c r="B661" t="s">
        <v>907</v>
      </c>
      <c r="C661" t="s">
        <v>135</v>
      </c>
      <c r="D661" t="s">
        <v>908</v>
      </c>
      <c r="E661" t="s">
        <v>358</v>
      </c>
      <c r="F661" t="s">
        <v>359</v>
      </c>
      <c r="G661" t="s">
        <v>1033</v>
      </c>
      <c r="H661" t="s">
        <v>30</v>
      </c>
      <c r="I661" s="1">
        <v>1</v>
      </c>
      <c r="J661" s="2">
        <v>1500</v>
      </c>
    </row>
    <row r="662" spans="2:10" x14ac:dyDescent="0.2">
      <c r="B662" t="s">
        <v>907</v>
      </c>
      <c r="C662" t="s">
        <v>135</v>
      </c>
      <c r="D662" t="s">
        <v>908</v>
      </c>
      <c r="E662" t="s">
        <v>255</v>
      </c>
      <c r="F662" t="s">
        <v>256</v>
      </c>
      <c r="G662" t="s">
        <v>1033</v>
      </c>
      <c r="H662" t="s">
        <v>30</v>
      </c>
      <c r="I662" s="1">
        <v>1</v>
      </c>
      <c r="J662" s="2">
        <v>517.24</v>
      </c>
    </row>
    <row r="663" spans="2:10" x14ac:dyDescent="0.2">
      <c r="B663" t="s">
        <v>907</v>
      </c>
      <c r="C663" t="s">
        <v>141</v>
      </c>
      <c r="D663" t="s">
        <v>908</v>
      </c>
      <c r="E663" t="s">
        <v>318</v>
      </c>
      <c r="F663" t="s">
        <v>319</v>
      </c>
      <c r="G663" t="s">
        <v>1033</v>
      </c>
      <c r="H663" t="s">
        <v>30</v>
      </c>
      <c r="I663" s="1">
        <v>1</v>
      </c>
      <c r="J663" s="2">
        <v>456.9</v>
      </c>
    </row>
    <row r="664" spans="2:10" x14ac:dyDescent="0.2">
      <c r="B664" t="s">
        <v>907</v>
      </c>
      <c r="C664" t="s">
        <v>141</v>
      </c>
      <c r="D664" t="s">
        <v>908</v>
      </c>
      <c r="E664" t="s">
        <v>883</v>
      </c>
      <c r="F664" t="s">
        <v>884</v>
      </c>
      <c r="G664" t="s">
        <v>1033</v>
      </c>
      <c r="H664" t="s">
        <v>30</v>
      </c>
      <c r="I664" s="1">
        <v>1</v>
      </c>
      <c r="J664" s="2">
        <v>1551.72</v>
      </c>
    </row>
    <row r="665" spans="2:10" x14ac:dyDescent="0.2">
      <c r="B665" t="s">
        <v>907</v>
      </c>
      <c r="C665" t="s">
        <v>141</v>
      </c>
      <c r="D665" t="s">
        <v>908</v>
      </c>
      <c r="E665" t="s">
        <v>559</v>
      </c>
      <c r="F665" t="s">
        <v>560</v>
      </c>
      <c r="G665" t="s">
        <v>1033</v>
      </c>
      <c r="H665" t="s">
        <v>30</v>
      </c>
      <c r="I665" s="1">
        <v>1</v>
      </c>
      <c r="J665" s="2">
        <v>1706.9</v>
      </c>
    </row>
    <row r="666" spans="2:10" x14ac:dyDescent="0.2">
      <c r="B666" t="s">
        <v>907</v>
      </c>
      <c r="C666" t="s">
        <v>141</v>
      </c>
      <c r="D666" t="s">
        <v>908</v>
      </c>
      <c r="E666" t="s">
        <v>484</v>
      </c>
      <c r="F666" t="s">
        <v>485</v>
      </c>
      <c r="G666" t="s">
        <v>1033</v>
      </c>
      <c r="H666" t="s">
        <v>30</v>
      </c>
      <c r="I666" s="1">
        <v>1</v>
      </c>
      <c r="J666" s="2">
        <v>2163.79</v>
      </c>
    </row>
    <row r="667" spans="2:10" x14ac:dyDescent="0.2">
      <c r="B667" t="s">
        <v>907</v>
      </c>
      <c r="C667" t="s">
        <v>144</v>
      </c>
      <c r="D667" t="s">
        <v>908</v>
      </c>
      <c r="E667" t="s">
        <v>804</v>
      </c>
      <c r="F667" t="s">
        <v>805</v>
      </c>
      <c r="G667" t="s">
        <v>1033</v>
      </c>
      <c r="H667" t="s">
        <v>30</v>
      </c>
      <c r="I667" s="1">
        <v>1</v>
      </c>
      <c r="J667" s="2">
        <v>137.93</v>
      </c>
    </row>
    <row r="668" spans="2:10" x14ac:dyDescent="0.2">
      <c r="B668" t="s">
        <v>907</v>
      </c>
      <c r="C668" t="s">
        <v>144</v>
      </c>
      <c r="D668" t="s">
        <v>908</v>
      </c>
      <c r="E668" t="s">
        <v>273</v>
      </c>
      <c r="F668" t="s">
        <v>274</v>
      </c>
      <c r="G668" t="s">
        <v>1033</v>
      </c>
      <c r="H668" t="s">
        <v>30</v>
      </c>
      <c r="I668" s="1">
        <v>1</v>
      </c>
      <c r="J668" s="2">
        <v>1293.0999999999999</v>
      </c>
    </row>
    <row r="669" spans="2:10" x14ac:dyDescent="0.2">
      <c r="B669" t="s">
        <v>907</v>
      </c>
      <c r="C669" t="s">
        <v>144</v>
      </c>
      <c r="D669" t="s">
        <v>908</v>
      </c>
      <c r="E669" t="s">
        <v>28</v>
      </c>
      <c r="F669" t="s">
        <v>29</v>
      </c>
      <c r="G669" t="s">
        <v>1033</v>
      </c>
      <c r="H669" t="s">
        <v>30</v>
      </c>
      <c r="I669" s="1">
        <v>1</v>
      </c>
      <c r="J669" s="2">
        <v>155.16999999999999</v>
      </c>
    </row>
    <row r="670" spans="2:10" x14ac:dyDescent="0.2">
      <c r="B670" t="s">
        <v>907</v>
      </c>
      <c r="C670" t="s">
        <v>165</v>
      </c>
      <c r="D670" t="s">
        <v>130</v>
      </c>
      <c r="E670" t="s">
        <v>318</v>
      </c>
      <c r="F670" t="s">
        <v>319</v>
      </c>
      <c r="G670" t="s">
        <v>1033</v>
      </c>
      <c r="H670" t="s">
        <v>30</v>
      </c>
      <c r="I670" s="1">
        <v>1</v>
      </c>
      <c r="J670" s="2">
        <v>456.9</v>
      </c>
    </row>
    <row r="671" spans="2:10" x14ac:dyDescent="0.2">
      <c r="B671" t="s">
        <v>907</v>
      </c>
      <c r="C671" t="s">
        <v>165</v>
      </c>
      <c r="D671" t="s">
        <v>130</v>
      </c>
      <c r="E671" t="s">
        <v>505</v>
      </c>
      <c r="F671" t="s">
        <v>506</v>
      </c>
      <c r="G671" t="s">
        <v>1033</v>
      </c>
      <c r="H671" t="s">
        <v>30</v>
      </c>
      <c r="I671" s="1">
        <v>1</v>
      </c>
      <c r="J671" s="2">
        <v>775.86</v>
      </c>
    </row>
    <row r="672" spans="2:10" x14ac:dyDescent="0.2">
      <c r="B672" t="s">
        <v>907</v>
      </c>
      <c r="C672" t="s">
        <v>166</v>
      </c>
      <c r="D672" t="s">
        <v>908</v>
      </c>
      <c r="E672" t="s">
        <v>44</v>
      </c>
      <c r="F672" t="s">
        <v>45</v>
      </c>
      <c r="G672" t="s">
        <v>1033</v>
      </c>
      <c r="H672" t="s">
        <v>30</v>
      </c>
      <c r="I672" s="1">
        <v>1</v>
      </c>
      <c r="J672" s="2">
        <v>81.900000000000006</v>
      </c>
    </row>
    <row r="673" spans="2:10" x14ac:dyDescent="0.2">
      <c r="B673" t="s">
        <v>907</v>
      </c>
      <c r="C673" t="s">
        <v>185</v>
      </c>
      <c r="D673" t="s">
        <v>908</v>
      </c>
      <c r="E673" t="s">
        <v>41</v>
      </c>
      <c r="F673" t="s">
        <v>42</v>
      </c>
      <c r="G673" t="s">
        <v>1033</v>
      </c>
      <c r="H673" t="s">
        <v>30</v>
      </c>
      <c r="I673" s="1">
        <v>2</v>
      </c>
      <c r="J673" s="2">
        <v>68.97</v>
      </c>
    </row>
    <row r="674" spans="2:10" x14ac:dyDescent="0.2">
      <c r="B674" t="s">
        <v>907</v>
      </c>
      <c r="C674" t="s">
        <v>185</v>
      </c>
      <c r="D674" t="s">
        <v>908</v>
      </c>
      <c r="E674" t="s">
        <v>312</v>
      </c>
      <c r="F674" t="s">
        <v>313</v>
      </c>
      <c r="G674" t="s">
        <v>1033</v>
      </c>
      <c r="H674" t="s">
        <v>30</v>
      </c>
      <c r="I674" s="1">
        <v>1</v>
      </c>
      <c r="J674" s="2">
        <v>603.45000000000005</v>
      </c>
    </row>
    <row r="675" spans="2:10" x14ac:dyDescent="0.2">
      <c r="B675" t="s">
        <v>907</v>
      </c>
      <c r="C675" t="s">
        <v>185</v>
      </c>
      <c r="D675" t="s">
        <v>908</v>
      </c>
      <c r="E675" t="s">
        <v>762</v>
      </c>
      <c r="F675" t="s">
        <v>763</v>
      </c>
      <c r="G675" t="s">
        <v>1033</v>
      </c>
      <c r="H675" t="s">
        <v>30</v>
      </c>
      <c r="I675" s="1">
        <v>1</v>
      </c>
      <c r="J675" s="2">
        <v>2396.5500000000002</v>
      </c>
    </row>
    <row r="676" spans="2:10" x14ac:dyDescent="0.2">
      <c r="B676" t="s">
        <v>907</v>
      </c>
      <c r="C676" t="s">
        <v>335</v>
      </c>
      <c r="D676" t="s">
        <v>908</v>
      </c>
      <c r="E676" t="s">
        <v>917</v>
      </c>
      <c r="F676" t="s">
        <v>918</v>
      </c>
      <c r="G676" t="s">
        <v>1033</v>
      </c>
      <c r="H676" t="s">
        <v>30</v>
      </c>
      <c r="I676" s="1">
        <v>2</v>
      </c>
      <c r="J676" s="2">
        <v>2258.62</v>
      </c>
    </row>
    <row r="677" spans="2:10" x14ac:dyDescent="0.2">
      <c r="B677" t="s">
        <v>907</v>
      </c>
      <c r="C677" t="s">
        <v>335</v>
      </c>
      <c r="D677" t="s">
        <v>908</v>
      </c>
      <c r="E677" t="s">
        <v>255</v>
      </c>
      <c r="F677" t="s">
        <v>256</v>
      </c>
      <c r="G677" t="s">
        <v>1033</v>
      </c>
      <c r="H677" t="s">
        <v>30</v>
      </c>
      <c r="I677" s="1">
        <v>1</v>
      </c>
      <c r="J677" s="2">
        <v>517.24</v>
      </c>
    </row>
    <row r="678" spans="2:10" x14ac:dyDescent="0.2">
      <c r="B678" t="s">
        <v>907</v>
      </c>
      <c r="C678" t="s">
        <v>186</v>
      </c>
      <c r="D678" t="s">
        <v>130</v>
      </c>
      <c r="E678" t="s">
        <v>318</v>
      </c>
      <c r="F678" t="s">
        <v>319</v>
      </c>
      <c r="G678" t="s">
        <v>1033</v>
      </c>
      <c r="H678" t="s">
        <v>30</v>
      </c>
      <c r="I678" s="1">
        <v>1</v>
      </c>
      <c r="J678" s="2">
        <v>456.9</v>
      </c>
    </row>
    <row r="679" spans="2:10" x14ac:dyDescent="0.2">
      <c r="B679" t="s">
        <v>907</v>
      </c>
      <c r="C679" t="s">
        <v>197</v>
      </c>
      <c r="D679" t="s">
        <v>908</v>
      </c>
      <c r="E679" t="s">
        <v>44</v>
      </c>
      <c r="F679" t="s">
        <v>45</v>
      </c>
      <c r="G679" t="s">
        <v>1033</v>
      </c>
      <c r="H679" t="s">
        <v>30</v>
      </c>
      <c r="I679" s="1">
        <v>1</v>
      </c>
      <c r="J679" s="2">
        <v>81.900000000000006</v>
      </c>
    </row>
    <row r="680" spans="2:10" x14ac:dyDescent="0.2">
      <c r="B680" t="s">
        <v>907</v>
      </c>
      <c r="C680" t="s">
        <v>220</v>
      </c>
      <c r="D680" t="s">
        <v>908</v>
      </c>
      <c r="E680" t="s">
        <v>328</v>
      </c>
      <c r="F680" t="s">
        <v>329</v>
      </c>
      <c r="G680" t="s">
        <v>1033</v>
      </c>
      <c r="H680" t="s">
        <v>30</v>
      </c>
      <c r="I680" s="1">
        <v>1</v>
      </c>
      <c r="J680" s="2">
        <v>172.41</v>
      </c>
    </row>
    <row r="681" spans="2:10" x14ac:dyDescent="0.2">
      <c r="B681" t="s">
        <v>907</v>
      </c>
      <c r="C681" t="s">
        <v>225</v>
      </c>
      <c r="D681" t="s">
        <v>908</v>
      </c>
      <c r="E681" t="s">
        <v>187</v>
      </c>
      <c r="F681" t="s">
        <v>188</v>
      </c>
      <c r="G681" t="s">
        <v>1033</v>
      </c>
      <c r="H681" t="s">
        <v>30</v>
      </c>
      <c r="I681" s="1">
        <v>1</v>
      </c>
      <c r="J681" s="2">
        <v>258.62</v>
      </c>
    </row>
    <row r="682" spans="2:10" x14ac:dyDescent="0.2">
      <c r="B682" t="s">
        <v>907</v>
      </c>
      <c r="C682" t="s">
        <v>225</v>
      </c>
      <c r="D682" t="s">
        <v>908</v>
      </c>
      <c r="E682" t="s">
        <v>324</v>
      </c>
      <c r="F682" t="s">
        <v>325</v>
      </c>
      <c r="G682" t="s">
        <v>1033</v>
      </c>
      <c r="H682" t="s">
        <v>30</v>
      </c>
      <c r="I682" s="1">
        <v>1</v>
      </c>
      <c r="J682" s="2">
        <v>2000</v>
      </c>
    </row>
    <row r="683" spans="2:10" x14ac:dyDescent="0.2">
      <c r="B683" t="s">
        <v>907</v>
      </c>
      <c r="C683" t="s">
        <v>225</v>
      </c>
      <c r="D683" t="s">
        <v>908</v>
      </c>
      <c r="E683" t="s">
        <v>70</v>
      </c>
      <c r="F683" t="s">
        <v>71</v>
      </c>
      <c r="G683" t="s">
        <v>1033</v>
      </c>
      <c r="H683" t="s">
        <v>30</v>
      </c>
      <c r="I683" s="1">
        <v>1</v>
      </c>
      <c r="J683" s="2">
        <v>2112.0700000000002</v>
      </c>
    </row>
    <row r="684" spans="2:10" x14ac:dyDescent="0.2">
      <c r="B684" t="s">
        <v>907</v>
      </c>
      <c r="C684" t="s">
        <v>225</v>
      </c>
      <c r="D684" t="s">
        <v>908</v>
      </c>
      <c r="E684" t="s">
        <v>273</v>
      </c>
      <c r="F684" t="s">
        <v>274</v>
      </c>
      <c r="G684" t="s">
        <v>1033</v>
      </c>
      <c r="H684" t="s">
        <v>30</v>
      </c>
      <c r="I684" s="1">
        <v>1</v>
      </c>
      <c r="J684" s="2">
        <v>1293.0999999999999</v>
      </c>
    </row>
    <row r="685" spans="2:10" x14ac:dyDescent="0.2">
      <c r="B685" t="s">
        <v>907</v>
      </c>
      <c r="C685" t="s">
        <v>225</v>
      </c>
      <c r="D685" t="s">
        <v>908</v>
      </c>
      <c r="E685" t="s">
        <v>28</v>
      </c>
      <c r="F685" t="s">
        <v>29</v>
      </c>
      <c r="G685" t="s">
        <v>1033</v>
      </c>
      <c r="H685" t="s">
        <v>30</v>
      </c>
      <c r="I685" s="1">
        <v>1</v>
      </c>
      <c r="J685" s="2">
        <v>155.16999999999999</v>
      </c>
    </row>
    <row r="686" spans="2:10" x14ac:dyDescent="0.2">
      <c r="B686" t="s">
        <v>907</v>
      </c>
      <c r="C686" t="s">
        <v>227</v>
      </c>
      <c r="D686" t="s">
        <v>908</v>
      </c>
      <c r="E686" t="s">
        <v>929</v>
      </c>
      <c r="F686" t="s">
        <v>930</v>
      </c>
      <c r="G686" t="s">
        <v>1033</v>
      </c>
      <c r="H686" t="s">
        <v>30</v>
      </c>
      <c r="I686" s="1">
        <v>1</v>
      </c>
      <c r="J686" s="2">
        <v>1853.45</v>
      </c>
    </row>
    <row r="687" spans="2:10" x14ac:dyDescent="0.2">
      <c r="B687" t="s">
        <v>907</v>
      </c>
      <c r="C687" t="s">
        <v>227</v>
      </c>
      <c r="D687" t="s">
        <v>908</v>
      </c>
      <c r="E687" t="s">
        <v>28</v>
      </c>
      <c r="F687" t="s">
        <v>29</v>
      </c>
      <c r="G687" t="s">
        <v>1033</v>
      </c>
      <c r="H687" t="s">
        <v>30</v>
      </c>
      <c r="I687" s="1">
        <v>1</v>
      </c>
      <c r="J687" s="2">
        <v>155.16999999999999</v>
      </c>
    </row>
    <row r="688" spans="2:10" x14ac:dyDescent="0.2">
      <c r="B688" t="s">
        <v>907</v>
      </c>
      <c r="C688" t="s">
        <v>233</v>
      </c>
      <c r="D688" t="s">
        <v>908</v>
      </c>
      <c r="E688" t="s">
        <v>931</v>
      </c>
      <c r="F688" t="s">
        <v>932</v>
      </c>
      <c r="G688" t="s">
        <v>1033</v>
      </c>
      <c r="H688" t="s">
        <v>30</v>
      </c>
      <c r="I688" s="1">
        <v>1</v>
      </c>
      <c r="J688" s="2">
        <v>168.1</v>
      </c>
    </row>
    <row r="689" spans="2:10" x14ac:dyDescent="0.2">
      <c r="B689" t="s">
        <v>907</v>
      </c>
      <c r="C689" t="s">
        <v>236</v>
      </c>
      <c r="D689" t="s">
        <v>908</v>
      </c>
      <c r="E689" t="s">
        <v>28</v>
      </c>
      <c r="F689" t="s">
        <v>29</v>
      </c>
      <c r="G689" t="s">
        <v>1033</v>
      </c>
      <c r="H689" t="s">
        <v>30</v>
      </c>
      <c r="I689" s="1">
        <v>1</v>
      </c>
      <c r="J689" s="2">
        <v>155.16999999999999</v>
      </c>
    </row>
    <row r="690" spans="2:10" x14ac:dyDescent="0.2">
      <c r="B690" t="s">
        <v>907</v>
      </c>
      <c r="C690" t="s">
        <v>237</v>
      </c>
      <c r="D690" t="s">
        <v>908</v>
      </c>
      <c r="E690" t="s">
        <v>609</v>
      </c>
      <c r="F690" t="s">
        <v>610</v>
      </c>
      <c r="G690" t="s">
        <v>1033</v>
      </c>
      <c r="H690" t="s">
        <v>30</v>
      </c>
      <c r="I690" s="1">
        <v>1</v>
      </c>
      <c r="J690" s="2">
        <v>1267.24</v>
      </c>
    </row>
    <row r="691" spans="2:10" x14ac:dyDescent="0.2">
      <c r="B691" t="s">
        <v>907</v>
      </c>
      <c r="C691" t="s">
        <v>237</v>
      </c>
      <c r="D691" t="s">
        <v>908</v>
      </c>
      <c r="E691" t="s">
        <v>70</v>
      </c>
      <c r="F691" t="s">
        <v>71</v>
      </c>
      <c r="G691" t="s">
        <v>1033</v>
      </c>
      <c r="H691" t="s">
        <v>30</v>
      </c>
      <c r="I691" s="1">
        <v>1</v>
      </c>
      <c r="J691" s="2">
        <v>2112.0700000000002</v>
      </c>
    </row>
    <row r="692" spans="2:10" x14ac:dyDescent="0.2">
      <c r="B692" t="s">
        <v>907</v>
      </c>
      <c r="C692" t="s">
        <v>237</v>
      </c>
      <c r="D692" t="s">
        <v>908</v>
      </c>
      <c r="E692" t="s">
        <v>328</v>
      </c>
      <c r="F692" t="s">
        <v>329</v>
      </c>
      <c r="G692" t="s">
        <v>1033</v>
      </c>
      <c r="H692" t="s">
        <v>30</v>
      </c>
      <c r="I692" s="1">
        <v>1</v>
      </c>
      <c r="J692" s="2">
        <v>172.41</v>
      </c>
    </row>
    <row r="693" spans="2:10" x14ac:dyDescent="0.2">
      <c r="B693" t="s">
        <v>907</v>
      </c>
      <c r="C693" t="s">
        <v>237</v>
      </c>
      <c r="D693" t="s">
        <v>908</v>
      </c>
      <c r="E693" t="s">
        <v>28</v>
      </c>
      <c r="F693" t="s">
        <v>29</v>
      </c>
      <c r="G693" t="s">
        <v>1033</v>
      </c>
      <c r="H693" t="s">
        <v>30</v>
      </c>
      <c r="I693" s="1">
        <v>1</v>
      </c>
      <c r="J693" s="2">
        <v>155.16999999999999</v>
      </c>
    </row>
    <row r="694" spans="2:10" x14ac:dyDescent="0.2">
      <c r="B694" t="s">
        <v>907</v>
      </c>
      <c r="C694" t="s">
        <v>248</v>
      </c>
      <c r="D694" t="s">
        <v>908</v>
      </c>
      <c r="E694" t="s">
        <v>44</v>
      </c>
      <c r="F694" t="s">
        <v>45</v>
      </c>
      <c r="G694" t="s">
        <v>1033</v>
      </c>
      <c r="H694" t="s">
        <v>30</v>
      </c>
      <c r="I694" s="1">
        <v>1</v>
      </c>
      <c r="J694" s="2">
        <v>81.900000000000006</v>
      </c>
    </row>
    <row r="695" spans="2:10" x14ac:dyDescent="0.2">
      <c r="B695" t="s">
        <v>907</v>
      </c>
      <c r="C695" t="s">
        <v>248</v>
      </c>
      <c r="D695" t="s">
        <v>908</v>
      </c>
      <c r="E695" t="s">
        <v>28</v>
      </c>
      <c r="F695" t="s">
        <v>29</v>
      </c>
      <c r="G695" t="s">
        <v>1033</v>
      </c>
      <c r="H695" t="s">
        <v>30</v>
      </c>
      <c r="I695" s="1">
        <v>4</v>
      </c>
      <c r="J695" s="2">
        <v>620.67999999999995</v>
      </c>
    </row>
    <row r="696" spans="2:10" x14ac:dyDescent="0.2">
      <c r="B696" t="s">
        <v>933</v>
      </c>
      <c r="C696" t="s">
        <v>10</v>
      </c>
      <c r="D696" t="s">
        <v>934</v>
      </c>
      <c r="E696" t="s">
        <v>187</v>
      </c>
      <c r="F696" t="s">
        <v>188</v>
      </c>
      <c r="G696" t="s">
        <v>1033</v>
      </c>
      <c r="H696" t="s">
        <v>30</v>
      </c>
      <c r="I696" s="1">
        <v>1</v>
      </c>
      <c r="J696" s="2">
        <v>258.62</v>
      </c>
    </row>
    <row r="697" spans="2:10" x14ac:dyDescent="0.2">
      <c r="B697" t="s">
        <v>933</v>
      </c>
      <c r="C697" t="s">
        <v>10</v>
      </c>
      <c r="D697" t="s">
        <v>934</v>
      </c>
      <c r="E697" t="s">
        <v>310</v>
      </c>
      <c r="F697" t="s">
        <v>311</v>
      </c>
      <c r="G697" t="s">
        <v>1033</v>
      </c>
      <c r="H697" t="s">
        <v>30</v>
      </c>
      <c r="I697" s="1">
        <v>1</v>
      </c>
      <c r="J697" s="2">
        <v>474.14</v>
      </c>
    </row>
    <row r="698" spans="2:10" x14ac:dyDescent="0.2">
      <c r="B698" t="s">
        <v>933</v>
      </c>
      <c r="C698" t="s">
        <v>31</v>
      </c>
      <c r="D698" t="s">
        <v>934</v>
      </c>
      <c r="E698" t="s">
        <v>167</v>
      </c>
      <c r="F698" t="s">
        <v>168</v>
      </c>
      <c r="G698" t="s">
        <v>1033</v>
      </c>
      <c r="H698" t="s">
        <v>30</v>
      </c>
      <c r="I698" s="1">
        <v>1</v>
      </c>
      <c r="J698" s="2">
        <v>1267.24</v>
      </c>
    </row>
    <row r="699" spans="2:10" x14ac:dyDescent="0.2">
      <c r="B699" t="s">
        <v>933</v>
      </c>
      <c r="C699" t="s">
        <v>31</v>
      </c>
      <c r="D699" t="s">
        <v>934</v>
      </c>
      <c r="E699" t="s">
        <v>70</v>
      </c>
      <c r="F699" t="s">
        <v>71</v>
      </c>
      <c r="G699" t="s">
        <v>1033</v>
      </c>
      <c r="H699" t="s">
        <v>30</v>
      </c>
      <c r="I699" s="1">
        <v>1</v>
      </c>
      <c r="J699" s="2">
        <v>2112.0700000000002</v>
      </c>
    </row>
    <row r="700" spans="2:10" x14ac:dyDescent="0.2">
      <c r="B700" t="s">
        <v>933</v>
      </c>
      <c r="C700" t="s">
        <v>40</v>
      </c>
      <c r="D700" t="s">
        <v>934</v>
      </c>
      <c r="E700" t="s">
        <v>344</v>
      </c>
      <c r="F700" t="s">
        <v>345</v>
      </c>
      <c r="G700" t="s">
        <v>1033</v>
      </c>
      <c r="H700" t="s">
        <v>30</v>
      </c>
      <c r="I700" s="1">
        <v>1</v>
      </c>
      <c r="J700" s="2">
        <v>2163.79</v>
      </c>
    </row>
    <row r="701" spans="2:10" x14ac:dyDescent="0.2">
      <c r="B701" t="s">
        <v>933</v>
      </c>
      <c r="C701" t="s">
        <v>51</v>
      </c>
      <c r="D701" t="s">
        <v>934</v>
      </c>
      <c r="E701" t="s">
        <v>251</v>
      </c>
      <c r="F701" t="s">
        <v>252</v>
      </c>
      <c r="G701" t="s">
        <v>1033</v>
      </c>
      <c r="H701" t="s">
        <v>30</v>
      </c>
      <c r="I701" s="1">
        <v>1</v>
      </c>
      <c r="J701" s="2">
        <v>1500</v>
      </c>
    </row>
    <row r="702" spans="2:10" x14ac:dyDescent="0.2">
      <c r="B702" t="s">
        <v>933</v>
      </c>
      <c r="C702" t="s">
        <v>51</v>
      </c>
      <c r="D702" t="s">
        <v>934</v>
      </c>
      <c r="E702" t="s">
        <v>312</v>
      </c>
      <c r="F702" t="s">
        <v>313</v>
      </c>
      <c r="G702" t="s">
        <v>1033</v>
      </c>
      <c r="H702" t="s">
        <v>30</v>
      </c>
      <c r="I702" s="1">
        <v>1</v>
      </c>
      <c r="J702" s="2">
        <v>603.45000000000005</v>
      </c>
    </row>
    <row r="703" spans="2:10" x14ac:dyDescent="0.2">
      <c r="B703" t="s">
        <v>933</v>
      </c>
      <c r="C703" t="s">
        <v>51</v>
      </c>
      <c r="D703" t="s">
        <v>934</v>
      </c>
      <c r="E703" t="s">
        <v>416</v>
      </c>
      <c r="F703" t="s">
        <v>417</v>
      </c>
      <c r="G703" t="s">
        <v>1033</v>
      </c>
      <c r="H703" t="s">
        <v>30</v>
      </c>
      <c r="I703" s="1">
        <v>1</v>
      </c>
      <c r="J703" s="2">
        <v>2258.62</v>
      </c>
    </row>
    <row r="704" spans="2:10" x14ac:dyDescent="0.2">
      <c r="B704" t="s">
        <v>933</v>
      </c>
      <c r="C704" t="s">
        <v>82</v>
      </c>
      <c r="D704" t="s">
        <v>934</v>
      </c>
      <c r="E704" t="s">
        <v>318</v>
      </c>
      <c r="F704" t="s">
        <v>319</v>
      </c>
      <c r="G704" t="s">
        <v>1033</v>
      </c>
      <c r="H704" t="s">
        <v>30</v>
      </c>
      <c r="I704" s="1">
        <v>1</v>
      </c>
      <c r="J704" s="2">
        <v>456.9</v>
      </c>
    </row>
    <row r="705" spans="2:10" x14ac:dyDescent="0.2">
      <c r="B705" t="s">
        <v>933</v>
      </c>
      <c r="C705" t="s">
        <v>82</v>
      </c>
      <c r="D705" t="s">
        <v>934</v>
      </c>
      <c r="E705" t="s">
        <v>44</v>
      </c>
      <c r="F705" t="s">
        <v>45</v>
      </c>
      <c r="G705" t="s">
        <v>1033</v>
      </c>
      <c r="H705" t="s">
        <v>30</v>
      </c>
      <c r="I705" s="1">
        <v>1</v>
      </c>
      <c r="J705" s="2">
        <v>81.900000000000006</v>
      </c>
    </row>
    <row r="706" spans="2:10" x14ac:dyDescent="0.2">
      <c r="B706" t="s">
        <v>933</v>
      </c>
      <c r="C706" t="s">
        <v>82</v>
      </c>
      <c r="D706" t="s">
        <v>934</v>
      </c>
      <c r="E706" t="s">
        <v>169</v>
      </c>
      <c r="F706" t="s">
        <v>170</v>
      </c>
      <c r="G706" t="s">
        <v>1033</v>
      </c>
      <c r="H706" t="s">
        <v>30</v>
      </c>
      <c r="I706" s="1">
        <v>1</v>
      </c>
      <c r="J706" s="2">
        <v>258.62</v>
      </c>
    </row>
    <row r="707" spans="2:10" x14ac:dyDescent="0.2">
      <c r="B707" t="s">
        <v>933</v>
      </c>
      <c r="C707" t="s">
        <v>82</v>
      </c>
      <c r="D707" t="s">
        <v>934</v>
      </c>
      <c r="E707" t="s">
        <v>573</v>
      </c>
      <c r="F707" t="s">
        <v>574</v>
      </c>
      <c r="G707" t="s">
        <v>1033</v>
      </c>
      <c r="H707" t="s">
        <v>30</v>
      </c>
      <c r="I707" s="1">
        <v>1</v>
      </c>
      <c r="J707" s="2">
        <v>775.86</v>
      </c>
    </row>
    <row r="708" spans="2:10" x14ac:dyDescent="0.2">
      <c r="B708" t="s">
        <v>933</v>
      </c>
      <c r="C708" t="s">
        <v>88</v>
      </c>
      <c r="D708" t="s">
        <v>277</v>
      </c>
      <c r="E708" t="s">
        <v>167</v>
      </c>
      <c r="F708" t="s">
        <v>168</v>
      </c>
      <c r="G708" t="s">
        <v>1033</v>
      </c>
      <c r="H708" t="s">
        <v>30</v>
      </c>
      <c r="I708" s="1">
        <v>1</v>
      </c>
      <c r="J708" s="2">
        <v>1267.24</v>
      </c>
    </row>
    <row r="709" spans="2:10" x14ac:dyDescent="0.2">
      <c r="B709" t="s">
        <v>933</v>
      </c>
      <c r="C709" t="s">
        <v>88</v>
      </c>
      <c r="D709" t="s">
        <v>277</v>
      </c>
      <c r="E709" t="s">
        <v>573</v>
      </c>
      <c r="F709" t="s">
        <v>574</v>
      </c>
      <c r="G709" t="s">
        <v>1033</v>
      </c>
      <c r="H709" t="s">
        <v>30</v>
      </c>
      <c r="I709" s="1">
        <v>1</v>
      </c>
      <c r="J709" s="2">
        <v>775.86</v>
      </c>
    </row>
    <row r="710" spans="2:10" x14ac:dyDescent="0.2">
      <c r="B710" t="s">
        <v>933</v>
      </c>
      <c r="C710" t="s">
        <v>88</v>
      </c>
      <c r="D710" t="s">
        <v>277</v>
      </c>
      <c r="E710" t="s">
        <v>285</v>
      </c>
      <c r="F710" t="s">
        <v>286</v>
      </c>
      <c r="G710" t="s">
        <v>1033</v>
      </c>
      <c r="H710" t="s">
        <v>30</v>
      </c>
      <c r="I710" s="1">
        <v>1</v>
      </c>
      <c r="J710" s="2">
        <v>1034.48</v>
      </c>
    </row>
    <row r="711" spans="2:10" x14ac:dyDescent="0.2">
      <c r="B711" t="s">
        <v>933</v>
      </c>
      <c r="C711" t="s">
        <v>117</v>
      </c>
      <c r="D711" t="s">
        <v>934</v>
      </c>
      <c r="E711" t="s">
        <v>44</v>
      </c>
      <c r="F711" t="s">
        <v>45</v>
      </c>
      <c r="G711" t="s">
        <v>1033</v>
      </c>
      <c r="H711" t="s">
        <v>30</v>
      </c>
      <c r="I711" s="1">
        <v>1</v>
      </c>
      <c r="J711" s="2">
        <v>81.900000000000006</v>
      </c>
    </row>
    <row r="712" spans="2:10" x14ac:dyDescent="0.2">
      <c r="B712" t="s">
        <v>933</v>
      </c>
      <c r="C712" t="s">
        <v>129</v>
      </c>
      <c r="D712" t="s">
        <v>934</v>
      </c>
      <c r="E712" t="s">
        <v>251</v>
      </c>
      <c r="F712" t="s">
        <v>252</v>
      </c>
      <c r="G712" t="s">
        <v>1033</v>
      </c>
      <c r="H712" t="s">
        <v>30</v>
      </c>
      <c r="I712" s="1">
        <v>1</v>
      </c>
      <c r="J712" s="2">
        <v>1500</v>
      </c>
    </row>
    <row r="713" spans="2:10" x14ac:dyDescent="0.2">
      <c r="B713" t="s">
        <v>933</v>
      </c>
      <c r="C713" t="s">
        <v>129</v>
      </c>
      <c r="D713" t="s">
        <v>934</v>
      </c>
      <c r="E713" t="s">
        <v>774</v>
      </c>
      <c r="F713" t="s">
        <v>775</v>
      </c>
      <c r="G713" t="s">
        <v>1033</v>
      </c>
      <c r="H713" t="s">
        <v>30</v>
      </c>
      <c r="I713" s="1">
        <v>1</v>
      </c>
      <c r="J713" s="2">
        <v>853.45</v>
      </c>
    </row>
    <row r="714" spans="2:10" x14ac:dyDescent="0.2">
      <c r="B714" t="s">
        <v>933</v>
      </c>
      <c r="C714" t="s">
        <v>141</v>
      </c>
      <c r="D714" t="s">
        <v>934</v>
      </c>
      <c r="E714" t="s">
        <v>611</v>
      </c>
      <c r="F714" t="s">
        <v>612</v>
      </c>
      <c r="G714" t="s">
        <v>1033</v>
      </c>
      <c r="H714" t="s">
        <v>30</v>
      </c>
      <c r="I714" s="1">
        <v>1</v>
      </c>
      <c r="J714" s="2">
        <v>793.1</v>
      </c>
    </row>
    <row r="715" spans="2:10" x14ac:dyDescent="0.2">
      <c r="B715" t="s">
        <v>933</v>
      </c>
      <c r="C715" t="s">
        <v>141</v>
      </c>
      <c r="D715" t="s">
        <v>934</v>
      </c>
      <c r="E715" t="s">
        <v>939</v>
      </c>
      <c r="F715" t="s">
        <v>940</v>
      </c>
      <c r="G715" t="s">
        <v>1033</v>
      </c>
      <c r="H715" t="s">
        <v>30</v>
      </c>
      <c r="I715" s="1">
        <v>1</v>
      </c>
      <c r="J715" s="2">
        <v>1508.62</v>
      </c>
    </row>
    <row r="716" spans="2:10" x14ac:dyDescent="0.2">
      <c r="B716" t="s">
        <v>933</v>
      </c>
      <c r="C716" t="s">
        <v>166</v>
      </c>
      <c r="D716" t="s">
        <v>226</v>
      </c>
      <c r="E716" t="s">
        <v>352</v>
      </c>
      <c r="F716" t="s">
        <v>353</v>
      </c>
      <c r="G716" t="s">
        <v>1033</v>
      </c>
      <c r="H716" t="s">
        <v>30</v>
      </c>
      <c r="I716" s="1">
        <v>1</v>
      </c>
      <c r="J716" s="2">
        <v>1422.41</v>
      </c>
    </row>
    <row r="717" spans="2:10" x14ac:dyDescent="0.2">
      <c r="B717" t="s">
        <v>933</v>
      </c>
      <c r="C717" t="s">
        <v>166</v>
      </c>
      <c r="D717" t="s">
        <v>226</v>
      </c>
      <c r="E717" t="s">
        <v>44</v>
      </c>
      <c r="F717" t="s">
        <v>45</v>
      </c>
      <c r="G717" t="s">
        <v>1033</v>
      </c>
      <c r="H717" t="s">
        <v>30</v>
      </c>
      <c r="I717" s="1">
        <v>1</v>
      </c>
      <c r="J717" s="2">
        <v>81.900000000000006</v>
      </c>
    </row>
    <row r="718" spans="2:10" x14ac:dyDescent="0.2">
      <c r="B718" t="s">
        <v>933</v>
      </c>
      <c r="C718" t="s">
        <v>335</v>
      </c>
      <c r="D718" t="s">
        <v>934</v>
      </c>
      <c r="E718" t="s">
        <v>28</v>
      </c>
      <c r="F718" t="s">
        <v>29</v>
      </c>
      <c r="G718" t="s">
        <v>1033</v>
      </c>
      <c r="H718" t="s">
        <v>30</v>
      </c>
      <c r="I718" s="1">
        <v>1</v>
      </c>
      <c r="J718" s="2">
        <v>155.16999999999999</v>
      </c>
    </row>
    <row r="719" spans="2:10" x14ac:dyDescent="0.2">
      <c r="B719" t="s">
        <v>933</v>
      </c>
      <c r="C719" t="s">
        <v>186</v>
      </c>
      <c r="D719" t="s">
        <v>934</v>
      </c>
      <c r="E719" t="s">
        <v>328</v>
      </c>
      <c r="F719" t="s">
        <v>329</v>
      </c>
      <c r="G719" t="s">
        <v>1033</v>
      </c>
      <c r="H719" t="s">
        <v>30</v>
      </c>
      <c r="I719" s="1">
        <v>3</v>
      </c>
      <c r="J719" s="2">
        <v>517.24</v>
      </c>
    </row>
    <row r="720" spans="2:10" x14ac:dyDescent="0.2">
      <c r="B720" t="s">
        <v>933</v>
      </c>
      <c r="C720" t="s">
        <v>186</v>
      </c>
      <c r="D720" t="s">
        <v>934</v>
      </c>
      <c r="E720" t="s">
        <v>573</v>
      </c>
      <c r="F720" t="s">
        <v>574</v>
      </c>
      <c r="G720" t="s">
        <v>1033</v>
      </c>
      <c r="H720" t="s">
        <v>30</v>
      </c>
      <c r="I720" s="1">
        <v>1</v>
      </c>
      <c r="J720" s="2">
        <v>775.86</v>
      </c>
    </row>
    <row r="721" spans="2:10" x14ac:dyDescent="0.2">
      <c r="B721" t="s">
        <v>933</v>
      </c>
      <c r="C721" t="s">
        <v>186</v>
      </c>
      <c r="D721" t="s">
        <v>934</v>
      </c>
      <c r="E721" t="s">
        <v>605</v>
      </c>
      <c r="F721" t="s">
        <v>606</v>
      </c>
      <c r="G721" t="s">
        <v>1033</v>
      </c>
      <c r="H721" t="s">
        <v>30</v>
      </c>
      <c r="I721" s="1">
        <v>1</v>
      </c>
      <c r="J721" s="2">
        <v>465.52</v>
      </c>
    </row>
    <row r="722" spans="2:10" x14ac:dyDescent="0.2">
      <c r="B722" t="s">
        <v>933</v>
      </c>
      <c r="C722" t="s">
        <v>197</v>
      </c>
      <c r="D722" t="s">
        <v>934</v>
      </c>
      <c r="E722" t="s">
        <v>318</v>
      </c>
      <c r="F722" t="s">
        <v>319</v>
      </c>
      <c r="G722" t="s">
        <v>1033</v>
      </c>
      <c r="H722" t="s">
        <v>30</v>
      </c>
      <c r="I722" s="1">
        <v>1</v>
      </c>
      <c r="J722" s="2">
        <v>456.9</v>
      </c>
    </row>
    <row r="723" spans="2:10" x14ac:dyDescent="0.2">
      <c r="B723" t="s">
        <v>933</v>
      </c>
      <c r="C723" t="s">
        <v>197</v>
      </c>
      <c r="D723" t="s">
        <v>934</v>
      </c>
      <c r="E723" t="s">
        <v>249</v>
      </c>
      <c r="F723" t="s">
        <v>250</v>
      </c>
      <c r="G723" t="s">
        <v>1033</v>
      </c>
      <c r="H723" t="s">
        <v>30</v>
      </c>
      <c r="I723" s="1">
        <v>1</v>
      </c>
      <c r="J723" s="2">
        <v>517.24</v>
      </c>
    </row>
    <row r="724" spans="2:10" x14ac:dyDescent="0.2">
      <c r="B724" t="s">
        <v>933</v>
      </c>
      <c r="C724" t="s">
        <v>197</v>
      </c>
      <c r="D724" t="s">
        <v>934</v>
      </c>
      <c r="E724" t="s">
        <v>738</v>
      </c>
      <c r="F724" t="s">
        <v>739</v>
      </c>
      <c r="G724" t="s">
        <v>1033</v>
      </c>
      <c r="H724" t="s">
        <v>30</v>
      </c>
      <c r="I724" s="1">
        <v>1</v>
      </c>
      <c r="J724" s="2">
        <v>1329.11</v>
      </c>
    </row>
    <row r="725" spans="2:10" x14ac:dyDescent="0.2">
      <c r="B725" t="s">
        <v>933</v>
      </c>
      <c r="C725" t="s">
        <v>197</v>
      </c>
      <c r="D725" t="s">
        <v>934</v>
      </c>
      <c r="E725" t="s">
        <v>573</v>
      </c>
      <c r="F725" t="s">
        <v>574</v>
      </c>
      <c r="G725" t="s">
        <v>1033</v>
      </c>
      <c r="H725" t="s">
        <v>30</v>
      </c>
      <c r="I725" s="1">
        <v>1</v>
      </c>
      <c r="J725" s="2">
        <v>775.86</v>
      </c>
    </row>
    <row r="726" spans="2:10" x14ac:dyDescent="0.2">
      <c r="B726" t="s">
        <v>933</v>
      </c>
      <c r="C726" t="s">
        <v>206</v>
      </c>
      <c r="D726" t="s">
        <v>277</v>
      </c>
      <c r="E726" t="s">
        <v>414</v>
      </c>
      <c r="F726" t="s">
        <v>415</v>
      </c>
      <c r="G726" t="s">
        <v>1033</v>
      </c>
      <c r="H726" t="s">
        <v>30</v>
      </c>
      <c r="I726" s="1">
        <v>1</v>
      </c>
      <c r="J726" s="2">
        <v>646.54999999999995</v>
      </c>
    </row>
    <row r="727" spans="2:10" x14ac:dyDescent="0.2">
      <c r="B727" t="s">
        <v>933</v>
      </c>
      <c r="C727" t="s">
        <v>206</v>
      </c>
      <c r="D727" t="s">
        <v>277</v>
      </c>
      <c r="E727" t="s">
        <v>324</v>
      </c>
      <c r="F727" t="s">
        <v>325</v>
      </c>
      <c r="G727" t="s">
        <v>1033</v>
      </c>
      <c r="H727" t="s">
        <v>30</v>
      </c>
      <c r="I727" s="1">
        <v>1</v>
      </c>
      <c r="J727" s="2">
        <v>2000</v>
      </c>
    </row>
    <row r="728" spans="2:10" x14ac:dyDescent="0.2">
      <c r="B728" t="s">
        <v>933</v>
      </c>
      <c r="C728" t="s">
        <v>220</v>
      </c>
      <c r="D728" t="s">
        <v>934</v>
      </c>
      <c r="E728" t="s">
        <v>167</v>
      </c>
      <c r="F728" t="s">
        <v>168</v>
      </c>
      <c r="G728" t="s">
        <v>1033</v>
      </c>
      <c r="H728" t="s">
        <v>30</v>
      </c>
      <c r="I728" s="1">
        <v>1</v>
      </c>
      <c r="J728" s="2">
        <v>1267.24</v>
      </c>
    </row>
    <row r="729" spans="2:10" x14ac:dyDescent="0.2">
      <c r="B729" t="s">
        <v>933</v>
      </c>
      <c r="C729" t="s">
        <v>220</v>
      </c>
      <c r="D729" t="s">
        <v>934</v>
      </c>
      <c r="E729" t="s">
        <v>44</v>
      </c>
      <c r="F729" t="s">
        <v>45</v>
      </c>
      <c r="G729" t="s">
        <v>1033</v>
      </c>
      <c r="H729" t="s">
        <v>30</v>
      </c>
      <c r="I729" s="1">
        <v>2</v>
      </c>
      <c r="J729" s="2">
        <v>163.80000000000001</v>
      </c>
    </row>
    <row r="730" spans="2:10" x14ac:dyDescent="0.2">
      <c r="B730" t="s">
        <v>933</v>
      </c>
      <c r="C730" t="s">
        <v>227</v>
      </c>
      <c r="D730" t="s">
        <v>934</v>
      </c>
      <c r="E730" t="s">
        <v>600</v>
      </c>
      <c r="F730" t="s">
        <v>601</v>
      </c>
      <c r="G730" t="s">
        <v>1033</v>
      </c>
      <c r="H730" t="s">
        <v>30</v>
      </c>
      <c r="I730" s="1">
        <v>1</v>
      </c>
      <c r="J730" s="2">
        <v>301.72000000000003</v>
      </c>
    </row>
    <row r="731" spans="2:10" x14ac:dyDescent="0.2">
      <c r="B731" t="s">
        <v>933</v>
      </c>
      <c r="C731" t="s">
        <v>228</v>
      </c>
      <c r="D731" t="s">
        <v>934</v>
      </c>
      <c r="E731" t="s">
        <v>44</v>
      </c>
      <c r="F731" t="s">
        <v>45</v>
      </c>
      <c r="G731" t="s">
        <v>1033</v>
      </c>
      <c r="H731" t="s">
        <v>30</v>
      </c>
      <c r="I731" s="1">
        <v>1</v>
      </c>
      <c r="J731" s="2">
        <v>81.900000000000006</v>
      </c>
    </row>
    <row r="732" spans="2:10" x14ac:dyDescent="0.2">
      <c r="B732" t="s">
        <v>933</v>
      </c>
      <c r="C732" t="s">
        <v>228</v>
      </c>
      <c r="D732" t="s">
        <v>934</v>
      </c>
      <c r="E732" t="s">
        <v>333</v>
      </c>
      <c r="F732" t="s">
        <v>334</v>
      </c>
      <c r="G732" t="s">
        <v>1033</v>
      </c>
      <c r="H732" t="s">
        <v>30</v>
      </c>
      <c r="I732" s="1">
        <v>1</v>
      </c>
      <c r="J732" s="2">
        <v>2413.79</v>
      </c>
    </row>
    <row r="733" spans="2:10" x14ac:dyDescent="0.2">
      <c r="B733" t="s">
        <v>933</v>
      </c>
      <c r="C733" t="s">
        <v>233</v>
      </c>
      <c r="D733" t="s">
        <v>934</v>
      </c>
      <c r="E733" t="s">
        <v>210</v>
      </c>
      <c r="F733" t="s">
        <v>211</v>
      </c>
      <c r="G733" t="s">
        <v>1033</v>
      </c>
      <c r="H733" t="s">
        <v>30</v>
      </c>
      <c r="I733" s="1">
        <v>1</v>
      </c>
      <c r="J733" s="2">
        <v>301.72000000000003</v>
      </c>
    </row>
    <row r="734" spans="2:10" x14ac:dyDescent="0.2">
      <c r="B734" t="s">
        <v>933</v>
      </c>
      <c r="C734" t="s">
        <v>236</v>
      </c>
      <c r="D734" t="s">
        <v>934</v>
      </c>
      <c r="E734" t="s">
        <v>575</v>
      </c>
      <c r="F734" t="s">
        <v>576</v>
      </c>
      <c r="G734" t="s">
        <v>1033</v>
      </c>
      <c r="H734" t="s">
        <v>30</v>
      </c>
      <c r="I734" s="1">
        <v>1</v>
      </c>
      <c r="J734" s="2">
        <v>474.14</v>
      </c>
    </row>
    <row r="735" spans="2:10" x14ac:dyDescent="0.2">
      <c r="B735" t="s">
        <v>933</v>
      </c>
      <c r="C735" t="s">
        <v>236</v>
      </c>
      <c r="D735" t="s">
        <v>934</v>
      </c>
      <c r="E735" t="s">
        <v>302</v>
      </c>
      <c r="F735" t="s">
        <v>303</v>
      </c>
      <c r="G735" t="s">
        <v>1033</v>
      </c>
      <c r="H735" t="s">
        <v>30</v>
      </c>
      <c r="I735" s="1">
        <v>1</v>
      </c>
      <c r="J735" s="2">
        <v>474.14</v>
      </c>
    </row>
    <row r="736" spans="2:10" x14ac:dyDescent="0.2">
      <c r="B736" t="s">
        <v>933</v>
      </c>
      <c r="C736" t="s">
        <v>236</v>
      </c>
      <c r="D736" t="s">
        <v>934</v>
      </c>
      <c r="E736" t="s">
        <v>201</v>
      </c>
      <c r="F736" t="s">
        <v>202</v>
      </c>
      <c r="G736" t="s">
        <v>1033</v>
      </c>
      <c r="H736" t="s">
        <v>30</v>
      </c>
      <c r="I736" s="1">
        <v>1</v>
      </c>
      <c r="J736" s="2">
        <v>948.28</v>
      </c>
    </row>
    <row r="737" spans="2:10" x14ac:dyDescent="0.2">
      <c r="B737" t="s">
        <v>933</v>
      </c>
      <c r="C737" t="s">
        <v>236</v>
      </c>
      <c r="D737" t="s">
        <v>934</v>
      </c>
      <c r="E737" t="s">
        <v>358</v>
      </c>
      <c r="F737" t="s">
        <v>359</v>
      </c>
      <c r="G737" t="s">
        <v>1033</v>
      </c>
      <c r="H737" t="s">
        <v>30</v>
      </c>
      <c r="I737" s="1">
        <v>1</v>
      </c>
      <c r="J737" s="2">
        <v>1500</v>
      </c>
    </row>
    <row r="738" spans="2:10" x14ac:dyDescent="0.2">
      <c r="B738" t="s">
        <v>955</v>
      </c>
      <c r="C738" t="s">
        <v>10</v>
      </c>
      <c r="D738" t="s">
        <v>956</v>
      </c>
      <c r="E738" t="s">
        <v>44</v>
      </c>
      <c r="F738" t="s">
        <v>45</v>
      </c>
      <c r="G738" t="s">
        <v>1033</v>
      </c>
      <c r="H738" t="s">
        <v>30</v>
      </c>
      <c r="I738" s="1">
        <v>2</v>
      </c>
      <c r="J738" s="2">
        <v>163.80000000000001</v>
      </c>
    </row>
    <row r="739" spans="2:10" x14ac:dyDescent="0.2">
      <c r="B739" t="s">
        <v>955</v>
      </c>
      <c r="C739" t="s">
        <v>10</v>
      </c>
      <c r="D739" t="s">
        <v>956</v>
      </c>
      <c r="E739" t="s">
        <v>442</v>
      </c>
      <c r="F739" t="s">
        <v>443</v>
      </c>
      <c r="G739" t="s">
        <v>1033</v>
      </c>
      <c r="H739" t="s">
        <v>30</v>
      </c>
      <c r="I739" s="1">
        <v>1</v>
      </c>
      <c r="J739" s="2">
        <v>2500</v>
      </c>
    </row>
    <row r="740" spans="2:10" x14ac:dyDescent="0.2">
      <c r="B740" t="s">
        <v>955</v>
      </c>
      <c r="C740" t="s">
        <v>10</v>
      </c>
      <c r="D740" t="s">
        <v>956</v>
      </c>
      <c r="E740" t="s">
        <v>312</v>
      </c>
      <c r="F740" t="s">
        <v>313</v>
      </c>
      <c r="G740" t="s">
        <v>1033</v>
      </c>
      <c r="H740" t="s">
        <v>30</v>
      </c>
      <c r="I740" s="1">
        <v>1</v>
      </c>
      <c r="J740" s="2">
        <v>603.45000000000005</v>
      </c>
    </row>
    <row r="741" spans="2:10" x14ac:dyDescent="0.2">
      <c r="B741" t="s">
        <v>955</v>
      </c>
      <c r="C741" t="s">
        <v>10</v>
      </c>
      <c r="D741" t="s">
        <v>956</v>
      </c>
      <c r="E741" t="s">
        <v>372</v>
      </c>
      <c r="F741" t="s">
        <v>373</v>
      </c>
      <c r="G741" t="s">
        <v>1033</v>
      </c>
      <c r="H741" t="s">
        <v>30</v>
      </c>
      <c r="I741" s="1">
        <v>1</v>
      </c>
      <c r="J741" s="2">
        <v>2465.52</v>
      </c>
    </row>
    <row r="742" spans="2:10" x14ac:dyDescent="0.2">
      <c r="B742" t="s">
        <v>955</v>
      </c>
      <c r="C742" t="s">
        <v>18</v>
      </c>
      <c r="D742" t="s">
        <v>956</v>
      </c>
      <c r="E742" t="s">
        <v>44</v>
      </c>
      <c r="F742" t="s">
        <v>45</v>
      </c>
      <c r="G742" t="s">
        <v>1033</v>
      </c>
      <c r="H742" t="s">
        <v>30</v>
      </c>
      <c r="I742" s="1">
        <v>1</v>
      </c>
      <c r="J742" s="2">
        <v>81.900000000000006</v>
      </c>
    </row>
    <row r="743" spans="2:10" x14ac:dyDescent="0.2">
      <c r="B743" t="s">
        <v>955</v>
      </c>
      <c r="C743" t="s">
        <v>18</v>
      </c>
      <c r="D743" t="s">
        <v>956</v>
      </c>
      <c r="E743" t="s">
        <v>97</v>
      </c>
      <c r="F743" t="s">
        <v>98</v>
      </c>
      <c r="G743" t="s">
        <v>1033</v>
      </c>
      <c r="H743" t="s">
        <v>30</v>
      </c>
      <c r="I743" s="1">
        <v>1</v>
      </c>
      <c r="J743" s="2">
        <v>2500</v>
      </c>
    </row>
    <row r="744" spans="2:10" x14ac:dyDescent="0.2">
      <c r="B744" t="s">
        <v>955</v>
      </c>
      <c r="C744" t="s">
        <v>18</v>
      </c>
      <c r="D744" t="s">
        <v>956</v>
      </c>
      <c r="E744" t="s">
        <v>312</v>
      </c>
      <c r="F744" t="s">
        <v>313</v>
      </c>
      <c r="G744" t="s">
        <v>1033</v>
      </c>
      <c r="H744" t="s">
        <v>30</v>
      </c>
      <c r="I744" s="1">
        <v>1</v>
      </c>
      <c r="J744" s="2">
        <v>603.45000000000005</v>
      </c>
    </row>
    <row r="745" spans="2:10" x14ac:dyDescent="0.2">
      <c r="B745" t="s">
        <v>955</v>
      </c>
      <c r="C745" t="s">
        <v>18</v>
      </c>
      <c r="D745" t="s">
        <v>956</v>
      </c>
      <c r="E745" t="s">
        <v>28</v>
      </c>
      <c r="F745" t="s">
        <v>29</v>
      </c>
      <c r="G745" t="s">
        <v>1033</v>
      </c>
      <c r="H745" t="s">
        <v>30</v>
      </c>
      <c r="I745" s="1">
        <v>2</v>
      </c>
      <c r="J745" s="2">
        <v>310.33999999999997</v>
      </c>
    </row>
    <row r="746" spans="2:10" x14ac:dyDescent="0.2">
      <c r="B746" t="s">
        <v>955</v>
      </c>
      <c r="C746" t="s">
        <v>31</v>
      </c>
      <c r="D746" t="s">
        <v>277</v>
      </c>
      <c r="E746" t="s">
        <v>370</v>
      </c>
      <c r="F746" t="s">
        <v>371</v>
      </c>
      <c r="G746" t="s">
        <v>1033</v>
      </c>
      <c r="H746" t="s">
        <v>30</v>
      </c>
      <c r="I746" s="1">
        <v>1</v>
      </c>
      <c r="J746" s="2">
        <v>1034.48</v>
      </c>
    </row>
    <row r="747" spans="2:10" x14ac:dyDescent="0.2">
      <c r="B747" t="s">
        <v>955</v>
      </c>
      <c r="C747" t="s">
        <v>31</v>
      </c>
      <c r="D747" t="s">
        <v>277</v>
      </c>
      <c r="E747" t="s">
        <v>961</v>
      </c>
      <c r="F747" t="s">
        <v>962</v>
      </c>
      <c r="G747" t="s">
        <v>1033</v>
      </c>
      <c r="H747" t="s">
        <v>30</v>
      </c>
      <c r="I747" s="1">
        <v>1</v>
      </c>
      <c r="J747" s="2">
        <v>2577.59</v>
      </c>
    </row>
    <row r="748" spans="2:10" x14ac:dyDescent="0.2">
      <c r="B748" t="s">
        <v>955</v>
      </c>
      <c r="C748" t="s">
        <v>31</v>
      </c>
      <c r="D748" t="s">
        <v>277</v>
      </c>
      <c r="E748" t="s">
        <v>28</v>
      </c>
      <c r="F748" t="s">
        <v>29</v>
      </c>
      <c r="G748" t="s">
        <v>1033</v>
      </c>
      <c r="H748" t="s">
        <v>30</v>
      </c>
      <c r="I748" s="1">
        <v>2</v>
      </c>
      <c r="J748" s="2">
        <v>310.33999999999997</v>
      </c>
    </row>
    <row r="749" spans="2:10" x14ac:dyDescent="0.2">
      <c r="B749" t="s">
        <v>955</v>
      </c>
      <c r="C749" t="s">
        <v>40</v>
      </c>
      <c r="D749" t="s">
        <v>956</v>
      </c>
      <c r="E749" t="s">
        <v>318</v>
      </c>
      <c r="F749" t="s">
        <v>319</v>
      </c>
      <c r="G749" t="s">
        <v>1033</v>
      </c>
      <c r="H749" t="s">
        <v>30</v>
      </c>
      <c r="I749" s="1">
        <v>1</v>
      </c>
      <c r="J749" s="2">
        <v>456.9</v>
      </c>
    </row>
    <row r="750" spans="2:10" x14ac:dyDescent="0.2">
      <c r="B750" t="s">
        <v>955</v>
      </c>
      <c r="C750" t="s">
        <v>40</v>
      </c>
      <c r="D750" t="s">
        <v>956</v>
      </c>
      <c r="E750" t="s">
        <v>41</v>
      </c>
      <c r="F750" t="s">
        <v>42</v>
      </c>
      <c r="G750" t="s">
        <v>1033</v>
      </c>
      <c r="H750" t="s">
        <v>30</v>
      </c>
      <c r="I750" s="1">
        <v>1</v>
      </c>
      <c r="J750" s="2">
        <v>34.479999999999997</v>
      </c>
    </row>
    <row r="751" spans="2:10" x14ac:dyDescent="0.2">
      <c r="B751" t="s">
        <v>955</v>
      </c>
      <c r="C751" t="s">
        <v>40</v>
      </c>
      <c r="D751" t="s">
        <v>956</v>
      </c>
      <c r="E751" t="s">
        <v>97</v>
      </c>
      <c r="F751" t="s">
        <v>98</v>
      </c>
      <c r="G751" t="s">
        <v>1033</v>
      </c>
      <c r="H751" t="s">
        <v>30</v>
      </c>
      <c r="I751" s="1">
        <v>1</v>
      </c>
      <c r="J751" s="2">
        <v>2500</v>
      </c>
    </row>
    <row r="752" spans="2:10" x14ac:dyDescent="0.2">
      <c r="B752" t="s">
        <v>955</v>
      </c>
      <c r="C752" t="s">
        <v>40</v>
      </c>
      <c r="D752" t="s">
        <v>956</v>
      </c>
      <c r="E752" t="s">
        <v>300</v>
      </c>
      <c r="F752" t="s">
        <v>301</v>
      </c>
      <c r="G752" t="s">
        <v>1033</v>
      </c>
      <c r="H752" t="s">
        <v>30</v>
      </c>
      <c r="I752" s="1">
        <v>1</v>
      </c>
      <c r="J752" s="2">
        <v>2413.79</v>
      </c>
    </row>
    <row r="753" spans="2:10" x14ac:dyDescent="0.2">
      <c r="B753" t="s">
        <v>955</v>
      </c>
      <c r="C753" t="s">
        <v>51</v>
      </c>
      <c r="D753" t="s">
        <v>956</v>
      </c>
      <c r="E753" t="s">
        <v>44</v>
      </c>
      <c r="F753" t="s">
        <v>45</v>
      </c>
      <c r="G753" t="s">
        <v>1033</v>
      </c>
      <c r="H753" t="s">
        <v>30</v>
      </c>
      <c r="I753" s="1">
        <v>1</v>
      </c>
      <c r="J753" s="2">
        <v>81.900000000000006</v>
      </c>
    </row>
    <row r="754" spans="2:10" x14ac:dyDescent="0.2">
      <c r="B754" t="s">
        <v>955</v>
      </c>
      <c r="C754" t="s">
        <v>51</v>
      </c>
      <c r="D754" t="s">
        <v>956</v>
      </c>
      <c r="E754" t="s">
        <v>494</v>
      </c>
      <c r="F754" t="s">
        <v>495</v>
      </c>
      <c r="G754" t="s">
        <v>1033</v>
      </c>
      <c r="H754" t="s">
        <v>30</v>
      </c>
      <c r="I754" s="1">
        <v>1</v>
      </c>
      <c r="J754" s="2">
        <v>301.72000000000003</v>
      </c>
    </row>
    <row r="755" spans="2:10" x14ac:dyDescent="0.2">
      <c r="B755" t="s">
        <v>955</v>
      </c>
      <c r="C755" t="s">
        <v>51</v>
      </c>
      <c r="D755" t="s">
        <v>956</v>
      </c>
      <c r="E755" t="s">
        <v>28</v>
      </c>
      <c r="F755" t="s">
        <v>29</v>
      </c>
      <c r="G755" t="s">
        <v>1033</v>
      </c>
      <c r="H755" t="s">
        <v>30</v>
      </c>
      <c r="I755" s="1">
        <v>1</v>
      </c>
      <c r="J755" s="2">
        <v>155.16999999999999</v>
      </c>
    </row>
    <row r="756" spans="2:10" x14ac:dyDescent="0.2">
      <c r="B756" t="s">
        <v>955</v>
      </c>
      <c r="C756" t="s">
        <v>65</v>
      </c>
      <c r="D756" t="s">
        <v>956</v>
      </c>
      <c r="E756" t="s">
        <v>494</v>
      </c>
      <c r="F756" t="s">
        <v>495</v>
      </c>
      <c r="G756" t="s">
        <v>1033</v>
      </c>
      <c r="H756" t="s">
        <v>30</v>
      </c>
      <c r="I756" s="1">
        <v>1</v>
      </c>
      <c r="J756" s="2">
        <v>301.72000000000003</v>
      </c>
    </row>
    <row r="757" spans="2:10" x14ac:dyDescent="0.2">
      <c r="B757" t="s">
        <v>955</v>
      </c>
      <c r="C757" t="s">
        <v>65</v>
      </c>
      <c r="D757" t="s">
        <v>956</v>
      </c>
      <c r="E757" t="s">
        <v>70</v>
      </c>
      <c r="F757" t="s">
        <v>71</v>
      </c>
      <c r="G757" t="s">
        <v>1033</v>
      </c>
      <c r="H757" t="s">
        <v>30</v>
      </c>
      <c r="I757" s="1">
        <v>1</v>
      </c>
      <c r="J757" s="2">
        <v>2112.0700000000002</v>
      </c>
    </row>
    <row r="758" spans="2:10" x14ac:dyDescent="0.2">
      <c r="B758" t="s">
        <v>955</v>
      </c>
      <c r="C758" t="s">
        <v>65</v>
      </c>
      <c r="D758" t="s">
        <v>956</v>
      </c>
      <c r="E758" t="s">
        <v>970</v>
      </c>
      <c r="F758" t="s">
        <v>971</v>
      </c>
      <c r="G758" t="s">
        <v>1033</v>
      </c>
      <c r="H758" t="s">
        <v>30</v>
      </c>
      <c r="I758" s="1">
        <v>1</v>
      </c>
      <c r="J758" s="2">
        <v>2801.72</v>
      </c>
    </row>
    <row r="759" spans="2:10" x14ac:dyDescent="0.2">
      <c r="B759" t="s">
        <v>955</v>
      </c>
      <c r="C759" t="s">
        <v>82</v>
      </c>
      <c r="D759" t="s">
        <v>32</v>
      </c>
      <c r="E759" t="s">
        <v>844</v>
      </c>
      <c r="F759" t="s">
        <v>845</v>
      </c>
      <c r="G759" t="s">
        <v>1033</v>
      </c>
      <c r="H759" t="s">
        <v>30</v>
      </c>
      <c r="I759" s="1">
        <v>1</v>
      </c>
      <c r="J759" s="2">
        <v>1810.34</v>
      </c>
    </row>
    <row r="760" spans="2:10" x14ac:dyDescent="0.2">
      <c r="B760" t="s">
        <v>955</v>
      </c>
      <c r="C760" t="s">
        <v>82</v>
      </c>
      <c r="D760" t="s">
        <v>32</v>
      </c>
      <c r="E760" t="s">
        <v>774</v>
      </c>
      <c r="F760" t="s">
        <v>775</v>
      </c>
      <c r="G760" t="s">
        <v>1033</v>
      </c>
      <c r="H760" t="s">
        <v>30</v>
      </c>
      <c r="I760" s="1">
        <v>1</v>
      </c>
      <c r="J760" s="2">
        <v>853.45</v>
      </c>
    </row>
    <row r="761" spans="2:10" x14ac:dyDescent="0.2">
      <c r="B761" t="s">
        <v>955</v>
      </c>
      <c r="C761" t="s">
        <v>82</v>
      </c>
      <c r="D761" t="s">
        <v>956</v>
      </c>
      <c r="E761" t="s">
        <v>399</v>
      </c>
      <c r="F761" t="s">
        <v>400</v>
      </c>
      <c r="G761" t="s">
        <v>1033</v>
      </c>
      <c r="H761" t="s">
        <v>30</v>
      </c>
      <c r="I761" s="1">
        <v>1</v>
      </c>
      <c r="J761" s="2">
        <v>818.97</v>
      </c>
    </row>
    <row r="762" spans="2:10" x14ac:dyDescent="0.2">
      <c r="B762" t="s">
        <v>955</v>
      </c>
      <c r="C762" t="s">
        <v>82</v>
      </c>
      <c r="D762" t="s">
        <v>956</v>
      </c>
      <c r="E762" t="s">
        <v>246</v>
      </c>
      <c r="F762" t="s">
        <v>247</v>
      </c>
      <c r="G762" t="s">
        <v>1033</v>
      </c>
      <c r="H762" t="s">
        <v>30</v>
      </c>
      <c r="I762" s="1">
        <v>1</v>
      </c>
      <c r="J762" s="2">
        <v>2008.62</v>
      </c>
    </row>
    <row r="763" spans="2:10" x14ac:dyDescent="0.2">
      <c r="B763" t="s">
        <v>955</v>
      </c>
      <c r="C763" t="s">
        <v>88</v>
      </c>
      <c r="D763" t="s">
        <v>956</v>
      </c>
      <c r="E763" t="s">
        <v>980</v>
      </c>
      <c r="F763" t="s">
        <v>981</v>
      </c>
      <c r="G763" t="s">
        <v>1033</v>
      </c>
      <c r="H763" t="s">
        <v>30</v>
      </c>
      <c r="I763" s="1">
        <v>1</v>
      </c>
      <c r="J763" s="2">
        <v>1508.62</v>
      </c>
    </row>
    <row r="764" spans="2:10" x14ac:dyDescent="0.2">
      <c r="B764" t="s">
        <v>955</v>
      </c>
      <c r="C764" t="s">
        <v>117</v>
      </c>
      <c r="D764" t="s">
        <v>956</v>
      </c>
      <c r="E764" t="s">
        <v>302</v>
      </c>
      <c r="F764" t="s">
        <v>303</v>
      </c>
      <c r="G764" t="s">
        <v>1033</v>
      </c>
      <c r="H764" t="s">
        <v>30</v>
      </c>
      <c r="I764" s="1">
        <v>1</v>
      </c>
      <c r="J764" s="2">
        <v>474.14</v>
      </c>
    </row>
    <row r="765" spans="2:10" x14ac:dyDescent="0.2">
      <c r="B765" t="s">
        <v>955</v>
      </c>
      <c r="C765" t="s">
        <v>117</v>
      </c>
      <c r="D765" t="s">
        <v>956</v>
      </c>
      <c r="E765" t="s">
        <v>70</v>
      </c>
      <c r="F765" t="s">
        <v>71</v>
      </c>
      <c r="G765" t="s">
        <v>1033</v>
      </c>
      <c r="H765" t="s">
        <v>30</v>
      </c>
      <c r="I765" s="1">
        <v>1</v>
      </c>
      <c r="J765" s="2">
        <v>2112.0700000000002</v>
      </c>
    </row>
    <row r="766" spans="2:10" x14ac:dyDescent="0.2">
      <c r="B766" t="s">
        <v>955</v>
      </c>
      <c r="C766" t="s">
        <v>117</v>
      </c>
      <c r="D766" t="s">
        <v>956</v>
      </c>
      <c r="E766" t="s">
        <v>312</v>
      </c>
      <c r="F766" t="s">
        <v>313</v>
      </c>
      <c r="G766" t="s">
        <v>1033</v>
      </c>
      <c r="H766" t="s">
        <v>30</v>
      </c>
      <c r="I766" s="1">
        <v>1</v>
      </c>
      <c r="J766" s="2">
        <v>603.45000000000005</v>
      </c>
    </row>
    <row r="767" spans="2:10" x14ac:dyDescent="0.2">
      <c r="B767" t="s">
        <v>955</v>
      </c>
      <c r="C767" t="s">
        <v>135</v>
      </c>
      <c r="D767" t="s">
        <v>956</v>
      </c>
      <c r="E767" t="s">
        <v>41</v>
      </c>
      <c r="F767" t="s">
        <v>42</v>
      </c>
      <c r="G767" t="s">
        <v>1033</v>
      </c>
      <c r="H767" t="s">
        <v>30</v>
      </c>
      <c r="I767" s="1">
        <v>1</v>
      </c>
      <c r="J767" s="2">
        <v>34.479999999999997</v>
      </c>
    </row>
    <row r="768" spans="2:10" x14ac:dyDescent="0.2">
      <c r="B768" t="s">
        <v>955</v>
      </c>
      <c r="C768" t="s">
        <v>135</v>
      </c>
      <c r="D768" t="s">
        <v>956</v>
      </c>
      <c r="E768" t="s">
        <v>350</v>
      </c>
      <c r="F768" t="s">
        <v>351</v>
      </c>
      <c r="G768" t="s">
        <v>1033</v>
      </c>
      <c r="H768" t="s">
        <v>30</v>
      </c>
      <c r="I768" s="1">
        <v>1</v>
      </c>
      <c r="J768" s="2">
        <v>818.97</v>
      </c>
    </row>
    <row r="769" spans="2:10" x14ac:dyDescent="0.2">
      <c r="B769" t="s">
        <v>955</v>
      </c>
      <c r="C769" t="s">
        <v>135</v>
      </c>
      <c r="D769" t="s">
        <v>956</v>
      </c>
      <c r="E769" t="s">
        <v>500</v>
      </c>
      <c r="F769" t="s">
        <v>501</v>
      </c>
      <c r="G769" t="s">
        <v>1033</v>
      </c>
      <c r="H769" t="s">
        <v>30</v>
      </c>
      <c r="I769" s="1">
        <v>1</v>
      </c>
      <c r="J769" s="2">
        <v>3017.24</v>
      </c>
    </row>
    <row r="770" spans="2:10" x14ac:dyDescent="0.2">
      <c r="B770" t="s">
        <v>955</v>
      </c>
      <c r="C770" t="s">
        <v>135</v>
      </c>
      <c r="D770" t="s">
        <v>956</v>
      </c>
      <c r="E770" t="s">
        <v>28</v>
      </c>
      <c r="F770" t="s">
        <v>29</v>
      </c>
      <c r="G770" t="s">
        <v>1033</v>
      </c>
      <c r="H770" t="s">
        <v>30</v>
      </c>
      <c r="I770" s="1">
        <v>2</v>
      </c>
      <c r="J770" s="2">
        <v>310.33999999999997</v>
      </c>
    </row>
    <row r="771" spans="2:10" x14ac:dyDescent="0.2">
      <c r="B771" t="s">
        <v>955</v>
      </c>
      <c r="C771" t="s">
        <v>141</v>
      </c>
      <c r="D771" t="s">
        <v>956</v>
      </c>
      <c r="E771" t="s">
        <v>308</v>
      </c>
      <c r="F771" t="s">
        <v>309</v>
      </c>
      <c r="G771" t="s">
        <v>1033</v>
      </c>
      <c r="H771" t="s">
        <v>30</v>
      </c>
      <c r="I771" s="1">
        <v>1</v>
      </c>
      <c r="J771" s="2">
        <v>818.97</v>
      </c>
    </row>
    <row r="772" spans="2:10" x14ac:dyDescent="0.2">
      <c r="B772" t="s">
        <v>955</v>
      </c>
      <c r="C772" t="s">
        <v>141</v>
      </c>
      <c r="D772" t="s">
        <v>956</v>
      </c>
      <c r="E772" t="s">
        <v>961</v>
      </c>
      <c r="F772" t="s">
        <v>962</v>
      </c>
      <c r="G772" t="s">
        <v>1033</v>
      </c>
      <c r="H772" t="s">
        <v>30</v>
      </c>
      <c r="I772" s="1">
        <v>1</v>
      </c>
      <c r="J772" s="2">
        <v>2577.59</v>
      </c>
    </row>
    <row r="773" spans="2:10" x14ac:dyDescent="0.2">
      <c r="B773" t="s">
        <v>955</v>
      </c>
      <c r="C773" t="s">
        <v>144</v>
      </c>
      <c r="D773" t="s">
        <v>956</v>
      </c>
      <c r="E773" t="s">
        <v>318</v>
      </c>
      <c r="F773" t="s">
        <v>319</v>
      </c>
      <c r="G773" t="s">
        <v>1033</v>
      </c>
      <c r="H773" t="s">
        <v>30</v>
      </c>
      <c r="I773" s="1">
        <v>1</v>
      </c>
      <c r="J773" s="2">
        <v>456.9</v>
      </c>
    </row>
    <row r="774" spans="2:10" x14ac:dyDescent="0.2">
      <c r="B774" t="s">
        <v>955</v>
      </c>
      <c r="C774" t="s">
        <v>165</v>
      </c>
      <c r="D774" t="s">
        <v>277</v>
      </c>
      <c r="E774" t="s">
        <v>318</v>
      </c>
      <c r="F774" t="s">
        <v>319</v>
      </c>
      <c r="G774" t="s">
        <v>1033</v>
      </c>
      <c r="H774" t="s">
        <v>30</v>
      </c>
      <c r="I774" s="1">
        <v>1</v>
      </c>
      <c r="J774" s="2">
        <v>456.9</v>
      </c>
    </row>
    <row r="775" spans="2:10" x14ac:dyDescent="0.2">
      <c r="B775" t="s">
        <v>955</v>
      </c>
      <c r="C775" t="s">
        <v>165</v>
      </c>
      <c r="D775" t="s">
        <v>277</v>
      </c>
      <c r="E775" t="s">
        <v>280</v>
      </c>
      <c r="F775" t="s">
        <v>281</v>
      </c>
      <c r="G775" t="s">
        <v>1033</v>
      </c>
      <c r="H775" t="s">
        <v>30</v>
      </c>
      <c r="I775" s="1">
        <v>1</v>
      </c>
      <c r="J775" s="2">
        <v>474.14</v>
      </c>
    </row>
    <row r="776" spans="2:10" x14ac:dyDescent="0.2">
      <c r="B776" t="s">
        <v>955</v>
      </c>
      <c r="C776" t="s">
        <v>166</v>
      </c>
      <c r="D776" t="s">
        <v>956</v>
      </c>
      <c r="E776" t="s">
        <v>167</v>
      </c>
      <c r="F776" t="s">
        <v>168</v>
      </c>
      <c r="G776" t="s">
        <v>1033</v>
      </c>
      <c r="H776" t="s">
        <v>30</v>
      </c>
      <c r="I776" s="1">
        <v>1</v>
      </c>
      <c r="J776" s="2">
        <v>1267.24</v>
      </c>
    </row>
    <row r="777" spans="2:10" x14ac:dyDescent="0.2">
      <c r="B777" t="s">
        <v>955</v>
      </c>
      <c r="C777" t="s">
        <v>166</v>
      </c>
      <c r="D777" t="s">
        <v>956</v>
      </c>
      <c r="E777" t="s">
        <v>425</v>
      </c>
      <c r="F777" t="s">
        <v>426</v>
      </c>
      <c r="G777" t="s">
        <v>1033</v>
      </c>
      <c r="H777" t="s">
        <v>30</v>
      </c>
      <c r="I777" s="1">
        <v>1</v>
      </c>
      <c r="J777" s="2">
        <v>1137.93</v>
      </c>
    </row>
    <row r="778" spans="2:10" x14ac:dyDescent="0.2">
      <c r="B778" t="s">
        <v>955</v>
      </c>
      <c r="C778" t="s">
        <v>166</v>
      </c>
      <c r="D778" t="s">
        <v>956</v>
      </c>
      <c r="E778" t="s">
        <v>257</v>
      </c>
      <c r="F778" t="s">
        <v>258</v>
      </c>
      <c r="G778" t="s">
        <v>1033</v>
      </c>
      <c r="H778" t="s">
        <v>30</v>
      </c>
      <c r="I778" s="1">
        <v>1</v>
      </c>
      <c r="J778" s="2">
        <v>1577.59</v>
      </c>
    </row>
    <row r="779" spans="2:10" x14ac:dyDescent="0.2">
      <c r="B779" t="s">
        <v>955</v>
      </c>
      <c r="C779" t="s">
        <v>335</v>
      </c>
      <c r="D779" t="s">
        <v>956</v>
      </c>
      <c r="E779" t="s">
        <v>1000</v>
      </c>
      <c r="F779" t="s">
        <v>1001</v>
      </c>
      <c r="G779" t="s">
        <v>1033</v>
      </c>
      <c r="H779" t="s">
        <v>30</v>
      </c>
      <c r="I779" s="1">
        <v>1</v>
      </c>
      <c r="J779" s="2">
        <v>2672.41</v>
      </c>
    </row>
    <row r="780" spans="2:10" x14ac:dyDescent="0.2">
      <c r="B780" t="s">
        <v>955</v>
      </c>
      <c r="C780" t="s">
        <v>335</v>
      </c>
      <c r="D780" t="s">
        <v>956</v>
      </c>
      <c r="E780" t="s">
        <v>342</v>
      </c>
      <c r="F780" t="s">
        <v>343</v>
      </c>
      <c r="G780" t="s">
        <v>1033</v>
      </c>
      <c r="H780" t="s">
        <v>30</v>
      </c>
      <c r="I780" s="1">
        <v>1</v>
      </c>
      <c r="J780" s="2">
        <v>1681.03</v>
      </c>
    </row>
    <row r="781" spans="2:10" x14ac:dyDescent="0.2">
      <c r="B781" t="s">
        <v>955</v>
      </c>
      <c r="C781" t="s">
        <v>335</v>
      </c>
      <c r="D781" t="s">
        <v>956</v>
      </c>
      <c r="E781" t="s">
        <v>28</v>
      </c>
      <c r="F781" t="s">
        <v>29</v>
      </c>
      <c r="G781" t="s">
        <v>1033</v>
      </c>
      <c r="H781" t="s">
        <v>30</v>
      </c>
      <c r="I781" s="1">
        <v>1</v>
      </c>
      <c r="J781" s="2">
        <v>155.16999999999999</v>
      </c>
    </row>
    <row r="782" spans="2:10" x14ac:dyDescent="0.2">
      <c r="B782" t="s">
        <v>955</v>
      </c>
      <c r="C782" t="s">
        <v>418</v>
      </c>
      <c r="D782" t="s">
        <v>130</v>
      </c>
      <c r="E782" t="s">
        <v>302</v>
      </c>
      <c r="F782" t="s">
        <v>303</v>
      </c>
      <c r="G782" t="s">
        <v>1033</v>
      </c>
      <c r="H782" t="s">
        <v>30</v>
      </c>
      <c r="I782" s="1">
        <v>1</v>
      </c>
      <c r="J782" s="2">
        <v>474.14</v>
      </c>
    </row>
    <row r="783" spans="2:10" x14ac:dyDescent="0.2">
      <c r="B783" t="s">
        <v>955</v>
      </c>
      <c r="C783" t="s">
        <v>418</v>
      </c>
      <c r="D783" t="s">
        <v>130</v>
      </c>
      <c r="E783" t="s">
        <v>189</v>
      </c>
      <c r="F783" t="s">
        <v>190</v>
      </c>
      <c r="G783" t="s">
        <v>1033</v>
      </c>
      <c r="H783" t="s">
        <v>30</v>
      </c>
      <c r="I783" s="1">
        <v>1</v>
      </c>
      <c r="J783" s="2">
        <v>818.97</v>
      </c>
    </row>
    <row r="784" spans="2:10" x14ac:dyDescent="0.2">
      <c r="B784" t="s">
        <v>955</v>
      </c>
      <c r="C784" t="s">
        <v>186</v>
      </c>
      <c r="D784" t="s">
        <v>956</v>
      </c>
      <c r="E784" t="s">
        <v>28</v>
      </c>
      <c r="F784" t="s">
        <v>29</v>
      </c>
      <c r="G784" t="s">
        <v>1033</v>
      </c>
      <c r="H784" t="s">
        <v>30</v>
      </c>
      <c r="I784" s="1">
        <v>3</v>
      </c>
      <c r="J784" s="2">
        <v>465.52</v>
      </c>
    </row>
    <row r="785" spans="2:10" x14ac:dyDescent="0.2">
      <c r="B785" t="s">
        <v>955</v>
      </c>
      <c r="C785" t="s">
        <v>197</v>
      </c>
      <c r="D785" t="s">
        <v>956</v>
      </c>
      <c r="E785" t="s">
        <v>308</v>
      </c>
      <c r="F785" t="s">
        <v>309</v>
      </c>
      <c r="G785" t="s">
        <v>1033</v>
      </c>
      <c r="H785" t="s">
        <v>30</v>
      </c>
      <c r="I785" s="1">
        <v>1</v>
      </c>
      <c r="J785" s="2">
        <v>818.97</v>
      </c>
    </row>
    <row r="786" spans="2:10" x14ac:dyDescent="0.2">
      <c r="B786" t="s">
        <v>955</v>
      </c>
      <c r="C786" t="s">
        <v>206</v>
      </c>
      <c r="D786" t="s">
        <v>956</v>
      </c>
      <c r="E786" t="s">
        <v>414</v>
      </c>
      <c r="F786" t="s">
        <v>415</v>
      </c>
      <c r="G786" t="s">
        <v>1033</v>
      </c>
      <c r="H786" t="s">
        <v>30</v>
      </c>
      <c r="I786" s="1">
        <v>1</v>
      </c>
      <c r="J786" s="2">
        <v>646.54999999999995</v>
      </c>
    </row>
    <row r="787" spans="2:10" x14ac:dyDescent="0.2">
      <c r="B787" t="s">
        <v>955</v>
      </c>
      <c r="C787" t="s">
        <v>206</v>
      </c>
      <c r="D787" t="s">
        <v>956</v>
      </c>
      <c r="E787" t="s">
        <v>333</v>
      </c>
      <c r="F787" t="s">
        <v>334</v>
      </c>
      <c r="G787" t="s">
        <v>1033</v>
      </c>
      <c r="H787" t="s">
        <v>30</v>
      </c>
      <c r="I787" s="1">
        <v>1</v>
      </c>
      <c r="J787" s="2">
        <v>2413.79</v>
      </c>
    </row>
    <row r="788" spans="2:10" x14ac:dyDescent="0.2">
      <c r="B788" t="s">
        <v>955</v>
      </c>
      <c r="C788" t="s">
        <v>220</v>
      </c>
      <c r="D788" t="s">
        <v>956</v>
      </c>
      <c r="E788" t="s">
        <v>167</v>
      </c>
      <c r="F788" t="s">
        <v>168</v>
      </c>
      <c r="G788" t="s">
        <v>1033</v>
      </c>
      <c r="H788" t="s">
        <v>30</v>
      </c>
      <c r="I788" s="1">
        <v>1</v>
      </c>
      <c r="J788" s="2">
        <v>1267.24</v>
      </c>
    </row>
    <row r="789" spans="2:10" x14ac:dyDescent="0.2">
      <c r="B789" t="s">
        <v>955</v>
      </c>
      <c r="C789" t="s">
        <v>220</v>
      </c>
      <c r="D789" t="s">
        <v>956</v>
      </c>
      <c r="E789" t="s">
        <v>352</v>
      </c>
      <c r="F789" t="s">
        <v>353</v>
      </c>
      <c r="G789" t="s">
        <v>1033</v>
      </c>
      <c r="H789" t="s">
        <v>30</v>
      </c>
      <c r="I789" s="1">
        <v>1</v>
      </c>
      <c r="J789" s="2">
        <v>1422.41</v>
      </c>
    </row>
    <row r="790" spans="2:10" x14ac:dyDescent="0.2">
      <c r="B790" t="s">
        <v>955</v>
      </c>
      <c r="C790" t="s">
        <v>220</v>
      </c>
      <c r="D790" t="s">
        <v>956</v>
      </c>
      <c r="E790" t="s">
        <v>195</v>
      </c>
      <c r="F790" t="s">
        <v>196</v>
      </c>
      <c r="G790" t="s">
        <v>1033</v>
      </c>
      <c r="H790" t="s">
        <v>30</v>
      </c>
      <c r="I790" s="1">
        <v>1</v>
      </c>
      <c r="J790" s="2">
        <v>2120.69</v>
      </c>
    </row>
    <row r="791" spans="2:10" x14ac:dyDescent="0.2">
      <c r="B791" t="s">
        <v>955</v>
      </c>
      <c r="C791" t="s">
        <v>225</v>
      </c>
      <c r="D791" t="s">
        <v>277</v>
      </c>
      <c r="E791" t="s">
        <v>350</v>
      </c>
      <c r="F791" t="s">
        <v>351</v>
      </c>
      <c r="G791" t="s">
        <v>1033</v>
      </c>
      <c r="H791" t="s">
        <v>30</v>
      </c>
      <c r="I791" s="1">
        <v>1</v>
      </c>
      <c r="J791" s="2">
        <v>818.97</v>
      </c>
    </row>
    <row r="792" spans="2:10" x14ac:dyDescent="0.2">
      <c r="B792" t="s">
        <v>955</v>
      </c>
      <c r="C792" t="s">
        <v>225</v>
      </c>
      <c r="D792" t="s">
        <v>277</v>
      </c>
      <c r="E792" t="s">
        <v>249</v>
      </c>
      <c r="F792" t="s">
        <v>250</v>
      </c>
      <c r="G792" t="s">
        <v>1033</v>
      </c>
      <c r="H792" t="s">
        <v>30</v>
      </c>
      <c r="I792" s="1">
        <v>1</v>
      </c>
      <c r="J792" s="2">
        <v>517.24</v>
      </c>
    </row>
    <row r="793" spans="2:10" x14ac:dyDescent="0.2">
      <c r="B793" t="s">
        <v>955</v>
      </c>
      <c r="C793" t="s">
        <v>225</v>
      </c>
      <c r="D793" t="s">
        <v>277</v>
      </c>
      <c r="E793" t="s">
        <v>342</v>
      </c>
      <c r="F793" t="s">
        <v>343</v>
      </c>
      <c r="G793" t="s">
        <v>1033</v>
      </c>
      <c r="H793" t="s">
        <v>30</v>
      </c>
      <c r="I793" s="1">
        <v>1</v>
      </c>
      <c r="J793" s="2">
        <v>1681.03</v>
      </c>
    </row>
    <row r="794" spans="2:10" x14ac:dyDescent="0.2">
      <c r="B794" t="s">
        <v>955</v>
      </c>
      <c r="C794" t="s">
        <v>225</v>
      </c>
      <c r="D794" t="s">
        <v>277</v>
      </c>
      <c r="E794" t="s">
        <v>257</v>
      </c>
      <c r="F794" t="s">
        <v>258</v>
      </c>
      <c r="G794" t="s">
        <v>1033</v>
      </c>
      <c r="H794" t="s">
        <v>30</v>
      </c>
      <c r="I794" s="1">
        <v>1</v>
      </c>
      <c r="J794" s="2">
        <v>1577.59</v>
      </c>
    </row>
    <row r="795" spans="2:10" x14ac:dyDescent="0.2">
      <c r="B795" t="s">
        <v>955</v>
      </c>
      <c r="C795" t="s">
        <v>227</v>
      </c>
      <c r="D795" t="s">
        <v>956</v>
      </c>
      <c r="E795" t="s">
        <v>44</v>
      </c>
      <c r="F795" t="s">
        <v>45</v>
      </c>
      <c r="G795" t="s">
        <v>1033</v>
      </c>
      <c r="H795" t="s">
        <v>30</v>
      </c>
      <c r="I795" s="1">
        <v>2</v>
      </c>
      <c r="J795" s="2">
        <v>163.80000000000001</v>
      </c>
    </row>
    <row r="796" spans="2:10" x14ac:dyDescent="0.2">
      <c r="B796" t="s">
        <v>955</v>
      </c>
      <c r="C796" t="s">
        <v>227</v>
      </c>
      <c r="D796" t="s">
        <v>956</v>
      </c>
      <c r="E796" t="s">
        <v>414</v>
      </c>
      <c r="F796" t="s">
        <v>415</v>
      </c>
      <c r="G796" t="s">
        <v>1033</v>
      </c>
      <c r="H796" t="s">
        <v>30</v>
      </c>
      <c r="I796" s="1">
        <v>1</v>
      </c>
      <c r="J796" s="2">
        <v>646.54999999999995</v>
      </c>
    </row>
    <row r="797" spans="2:10" x14ac:dyDescent="0.2">
      <c r="B797" t="s">
        <v>955</v>
      </c>
      <c r="C797" t="s">
        <v>237</v>
      </c>
      <c r="D797" t="s">
        <v>956</v>
      </c>
      <c r="E797" t="s">
        <v>44</v>
      </c>
      <c r="F797" t="s">
        <v>45</v>
      </c>
      <c r="G797" t="s">
        <v>1033</v>
      </c>
      <c r="H797" t="s">
        <v>30</v>
      </c>
      <c r="I797" s="1">
        <v>2</v>
      </c>
      <c r="J797" s="2">
        <v>163.80000000000001</v>
      </c>
    </row>
    <row r="798" spans="2:10" x14ac:dyDescent="0.2">
      <c r="B798" t="s">
        <v>955</v>
      </c>
      <c r="C798" t="s">
        <v>237</v>
      </c>
      <c r="D798" t="s">
        <v>956</v>
      </c>
      <c r="E798" t="s">
        <v>28</v>
      </c>
      <c r="F798" t="s">
        <v>29</v>
      </c>
      <c r="G798" t="s">
        <v>1033</v>
      </c>
      <c r="H798" t="s">
        <v>30</v>
      </c>
      <c r="I798" s="1">
        <v>2</v>
      </c>
      <c r="J798" s="2">
        <v>310.33999999999997</v>
      </c>
    </row>
    <row r="799" spans="2:10" x14ac:dyDescent="0.2">
      <c r="B799" t="s">
        <v>955</v>
      </c>
      <c r="C799" t="s">
        <v>248</v>
      </c>
      <c r="D799" t="s">
        <v>956</v>
      </c>
      <c r="E799" t="s">
        <v>44</v>
      </c>
      <c r="F799" t="s">
        <v>45</v>
      </c>
      <c r="G799" t="s">
        <v>1033</v>
      </c>
      <c r="H799" t="s">
        <v>30</v>
      </c>
      <c r="I799" s="1">
        <v>1</v>
      </c>
      <c r="J799" s="2">
        <v>81.900000000000006</v>
      </c>
    </row>
    <row r="800" spans="2:10" x14ac:dyDescent="0.2">
      <c r="B800" t="s">
        <v>955</v>
      </c>
      <c r="C800" t="s">
        <v>248</v>
      </c>
      <c r="D800" t="s">
        <v>956</v>
      </c>
      <c r="E800" t="s">
        <v>189</v>
      </c>
      <c r="F800" t="s">
        <v>190</v>
      </c>
      <c r="G800" t="s">
        <v>1033</v>
      </c>
      <c r="H800" t="s">
        <v>30</v>
      </c>
      <c r="I800" s="1">
        <v>1</v>
      </c>
      <c r="J800" s="2">
        <v>818.97</v>
      </c>
    </row>
    <row r="801" spans="2:10" x14ac:dyDescent="0.2">
      <c r="B801" t="s">
        <v>955</v>
      </c>
      <c r="C801" t="s">
        <v>248</v>
      </c>
      <c r="D801" t="s">
        <v>956</v>
      </c>
      <c r="E801" t="s">
        <v>28</v>
      </c>
      <c r="F801" t="s">
        <v>29</v>
      </c>
      <c r="G801" t="s">
        <v>1033</v>
      </c>
      <c r="H801" t="s">
        <v>30</v>
      </c>
      <c r="I801" s="1">
        <v>1</v>
      </c>
      <c r="J801" s="2">
        <v>155.16999999999999</v>
      </c>
    </row>
    <row r="802" spans="2:10" x14ac:dyDescent="0.2">
      <c r="B802" t="s">
        <v>1016</v>
      </c>
      <c r="C802" t="s">
        <v>10</v>
      </c>
      <c r="D802" t="s">
        <v>1017</v>
      </c>
      <c r="E802" t="s">
        <v>399</v>
      </c>
      <c r="F802" t="s">
        <v>400</v>
      </c>
      <c r="G802" t="s">
        <v>1033</v>
      </c>
      <c r="H802" t="s">
        <v>30</v>
      </c>
      <c r="I802" s="1">
        <v>1</v>
      </c>
      <c r="J802" s="2">
        <v>818.97</v>
      </c>
    </row>
    <row r="803" spans="2:10" x14ac:dyDescent="0.2">
      <c r="B803" t="s">
        <v>1016</v>
      </c>
      <c r="C803" t="s">
        <v>18</v>
      </c>
      <c r="D803" t="s">
        <v>32</v>
      </c>
      <c r="E803" t="s">
        <v>70</v>
      </c>
      <c r="F803" t="s">
        <v>71</v>
      </c>
      <c r="G803" t="s">
        <v>1033</v>
      </c>
      <c r="H803" t="s">
        <v>30</v>
      </c>
      <c r="I803" s="1">
        <v>1</v>
      </c>
      <c r="J803" s="2">
        <v>2112.0700000000002</v>
      </c>
    </row>
    <row r="804" spans="2:10" x14ac:dyDescent="0.2">
      <c r="B804" t="s">
        <v>1016</v>
      </c>
      <c r="C804" t="s">
        <v>31</v>
      </c>
      <c r="D804" t="s">
        <v>1017</v>
      </c>
      <c r="E804" t="s">
        <v>826</v>
      </c>
      <c r="F804" t="s">
        <v>827</v>
      </c>
      <c r="G804" t="s">
        <v>1033</v>
      </c>
      <c r="H804" t="s">
        <v>30</v>
      </c>
      <c r="I804" s="1">
        <v>1</v>
      </c>
      <c r="J804" s="2">
        <v>521.54999999999995</v>
      </c>
    </row>
    <row r="805" spans="2:10" x14ac:dyDescent="0.2">
      <c r="B805" t="s">
        <v>1016</v>
      </c>
      <c r="C805" t="s">
        <v>31</v>
      </c>
      <c r="D805" t="s">
        <v>1017</v>
      </c>
      <c r="E805" t="s">
        <v>44</v>
      </c>
      <c r="F805" t="s">
        <v>45</v>
      </c>
      <c r="G805" t="s">
        <v>1033</v>
      </c>
      <c r="H805" t="s">
        <v>30</v>
      </c>
      <c r="I805" s="1">
        <v>1</v>
      </c>
      <c r="J805" s="2">
        <v>81.900000000000006</v>
      </c>
    </row>
    <row r="806" spans="2:10" x14ac:dyDescent="0.2">
      <c r="B806" t="s">
        <v>1016</v>
      </c>
      <c r="C806" t="s">
        <v>31</v>
      </c>
      <c r="D806" t="s">
        <v>1017</v>
      </c>
      <c r="E806" t="s">
        <v>356</v>
      </c>
      <c r="F806" t="s">
        <v>357</v>
      </c>
      <c r="G806" t="s">
        <v>1033</v>
      </c>
      <c r="H806" t="s">
        <v>30</v>
      </c>
      <c r="I806" s="1">
        <v>1</v>
      </c>
      <c r="J806" s="2">
        <v>2198.2800000000002</v>
      </c>
    </row>
    <row r="807" spans="2:10" x14ac:dyDescent="0.2">
      <c r="B807" t="s">
        <v>1016</v>
      </c>
      <c r="C807" t="s">
        <v>31</v>
      </c>
      <c r="D807" t="s">
        <v>1017</v>
      </c>
      <c r="E807" t="s">
        <v>368</v>
      </c>
      <c r="F807" t="s">
        <v>369</v>
      </c>
      <c r="G807" t="s">
        <v>1033</v>
      </c>
      <c r="H807" t="s">
        <v>30</v>
      </c>
      <c r="I807" s="1">
        <v>1</v>
      </c>
      <c r="J807" s="2">
        <v>612.07000000000005</v>
      </c>
    </row>
    <row r="808" spans="2:10" x14ac:dyDescent="0.2">
      <c r="B808" t="s">
        <v>1016</v>
      </c>
      <c r="C808" t="s">
        <v>31</v>
      </c>
      <c r="D808" t="s">
        <v>1017</v>
      </c>
      <c r="E808" t="s">
        <v>312</v>
      </c>
      <c r="F808" t="s">
        <v>313</v>
      </c>
      <c r="G808" t="s">
        <v>1033</v>
      </c>
      <c r="H808" t="s">
        <v>30</v>
      </c>
      <c r="I808" s="1">
        <v>1</v>
      </c>
      <c r="J808" s="2">
        <v>603.45000000000005</v>
      </c>
    </row>
    <row r="809" spans="2:10" x14ac:dyDescent="0.2">
      <c r="B809" t="s">
        <v>1016</v>
      </c>
      <c r="C809" t="s">
        <v>40</v>
      </c>
      <c r="D809" t="s">
        <v>1017</v>
      </c>
      <c r="E809" t="s">
        <v>559</v>
      </c>
      <c r="F809" t="s">
        <v>560</v>
      </c>
      <c r="G809" t="s">
        <v>1033</v>
      </c>
      <c r="H809" t="s">
        <v>30</v>
      </c>
      <c r="I809" s="1">
        <v>1</v>
      </c>
      <c r="J809" s="2">
        <v>1706.9</v>
      </c>
    </row>
    <row r="810" spans="2:10" x14ac:dyDescent="0.2">
      <c r="B810" t="s">
        <v>1016</v>
      </c>
      <c r="C810" t="s">
        <v>40</v>
      </c>
      <c r="D810" t="s">
        <v>1017</v>
      </c>
      <c r="E810" t="s">
        <v>312</v>
      </c>
      <c r="F810" t="s">
        <v>313</v>
      </c>
      <c r="G810" t="s">
        <v>1033</v>
      </c>
      <c r="H810" t="s">
        <v>30</v>
      </c>
      <c r="I810" s="1">
        <v>1</v>
      </c>
      <c r="J810" s="2">
        <v>603.45000000000005</v>
      </c>
    </row>
    <row r="811" spans="2:10" x14ac:dyDescent="0.2">
      <c r="B811" t="s">
        <v>1016</v>
      </c>
      <c r="C811" t="s">
        <v>40</v>
      </c>
      <c r="D811" t="s">
        <v>1017</v>
      </c>
      <c r="E811" t="s">
        <v>28</v>
      </c>
      <c r="F811" t="s">
        <v>29</v>
      </c>
      <c r="G811" t="s">
        <v>1033</v>
      </c>
      <c r="H811" t="s">
        <v>30</v>
      </c>
      <c r="I811" s="1">
        <v>3</v>
      </c>
      <c r="J811" s="2">
        <v>465.52</v>
      </c>
    </row>
    <row r="812" spans="2:10" x14ac:dyDescent="0.2">
      <c r="B812" t="s">
        <v>1016</v>
      </c>
      <c r="C812" t="s">
        <v>51</v>
      </c>
      <c r="D812" t="s">
        <v>1017</v>
      </c>
      <c r="E812" t="s">
        <v>637</v>
      </c>
      <c r="F812" t="s">
        <v>638</v>
      </c>
      <c r="G812" t="s">
        <v>1033</v>
      </c>
      <c r="H812" t="s">
        <v>30</v>
      </c>
      <c r="I812" s="1">
        <v>1</v>
      </c>
      <c r="J812" s="2">
        <v>689.66</v>
      </c>
    </row>
    <row r="813" spans="2:10" x14ac:dyDescent="0.2">
      <c r="B813" t="s">
        <v>1016</v>
      </c>
      <c r="C813" t="s">
        <v>51</v>
      </c>
      <c r="D813" t="s">
        <v>1017</v>
      </c>
      <c r="E813" t="s">
        <v>416</v>
      </c>
      <c r="F813" t="s">
        <v>417</v>
      </c>
      <c r="G813" t="s">
        <v>1033</v>
      </c>
      <c r="H813" t="s">
        <v>30</v>
      </c>
      <c r="I813" s="1">
        <v>1</v>
      </c>
      <c r="J813" s="2">
        <v>2258.62</v>
      </c>
    </row>
    <row r="814" spans="2:10" x14ac:dyDescent="0.2">
      <c r="B814" t="s">
        <v>1016</v>
      </c>
      <c r="C814" t="s">
        <v>65</v>
      </c>
      <c r="D814" t="s">
        <v>1017</v>
      </c>
      <c r="E814" t="s">
        <v>269</v>
      </c>
      <c r="F814" t="s">
        <v>270</v>
      </c>
      <c r="G814" t="s">
        <v>1033</v>
      </c>
      <c r="H814" t="s">
        <v>30</v>
      </c>
      <c r="I814" s="1">
        <v>1</v>
      </c>
      <c r="J814" s="2">
        <v>948.28</v>
      </c>
    </row>
    <row r="815" spans="2:10" x14ac:dyDescent="0.2">
      <c r="B815" t="s">
        <v>1016</v>
      </c>
      <c r="C815" t="s">
        <v>82</v>
      </c>
      <c r="D815" t="s">
        <v>1017</v>
      </c>
      <c r="E815" t="s">
        <v>442</v>
      </c>
      <c r="F815" t="s">
        <v>443</v>
      </c>
      <c r="G815" t="s">
        <v>1033</v>
      </c>
      <c r="H815" t="s">
        <v>30</v>
      </c>
      <c r="I815" s="1">
        <v>1</v>
      </c>
      <c r="J815" s="2">
        <v>2500</v>
      </c>
    </row>
    <row r="816" spans="2:10" x14ac:dyDescent="0.2">
      <c r="B816" t="s">
        <v>1016</v>
      </c>
      <c r="C816" t="s">
        <v>88</v>
      </c>
      <c r="D816" t="s">
        <v>1017</v>
      </c>
      <c r="E816" t="s">
        <v>44</v>
      </c>
      <c r="F816" t="s">
        <v>45</v>
      </c>
      <c r="G816" t="s">
        <v>1033</v>
      </c>
      <c r="H816" t="s">
        <v>30</v>
      </c>
      <c r="I816" s="1">
        <v>1</v>
      </c>
      <c r="J816" s="2">
        <v>81.900000000000006</v>
      </c>
    </row>
    <row r="817" spans="2:10" x14ac:dyDescent="0.2">
      <c r="B817" t="s">
        <v>1016</v>
      </c>
      <c r="C817" t="s">
        <v>88</v>
      </c>
      <c r="D817" t="s">
        <v>1017</v>
      </c>
      <c r="E817" t="s">
        <v>559</v>
      </c>
      <c r="F817" t="s">
        <v>560</v>
      </c>
      <c r="G817" t="s">
        <v>1033</v>
      </c>
      <c r="H817" t="s">
        <v>30</v>
      </c>
      <c r="I817" s="1">
        <v>1</v>
      </c>
      <c r="J817" s="2">
        <v>1706.9</v>
      </c>
    </row>
    <row r="818" spans="2:10" x14ac:dyDescent="0.2">
      <c r="B818" t="s">
        <v>1016</v>
      </c>
      <c r="C818" t="s">
        <v>88</v>
      </c>
      <c r="D818" t="s">
        <v>1017</v>
      </c>
      <c r="E818" t="s">
        <v>742</v>
      </c>
      <c r="F818" t="s">
        <v>743</v>
      </c>
      <c r="G818" t="s">
        <v>1033</v>
      </c>
      <c r="H818" t="s">
        <v>30</v>
      </c>
      <c r="I818" s="1">
        <v>1</v>
      </c>
      <c r="J818" s="2">
        <v>2672.41</v>
      </c>
    </row>
    <row r="819" spans="2:10" x14ac:dyDescent="0.2">
      <c r="B819" t="s">
        <v>1016</v>
      </c>
      <c r="C819" t="s">
        <v>117</v>
      </c>
      <c r="D819" t="s">
        <v>32</v>
      </c>
      <c r="E819" t="s">
        <v>44</v>
      </c>
      <c r="F819" t="s">
        <v>45</v>
      </c>
      <c r="G819" t="s">
        <v>1033</v>
      </c>
      <c r="H819" t="s">
        <v>30</v>
      </c>
      <c r="I819" s="1">
        <v>1</v>
      </c>
      <c r="J819" s="2">
        <v>81.900000000000006</v>
      </c>
    </row>
    <row r="820" spans="2:10" x14ac:dyDescent="0.2">
      <c r="B820" t="s">
        <v>1016</v>
      </c>
      <c r="C820" t="s">
        <v>129</v>
      </c>
      <c r="D820" t="s">
        <v>1017</v>
      </c>
      <c r="E820" t="s">
        <v>41</v>
      </c>
      <c r="F820" t="s">
        <v>42</v>
      </c>
      <c r="G820" t="s">
        <v>1033</v>
      </c>
      <c r="H820" t="s">
        <v>30</v>
      </c>
      <c r="I820" s="1">
        <v>2</v>
      </c>
      <c r="J820" s="2">
        <v>68.97</v>
      </c>
    </row>
    <row r="821" spans="2:10" x14ac:dyDescent="0.2">
      <c r="B821" t="s">
        <v>1016</v>
      </c>
      <c r="C821" t="s">
        <v>129</v>
      </c>
      <c r="D821" t="s">
        <v>1017</v>
      </c>
      <c r="E821" t="s">
        <v>44</v>
      </c>
      <c r="F821" t="s">
        <v>45</v>
      </c>
      <c r="G821" t="s">
        <v>1033</v>
      </c>
      <c r="H821" t="s">
        <v>30</v>
      </c>
      <c r="I821" s="1">
        <v>1</v>
      </c>
      <c r="J821" s="2">
        <v>81.900000000000006</v>
      </c>
    </row>
    <row r="822" spans="2:10" x14ac:dyDescent="0.2">
      <c r="B822" t="s">
        <v>1016</v>
      </c>
      <c r="C822" t="s">
        <v>134</v>
      </c>
      <c r="D822" t="s">
        <v>1017</v>
      </c>
      <c r="E822" t="s">
        <v>306</v>
      </c>
      <c r="F822" t="s">
        <v>307</v>
      </c>
      <c r="G822" t="s">
        <v>1033</v>
      </c>
      <c r="H822" t="s">
        <v>30</v>
      </c>
      <c r="I822" s="1">
        <v>1</v>
      </c>
      <c r="J822" s="2">
        <v>258.62</v>
      </c>
    </row>
    <row r="823" spans="2:10" x14ac:dyDescent="0.2">
      <c r="B823" t="s">
        <v>1016</v>
      </c>
      <c r="C823" t="s">
        <v>134</v>
      </c>
      <c r="D823" t="s">
        <v>1017</v>
      </c>
      <c r="E823" t="s">
        <v>605</v>
      </c>
      <c r="F823" t="s">
        <v>606</v>
      </c>
      <c r="G823" t="s">
        <v>1033</v>
      </c>
      <c r="H823" t="s">
        <v>30</v>
      </c>
      <c r="I823" s="1">
        <v>1</v>
      </c>
      <c r="J823" s="2">
        <v>465.52</v>
      </c>
    </row>
    <row r="824" spans="2:10" x14ac:dyDescent="0.2">
      <c r="B824" t="s">
        <v>1016</v>
      </c>
      <c r="C824" t="s">
        <v>135</v>
      </c>
      <c r="D824" t="s">
        <v>1017</v>
      </c>
      <c r="E824" t="s">
        <v>255</v>
      </c>
      <c r="F824" t="s">
        <v>256</v>
      </c>
      <c r="G824" t="s">
        <v>1033</v>
      </c>
      <c r="H824" t="s">
        <v>30</v>
      </c>
      <c r="I824" s="1">
        <v>1</v>
      </c>
      <c r="J824" s="2">
        <v>517.24</v>
      </c>
    </row>
    <row r="825" spans="2:10" x14ac:dyDescent="0.2">
      <c r="B825" t="s">
        <v>1016</v>
      </c>
      <c r="C825" t="s">
        <v>141</v>
      </c>
      <c r="D825" t="s">
        <v>1017</v>
      </c>
      <c r="E825" t="s">
        <v>44</v>
      </c>
      <c r="F825" t="s">
        <v>45</v>
      </c>
      <c r="G825" t="s">
        <v>1033</v>
      </c>
      <c r="H825" t="s">
        <v>30</v>
      </c>
      <c r="I825" s="1">
        <v>1</v>
      </c>
      <c r="J825" s="2">
        <v>81.900000000000006</v>
      </c>
    </row>
    <row r="826" spans="2:10" x14ac:dyDescent="0.2">
      <c r="B826" t="s">
        <v>1016</v>
      </c>
      <c r="C826" t="s">
        <v>141</v>
      </c>
      <c r="D826" t="s">
        <v>1017</v>
      </c>
      <c r="E826" t="s">
        <v>28</v>
      </c>
      <c r="F826" t="s">
        <v>29</v>
      </c>
      <c r="G826" t="s">
        <v>1033</v>
      </c>
      <c r="H826" t="s">
        <v>30</v>
      </c>
      <c r="I826" s="1">
        <v>1</v>
      </c>
      <c r="J826" s="2">
        <v>155.16999999999999</v>
      </c>
    </row>
    <row r="827" spans="2:10" x14ac:dyDescent="0.2">
      <c r="B827" t="s">
        <v>1016</v>
      </c>
      <c r="C827" t="s">
        <v>165</v>
      </c>
      <c r="D827" t="s">
        <v>1017</v>
      </c>
      <c r="E827" t="s">
        <v>679</v>
      </c>
      <c r="F827" t="s">
        <v>680</v>
      </c>
      <c r="G827" t="s">
        <v>1033</v>
      </c>
      <c r="H827" t="s">
        <v>30</v>
      </c>
      <c r="I827" s="1">
        <v>1</v>
      </c>
      <c r="J827" s="2">
        <v>1293.0999999999999</v>
      </c>
    </row>
    <row r="828" spans="2:10" x14ac:dyDescent="0.2">
      <c r="B828" t="s">
        <v>1016</v>
      </c>
      <c r="C828" t="s">
        <v>166</v>
      </c>
      <c r="D828" t="s">
        <v>32</v>
      </c>
      <c r="E828" t="s">
        <v>637</v>
      </c>
      <c r="F828" t="s">
        <v>638</v>
      </c>
      <c r="G828" t="s">
        <v>1033</v>
      </c>
      <c r="H828" t="s">
        <v>30</v>
      </c>
      <c r="I828" s="1">
        <v>1</v>
      </c>
      <c r="J828" s="2">
        <v>689.66</v>
      </c>
    </row>
    <row r="829" spans="2:10" x14ac:dyDescent="0.2">
      <c r="B829" t="s">
        <v>1016</v>
      </c>
      <c r="C829" t="s">
        <v>166</v>
      </c>
      <c r="D829" t="s">
        <v>32</v>
      </c>
      <c r="E829" t="s">
        <v>41</v>
      </c>
      <c r="F829" t="s">
        <v>42</v>
      </c>
      <c r="G829" t="s">
        <v>1033</v>
      </c>
      <c r="H829" t="s">
        <v>30</v>
      </c>
      <c r="I829" s="1">
        <v>1</v>
      </c>
      <c r="J829" s="2">
        <v>34.479999999999997</v>
      </c>
    </row>
    <row r="830" spans="2:10" x14ac:dyDescent="0.2">
      <c r="B830" t="s">
        <v>1016</v>
      </c>
      <c r="C830" t="s">
        <v>166</v>
      </c>
      <c r="D830" t="s">
        <v>32</v>
      </c>
      <c r="E830" t="s">
        <v>44</v>
      </c>
      <c r="F830" t="s">
        <v>45</v>
      </c>
      <c r="G830" t="s">
        <v>1033</v>
      </c>
      <c r="H830" t="s">
        <v>30</v>
      </c>
      <c r="I830" s="1">
        <v>1</v>
      </c>
      <c r="J830" s="2">
        <v>81.900000000000006</v>
      </c>
    </row>
    <row r="831" spans="2:10" x14ac:dyDescent="0.2">
      <c r="B831" t="s">
        <v>1016</v>
      </c>
      <c r="C831" t="s">
        <v>166</v>
      </c>
      <c r="D831" t="s">
        <v>32</v>
      </c>
      <c r="E831" t="s">
        <v>1021</v>
      </c>
      <c r="F831" t="s">
        <v>1022</v>
      </c>
      <c r="G831" t="s">
        <v>1033</v>
      </c>
      <c r="H831" t="s">
        <v>30</v>
      </c>
      <c r="I831" s="1">
        <v>1</v>
      </c>
      <c r="J831" s="2">
        <v>344.83</v>
      </c>
    </row>
    <row r="832" spans="2:10" x14ac:dyDescent="0.2">
      <c r="B832" t="s">
        <v>1016</v>
      </c>
      <c r="C832" t="s">
        <v>166</v>
      </c>
      <c r="D832" t="s">
        <v>32</v>
      </c>
      <c r="E832" t="s">
        <v>70</v>
      </c>
      <c r="F832" t="s">
        <v>71</v>
      </c>
      <c r="G832" t="s">
        <v>1033</v>
      </c>
      <c r="H832" t="s">
        <v>30</v>
      </c>
      <c r="I832" s="1">
        <v>1</v>
      </c>
      <c r="J832" s="2">
        <v>2112.0700000000002</v>
      </c>
    </row>
    <row r="833" spans="2:10" x14ac:dyDescent="0.2">
      <c r="B833" t="s">
        <v>1016</v>
      </c>
      <c r="C833" t="s">
        <v>185</v>
      </c>
      <c r="D833" t="s">
        <v>1017</v>
      </c>
      <c r="E833" t="s">
        <v>41</v>
      </c>
      <c r="F833" t="s">
        <v>42</v>
      </c>
      <c r="G833" t="s">
        <v>1033</v>
      </c>
      <c r="H833" t="s">
        <v>30</v>
      </c>
      <c r="I833" s="1">
        <v>1</v>
      </c>
      <c r="J833" s="2">
        <v>34.479999999999997</v>
      </c>
    </row>
    <row r="834" spans="2:10" x14ac:dyDescent="0.2">
      <c r="B834" t="s">
        <v>1016</v>
      </c>
      <c r="C834" t="s">
        <v>185</v>
      </c>
      <c r="D834" t="s">
        <v>1017</v>
      </c>
      <c r="E834" t="s">
        <v>1025</v>
      </c>
      <c r="F834" t="s">
        <v>1026</v>
      </c>
      <c r="G834" t="s">
        <v>1033</v>
      </c>
      <c r="H834" t="s">
        <v>30</v>
      </c>
      <c r="I834" s="1">
        <v>1</v>
      </c>
      <c r="J834" s="2">
        <v>1293.0999999999999</v>
      </c>
    </row>
    <row r="835" spans="2:10" x14ac:dyDescent="0.2">
      <c r="B835" t="s">
        <v>1016</v>
      </c>
      <c r="C835" t="s">
        <v>185</v>
      </c>
      <c r="D835" t="s">
        <v>1017</v>
      </c>
      <c r="E835" t="s">
        <v>273</v>
      </c>
      <c r="F835" t="s">
        <v>274</v>
      </c>
      <c r="G835" t="s">
        <v>1033</v>
      </c>
      <c r="H835" t="s">
        <v>30</v>
      </c>
      <c r="I835" s="1">
        <v>1</v>
      </c>
      <c r="J835" s="2">
        <v>1293.0999999999999</v>
      </c>
    </row>
    <row r="836" spans="2:10" x14ac:dyDescent="0.2">
      <c r="B836" t="s">
        <v>1016</v>
      </c>
      <c r="C836" t="s">
        <v>335</v>
      </c>
      <c r="D836" t="s">
        <v>1017</v>
      </c>
      <c r="E836" t="s">
        <v>273</v>
      </c>
      <c r="F836" t="s">
        <v>274</v>
      </c>
      <c r="G836" t="s">
        <v>1033</v>
      </c>
      <c r="H836" t="s">
        <v>30</v>
      </c>
      <c r="I836" s="1">
        <v>1</v>
      </c>
      <c r="J836" s="2">
        <v>1293.0999999999999</v>
      </c>
    </row>
    <row r="837" spans="2:10" x14ac:dyDescent="0.2">
      <c r="B837" t="s">
        <v>1016</v>
      </c>
      <c r="C837" t="s">
        <v>418</v>
      </c>
      <c r="D837" t="s">
        <v>1017</v>
      </c>
      <c r="E837" t="s">
        <v>41</v>
      </c>
      <c r="F837" t="s">
        <v>42</v>
      </c>
      <c r="G837" t="s">
        <v>1033</v>
      </c>
      <c r="H837" t="s">
        <v>30</v>
      </c>
      <c r="I837" s="1">
        <v>1</v>
      </c>
      <c r="J837" s="2">
        <v>34.479999999999997</v>
      </c>
    </row>
    <row r="838" spans="2:10" x14ac:dyDescent="0.2">
      <c r="B838" t="s">
        <v>1016</v>
      </c>
      <c r="C838" t="s">
        <v>418</v>
      </c>
      <c r="D838" t="s">
        <v>1017</v>
      </c>
      <c r="E838" t="s">
        <v>342</v>
      </c>
      <c r="F838" t="s">
        <v>343</v>
      </c>
      <c r="G838" t="s">
        <v>1033</v>
      </c>
      <c r="H838" t="s">
        <v>30</v>
      </c>
      <c r="I838" s="1">
        <v>1</v>
      </c>
      <c r="J838" s="2">
        <v>1681.03</v>
      </c>
    </row>
    <row r="839" spans="2:10" x14ac:dyDescent="0.2">
      <c r="B839" t="s">
        <v>1016</v>
      </c>
      <c r="C839" t="s">
        <v>418</v>
      </c>
      <c r="D839" t="s">
        <v>1017</v>
      </c>
      <c r="E839" t="s">
        <v>895</v>
      </c>
      <c r="F839" t="s">
        <v>896</v>
      </c>
      <c r="G839" t="s">
        <v>1033</v>
      </c>
      <c r="H839" t="s">
        <v>30</v>
      </c>
      <c r="I839" s="1">
        <v>1</v>
      </c>
      <c r="J839" s="2">
        <v>301.72000000000003</v>
      </c>
    </row>
    <row r="840" spans="2:10" x14ac:dyDescent="0.2">
      <c r="B840" t="s">
        <v>1016</v>
      </c>
      <c r="C840" t="s">
        <v>186</v>
      </c>
      <c r="D840" t="s">
        <v>1017</v>
      </c>
      <c r="E840" t="s">
        <v>44</v>
      </c>
      <c r="F840" t="s">
        <v>45</v>
      </c>
      <c r="G840" t="s">
        <v>1033</v>
      </c>
      <c r="H840" t="s">
        <v>30</v>
      </c>
      <c r="I840" s="1">
        <v>1</v>
      </c>
      <c r="J840" s="2">
        <v>81.900000000000006</v>
      </c>
    </row>
    <row r="841" spans="2:10" x14ac:dyDescent="0.2">
      <c r="B841" t="s">
        <v>1016</v>
      </c>
      <c r="C841" t="s">
        <v>186</v>
      </c>
      <c r="D841" t="s">
        <v>1017</v>
      </c>
      <c r="E841" t="s">
        <v>28</v>
      </c>
      <c r="F841" t="s">
        <v>29</v>
      </c>
      <c r="G841" t="s">
        <v>1033</v>
      </c>
      <c r="H841" t="s">
        <v>30</v>
      </c>
      <c r="I841" s="1">
        <v>1</v>
      </c>
      <c r="J841" s="2">
        <v>155.16999999999999</v>
      </c>
    </row>
    <row r="842" spans="2:10" x14ac:dyDescent="0.2">
      <c r="B842" t="s">
        <v>1016</v>
      </c>
      <c r="C842" t="s">
        <v>206</v>
      </c>
      <c r="D842" t="s">
        <v>1017</v>
      </c>
      <c r="E842" t="s">
        <v>28</v>
      </c>
      <c r="F842" t="s">
        <v>29</v>
      </c>
      <c r="G842" t="s">
        <v>1033</v>
      </c>
      <c r="H842" t="s">
        <v>30</v>
      </c>
      <c r="I842" s="1">
        <v>1</v>
      </c>
      <c r="J842" s="2">
        <v>155.16999999999999</v>
      </c>
    </row>
    <row r="843" spans="2:10" x14ac:dyDescent="0.2">
      <c r="B843" t="s">
        <v>1016</v>
      </c>
      <c r="C843" t="s">
        <v>220</v>
      </c>
      <c r="D843" t="s">
        <v>277</v>
      </c>
      <c r="E843" t="s">
        <v>44</v>
      </c>
      <c r="F843" t="s">
        <v>45</v>
      </c>
      <c r="G843" t="s">
        <v>1033</v>
      </c>
      <c r="H843" t="s">
        <v>30</v>
      </c>
      <c r="I843" s="1">
        <v>1</v>
      </c>
      <c r="J843" s="2">
        <v>81.900000000000006</v>
      </c>
    </row>
    <row r="844" spans="2:10" x14ac:dyDescent="0.2">
      <c r="B844" t="s">
        <v>1016</v>
      </c>
      <c r="C844" t="s">
        <v>220</v>
      </c>
      <c r="D844" t="s">
        <v>277</v>
      </c>
      <c r="E844" t="s">
        <v>257</v>
      </c>
      <c r="F844" t="s">
        <v>258</v>
      </c>
      <c r="G844" t="s">
        <v>1033</v>
      </c>
      <c r="H844" t="s">
        <v>30</v>
      </c>
      <c r="I844" s="1">
        <v>1</v>
      </c>
      <c r="J844" s="2">
        <v>1577.59</v>
      </c>
    </row>
    <row r="845" spans="2:10" x14ac:dyDescent="0.2">
      <c r="B845" t="s">
        <v>1016</v>
      </c>
      <c r="C845" t="s">
        <v>225</v>
      </c>
      <c r="D845" t="s">
        <v>1017</v>
      </c>
      <c r="E845" t="s">
        <v>44</v>
      </c>
      <c r="F845" t="s">
        <v>45</v>
      </c>
      <c r="G845" t="s">
        <v>1033</v>
      </c>
      <c r="H845" t="s">
        <v>30</v>
      </c>
      <c r="I845" s="1">
        <v>1</v>
      </c>
      <c r="J845" s="2">
        <v>81.900000000000006</v>
      </c>
    </row>
    <row r="846" spans="2:10" x14ac:dyDescent="0.2">
      <c r="B846" t="s">
        <v>1016</v>
      </c>
      <c r="C846" t="s">
        <v>225</v>
      </c>
      <c r="D846" t="s">
        <v>1017</v>
      </c>
      <c r="E846" t="s">
        <v>28</v>
      </c>
      <c r="F846" t="s">
        <v>29</v>
      </c>
      <c r="G846" t="s">
        <v>1033</v>
      </c>
      <c r="H846" t="s">
        <v>30</v>
      </c>
      <c r="I846" s="1">
        <v>2</v>
      </c>
      <c r="J846" s="2">
        <v>310.33999999999997</v>
      </c>
    </row>
    <row r="847" spans="2:10" x14ac:dyDescent="0.2">
      <c r="B847" t="s">
        <v>1016</v>
      </c>
      <c r="C847" t="s">
        <v>228</v>
      </c>
      <c r="D847" t="s">
        <v>1017</v>
      </c>
      <c r="E847" t="s">
        <v>500</v>
      </c>
      <c r="F847" t="s">
        <v>501</v>
      </c>
      <c r="G847" t="s">
        <v>1033</v>
      </c>
      <c r="H847" t="s">
        <v>30</v>
      </c>
      <c r="I847" s="1">
        <v>1</v>
      </c>
      <c r="J847" s="2">
        <v>3017.24</v>
      </c>
    </row>
    <row r="848" spans="2:10" x14ac:dyDescent="0.2">
      <c r="B848" t="s">
        <v>1016</v>
      </c>
      <c r="C848" t="s">
        <v>228</v>
      </c>
      <c r="D848" t="s">
        <v>1017</v>
      </c>
      <c r="E848" t="s">
        <v>312</v>
      </c>
      <c r="F848" t="s">
        <v>313</v>
      </c>
      <c r="G848" t="s">
        <v>1033</v>
      </c>
      <c r="H848" t="s">
        <v>30</v>
      </c>
      <c r="I848" s="1">
        <v>1</v>
      </c>
      <c r="J848" s="2">
        <v>603.45000000000005</v>
      </c>
    </row>
    <row r="849" spans="2:10" x14ac:dyDescent="0.2">
      <c r="B849" t="s">
        <v>1016</v>
      </c>
      <c r="C849" t="s">
        <v>228</v>
      </c>
      <c r="D849" t="s">
        <v>1017</v>
      </c>
      <c r="E849" t="s">
        <v>435</v>
      </c>
      <c r="F849" t="s">
        <v>436</v>
      </c>
      <c r="G849" t="s">
        <v>1033</v>
      </c>
      <c r="H849" t="s">
        <v>30</v>
      </c>
      <c r="I849" s="1">
        <v>1</v>
      </c>
      <c r="J849" s="2">
        <v>2060.9299999999998</v>
      </c>
    </row>
    <row r="850" spans="2:10" x14ac:dyDescent="0.2">
      <c r="B850" t="s">
        <v>1016</v>
      </c>
      <c r="C850" t="s">
        <v>233</v>
      </c>
      <c r="D850" t="s">
        <v>1017</v>
      </c>
      <c r="E850" t="s">
        <v>44</v>
      </c>
      <c r="F850" t="s">
        <v>45</v>
      </c>
      <c r="G850" t="s">
        <v>1033</v>
      </c>
      <c r="H850" t="s">
        <v>30</v>
      </c>
      <c r="I850" s="1">
        <v>1</v>
      </c>
      <c r="J850" s="2">
        <v>81.900000000000006</v>
      </c>
    </row>
    <row r="851" spans="2:10" x14ac:dyDescent="0.2">
      <c r="B851" t="s">
        <v>1016</v>
      </c>
      <c r="C851" t="s">
        <v>236</v>
      </c>
      <c r="D851" t="s">
        <v>1017</v>
      </c>
      <c r="E851" t="s">
        <v>167</v>
      </c>
      <c r="F851" t="s">
        <v>168</v>
      </c>
      <c r="G851" t="s">
        <v>1033</v>
      </c>
      <c r="H851" t="s">
        <v>30</v>
      </c>
      <c r="I851" s="1">
        <v>2</v>
      </c>
      <c r="J851" s="2">
        <v>2534.48</v>
      </c>
    </row>
    <row r="852" spans="2:10" x14ac:dyDescent="0.2">
      <c r="B852" t="s">
        <v>1016</v>
      </c>
      <c r="C852" t="s">
        <v>236</v>
      </c>
      <c r="D852" t="s">
        <v>1017</v>
      </c>
      <c r="E852" t="s">
        <v>762</v>
      </c>
      <c r="F852" t="s">
        <v>763</v>
      </c>
      <c r="G852" t="s">
        <v>1033</v>
      </c>
      <c r="H852" t="s">
        <v>30</v>
      </c>
      <c r="I852" s="1">
        <v>1</v>
      </c>
      <c r="J852" s="2">
        <v>2396.5500000000002</v>
      </c>
    </row>
    <row r="853" spans="2:10" x14ac:dyDescent="0.2">
      <c r="B853" t="s">
        <v>1016</v>
      </c>
      <c r="C853" t="s">
        <v>236</v>
      </c>
      <c r="D853" t="s">
        <v>1017</v>
      </c>
      <c r="E853" t="s">
        <v>28</v>
      </c>
      <c r="F853" t="s">
        <v>29</v>
      </c>
      <c r="G853" t="s">
        <v>1033</v>
      </c>
      <c r="H853" t="s">
        <v>30</v>
      </c>
      <c r="I853" s="1">
        <v>1</v>
      </c>
      <c r="J853" s="2">
        <v>155.16999999999999</v>
      </c>
    </row>
    <row r="854" spans="2:10" x14ac:dyDescent="0.2">
      <c r="B854" t="s">
        <v>1016</v>
      </c>
      <c r="C854" t="s">
        <v>237</v>
      </c>
      <c r="D854" t="s">
        <v>1017</v>
      </c>
      <c r="E854" t="s">
        <v>929</v>
      </c>
      <c r="F854" t="s">
        <v>930</v>
      </c>
      <c r="G854" t="s">
        <v>1033</v>
      </c>
      <c r="H854" t="s">
        <v>30</v>
      </c>
      <c r="I854" s="1">
        <v>1</v>
      </c>
      <c r="J854" s="2">
        <v>1853.45</v>
      </c>
    </row>
    <row r="855" spans="2:10" x14ac:dyDescent="0.2">
      <c r="B855" t="s">
        <v>1016</v>
      </c>
      <c r="C855" t="s">
        <v>237</v>
      </c>
      <c r="D855" t="s">
        <v>1017</v>
      </c>
      <c r="E855" t="s">
        <v>1031</v>
      </c>
      <c r="F855" t="s">
        <v>1032</v>
      </c>
      <c r="G855" t="s">
        <v>1033</v>
      </c>
      <c r="H855" t="s">
        <v>30</v>
      </c>
      <c r="I855" s="1">
        <v>1</v>
      </c>
      <c r="J855" s="2">
        <v>2284.48</v>
      </c>
    </row>
    <row r="856" spans="2:10" x14ac:dyDescent="0.2">
      <c r="B856" t="s">
        <v>1016</v>
      </c>
      <c r="C856" t="s">
        <v>248</v>
      </c>
      <c r="D856" t="s">
        <v>32</v>
      </c>
      <c r="E856" t="s">
        <v>44</v>
      </c>
      <c r="F856" t="s">
        <v>45</v>
      </c>
      <c r="G856" t="s">
        <v>1033</v>
      </c>
      <c r="H856" t="s">
        <v>30</v>
      </c>
      <c r="I856" s="1">
        <v>1</v>
      </c>
      <c r="J856" s="2">
        <v>81.900000000000006</v>
      </c>
    </row>
    <row r="857" spans="2:10" x14ac:dyDescent="0.2">
      <c r="B857" t="s">
        <v>1016</v>
      </c>
      <c r="C857" t="s">
        <v>248</v>
      </c>
      <c r="D857" t="s">
        <v>32</v>
      </c>
      <c r="E857" t="s">
        <v>28</v>
      </c>
      <c r="F857" t="s">
        <v>29</v>
      </c>
      <c r="G857" t="s">
        <v>1033</v>
      </c>
      <c r="H857" t="s">
        <v>30</v>
      </c>
      <c r="I857" s="1">
        <v>1</v>
      </c>
      <c r="J857" s="2">
        <v>155.16999999999999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6548-5CFD-4F3A-88C7-A915E2BA41D5}">
  <dimension ref="B3:P148"/>
  <sheetViews>
    <sheetView showGridLines="0" topLeftCell="G10" workbookViewId="0">
      <selection activeCell="O15" sqref="O15"/>
    </sheetView>
  </sheetViews>
  <sheetFormatPr baseColWidth="10" defaultRowHeight="12.75" x14ac:dyDescent="0.2"/>
  <cols>
    <col min="2" max="2" width="23.7109375" customWidth="1"/>
    <col min="3" max="3" width="10.140625" bestFit="1" customWidth="1"/>
    <col min="4" max="4" width="41" bestFit="1" customWidth="1"/>
    <col min="5" max="5" width="14.5703125" bestFit="1" customWidth="1"/>
    <col min="6" max="6" width="59.42578125" bestFit="1" customWidth="1"/>
    <col min="7" max="7" width="20.28515625" bestFit="1" customWidth="1"/>
    <col min="8" max="8" width="18.140625" bestFit="1" customWidth="1"/>
    <col min="9" max="9" width="10.42578125" bestFit="1" customWidth="1"/>
    <col min="10" max="10" width="9.140625" bestFit="1" customWidth="1"/>
    <col min="12" max="12" width="41" bestFit="1" customWidth="1"/>
    <col min="13" max="13" width="17.42578125" customWidth="1"/>
    <col min="14" max="14" width="6.28515625" customWidth="1"/>
    <col min="15" max="15" width="12.85546875" bestFit="1" customWidth="1"/>
  </cols>
  <sheetData>
    <row r="3" spans="2:16" x14ac:dyDescent="0.2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</row>
    <row r="4" spans="2:16" x14ac:dyDescent="0.2">
      <c r="B4" t="s">
        <v>9</v>
      </c>
      <c r="C4" t="s">
        <v>65</v>
      </c>
      <c r="D4" t="s">
        <v>11</v>
      </c>
      <c r="E4" t="s">
        <v>79</v>
      </c>
      <c r="F4" t="s">
        <v>80</v>
      </c>
      <c r="G4" t="s">
        <v>43</v>
      </c>
      <c r="H4" t="s">
        <v>81</v>
      </c>
      <c r="I4" s="1">
        <v>1</v>
      </c>
      <c r="J4" s="2">
        <v>1810.34</v>
      </c>
    </row>
    <row r="5" spans="2:16" x14ac:dyDescent="0.2">
      <c r="B5" t="s">
        <v>9</v>
      </c>
      <c r="C5" t="s">
        <v>88</v>
      </c>
      <c r="D5" t="s">
        <v>11</v>
      </c>
      <c r="E5" t="s">
        <v>89</v>
      </c>
      <c r="F5" t="s">
        <v>90</v>
      </c>
      <c r="G5" t="s">
        <v>43</v>
      </c>
      <c r="H5" t="s">
        <v>91</v>
      </c>
      <c r="I5" s="1">
        <v>1</v>
      </c>
      <c r="J5" s="2">
        <v>1637.93</v>
      </c>
    </row>
    <row r="6" spans="2:16" x14ac:dyDescent="0.2">
      <c r="B6" t="s">
        <v>9</v>
      </c>
      <c r="C6" t="s">
        <v>88</v>
      </c>
      <c r="D6" t="s">
        <v>11</v>
      </c>
      <c r="E6" t="s">
        <v>99</v>
      </c>
      <c r="F6" t="s">
        <v>100</v>
      </c>
      <c r="G6" t="s">
        <v>43</v>
      </c>
      <c r="H6" t="s">
        <v>50</v>
      </c>
      <c r="I6" s="1">
        <v>1</v>
      </c>
      <c r="J6" s="2">
        <v>3275.86</v>
      </c>
    </row>
    <row r="7" spans="2:16" x14ac:dyDescent="0.2">
      <c r="B7" t="s">
        <v>9</v>
      </c>
      <c r="C7" t="s">
        <v>88</v>
      </c>
      <c r="D7" t="s">
        <v>11</v>
      </c>
      <c r="E7" t="s">
        <v>108</v>
      </c>
      <c r="F7" t="s">
        <v>109</v>
      </c>
      <c r="G7" t="s">
        <v>43</v>
      </c>
      <c r="H7" t="s">
        <v>91</v>
      </c>
      <c r="I7" s="1">
        <v>1</v>
      </c>
      <c r="J7" s="2">
        <v>1637.93</v>
      </c>
    </row>
    <row r="8" spans="2:16" x14ac:dyDescent="0.2">
      <c r="B8" t="s">
        <v>9</v>
      </c>
      <c r="C8" t="s">
        <v>117</v>
      </c>
      <c r="D8" t="s">
        <v>11</v>
      </c>
      <c r="E8" t="s">
        <v>126</v>
      </c>
      <c r="F8" t="s">
        <v>127</v>
      </c>
      <c r="G8" t="s">
        <v>43</v>
      </c>
      <c r="H8" t="s">
        <v>128</v>
      </c>
      <c r="I8" s="1">
        <v>1</v>
      </c>
      <c r="J8" s="2">
        <v>2068.9699999999998</v>
      </c>
      <c r="L8" s="139" t="s">
        <v>1094</v>
      </c>
      <c r="M8" t="s">
        <v>1096</v>
      </c>
      <c r="O8" s="146">
        <v>0.01</v>
      </c>
      <c r="P8" s="150">
        <v>5.0000000000000001E-3</v>
      </c>
    </row>
    <row r="9" spans="2:16" x14ac:dyDescent="0.2">
      <c r="B9" t="s">
        <v>9</v>
      </c>
      <c r="C9" t="s">
        <v>129</v>
      </c>
      <c r="D9" t="s">
        <v>130</v>
      </c>
      <c r="E9" t="s">
        <v>131</v>
      </c>
      <c r="F9" t="s">
        <v>132</v>
      </c>
      <c r="G9" t="s">
        <v>43</v>
      </c>
      <c r="H9" t="s">
        <v>133</v>
      </c>
      <c r="I9" s="1">
        <v>1</v>
      </c>
      <c r="J9" s="2">
        <v>2155.17</v>
      </c>
      <c r="L9" s="140" t="s">
        <v>277</v>
      </c>
      <c r="M9" s="2">
        <v>5487.06</v>
      </c>
      <c r="O9" s="147">
        <f t="shared" ref="O9:O17" si="0">M9*$O$8</f>
        <v>54.870600000000003</v>
      </c>
    </row>
    <row r="10" spans="2:16" x14ac:dyDescent="0.2">
      <c r="B10" t="s">
        <v>9</v>
      </c>
      <c r="C10" t="s">
        <v>141</v>
      </c>
      <c r="D10" t="s">
        <v>11</v>
      </c>
      <c r="E10" t="s">
        <v>142</v>
      </c>
      <c r="F10" t="s">
        <v>143</v>
      </c>
      <c r="G10" t="s">
        <v>43</v>
      </c>
      <c r="H10" t="s">
        <v>50</v>
      </c>
      <c r="I10" s="1">
        <v>1</v>
      </c>
      <c r="J10" s="2">
        <v>2155.17</v>
      </c>
      <c r="L10" s="140" t="s">
        <v>32</v>
      </c>
      <c r="M10" s="2">
        <v>24310.32</v>
      </c>
      <c r="O10" s="147">
        <f t="shared" si="0"/>
        <v>243.10320000000002</v>
      </c>
    </row>
    <row r="11" spans="2:16" x14ac:dyDescent="0.2">
      <c r="B11" t="s">
        <v>9</v>
      </c>
      <c r="C11" t="s">
        <v>144</v>
      </c>
      <c r="D11" t="s">
        <v>11</v>
      </c>
      <c r="E11" t="s">
        <v>149</v>
      </c>
      <c r="F11" t="s">
        <v>150</v>
      </c>
      <c r="G11" t="s">
        <v>43</v>
      </c>
      <c r="H11" t="s">
        <v>50</v>
      </c>
      <c r="I11" s="1">
        <v>1</v>
      </c>
      <c r="J11" s="2">
        <v>3017.24</v>
      </c>
      <c r="L11" s="140" t="s">
        <v>741</v>
      </c>
      <c r="M11" s="2">
        <v>13620.679999999998</v>
      </c>
      <c r="O11" s="147">
        <f t="shared" si="0"/>
        <v>136.20679999999999</v>
      </c>
    </row>
    <row r="12" spans="2:16" x14ac:dyDescent="0.2">
      <c r="B12" t="s">
        <v>9</v>
      </c>
      <c r="C12" t="s">
        <v>185</v>
      </c>
      <c r="D12" t="s">
        <v>130</v>
      </c>
      <c r="E12" t="s">
        <v>99</v>
      </c>
      <c r="F12" t="s">
        <v>100</v>
      </c>
      <c r="G12" t="s">
        <v>43</v>
      </c>
      <c r="H12" t="s">
        <v>50</v>
      </c>
      <c r="I12" s="1">
        <v>1</v>
      </c>
      <c r="J12" s="2">
        <v>3275.86</v>
      </c>
      <c r="L12" s="140" t="s">
        <v>908</v>
      </c>
      <c r="M12" s="2">
        <v>15439.67</v>
      </c>
      <c r="O12" s="147">
        <f t="shared" si="0"/>
        <v>154.39670000000001</v>
      </c>
    </row>
    <row r="13" spans="2:16" x14ac:dyDescent="0.2">
      <c r="B13" t="s">
        <v>9</v>
      </c>
      <c r="C13" t="s">
        <v>186</v>
      </c>
      <c r="D13" t="s">
        <v>11</v>
      </c>
      <c r="E13" t="s">
        <v>191</v>
      </c>
      <c r="F13" t="s">
        <v>192</v>
      </c>
      <c r="G13" t="s">
        <v>43</v>
      </c>
      <c r="H13" t="s">
        <v>50</v>
      </c>
      <c r="I13" s="1">
        <v>1</v>
      </c>
      <c r="J13" s="2">
        <v>3534.48</v>
      </c>
      <c r="L13" s="140" t="s">
        <v>1017</v>
      </c>
      <c r="M13" s="2">
        <v>14913.789999999999</v>
      </c>
      <c r="O13" s="147">
        <f t="shared" si="0"/>
        <v>149.1379</v>
      </c>
    </row>
    <row r="14" spans="2:16" x14ac:dyDescent="0.2">
      <c r="B14" t="s">
        <v>9</v>
      </c>
      <c r="C14" t="s">
        <v>197</v>
      </c>
      <c r="D14" t="s">
        <v>11</v>
      </c>
      <c r="E14" t="s">
        <v>142</v>
      </c>
      <c r="F14" t="s">
        <v>143</v>
      </c>
      <c r="G14" t="s">
        <v>43</v>
      </c>
      <c r="H14" t="s">
        <v>50</v>
      </c>
      <c r="I14" s="1">
        <v>1</v>
      </c>
      <c r="J14" s="2">
        <v>2155.17</v>
      </c>
      <c r="L14" s="140" t="s">
        <v>584</v>
      </c>
      <c r="M14" s="2">
        <v>4275.8599999999997</v>
      </c>
      <c r="O14" s="147">
        <f t="shared" si="0"/>
        <v>42.758599999999994</v>
      </c>
    </row>
    <row r="15" spans="2:16" x14ac:dyDescent="0.2">
      <c r="B15" t="s">
        <v>9</v>
      </c>
      <c r="C15" t="s">
        <v>206</v>
      </c>
      <c r="D15" t="s">
        <v>11</v>
      </c>
      <c r="E15" t="s">
        <v>218</v>
      </c>
      <c r="F15" t="s">
        <v>219</v>
      </c>
      <c r="G15" t="s">
        <v>43</v>
      </c>
      <c r="H15" t="s">
        <v>128</v>
      </c>
      <c r="I15" s="1">
        <v>1</v>
      </c>
      <c r="J15" s="2">
        <v>4396.55</v>
      </c>
      <c r="L15" s="140" t="s">
        <v>781</v>
      </c>
      <c r="M15" s="2">
        <v>16293.09</v>
      </c>
      <c r="O15" s="147">
        <f t="shared" si="0"/>
        <v>162.93090000000001</v>
      </c>
    </row>
    <row r="16" spans="2:16" x14ac:dyDescent="0.2">
      <c r="B16" t="s">
        <v>9</v>
      </c>
      <c r="C16" t="s">
        <v>220</v>
      </c>
      <c r="D16" t="s">
        <v>11</v>
      </c>
      <c r="E16" t="s">
        <v>223</v>
      </c>
      <c r="F16" t="s">
        <v>224</v>
      </c>
      <c r="G16" t="s">
        <v>43</v>
      </c>
      <c r="H16" t="s">
        <v>50</v>
      </c>
      <c r="I16" s="1">
        <v>1</v>
      </c>
      <c r="J16" s="2">
        <v>1637.93</v>
      </c>
      <c r="L16" s="140" t="s">
        <v>691</v>
      </c>
      <c r="M16" s="2">
        <v>24741.360000000001</v>
      </c>
      <c r="O16" s="147">
        <f t="shared" si="0"/>
        <v>247.4136</v>
      </c>
    </row>
    <row r="17" spans="2:15" x14ac:dyDescent="0.2">
      <c r="B17" t="s">
        <v>9</v>
      </c>
      <c r="C17" t="s">
        <v>228</v>
      </c>
      <c r="D17" t="s">
        <v>11</v>
      </c>
      <c r="E17" t="s">
        <v>231</v>
      </c>
      <c r="F17" t="s">
        <v>232</v>
      </c>
      <c r="G17" t="s">
        <v>43</v>
      </c>
      <c r="H17" t="s">
        <v>50</v>
      </c>
      <c r="I17" s="1">
        <v>1</v>
      </c>
      <c r="J17" s="2">
        <v>3017.24</v>
      </c>
      <c r="L17" s="140" t="s">
        <v>934</v>
      </c>
      <c r="M17" s="2">
        <v>27586.189999999995</v>
      </c>
      <c r="O17" s="147">
        <f t="shared" si="0"/>
        <v>275.86189999999993</v>
      </c>
    </row>
    <row r="18" spans="2:15" x14ac:dyDescent="0.2">
      <c r="B18" t="s">
        <v>9</v>
      </c>
      <c r="C18" t="s">
        <v>233</v>
      </c>
      <c r="D18" t="s">
        <v>11</v>
      </c>
      <c r="E18" t="s">
        <v>149</v>
      </c>
      <c r="F18" t="s">
        <v>150</v>
      </c>
      <c r="G18" t="s">
        <v>43</v>
      </c>
      <c r="H18" t="s">
        <v>50</v>
      </c>
      <c r="I18" s="1">
        <v>1</v>
      </c>
      <c r="J18" s="2">
        <v>3017.24</v>
      </c>
      <c r="L18" s="140" t="s">
        <v>130</v>
      </c>
      <c r="M18" s="2">
        <v>25431.019999999997</v>
      </c>
      <c r="O18" s="147">
        <v>0</v>
      </c>
    </row>
    <row r="19" spans="2:15" x14ac:dyDescent="0.2">
      <c r="B19" t="s">
        <v>261</v>
      </c>
      <c r="C19" t="s">
        <v>10</v>
      </c>
      <c r="D19" t="s">
        <v>262</v>
      </c>
      <c r="E19" t="s">
        <v>265</v>
      </c>
      <c r="F19" t="s">
        <v>266</v>
      </c>
      <c r="G19" t="s">
        <v>43</v>
      </c>
      <c r="H19" t="s">
        <v>128</v>
      </c>
      <c r="I19" s="1">
        <v>1</v>
      </c>
      <c r="J19" s="2">
        <v>5862.07</v>
      </c>
      <c r="L19" s="140" t="s">
        <v>456</v>
      </c>
      <c r="M19" s="2">
        <v>36849.1</v>
      </c>
      <c r="O19" s="147">
        <f>M19*$O$8</f>
        <v>368.49099999999999</v>
      </c>
    </row>
    <row r="20" spans="2:15" x14ac:dyDescent="0.2">
      <c r="B20" t="s">
        <v>261</v>
      </c>
      <c r="C20" t="s">
        <v>18</v>
      </c>
      <c r="D20" t="s">
        <v>262</v>
      </c>
      <c r="E20" t="s">
        <v>142</v>
      </c>
      <c r="F20" t="s">
        <v>143</v>
      </c>
      <c r="G20" t="s">
        <v>43</v>
      </c>
      <c r="H20" t="s">
        <v>50</v>
      </c>
      <c r="I20" s="1">
        <v>1</v>
      </c>
      <c r="J20" s="2">
        <v>2155.17</v>
      </c>
      <c r="L20" s="140" t="s">
        <v>386</v>
      </c>
      <c r="M20" s="2">
        <v>16422.409999999996</v>
      </c>
      <c r="O20" s="147">
        <f>M20*$O$8</f>
        <v>164.22409999999996</v>
      </c>
    </row>
    <row r="21" spans="2:15" x14ac:dyDescent="0.2">
      <c r="B21" t="s">
        <v>261</v>
      </c>
      <c r="C21" t="s">
        <v>31</v>
      </c>
      <c r="D21" t="s">
        <v>262</v>
      </c>
      <c r="E21" t="s">
        <v>223</v>
      </c>
      <c r="F21" t="s">
        <v>224</v>
      </c>
      <c r="G21" t="s">
        <v>43</v>
      </c>
      <c r="H21" t="s">
        <v>50</v>
      </c>
      <c r="I21" s="1">
        <v>1</v>
      </c>
      <c r="J21" s="2">
        <v>1637.93</v>
      </c>
      <c r="L21" s="140" t="s">
        <v>226</v>
      </c>
      <c r="M21" s="2">
        <v>10086.200000000001</v>
      </c>
      <c r="O21" s="147">
        <f>M21*$O$8</f>
        <v>100.86200000000001</v>
      </c>
    </row>
    <row r="22" spans="2:15" x14ac:dyDescent="0.2">
      <c r="B22" t="s">
        <v>261</v>
      </c>
      <c r="C22" t="s">
        <v>65</v>
      </c>
      <c r="D22" t="s">
        <v>262</v>
      </c>
      <c r="E22" t="s">
        <v>293</v>
      </c>
      <c r="F22" t="s">
        <v>294</v>
      </c>
      <c r="G22" t="s">
        <v>43</v>
      </c>
      <c r="H22" t="s">
        <v>128</v>
      </c>
      <c r="I22" s="1">
        <v>1</v>
      </c>
      <c r="J22" s="2">
        <v>5862.07</v>
      </c>
      <c r="L22" s="140" t="s">
        <v>262</v>
      </c>
      <c r="M22" s="2">
        <v>31133.62</v>
      </c>
      <c r="O22" s="147">
        <f>M22*$O$8</f>
        <v>311.33620000000002</v>
      </c>
    </row>
    <row r="23" spans="2:15" x14ac:dyDescent="0.2">
      <c r="B23" t="s">
        <v>261</v>
      </c>
      <c r="C23" t="s">
        <v>82</v>
      </c>
      <c r="D23" t="s">
        <v>262</v>
      </c>
      <c r="E23" t="s">
        <v>99</v>
      </c>
      <c r="F23" t="s">
        <v>100</v>
      </c>
      <c r="G23" t="s">
        <v>43</v>
      </c>
      <c r="H23" t="s">
        <v>50</v>
      </c>
      <c r="I23" s="1">
        <v>1</v>
      </c>
      <c r="J23" s="2">
        <v>3275.86</v>
      </c>
      <c r="L23" s="140" t="s">
        <v>532</v>
      </c>
      <c r="M23" s="2">
        <v>9051.7199999999993</v>
      </c>
      <c r="O23" s="147">
        <v>0</v>
      </c>
    </row>
    <row r="24" spans="2:15" x14ac:dyDescent="0.2">
      <c r="B24" t="s">
        <v>261</v>
      </c>
      <c r="C24" t="s">
        <v>141</v>
      </c>
      <c r="D24" t="s">
        <v>262</v>
      </c>
      <c r="E24" t="s">
        <v>223</v>
      </c>
      <c r="F24" t="s">
        <v>224</v>
      </c>
      <c r="G24" t="s">
        <v>43</v>
      </c>
      <c r="H24" t="s">
        <v>50</v>
      </c>
      <c r="I24" s="1">
        <v>1</v>
      </c>
      <c r="J24" s="2">
        <v>1637.93</v>
      </c>
      <c r="L24" s="140" t="s">
        <v>956</v>
      </c>
      <c r="M24" s="2">
        <v>75155.16</v>
      </c>
      <c r="O24" s="147"/>
    </row>
    <row r="25" spans="2:15" x14ac:dyDescent="0.2">
      <c r="B25" t="s">
        <v>261</v>
      </c>
      <c r="C25" t="s">
        <v>165</v>
      </c>
      <c r="D25" t="s">
        <v>262</v>
      </c>
      <c r="E25" t="s">
        <v>322</v>
      </c>
      <c r="F25" t="s">
        <v>323</v>
      </c>
      <c r="G25" t="s">
        <v>43</v>
      </c>
      <c r="H25" t="s">
        <v>205</v>
      </c>
      <c r="I25" s="1">
        <v>1</v>
      </c>
      <c r="J25" s="2">
        <v>2081.9</v>
      </c>
      <c r="L25" s="140" t="s">
        <v>616</v>
      </c>
      <c r="M25" s="2">
        <v>3672.41</v>
      </c>
      <c r="O25" s="147">
        <v>0</v>
      </c>
    </row>
    <row r="26" spans="2:15" x14ac:dyDescent="0.2">
      <c r="B26" t="s">
        <v>261</v>
      </c>
      <c r="C26" t="s">
        <v>186</v>
      </c>
      <c r="D26" t="s">
        <v>262</v>
      </c>
      <c r="E26" t="s">
        <v>149</v>
      </c>
      <c r="F26" t="s">
        <v>150</v>
      </c>
      <c r="G26" t="s">
        <v>43</v>
      </c>
      <c r="H26" t="s">
        <v>50</v>
      </c>
      <c r="I26" s="1">
        <v>1</v>
      </c>
      <c r="J26" s="2">
        <v>3017.24</v>
      </c>
      <c r="L26" s="140" t="s">
        <v>11</v>
      </c>
      <c r="M26" s="2">
        <v>33362.049999999996</v>
      </c>
      <c r="O26" s="147">
        <f>M26*$O$8</f>
        <v>333.62049999999994</v>
      </c>
    </row>
    <row r="27" spans="2:15" x14ac:dyDescent="0.2">
      <c r="B27" t="s">
        <v>261</v>
      </c>
      <c r="C27" t="s">
        <v>206</v>
      </c>
      <c r="D27" t="s">
        <v>262</v>
      </c>
      <c r="E27" t="s">
        <v>340</v>
      </c>
      <c r="F27" t="s">
        <v>341</v>
      </c>
      <c r="G27" t="s">
        <v>43</v>
      </c>
      <c r="H27" t="s">
        <v>50</v>
      </c>
      <c r="I27" s="1">
        <v>1</v>
      </c>
      <c r="J27" s="2">
        <v>5603.45</v>
      </c>
      <c r="L27" s="140" t="s">
        <v>825</v>
      </c>
      <c r="M27" s="2">
        <v>15431.029999999999</v>
      </c>
      <c r="O27" s="147">
        <f>M27*$O$8</f>
        <v>154.31029999999998</v>
      </c>
    </row>
    <row r="28" spans="2:15" x14ac:dyDescent="0.2">
      <c r="B28" t="s">
        <v>376</v>
      </c>
      <c r="C28" t="s">
        <v>10</v>
      </c>
      <c r="D28" t="s">
        <v>32</v>
      </c>
      <c r="E28" t="s">
        <v>384</v>
      </c>
      <c r="F28" t="s">
        <v>385</v>
      </c>
      <c r="G28" t="s">
        <v>43</v>
      </c>
      <c r="H28" t="s">
        <v>50</v>
      </c>
      <c r="I28" s="1">
        <v>1</v>
      </c>
      <c r="J28" s="2">
        <v>2155.17</v>
      </c>
      <c r="L28" s="140" t="s">
        <v>655</v>
      </c>
      <c r="M28" s="2">
        <v>3448.27</v>
      </c>
      <c r="O28" s="147">
        <f>M28*$O$8</f>
        <v>34.482700000000001</v>
      </c>
    </row>
    <row r="29" spans="2:15" ht="15" x14ac:dyDescent="0.2">
      <c r="B29" t="s">
        <v>376</v>
      </c>
      <c r="C29" t="s">
        <v>18</v>
      </c>
      <c r="D29" t="s">
        <v>386</v>
      </c>
      <c r="E29" t="s">
        <v>231</v>
      </c>
      <c r="F29" t="s">
        <v>232</v>
      </c>
      <c r="G29" t="s">
        <v>43</v>
      </c>
      <c r="H29" t="s">
        <v>50</v>
      </c>
      <c r="I29" s="1">
        <v>1</v>
      </c>
      <c r="J29" s="2">
        <v>3017.24</v>
      </c>
      <c r="L29" s="140" t="s">
        <v>1095</v>
      </c>
      <c r="M29" s="2">
        <v>406711.01</v>
      </c>
      <c r="O29" s="148">
        <f>SUM(O9:O28)</f>
        <v>2934.0070000000001</v>
      </c>
    </row>
    <row r="30" spans="2:15" x14ac:dyDescent="0.2">
      <c r="B30" t="s">
        <v>376</v>
      </c>
      <c r="C30" t="s">
        <v>135</v>
      </c>
      <c r="D30" t="s">
        <v>386</v>
      </c>
      <c r="E30" t="s">
        <v>223</v>
      </c>
      <c r="F30" t="s">
        <v>224</v>
      </c>
      <c r="G30" t="s">
        <v>43</v>
      </c>
      <c r="H30" t="s">
        <v>50</v>
      </c>
      <c r="I30" s="1">
        <v>1</v>
      </c>
      <c r="J30" s="2">
        <v>1637.93</v>
      </c>
    </row>
    <row r="31" spans="2:15" x14ac:dyDescent="0.2">
      <c r="B31" t="s">
        <v>376</v>
      </c>
      <c r="C31" t="s">
        <v>135</v>
      </c>
      <c r="D31" t="s">
        <v>386</v>
      </c>
      <c r="E31" t="s">
        <v>191</v>
      </c>
      <c r="F31" t="s">
        <v>192</v>
      </c>
      <c r="G31" t="s">
        <v>43</v>
      </c>
      <c r="H31" t="s">
        <v>50</v>
      </c>
      <c r="I31" s="1">
        <v>1</v>
      </c>
      <c r="J31" s="2">
        <v>3534.48</v>
      </c>
    </row>
    <row r="32" spans="2:15" x14ac:dyDescent="0.2">
      <c r="B32" t="s">
        <v>376</v>
      </c>
      <c r="C32" t="s">
        <v>141</v>
      </c>
      <c r="D32" t="s">
        <v>386</v>
      </c>
      <c r="E32" t="s">
        <v>79</v>
      </c>
      <c r="F32" t="s">
        <v>80</v>
      </c>
      <c r="G32" t="s">
        <v>43</v>
      </c>
      <c r="H32" t="s">
        <v>81</v>
      </c>
      <c r="I32" s="1">
        <v>1</v>
      </c>
      <c r="J32" s="2">
        <v>1810.34</v>
      </c>
    </row>
    <row r="33" spans="2:10" x14ac:dyDescent="0.2">
      <c r="B33" t="s">
        <v>376</v>
      </c>
      <c r="C33" t="s">
        <v>165</v>
      </c>
      <c r="D33" t="s">
        <v>386</v>
      </c>
      <c r="E33" t="s">
        <v>408</v>
      </c>
      <c r="F33" t="s">
        <v>409</v>
      </c>
      <c r="G33" t="s">
        <v>43</v>
      </c>
      <c r="H33" t="s">
        <v>81</v>
      </c>
      <c r="I33" s="1">
        <v>2</v>
      </c>
      <c r="J33" s="2">
        <v>2931.04</v>
      </c>
    </row>
    <row r="34" spans="2:10" x14ac:dyDescent="0.2">
      <c r="B34" t="s">
        <v>376</v>
      </c>
      <c r="C34" t="s">
        <v>197</v>
      </c>
      <c r="D34" t="s">
        <v>386</v>
      </c>
      <c r="E34" t="s">
        <v>423</v>
      </c>
      <c r="F34" t="s">
        <v>424</v>
      </c>
      <c r="G34" t="s">
        <v>43</v>
      </c>
      <c r="H34" t="s">
        <v>81</v>
      </c>
      <c r="I34" s="1">
        <v>1</v>
      </c>
      <c r="J34" s="2">
        <v>1896.55</v>
      </c>
    </row>
    <row r="35" spans="2:10" x14ac:dyDescent="0.2">
      <c r="B35" t="s">
        <v>376</v>
      </c>
      <c r="C35" t="s">
        <v>227</v>
      </c>
      <c r="D35" t="s">
        <v>130</v>
      </c>
      <c r="E35" t="s">
        <v>126</v>
      </c>
      <c r="F35" t="s">
        <v>127</v>
      </c>
      <c r="G35" t="s">
        <v>43</v>
      </c>
      <c r="H35" t="s">
        <v>128</v>
      </c>
      <c r="I35" s="1">
        <v>1</v>
      </c>
      <c r="J35" s="2">
        <v>2068.9699999999998</v>
      </c>
    </row>
    <row r="36" spans="2:10" x14ac:dyDescent="0.2">
      <c r="B36" t="s">
        <v>376</v>
      </c>
      <c r="C36" t="s">
        <v>248</v>
      </c>
      <c r="D36" t="s">
        <v>386</v>
      </c>
      <c r="E36" t="s">
        <v>450</v>
      </c>
      <c r="F36" t="s">
        <v>451</v>
      </c>
      <c r="G36" t="s">
        <v>43</v>
      </c>
      <c r="H36" t="s">
        <v>452</v>
      </c>
      <c r="I36" s="1">
        <v>1</v>
      </c>
      <c r="J36" s="2">
        <v>1594.83</v>
      </c>
    </row>
    <row r="37" spans="2:10" x14ac:dyDescent="0.2">
      <c r="B37" t="s">
        <v>453</v>
      </c>
      <c r="C37" t="s">
        <v>18</v>
      </c>
      <c r="D37" t="s">
        <v>456</v>
      </c>
      <c r="E37" t="s">
        <v>79</v>
      </c>
      <c r="F37" t="s">
        <v>80</v>
      </c>
      <c r="G37" t="s">
        <v>43</v>
      </c>
      <c r="H37" t="s">
        <v>81</v>
      </c>
      <c r="I37" s="1">
        <v>1</v>
      </c>
      <c r="J37" s="2">
        <v>1810.34</v>
      </c>
    </row>
    <row r="38" spans="2:10" x14ac:dyDescent="0.2">
      <c r="B38" t="s">
        <v>453</v>
      </c>
      <c r="C38" t="s">
        <v>18</v>
      </c>
      <c r="D38" t="s">
        <v>456</v>
      </c>
      <c r="E38" t="s">
        <v>459</v>
      </c>
      <c r="F38" t="s">
        <v>460</v>
      </c>
      <c r="G38" t="s">
        <v>43</v>
      </c>
      <c r="H38" t="s">
        <v>50</v>
      </c>
      <c r="I38" s="1">
        <v>1</v>
      </c>
      <c r="J38" s="2">
        <v>1810.34</v>
      </c>
    </row>
    <row r="39" spans="2:10" x14ac:dyDescent="0.2">
      <c r="B39" t="s">
        <v>453</v>
      </c>
      <c r="C39" t="s">
        <v>18</v>
      </c>
      <c r="D39" t="s">
        <v>456</v>
      </c>
      <c r="E39" t="s">
        <v>461</v>
      </c>
      <c r="F39" t="s">
        <v>462</v>
      </c>
      <c r="G39" t="s">
        <v>43</v>
      </c>
      <c r="H39" t="s">
        <v>50</v>
      </c>
      <c r="I39" s="1">
        <v>1</v>
      </c>
      <c r="J39" s="2">
        <v>3879.31</v>
      </c>
    </row>
    <row r="40" spans="2:10" x14ac:dyDescent="0.2">
      <c r="B40" t="s">
        <v>453</v>
      </c>
      <c r="C40" t="s">
        <v>51</v>
      </c>
      <c r="D40" t="s">
        <v>456</v>
      </c>
      <c r="E40" t="s">
        <v>131</v>
      </c>
      <c r="F40" t="s">
        <v>132</v>
      </c>
      <c r="G40" t="s">
        <v>43</v>
      </c>
      <c r="H40" t="s">
        <v>133</v>
      </c>
      <c r="I40" s="1">
        <v>1</v>
      </c>
      <c r="J40" s="2">
        <v>2155.17</v>
      </c>
    </row>
    <row r="41" spans="2:10" x14ac:dyDescent="0.2">
      <c r="B41" t="s">
        <v>453</v>
      </c>
      <c r="C41" t="s">
        <v>82</v>
      </c>
      <c r="D41" t="s">
        <v>456</v>
      </c>
      <c r="E41" t="s">
        <v>474</v>
      </c>
      <c r="F41" t="s">
        <v>475</v>
      </c>
      <c r="G41" t="s">
        <v>43</v>
      </c>
      <c r="H41" t="s">
        <v>128</v>
      </c>
      <c r="I41" s="1">
        <v>1</v>
      </c>
      <c r="J41" s="2">
        <v>5172.41</v>
      </c>
    </row>
    <row r="42" spans="2:10" x14ac:dyDescent="0.2">
      <c r="B42" t="s">
        <v>453</v>
      </c>
      <c r="C42" t="s">
        <v>88</v>
      </c>
      <c r="D42" t="s">
        <v>456</v>
      </c>
      <c r="E42" t="s">
        <v>149</v>
      </c>
      <c r="F42" t="s">
        <v>150</v>
      </c>
      <c r="G42" t="s">
        <v>43</v>
      </c>
      <c r="H42" t="s">
        <v>50</v>
      </c>
      <c r="I42" s="1">
        <v>1</v>
      </c>
      <c r="J42" s="2">
        <v>3017.24</v>
      </c>
    </row>
    <row r="43" spans="2:10" x14ac:dyDescent="0.2">
      <c r="B43" t="s">
        <v>453</v>
      </c>
      <c r="C43" t="s">
        <v>129</v>
      </c>
      <c r="D43" t="s">
        <v>456</v>
      </c>
      <c r="E43" t="s">
        <v>488</v>
      </c>
      <c r="F43" t="s">
        <v>489</v>
      </c>
      <c r="G43" t="s">
        <v>43</v>
      </c>
      <c r="H43" t="s">
        <v>128</v>
      </c>
      <c r="I43" s="1">
        <v>1</v>
      </c>
      <c r="J43" s="2">
        <v>5862.07</v>
      </c>
    </row>
    <row r="44" spans="2:10" x14ac:dyDescent="0.2">
      <c r="B44" t="s">
        <v>453</v>
      </c>
      <c r="C44" t="s">
        <v>129</v>
      </c>
      <c r="D44" t="s">
        <v>456</v>
      </c>
      <c r="E44" t="s">
        <v>79</v>
      </c>
      <c r="F44" t="s">
        <v>80</v>
      </c>
      <c r="G44" t="s">
        <v>43</v>
      </c>
      <c r="H44" t="s">
        <v>81</v>
      </c>
      <c r="I44" s="1">
        <v>1</v>
      </c>
      <c r="J44" s="2">
        <v>1810.34</v>
      </c>
    </row>
    <row r="45" spans="2:10" x14ac:dyDescent="0.2">
      <c r="B45" t="s">
        <v>453</v>
      </c>
      <c r="C45" t="s">
        <v>165</v>
      </c>
      <c r="D45" t="s">
        <v>456</v>
      </c>
      <c r="E45" t="s">
        <v>423</v>
      </c>
      <c r="F45" t="s">
        <v>424</v>
      </c>
      <c r="G45" t="s">
        <v>43</v>
      </c>
      <c r="H45" t="s">
        <v>81</v>
      </c>
      <c r="I45" s="1">
        <v>1</v>
      </c>
      <c r="J45" s="2">
        <v>1896.55</v>
      </c>
    </row>
    <row r="46" spans="2:10" x14ac:dyDescent="0.2">
      <c r="B46" t="s">
        <v>453</v>
      </c>
      <c r="C46" t="s">
        <v>165</v>
      </c>
      <c r="D46" t="s">
        <v>456</v>
      </c>
      <c r="E46" t="s">
        <v>492</v>
      </c>
      <c r="F46" t="s">
        <v>493</v>
      </c>
      <c r="G46" t="s">
        <v>43</v>
      </c>
      <c r="H46" t="s">
        <v>94</v>
      </c>
      <c r="I46" s="1">
        <v>1</v>
      </c>
      <c r="J46" s="2">
        <v>2758.62</v>
      </c>
    </row>
    <row r="47" spans="2:10" x14ac:dyDescent="0.2">
      <c r="B47" t="s">
        <v>453</v>
      </c>
      <c r="C47" t="s">
        <v>166</v>
      </c>
      <c r="D47" t="s">
        <v>456</v>
      </c>
      <c r="E47" t="s">
        <v>79</v>
      </c>
      <c r="F47" t="s">
        <v>80</v>
      </c>
      <c r="G47" t="s">
        <v>43</v>
      </c>
      <c r="H47" t="s">
        <v>81</v>
      </c>
      <c r="I47" s="1">
        <v>1</v>
      </c>
      <c r="J47" s="2">
        <v>1810.34</v>
      </c>
    </row>
    <row r="48" spans="2:10" x14ac:dyDescent="0.2">
      <c r="B48" t="s">
        <v>453</v>
      </c>
      <c r="C48" t="s">
        <v>197</v>
      </c>
      <c r="D48" t="s">
        <v>456</v>
      </c>
      <c r="E48" t="s">
        <v>502</v>
      </c>
      <c r="F48" t="s">
        <v>503</v>
      </c>
      <c r="G48" t="s">
        <v>43</v>
      </c>
      <c r="H48" t="s">
        <v>504</v>
      </c>
      <c r="I48" s="1">
        <v>1</v>
      </c>
      <c r="J48" s="2">
        <v>1547.41</v>
      </c>
    </row>
    <row r="49" spans="2:10" x14ac:dyDescent="0.2">
      <c r="B49" t="s">
        <v>453</v>
      </c>
      <c r="C49" t="s">
        <v>220</v>
      </c>
      <c r="D49" t="s">
        <v>456</v>
      </c>
      <c r="E49" t="s">
        <v>516</v>
      </c>
      <c r="F49" t="s">
        <v>517</v>
      </c>
      <c r="G49" t="s">
        <v>43</v>
      </c>
      <c r="H49" t="s">
        <v>133</v>
      </c>
      <c r="I49" s="1">
        <v>1</v>
      </c>
      <c r="J49" s="2">
        <v>1508.62</v>
      </c>
    </row>
    <row r="50" spans="2:10" x14ac:dyDescent="0.2">
      <c r="B50" t="s">
        <v>453</v>
      </c>
      <c r="C50" t="s">
        <v>225</v>
      </c>
      <c r="D50" t="s">
        <v>130</v>
      </c>
      <c r="E50" t="s">
        <v>384</v>
      </c>
      <c r="F50" t="s">
        <v>385</v>
      </c>
      <c r="G50" t="s">
        <v>43</v>
      </c>
      <c r="H50" t="s">
        <v>50</v>
      </c>
      <c r="I50" s="1">
        <v>1</v>
      </c>
      <c r="J50" s="2">
        <v>2155.17</v>
      </c>
    </row>
    <row r="51" spans="2:10" x14ac:dyDescent="0.2">
      <c r="B51" t="s">
        <v>453</v>
      </c>
      <c r="C51" t="s">
        <v>248</v>
      </c>
      <c r="D51" t="s">
        <v>456</v>
      </c>
      <c r="E51" t="s">
        <v>79</v>
      </c>
      <c r="F51" t="s">
        <v>80</v>
      </c>
      <c r="G51" t="s">
        <v>43</v>
      </c>
      <c r="H51" t="s">
        <v>81</v>
      </c>
      <c r="I51" s="1">
        <v>1</v>
      </c>
      <c r="J51" s="2">
        <v>1810.34</v>
      </c>
    </row>
    <row r="52" spans="2:10" x14ac:dyDescent="0.2">
      <c r="B52" t="s">
        <v>531</v>
      </c>
      <c r="C52" t="s">
        <v>18</v>
      </c>
      <c r="D52" t="s">
        <v>532</v>
      </c>
      <c r="E52" t="s">
        <v>541</v>
      </c>
      <c r="F52" t="s">
        <v>542</v>
      </c>
      <c r="G52" t="s">
        <v>43</v>
      </c>
      <c r="H52" t="s">
        <v>91</v>
      </c>
      <c r="I52" s="1">
        <v>1</v>
      </c>
      <c r="J52" s="2">
        <v>2155.17</v>
      </c>
    </row>
    <row r="53" spans="2:10" x14ac:dyDescent="0.2">
      <c r="B53" t="s">
        <v>531</v>
      </c>
      <c r="C53" t="s">
        <v>144</v>
      </c>
      <c r="D53" t="s">
        <v>532</v>
      </c>
      <c r="E53" t="s">
        <v>461</v>
      </c>
      <c r="F53" t="s">
        <v>462</v>
      </c>
      <c r="G53" t="s">
        <v>43</v>
      </c>
      <c r="H53" t="s">
        <v>50</v>
      </c>
      <c r="I53" s="1">
        <v>1</v>
      </c>
      <c r="J53" s="2">
        <v>3879.31</v>
      </c>
    </row>
    <row r="54" spans="2:10" x14ac:dyDescent="0.2">
      <c r="B54" t="s">
        <v>531</v>
      </c>
      <c r="C54" t="s">
        <v>248</v>
      </c>
      <c r="D54" t="s">
        <v>532</v>
      </c>
      <c r="E54" t="s">
        <v>231</v>
      </c>
      <c r="F54" t="s">
        <v>232</v>
      </c>
      <c r="G54" t="s">
        <v>43</v>
      </c>
      <c r="H54" t="s">
        <v>50</v>
      </c>
      <c r="I54" s="1">
        <v>1</v>
      </c>
      <c r="J54" s="2">
        <v>3017.24</v>
      </c>
    </row>
    <row r="55" spans="2:10" x14ac:dyDescent="0.2">
      <c r="B55" t="s">
        <v>583</v>
      </c>
      <c r="C55" t="s">
        <v>40</v>
      </c>
      <c r="D55" t="s">
        <v>130</v>
      </c>
      <c r="E55" t="s">
        <v>587</v>
      </c>
      <c r="F55" t="s">
        <v>588</v>
      </c>
      <c r="G55" t="s">
        <v>43</v>
      </c>
      <c r="H55" t="s">
        <v>589</v>
      </c>
      <c r="I55" s="1">
        <v>1</v>
      </c>
      <c r="J55" s="2">
        <v>1637.93</v>
      </c>
    </row>
    <row r="56" spans="2:10" x14ac:dyDescent="0.2">
      <c r="B56" t="s">
        <v>583</v>
      </c>
      <c r="C56" t="s">
        <v>134</v>
      </c>
      <c r="D56" t="s">
        <v>584</v>
      </c>
      <c r="E56" t="s">
        <v>598</v>
      </c>
      <c r="F56" t="s">
        <v>599</v>
      </c>
      <c r="G56" t="s">
        <v>43</v>
      </c>
      <c r="H56" t="s">
        <v>205</v>
      </c>
      <c r="I56" s="1">
        <v>1</v>
      </c>
      <c r="J56" s="2">
        <v>1517.24</v>
      </c>
    </row>
    <row r="57" spans="2:10" x14ac:dyDescent="0.2">
      <c r="B57" t="s">
        <v>583</v>
      </c>
      <c r="C57" t="s">
        <v>141</v>
      </c>
      <c r="D57" t="s">
        <v>130</v>
      </c>
      <c r="E57" t="s">
        <v>587</v>
      </c>
      <c r="F57" t="s">
        <v>588</v>
      </c>
      <c r="G57" t="s">
        <v>43</v>
      </c>
      <c r="H57" t="s">
        <v>589</v>
      </c>
      <c r="I57" s="1">
        <v>1</v>
      </c>
      <c r="J57" s="2">
        <v>1637.93</v>
      </c>
    </row>
    <row r="58" spans="2:10" x14ac:dyDescent="0.2">
      <c r="B58" t="s">
        <v>583</v>
      </c>
      <c r="C58" t="s">
        <v>186</v>
      </c>
      <c r="D58" t="s">
        <v>584</v>
      </c>
      <c r="E58" t="s">
        <v>492</v>
      </c>
      <c r="F58" t="s">
        <v>493</v>
      </c>
      <c r="G58" t="s">
        <v>43</v>
      </c>
      <c r="H58" t="s">
        <v>94</v>
      </c>
      <c r="I58" s="1">
        <v>1</v>
      </c>
      <c r="J58" s="2">
        <v>2758.62</v>
      </c>
    </row>
    <row r="59" spans="2:10" x14ac:dyDescent="0.2">
      <c r="B59" t="s">
        <v>583</v>
      </c>
      <c r="C59" t="s">
        <v>228</v>
      </c>
      <c r="D59" t="s">
        <v>130</v>
      </c>
      <c r="E59" t="s">
        <v>223</v>
      </c>
      <c r="F59" t="s">
        <v>224</v>
      </c>
      <c r="G59" t="s">
        <v>43</v>
      </c>
      <c r="H59" t="s">
        <v>50</v>
      </c>
      <c r="I59" s="1">
        <v>1</v>
      </c>
      <c r="J59" s="2">
        <v>1637.93</v>
      </c>
    </row>
    <row r="60" spans="2:10" x14ac:dyDescent="0.2">
      <c r="B60" t="s">
        <v>615</v>
      </c>
      <c r="C60" t="s">
        <v>227</v>
      </c>
      <c r="D60" t="s">
        <v>616</v>
      </c>
      <c r="E60" t="s">
        <v>641</v>
      </c>
      <c r="F60" t="s">
        <v>642</v>
      </c>
      <c r="G60" t="s">
        <v>43</v>
      </c>
      <c r="H60" t="s">
        <v>643</v>
      </c>
      <c r="I60" s="1">
        <v>1</v>
      </c>
      <c r="J60" s="2">
        <v>3672.41</v>
      </c>
    </row>
    <row r="61" spans="2:10" x14ac:dyDescent="0.2">
      <c r="B61" t="s">
        <v>654</v>
      </c>
      <c r="C61" t="s">
        <v>82</v>
      </c>
      <c r="D61" t="s">
        <v>655</v>
      </c>
      <c r="E61" t="s">
        <v>79</v>
      </c>
      <c r="F61" t="s">
        <v>80</v>
      </c>
      <c r="G61" t="s">
        <v>43</v>
      </c>
      <c r="H61" t="s">
        <v>81</v>
      </c>
      <c r="I61" s="1">
        <v>1</v>
      </c>
      <c r="J61" s="2">
        <v>1810.34</v>
      </c>
    </row>
    <row r="62" spans="2:10" x14ac:dyDescent="0.2">
      <c r="B62" t="s">
        <v>654</v>
      </c>
      <c r="C62" t="s">
        <v>166</v>
      </c>
      <c r="D62" t="s">
        <v>655</v>
      </c>
      <c r="E62" t="s">
        <v>223</v>
      </c>
      <c r="F62" t="s">
        <v>224</v>
      </c>
      <c r="G62" t="s">
        <v>43</v>
      </c>
      <c r="H62" t="s">
        <v>50</v>
      </c>
      <c r="I62" s="1">
        <v>1</v>
      </c>
      <c r="J62" s="2">
        <v>1637.93</v>
      </c>
    </row>
    <row r="63" spans="2:10" x14ac:dyDescent="0.2">
      <c r="B63" t="s">
        <v>690</v>
      </c>
      <c r="C63" t="s">
        <v>40</v>
      </c>
      <c r="D63" t="s">
        <v>691</v>
      </c>
      <c r="E63" t="s">
        <v>701</v>
      </c>
      <c r="F63" t="s">
        <v>702</v>
      </c>
      <c r="G63" t="s">
        <v>43</v>
      </c>
      <c r="H63" t="s">
        <v>50</v>
      </c>
      <c r="I63" s="1">
        <v>1</v>
      </c>
      <c r="J63" s="2">
        <v>4482.76</v>
      </c>
    </row>
    <row r="64" spans="2:10" x14ac:dyDescent="0.2">
      <c r="B64" t="s">
        <v>690</v>
      </c>
      <c r="C64" t="s">
        <v>40</v>
      </c>
      <c r="D64" t="s">
        <v>691</v>
      </c>
      <c r="E64" t="s">
        <v>99</v>
      </c>
      <c r="F64" t="s">
        <v>100</v>
      </c>
      <c r="G64" t="s">
        <v>43</v>
      </c>
      <c r="H64" t="s">
        <v>50</v>
      </c>
      <c r="I64" s="1">
        <v>1</v>
      </c>
      <c r="J64" s="2">
        <v>3275.86</v>
      </c>
    </row>
    <row r="65" spans="2:10" x14ac:dyDescent="0.2">
      <c r="B65" t="s">
        <v>690</v>
      </c>
      <c r="C65" t="s">
        <v>40</v>
      </c>
      <c r="D65" t="s">
        <v>691</v>
      </c>
      <c r="E65" t="s">
        <v>715</v>
      </c>
      <c r="F65" t="s">
        <v>716</v>
      </c>
      <c r="G65" t="s">
        <v>43</v>
      </c>
      <c r="H65" t="s">
        <v>81</v>
      </c>
      <c r="I65" s="1">
        <v>1</v>
      </c>
      <c r="J65" s="2">
        <v>1637.93</v>
      </c>
    </row>
    <row r="66" spans="2:10" x14ac:dyDescent="0.2">
      <c r="B66" t="s">
        <v>690</v>
      </c>
      <c r="C66" t="s">
        <v>40</v>
      </c>
      <c r="D66" t="s">
        <v>691</v>
      </c>
      <c r="E66" t="s">
        <v>717</v>
      </c>
      <c r="F66" t="s">
        <v>718</v>
      </c>
      <c r="G66" t="s">
        <v>43</v>
      </c>
      <c r="H66" t="s">
        <v>91</v>
      </c>
      <c r="I66" s="1">
        <v>1</v>
      </c>
      <c r="J66" s="2">
        <v>1810.34</v>
      </c>
    </row>
    <row r="67" spans="2:10" x14ac:dyDescent="0.2">
      <c r="B67" t="s">
        <v>690</v>
      </c>
      <c r="C67" t="s">
        <v>40</v>
      </c>
      <c r="D67" t="s">
        <v>691</v>
      </c>
      <c r="E67" t="s">
        <v>461</v>
      </c>
      <c r="F67" t="s">
        <v>462</v>
      </c>
      <c r="G67" t="s">
        <v>43</v>
      </c>
      <c r="H67" t="s">
        <v>50</v>
      </c>
      <c r="I67" s="1">
        <v>1</v>
      </c>
      <c r="J67" s="2">
        <v>3879.31</v>
      </c>
    </row>
    <row r="68" spans="2:10" x14ac:dyDescent="0.2">
      <c r="B68" t="s">
        <v>690</v>
      </c>
      <c r="C68" t="s">
        <v>82</v>
      </c>
      <c r="D68" t="s">
        <v>691</v>
      </c>
      <c r="E68" t="s">
        <v>149</v>
      </c>
      <c r="F68" t="s">
        <v>150</v>
      </c>
      <c r="G68" t="s">
        <v>43</v>
      </c>
      <c r="H68" t="s">
        <v>50</v>
      </c>
      <c r="I68" s="1">
        <v>1</v>
      </c>
      <c r="J68" s="2">
        <v>3017.24</v>
      </c>
    </row>
    <row r="69" spans="2:10" x14ac:dyDescent="0.2">
      <c r="B69" t="s">
        <v>690</v>
      </c>
      <c r="C69" t="s">
        <v>166</v>
      </c>
      <c r="D69" t="s">
        <v>691</v>
      </c>
      <c r="E69" t="s">
        <v>724</v>
      </c>
      <c r="F69" t="s">
        <v>725</v>
      </c>
      <c r="G69" t="s">
        <v>43</v>
      </c>
      <c r="H69" t="s">
        <v>50</v>
      </c>
      <c r="I69" s="1">
        <v>1</v>
      </c>
      <c r="J69" s="2">
        <v>1810.34</v>
      </c>
    </row>
    <row r="70" spans="2:10" x14ac:dyDescent="0.2">
      <c r="B70" t="s">
        <v>690</v>
      </c>
      <c r="C70" t="s">
        <v>197</v>
      </c>
      <c r="D70" t="s">
        <v>691</v>
      </c>
      <c r="E70" t="s">
        <v>79</v>
      </c>
      <c r="F70" t="s">
        <v>80</v>
      </c>
      <c r="G70" t="s">
        <v>43</v>
      </c>
      <c r="H70" t="s">
        <v>81</v>
      </c>
      <c r="I70" s="1">
        <v>1</v>
      </c>
      <c r="J70" s="2">
        <v>1810.34</v>
      </c>
    </row>
    <row r="71" spans="2:10" x14ac:dyDescent="0.2">
      <c r="B71" t="s">
        <v>690</v>
      </c>
      <c r="C71" t="s">
        <v>227</v>
      </c>
      <c r="D71" t="s">
        <v>691</v>
      </c>
      <c r="E71" t="s">
        <v>149</v>
      </c>
      <c r="F71" t="s">
        <v>150</v>
      </c>
      <c r="G71" t="s">
        <v>43</v>
      </c>
      <c r="H71" t="s">
        <v>50</v>
      </c>
      <c r="I71" s="1">
        <v>1</v>
      </c>
      <c r="J71" s="2">
        <v>3017.24</v>
      </c>
    </row>
    <row r="72" spans="2:10" x14ac:dyDescent="0.2">
      <c r="B72" t="s">
        <v>740</v>
      </c>
      <c r="C72" t="s">
        <v>18</v>
      </c>
      <c r="D72" t="s">
        <v>741</v>
      </c>
      <c r="E72" t="s">
        <v>223</v>
      </c>
      <c r="F72" t="s">
        <v>224</v>
      </c>
      <c r="G72" t="s">
        <v>43</v>
      </c>
      <c r="H72" t="s">
        <v>50</v>
      </c>
      <c r="I72" s="1">
        <v>1</v>
      </c>
      <c r="J72" s="2">
        <v>1637.93</v>
      </c>
    </row>
    <row r="73" spans="2:10" x14ac:dyDescent="0.2">
      <c r="B73" t="s">
        <v>740</v>
      </c>
      <c r="C73" t="s">
        <v>18</v>
      </c>
      <c r="D73" t="s">
        <v>741</v>
      </c>
      <c r="E73" t="s">
        <v>79</v>
      </c>
      <c r="F73" t="s">
        <v>80</v>
      </c>
      <c r="G73" t="s">
        <v>43</v>
      </c>
      <c r="H73" t="s">
        <v>81</v>
      </c>
      <c r="I73" s="1">
        <v>1</v>
      </c>
      <c r="J73" s="2">
        <v>1810.34</v>
      </c>
    </row>
    <row r="74" spans="2:10" x14ac:dyDescent="0.2">
      <c r="B74" t="s">
        <v>740</v>
      </c>
      <c r="C74" t="s">
        <v>65</v>
      </c>
      <c r="D74" t="s">
        <v>741</v>
      </c>
      <c r="E74" t="s">
        <v>99</v>
      </c>
      <c r="F74" t="s">
        <v>100</v>
      </c>
      <c r="G74" t="s">
        <v>43</v>
      </c>
      <c r="H74" t="s">
        <v>50</v>
      </c>
      <c r="I74" s="1">
        <v>1</v>
      </c>
      <c r="J74" s="2">
        <v>3275.86</v>
      </c>
    </row>
    <row r="75" spans="2:10" x14ac:dyDescent="0.2">
      <c r="B75" t="s">
        <v>740</v>
      </c>
      <c r="C75" t="s">
        <v>135</v>
      </c>
      <c r="D75" t="s">
        <v>741</v>
      </c>
      <c r="E75" t="s">
        <v>149</v>
      </c>
      <c r="F75" t="s">
        <v>150</v>
      </c>
      <c r="G75" t="s">
        <v>43</v>
      </c>
      <c r="H75" t="s">
        <v>50</v>
      </c>
      <c r="I75" s="1">
        <v>1</v>
      </c>
      <c r="J75" s="2">
        <v>3017.24</v>
      </c>
    </row>
    <row r="76" spans="2:10" x14ac:dyDescent="0.2">
      <c r="B76" t="s">
        <v>740</v>
      </c>
      <c r="C76" t="s">
        <v>165</v>
      </c>
      <c r="D76" t="s">
        <v>741</v>
      </c>
      <c r="E76" t="s">
        <v>753</v>
      </c>
      <c r="F76" t="s">
        <v>754</v>
      </c>
      <c r="G76" t="s">
        <v>43</v>
      </c>
      <c r="H76" t="s">
        <v>755</v>
      </c>
      <c r="I76" s="1">
        <v>1</v>
      </c>
      <c r="J76" s="2">
        <v>3879.31</v>
      </c>
    </row>
    <row r="77" spans="2:10" x14ac:dyDescent="0.2">
      <c r="B77" t="s">
        <v>740</v>
      </c>
      <c r="C77" t="s">
        <v>197</v>
      </c>
      <c r="D77" t="s">
        <v>130</v>
      </c>
      <c r="E77" t="s">
        <v>191</v>
      </c>
      <c r="F77" t="s">
        <v>192</v>
      </c>
      <c r="G77" t="s">
        <v>43</v>
      </c>
      <c r="H77" t="s">
        <v>50</v>
      </c>
      <c r="I77" s="1">
        <v>1</v>
      </c>
      <c r="J77" s="2">
        <v>3534.48</v>
      </c>
    </row>
    <row r="78" spans="2:10" x14ac:dyDescent="0.2">
      <c r="B78" t="s">
        <v>780</v>
      </c>
      <c r="C78" t="s">
        <v>10</v>
      </c>
      <c r="D78" t="s">
        <v>781</v>
      </c>
      <c r="E78" t="s">
        <v>149</v>
      </c>
      <c r="F78" t="s">
        <v>150</v>
      </c>
      <c r="G78" t="s">
        <v>43</v>
      </c>
      <c r="H78" t="s">
        <v>50</v>
      </c>
      <c r="I78" s="1">
        <v>1</v>
      </c>
      <c r="J78" s="2">
        <v>3017.24</v>
      </c>
    </row>
    <row r="79" spans="2:10" x14ac:dyDescent="0.2">
      <c r="B79" t="s">
        <v>780</v>
      </c>
      <c r="C79" t="s">
        <v>51</v>
      </c>
      <c r="D79" t="s">
        <v>781</v>
      </c>
      <c r="E79" t="s">
        <v>191</v>
      </c>
      <c r="F79" t="s">
        <v>192</v>
      </c>
      <c r="G79" t="s">
        <v>43</v>
      </c>
      <c r="H79" t="s">
        <v>50</v>
      </c>
      <c r="I79" s="1">
        <v>1</v>
      </c>
      <c r="J79" s="2">
        <v>3534.48</v>
      </c>
    </row>
    <row r="80" spans="2:10" x14ac:dyDescent="0.2">
      <c r="B80" t="s">
        <v>780</v>
      </c>
      <c r="C80" t="s">
        <v>134</v>
      </c>
      <c r="D80" t="s">
        <v>781</v>
      </c>
      <c r="E80" t="s">
        <v>79</v>
      </c>
      <c r="F80" t="s">
        <v>80</v>
      </c>
      <c r="G80" t="s">
        <v>43</v>
      </c>
      <c r="H80" t="s">
        <v>81</v>
      </c>
      <c r="I80" s="1">
        <v>1</v>
      </c>
      <c r="J80" s="2">
        <v>1810.34</v>
      </c>
    </row>
    <row r="81" spans="2:10" x14ac:dyDescent="0.2">
      <c r="B81" t="s">
        <v>780</v>
      </c>
      <c r="C81" t="s">
        <v>141</v>
      </c>
      <c r="D81" t="s">
        <v>32</v>
      </c>
      <c r="E81" t="s">
        <v>79</v>
      </c>
      <c r="F81" t="s">
        <v>80</v>
      </c>
      <c r="G81" t="s">
        <v>43</v>
      </c>
      <c r="H81" t="s">
        <v>81</v>
      </c>
      <c r="I81" s="1">
        <v>1</v>
      </c>
      <c r="J81" s="2">
        <v>1810.34</v>
      </c>
    </row>
    <row r="82" spans="2:10" x14ac:dyDescent="0.2">
      <c r="B82" t="s">
        <v>780</v>
      </c>
      <c r="C82" t="s">
        <v>165</v>
      </c>
      <c r="D82" t="s">
        <v>781</v>
      </c>
      <c r="E82" t="s">
        <v>223</v>
      </c>
      <c r="F82" t="s">
        <v>224</v>
      </c>
      <c r="G82" t="s">
        <v>43</v>
      </c>
      <c r="H82" t="s">
        <v>50</v>
      </c>
      <c r="I82" s="1">
        <v>1</v>
      </c>
      <c r="J82" s="2">
        <v>1637.93</v>
      </c>
    </row>
    <row r="83" spans="2:10" x14ac:dyDescent="0.2">
      <c r="B83" t="s">
        <v>780</v>
      </c>
      <c r="C83" t="s">
        <v>185</v>
      </c>
      <c r="D83" t="s">
        <v>781</v>
      </c>
      <c r="E83" t="s">
        <v>149</v>
      </c>
      <c r="F83" t="s">
        <v>150</v>
      </c>
      <c r="G83" t="s">
        <v>43</v>
      </c>
      <c r="H83" t="s">
        <v>50</v>
      </c>
      <c r="I83" s="1">
        <v>1</v>
      </c>
      <c r="J83" s="2">
        <v>3017.24</v>
      </c>
    </row>
    <row r="84" spans="2:10" x14ac:dyDescent="0.2">
      <c r="B84" t="s">
        <v>780</v>
      </c>
      <c r="C84" t="s">
        <v>335</v>
      </c>
      <c r="D84" t="s">
        <v>781</v>
      </c>
      <c r="E84" t="s">
        <v>223</v>
      </c>
      <c r="F84" t="s">
        <v>224</v>
      </c>
      <c r="G84" t="s">
        <v>43</v>
      </c>
      <c r="H84" t="s">
        <v>50</v>
      </c>
      <c r="I84" s="1">
        <v>1</v>
      </c>
      <c r="J84" s="2">
        <v>1637.93</v>
      </c>
    </row>
    <row r="85" spans="2:10" x14ac:dyDescent="0.2">
      <c r="B85" t="s">
        <v>780</v>
      </c>
      <c r="C85" t="s">
        <v>248</v>
      </c>
      <c r="D85" t="s">
        <v>781</v>
      </c>
      <c r="E85" t="s">
        <v>223</v>
      </c>
      <c r="F85" t="s">
        <v>224</v>
      </c>
      <c r="G85" t="s">
        <v>43</v>
      </c>
      <c r="H85" t="s">
        <v>50</v>
      </c>
      <c r="I85" s="1">
        <v>1</v>
      </c>
      <c r="J85" s="2">
        <v>1637.93</v>
      </c>
    </row>
    <row r="86" spans="2:10" x14ac:dyDescent="0.2">
      <c r="B86" t="s">
        <v>824</v>
      </c>
      <c r="C86" t="s">
        <v>10</v>
      </c>
      <c r="D86" t="s">
        <v>825</v>
      </c>
      <c r="E86" t="s">
        <v>830</v>
      </c>
      <c r="F86" t="s">
        <v>831</v>
      </c>
      <c r="G86" t="s">
        <v>43</v>
      </c>
      <c r="H86" t="s">
        <v>55</v>
      </c>
      <c r="I86" s="1">
        <v>1</v>
      </c>
      <c r="J86" s="2">
        <v>1896.55</v>
      </c>
    </row>
    <row r="87" spans="2:10" x14ac:dyDescent="0.2">
      <c r="B87" t="s">
        <v>824</v>
      </c>
      <c r="C87" t="s">
        <v>227</v>
      </c>
      <c r="D87" t="s">
        <v>825</v>
      </c>
      <c r="E87" t="s">
        <v>79</v>
      </c>
      <c r="F87" t="s">
        <v>80</v>
      </c>
      <c r="G87" t="s">
        <v>43</v>
      </c>
      <c r="H87" t="s">
        <v>81</v>
      </c>
      <c r="I87" s="1">
        <v>1</v>
      </c>
      <c r="J87" s="2">
        <v>1810.34</v>
      </c>
    </row>
    <row r="88" spans="2:10" x14ac:dyDescent="0.2">
      <c r="B88" t="s">
        <v>824</v>
      </c>
      <c r="C88" t="s">
        <v>228</v>
      </c>
      <c r="D88" t="s">
        <v>825</v>
      </c>
      <c r="E88" t="s">
        <v>488</v>
      </c>
      <c r="F88" t="s">
        <v>489</v>
      </c>
      <c r="G88" t="s">
        <v>43</v>
      </c>
      <c r="H88" t="s">
        <v>128</v>
      </c>
      <c r="I88" s="1">
        <v>1</v>
      </c>
      <c r="J88" s="2">
        <v>5862.07</v>
      </c>
    </row>
    <row r="89" spans="2:10" x14ac:dyDescent="0.2">
      <c r="B89" t="s">
        <v>824</v>
      </c>
      <c r="C89" t="s">
        <v>248</v>
      </c>
      <c r="D89" t="s">
        <v>825</v>
      </c>
      <c r="E89" t="s">
        <v>265</v>
      </c>
      <c r="F89" t="s">
        <v>266</v>
      </c>
      <c r="G89" t="s">
        <v>43</v>
      </c>
      <c r="H89" t="s">
        <v>128</v>
      </c>
      <c r="I89" s="1">
        <v>1</v>
      </c>
      <c r="J89" s="2">
        <v>5862.07</v>
      </c>
    </row>
    <row r="90" spans="2:10" x14ac:dyDescent="0.2">
      <c r="B90" t="s">
        <v>866</v>
      </c>
      <c r="C90" t="s">
        <v>10</v>
      </c>
      <c r="D90" t="s">
        <v>226</v>
      </c>
      <c r="E90" t="s">
        <v>867</v>
      </c>
      <c r="F90" t="s">
        <v>868</v>
      </c>
      <c r="G90" t="s">
        <v>43</v>
      </c>
      <c r="H90" t="s">
        <v>50</v>
      </c>
      <c r="I90" s="1">
        <v>1</v>
      </c>
      <c r="J90" s="2">
        <v>1810.34</v>
      </c>
    </row>
    <row r="91" spans="2:10" x14ac:dyDescent="0.2">
      <c r="B91" t="s">
        <v>866</v>
      </c>
      <c r="C91" t="s">
        <v>51</v>
      </c>
      <c r="D91" t="s">
        <v>226</v>
      </c>
      <c r="E91" t="s">
        <v>873</v>
      </c>
      <c r="F91" t="s">
        <v>874</v>
      </c>
      <c r="G91" t="s">
        <v>43</v>
      </c>
      <c r="H91" t="s">
        <v>755</v>
      </c>
      <c r="I91" s="1">
        <v>1</v>
      </c>
      <c r="J91" s="2">
        <v>3448.28</v>
      </c>
    </row>
    <row r="92" spans="2:10" x14ac:dyDescent="0.2">
      <c r="B92" t="s">
        <v>866</v>
      </c>
      <c r="C92" t="s">
        <v>117</v>
      </c>
      <c r="D92" t="s">
        <v>226</v>
      </c>
      <c r="E92" t="s">
        <v>79</v>
      </c>
      <c r="F92" t="s">
        <v>80</v>
      </c>
      <c r="G92" t="s">
        <v>43</v>
      </c>
      <c r="H92" t="s">
        <v>81</v>
      </c>
      <c r="I92" s="1">
        <v>1</v>
      </c>
      <c r="J92" s="2">
        <v>1810.34</v>
      </c>
    </row>
    <row r="93" spans="2:10" x14ac:dyDescent="0.2">
      <c r="B93" t="s">
        <v>866</v>
      </c>
      <c r="C93" t="s">
        <v>144</v>
      </c>
      <c r="D93" t="s">
        <v>32</v>
      </c>
      <c r="E93" t="s">
        <v>459</v>
      </c>
      <c r="F93" t="s">
        <v>460</v>
      </c>
      <c r="G93" t="s">
        <v>43</v>
      </c>
      <c r="H93" t="s">
        <v>50</v>
      </c>
      <c r="I93" s="1">
        <v>1</v>
      </c>
      <c r="J93" s="2">
        <v>1810.34</v>
      </c>
    </row>
    <row r="94" spans="2:10" x14ac:dyDescent="0.2">
      <c r="B94" t="s">
        <v>866</v>
      </c>
      <c r="C94" t="s">
        <v>237</v>
      </c>
      <c r="D94" t="s">
        <v>226</v>
      </c>
      <c r="E94" t="s">
        <v>903</v>
      </c>
      <c r="F94" t="s">
        <v>904</v>
      </c>
      <c r="G94" t="s">
        <v>43</v>
      </c>
      <c r="H94" t="s">
        <v>735</v>
      </c>
      <c r="I94" s="1">
        <v>1</v>
      </c>
      <c r="J94" s="2">
        <v>3017.24</v>
      </c>
    </row>
    <row r="95" spans="2:10" x14ac:dyDescent="0.2">
      <c r="B95" t="s">
        <v>907</v>
      </c>
      <c r="C95" t="s">
        <v>18</v>
      </c>
      <c r="D95" t="s">
        <v>908</v>
      </c>
      <c r="E95" t="s">
        <v>149</v>
      </c>
      <c r="F95" t="s">
        <v>150</v>
      </c>
      <c r="G95" t="s">
        <v>43</v>
      </c>
      <c r="H95" t="s">
        <v>50</v>
      </c>
      <c r="I95" s="1">
        <v>1</v>
      </c>
      <c r="J95" s="2">
        <v>3017.24</v>
      </c>
    </row>
    <row r="96" spans="2:10" x14ac:dyDescent="0.2">
      <c r="B96" t="s">
        <v>907</v>
      </c>
      <c r="C96" t="s">
        <v>88</v>
      </c>
      <c r="D96" t="s">
        <v>908</v>
      </c>
      <c r="E96" t="s">
        <v>911</v>
      </c>
      <c r="F96" t="s">
        <v>912</v>
      </c>
      <c r="G96" t="s">
        <v>43</v>
      </c>
      <c r="H96" t="s">
        <v>81</v>
      </c>
      <c r="I96" s="1">
        <v>1</v>
      </c>
      <c r="J96" s="2">
        <v>1637.93</v>
      </c>
    </row>
    <row r="97" spans="2:10" x14ac:dyDescent="0.2">
      <c r="B97" t="s">
        <v>907</v>
      </c>
      <c r="C97" t="s">
        <v>117</v>
      </c>
      <c r="D97" t="s">
        <v>908</v>
      </c>
      <c r="E97" t="s">
        <v>913</v>
      </c>
      <c r="F97" t="s">
        <v>914</v>
      </c>
      <c r="G97" t="s">
        <v>43</v>
      </c>
      <c r="H97" t="s">
        <v>94</v>
      </c>
      <c r="I97" s="1">
        <v>1</v>
      </c>
      <c r="J97" s="2">
        <v>1991.38</v>
      </c>
    </row>
    <row r="98" spans="2:10" x14ac:dyDescent="0.2">
      <c r="B98" t="s">
        <v>907</v>
      </c>
      <c r="C98" t="s">
        <v>134</v>
      </c>
      <c r="D98" t="s">
        <v>130</v>
      </c>
      <c r="E98" t="s">
        <v>131</v>
      </c>
      <c r="F98" t="s">
        <v>132</v>
      </c>
      <c r="G98" t="s">
        <v>43</v>
      </c>
      <c r="H98" t="s">
        <v>133</v>
      </c>
      <c r="I98" s="1">
        <v>1</v>
      </c>
      <c r="J98" s="2">
        <v>2155.17</v>
      </c>
    </row>
    <row r="99" spans="2:10" x14ac:dyDescent="0.2">
      <c r="B99" t="s">
        <v>907</v>
      </c>
      <c r="C99" t="s">
        <v>134</v>
      </c>
      <c r="D99" t="s">
        <v>130</v>
      </c>
      <c r="E99" t="s">
        <v>231</v>
      </c>
      <c r="F99" t="s">
        <v>232</v>
      </c>
      <c r="G99" t="s">
        <v>43</v>
      </c>
      <c r="H99" t="s">
        <v>50</v>
      </c>
      <c r="I99" s="1">
        <v>1</v>
      </c>
      <c r="J99" s="2">
        <v>3017.24</v>
      </c>
    </row>
    <row r="100" spans="2:10" x14ac:dyDescent="0.2">
      <c r="B100" t="s">
        <v>907</v>
      </c>
      <c r="C100" t="s">
        <v>135</v>
      </c>
      <c r="D100" t="s">
        <v>908</v>
      </c>
      <c r="E100" t="s">
        <v>126</v>
      </c>
      <c r="F100" t="s">
        <v>127</v>
      </c>
      <c r="G100" t="s">
        <v>43</v>
      </c>
      <c r="H100" t="s">
        <v>128</v>
      </c>
      <c r="I100" s="1">
        <v>1</v>
      </c>
      <c r="J100" s="2">
        <v>2068.9699999999998</v>
      </c>
    </row>
    <row r="101" spans="2:10" x14ac:dyDescent="0.2">
      <c r="B101" t="s">
        <v>907</v>
      </c>
      <c r="C101" t="s">
        <v>144</v>
      </c>
      <c r="D101" t="s">
        <v>908</v>
      </c>
      <c r="E101" t="s">
        <v>126</v>
      </c>
      <c r="F101" t="s">
        <v>127</v>
      </c>
      <c r="G101" t="s">
        <v>43</v>
      </c>
      <c r="H101" t="s">
        <v>128</v>
      </c>
      <c r="I101" s="1">
        <v>1</v>
      </c>
      <c r="J101" s="2">
        <v>2068.9699999999998</v>
      </c>
    </row>
    <row r="102" spans="2:10" x14ac:dyDescent="0.2">
      <c r="B102" t="s">
        <v>907</v>
      </c>
      <c r="C102" t="s">
        <v>186</v>
      </c>
      <c r="D102" t="s">
        <v>130</v>
      </c>
      <c r="E102" t="s">
        <v>142</v>
      </c>
      <c r="F102" t="s">
        <v>143</v>
      </c>
      <c r="G102" t="s">
        <v>43</v>
      </c>
      <c r="H102" t="s">
        <v>50</v>
      </c>
      <c r="I102" s="1">
        <v>1</v>
      </c>
      <c r="J102" s="2">
        <v>2155.17</v>
      </c>
    </row>
    <row r="103" spans="2:10" x14ac:dyDescent="0.2">
      <c r="B103" t="s">
        <v>907</v>
      </c>
      <c r="C103" t="s">
        <v>220</v>
      </c>
      <c r="D103" t="s">
        <v>908</v>
      </c>
      <c r="E103" t="s">
        <v>923</v>
      </c>
      <c r="F103" t="s">
        <v>924</v>
      </c>
      <c r="G103" t="s">
        <v>43</v>
      </c>
      <c r="H103" t="s">
        <v>452</v>
      </c>
      <c r="I103" s="1">
        <v>1</v>
      </c>
      <c r="J103" s="2">
        <v>2586.21</v>
      </c>
    </row>
    <row r="104" spans="2:10" x14ac:dyDescent="0.2">
      <c r="B104" t="s">
        <v>907</v>
      </c>
      <c r="C104" t="s">
        <v>220</v>
      </c>
      <c r="D104" t="s">
        <v>908</v>
      </c>
      <c r="E104" t="s">
        <v>925</v>
      </c>
      <c r="F104" t="s">
        <v>926</v>
      </c>
      <c r="G104" t="s">
        <v>43</v>
      </c>
      <c r="H104" t="s">
        <v>128</v>
      </c>
      <c r="I104" s="1">
        <v>1</v>
      </c>
      <c r="J104" s="2">
        <v>2068.9699999999998</v>
      </c>
    </row>
    <row r="105" spans="2:10" x14ac:dyDescent="0.2">
      <c r="B105" t="s">
        <v>933</v>
      </c>
      <c r="C105" t="s">
        <v>10</v>
      </c>
      <c r="D105" t="s">
        <v>934</v>
      </c>
      <c r="E105" t="s">
        <v>293</v>
      </c>
      <c r="F105" t="s">
        <v>294</v>
      </c>
      <c r="G105" t="s">
        <v>43</v>
      </c>
      <c r="H105" t="s">
        <v>128</v>
      </c>
      <c r="I105" s="1">
        <v>1</v>
      </c>
      <c r="J105" s="2">
        <v>5862.07</v>
      </c>
    </row>
    <row r="106" spans="2:10" x14ac:dyDescent="0.2">
      <c r="B106" t="s">
        <v>933</v>
      </c>
      <c r="C106" t="s">
        <v>10</v>
      </c>
      <c r="D106" t="s">
        <v>934</v>
      </c>
      <c r="E106" t="s">
        <v>223</v>
      </c>
      <c r="F106" t="s">
        <v>224</v>
      </c>
      <c r="G106" t="s">
        <v>43</v>
      </c>
      <c r="H106" t="s">
        <v>50</v>
      </c>
      <c r="I106" s="1">
        <v>1</v>
      </c>
      <c r="J106" s="2">
        <v>1637.93</v>
      </c>
    </row>
    <row r="107" spans="2:10" x14ac:dyDescent="0.2">
      <c r="B107" t="s">
        <v>933</v>
      </c>
      <c r="C107" t="s">
        <v>31</v>
      </c>
      <c r="D107" t="s">
        <v>934</v>
      </c>
      <c r="E107" t="s">
        <v>223</v>
      </c>
      <c r="F107" t="s">
        <v>224</v>
      </c>
      <c r="G107" t="s">
        <v>43</v>
      </c>
      <c r="H107" t="s">
        <v>50</v>
      </c>
      <c r="I107" s="1">
        <v>1</v>
      </c>
      <c r="J107" s="2">
        <v>1637.93</v>
      </c>
    </row>
    <row r="108" spans="2:10" x14ac:dyDescent="0.2">
      <c r="B108" t="s">
        <v>933</v>
      </c>
      <c r="C108" t="s">
        <v>31</v>
      </c>
      <c r="D108" t="s">
        <v>934</v>
      </c>
      <c r="E108" t="s">
        <v>231</v>
      </c>
      <c r="F108" t="s">
        <v>232</v>
      </c>
      <c r="G108" t="s">
        <v>43</v>
      </c>
      <c r="H108" t="s">
        <v>50</v>
      </c>
      <c r="I108" s="1">
        <v>1</v>
      </c>
      <c r="J108" s="2">
        <v>3017.24</v>
      </c>
    </row>
    <row r="109" spans="2:10" x14ac:dyDescent="0.2">
      <c r="B109" t="s">
        <v>933</v>
      </c>
      <c r="C109" t="s">
        <v>51</v>
      </c>
      <c r="D109" t="s">
        <v>934</v>
      </c>
      <c r="E109" t="s">
        <v>724</v>
      </c>
      <c r="F109" t="s">
        <v>725</v>
      </c>
      <c r="G109" t="s">
        <v>43</v>
      </c>
      <c r="H109" t="s">
        <v>50</v>
      </c>
      <c r="I109" s="1">
        <v>1</v>
      </c>
      <c r="J109" s="2">
        <v>1810.34</v>
      </c>
    </row>
    <row r="110" spans="2:10" x14ac:dyDescent="0.2">
      <c r="B110" t="s">
        <v>933</v>
      </c>
      <c r="C110" t="s">
        <v>51</v>
      </c>
      <c r="D110" t="s">
        <v>934</v>
      </c>
      <c r="E110" t="s">
        <v>231</v>
      </c>
      <c r="F110" t="s">
        <v>232</v>
      </c>
      <c r="G110" t="s">
        <v>43</v>
      </c>
      <c r="H110" t="s">
        <v>50</v>
      </c>
      <c r="I110" s="1">
        <v>1</v>
      </c>
      <c r="J110" s="2">
        <v>3017.24</v>
      </c>
    </row>
    <row r="111" spans="2:10" x14ac:dyDescent="0.2">
      <c r="B111" t="s">
        <v>933</v>
      </c>
      <c r="C111" t="s">
        <v>117</v>
      </c>
      <c r="D111" t="s">
        <v>934</v>
      </c>
      <c r="E111" t="s">
        <v>715</v>
      </c>
      <c r="F111" t="s">
        <v>716</v>
      </c>
      <c r="G111" t="s">
        <v>43</v>
      </c>
      <c r="H111" t="s">
        <v>81</v>
      </c>
      <c r="I111" s="1">
        <v>1</v>
      </c>
      <c r="J111" s="2">
        <v>1637.93</v>
      </c>
    </row>
    <row r="112" spans="2:10" x14ac:dyDescent="0.2">
      <c r="B112" t="s">
        <v>933</v>
      </c>
      <c r="C112" t="s">
        <v>135</v>
      </c>
      <c r="D112" t="s">
        <v>934</v>
      </c>
      <c r="E112" t="s">
        <v>142</v>
      </c>
      <c r="F112" t="s">
        <v>143</v>
      </c>
      <c r="G112" t="s">
        <v>43</v>
      </c>
      <c r="H112" t="s">
        <v>50</v>
      </c>
      <c r="I112" s="1">
        <v>1</v>
      </c>
      <c r="J112" s="2">
        <v>2155.17</v>
      </c>
    </row>
    <row r="113" spans="2:10" x14ac:dyDescent="0.2">
      <c r="B113" t="s">
        <v>933</v>
      </c>
      <c r="C113" t="s">
        <v>144</v>
      </c>
      <c r="D113" t="s">
        <v>934</v>
      </c>
      <c r="E113" t="s">
        <v>142</v>
      </c>
      <c r="F113" t="s">
        <v>143</v>
      </c>
      <c r="G113" t="s">
        <v>43</v>
      </c>
      <c r="H113" t="s">
        <v>50</v>
      </c>
      <c r="I113" s="1">
        <v>1</v>
      </c>
      <c r="J113" s="2">
        <v>2155.17</v>
      </c>
    </row>
    <row r="114" spans="2:10" x14ac:dyDescent="0.2">
      <c r="B114" t="s">
        <v>933</v>
      </c>
      <c r="C114" t="s">
        <v>335</v>
      </c>
      <c r="D114" t="s">
        <v>934</v>
      </c>
      <c r="E114" t="s">
        <v>223</v>
      </c>
      <c r="F114" t="s">
        <v>224</v>
      </c>
      <c r="G114" t="s">
        <v>43</v>
      </c>
      <c r="H114" t="s">
        <v>50</v>
      </c>
      <c r="I114" s="1">
        <v>1</v>
      </c>
      <c r="J114" s="2">
        <v>1637.93</v>
      </c>
    </row>
    <row r="115" spans="2:10" x14ac:dyDescent="0.2">
      <c r="B115" t="s">
        <v>933</v>
      </c>
      <c r="C115" t="s">
        <v>335</v>
      </c>
      <c r="D115" t="s">
        <v>934</v>
      </c>
      <c r="E115" t="s">
        <v>231</v>
      </c>
      <c r="F115" t="s">
        <v>232</v>
      </c>
      <c r="G115" t="s">
        <v>43</v>
      </c>
      <c r="H115" t="s">
        <v>50</v>
      </c>
      <c r="I115" s="1">
        <v>1</v>
      </c>
      <c r="J115" s="2">
        <v>3017.24</v>
      </c>
    </row>
    <row r="116" spans="2:10" x14ac:dyDescent="0.2">
      <c r="B116" t="s">
        <v>955</v>
      </c>
      <c r="C116" t="s">
        <v>18</v>
      </c>
      <c r="D116" t="s">
        <v>956</v>
      </c>
      <c r="E116" t="s">
        <v>701</v>
      </c>
      <c r="F116" t="s">
        <v>702</v>
      </c>
      <c r="G116" t="s">
        <v>43</v>
      </c>
      <c r="H116" t="s">
        <v>50</v>
      </c>
      <c r="I116" s="1">
        <v>1</v>
      </c>
      <c r="J116" s="2">
        <v>4482.76</v>
      </c>
    </row>
    <row r="117" spans="2:10" x14ac:dyDescent="0.2">
      <c r="B117" t="s">
        <v>955</v>
      </c>
      <c r="C117" t="s">
        <v>18</v>
      </c>
      <c r="D117" t="s">
        <v>956</v>
      </c>
      <c r="E117" t="s">
        <v>957</v>
      </c>
      <c r="F117" t="s">
        <v>958</v>
      </c>
      <c r="G117" t="s">
        <v>43</v>
      </c>
      <c r="H117" t="s">
        <v>735</v>
      </c>
      <c r="I117" s="1">
        <v>1</v>
      </c>
      <c r="J117" s="2">
        <v>2482.7600000000002</v>
      </c>
    </row>
    <row r="118" spans="2:10" x14ac:dyDescent="0.2">
      <c r="B118" t="s">
        <v>955</v>
      </c>
      <c r="C118" t="s">
        <v>18</v>
      </c>
      <c r="D118" t="s">
        <v>956</v>
      </c>
      <c r="E118" t="s">
        <v>715</v>
      </c>
      <c r="F118" t="s">
        <v>716</v>
      </c>
      <c r="G118" t="s">
        <v>43</v>
      </c>
      <c r="H118" t="s">
        <v>81</v>
      </c>
      <c r="I118" s="1">
        <v>1</v>
      </c>
      <c r="J118" s="2">
        <v>1637.93</v>
      </c>
    </row>
    <row r="119" spans="2:10" x14ac:dyDescent="0.2">
      <c r="B119" t="s">
        <v>955</v>
      </c>
      <c r="C119" t="s">
        <v>65</v>
      </c>
      <c r="D119" t="s">
        <v>956</v>
      </c>
      <c r="E119" t="s">
        <v>701</v>
      </c>
      <c r="F119" t="s">
        <v>702</v>
      </c>
      <c r="G119" t="s">
        <v>43</v>
      </c>
      <c r="H119" t="s">
        <v>50</v>
      </c>
      <c r="I119" s="1">
        <v>1</v>
      </c>
      <c r="J119" s="2">
        <v>4482.76</v>
      </c>
    </row>
    <row r="120" spans="2:10" x14ac:dyDescent="0.2">
      <c r="B120" t="s">
        <v>955</v>
      </c>
      <c r="C120" t="s">
        <v>82</v>
      </c>
      <c r="D120" t="s">
        <v>32</v>
      </c>
      <c r="E120" t="s">
        <v>461</v>
      </c>
      <c r="F120" t="s">
        <v>462</v>
      </c>
      <c r="G120" t="s">
        <v>43</v>
      </c>
      <c r="H120" t="s">
        <v>50</v>
      </c>
      <c r="I120" s="1">
        <v>1</v>
      </c>
      <c r="J120" s="2">
        <v>3879.31</v>
      </c>
    </row>
    <row r="121" spans="2:10" x14ac:dyDescent="0.2">
      <c r="B121" t="s">
        <v>955</v>
      </c>
      <c r="C121" t="s">
        <v>82</v>
      </c>
      <c r="D121" t="s">
        <v>956</v>
      </c>
      <c r="E121" t="s">
        <v>99</v>
      </c>
      <c r="F121" t="s">
        <v>100</v>
      </c>
      <c r="G121" t="s">
        <v>43</v>
      </c>
      <c r="H121" t="s">
        <v>50</v>
      </c>
      <c r="I121" s="1">
        <v>1</v>
      </c>
      <c r="J121" s="2">
        <v>3275.86</v>
      </c>
    </row>
    <row r="122" spans="2:10" x14ac:dyDescent="0.2">
      <c r="B122" t="s">
        <v>955</v>
      </c>
      <c r="C122" t="s">
        <v>117</v>
      </c>
      <c r="D122" t="s">
        <v>956</v>
      </c>
      <c r="E122" t="s">
        <v>293</v>
      </c>
      <c r="F122" t="s">
        <v>294</v>
      </c>
      <c r="G122" t="s">
        <v>43</v>
      </c>
      <c r="H122" t="s">
        <v>128</v>
      </c>
      <c r="I122" s="1">
        <v>1</v>
      </c>
      <c r="J122" s="2">
        <v>5862.07</v>
      </c>
    </row>
    <row r="123" spans="2:10" x14ac:dyDescent="0.2">
      <c r="B123" t="s">
        <v>955</v>
      </c>
      <c r="C123" t="s">
        <v>129</v>
      </c>
      <c r="D123" t="s">
        <v>277</v>
      </c>
      <c r="E123" t="s">
        <v>986</v>
      </c>
      <c r="F123" t="s">
        <v>987</v>
      </c>
      <c r="G123" t="s">
        <v>43</v>
      </c>
      <c r="H123" t="s">
        <v>205</v>
      </c>
      <c r="I123" s="1">
        <v>1</v>
      </c>
      <c r="J123" s="2">
        <v>2038.79</v>
      </c>
    </row>
    <row r="124" spans="2:10" x14ac:dyDescent="0.2">
      <c r="B124" t="s">
        <v>955</v>
      </c>
      <c r="C124" t="s">
        <v>134</v>
      </c>
      <c r="D124" t="s">
        <v>956</v>
      </c>
      <c r="E124" t="s">
        <v>293</v>
      </c>
      <c r="F124" t="s">
        <v>294</v>
      </c>
      <c r="G124" t="s">
        <v>43</v>
      </c>
      <c r="H124" t="s">
        <v>128</v>
      </c>
      <c r="I124" s="1">
        <v>1</v>
      </c>
      <c r="J124" s="2">
        <v>5862.07</v>
      </c>
    </row>
    <row r="125" spans="2:10" x14ac:dyDescent="0.2">
      <c r="B125" t="s">
        <v>955</v>
      </c>
      <c r="C125" t="s">
        <v>135</v>
      </c>
      <c r="D125" t="s">
        <v>956</v>
      </c>
      <c r="E125" t="s">
        <v>873</v>
      </c>
      <c r="F125" t="s">
        <v>874</v>
      </c>
      <c r="G125" t="s">
        <v>43</v>
      </c>
      <c r="H125" t="s">
        <v>755</v>
      </c>
      <c r="I125" s="1">
        <v>1</v>
      </c>
      <c r="J125" s="2">
        <v>3448.28</v>
      </c>
    </row>
    <row r="126" spans="2:10" x14ac:dyDescent="0.2">
      <c r="B126" t="s">
        <v>955</v>
      </c>
      <c r="C126" t="s">
        <v>135</v>
      </c>
      <c r="D126" t="s">
        <v>956</v>
      </c>
      <c r="E126" t="s">
        <v>79</v>
      </c>
      <c r="F126" t="s">
        <v>80</v>
      </c>
      <c r="G126" t="s">
        <v>43</v>
      </c>
      <c r="H126" t="s">
        <v>81</v>
      </c>
      <c r="I126" s="1">
        <v>1</v>
      </c>
      <c r="J126" s="2">
        <v>1810.34</v>
      </c>
    </row>
    <row r="127" spans="2:10" x14ac:dyDescent="0.2">
      <c r="B127" t="s">
        <v>955</v>
      </c>
      <c r="C127" t="s">
        <v>135</v>
      </c>
      <c r="D127" t="s">
        <v>956</v>
      </c>
      <c r="E127" t="s">
        <v>994</v>
      </c>
      <c r="F127" t="s">
        <v>995</v>
      </c>
      <c r="G127" t="s">
        <v>43</v>
      </c>
      <c r="H127" t="s">
        <v>755</v>
      </c>
      <c r="I127" s="1">
        <v>1</v>
      </c>
      <c r="J127" s="2">
        <v>5172.41</v>
      </c>
    </row>
    <row r="128" spans="2:10" x14ac:dyDescent="0.2">
      <c r="B128" t="s">
        <v>955</v>
      </c>
      <c r="C128" t="s">
        <v>141</v>
      </c>
      <c r="D128" t="s">
        <v>956</v>
      </c>
      <c r="E128" t="s">
        <v>996</v>
      </c>
      <c r="F128" t="s">
        <v>997</v>
      </c>
      <c r="G128" t="s">
        <v>43</v>
      </c>
      <c r="H128" t="s">
        <v>128</v>
      </c>
      <c r="I128" s="1">
        <v>1</v>
      </c>
      <c r="J128" s="2">
        <v>4396.55</v>
      </c>
    </row>
    <row r="129" spans="2:10" x14ac:dyDescent="0.2">
      <c r="B129" t="s">
        <v>955</v>
      </c>
      <c r="C129" t="s">
        <v>141</v>
      </c>
      <c r="D129" t="s">
        <v>956</v>
      </c>
      <c r="E129" t="s">
        <v>218</v>
      </c>
      <c r="F129" t="s">
        <v>219</v>
      </c>
      <c r="G129" t="s">
        <v>43</v>
      </c>
      <c r="H129" t="s">
        <v>128</v>
      </c>
      <c r="I129" s="1">
        <v>1</v>
      </c>
      <c r="J129" s="2">
        <v>4396.55</v>
      </c>
    </row>
    <row r="130" spans="2:10" x14ac:dyDescent="0.2">
      <c r="B130" t="s">
        <v>955</v>
      </c>
      <c r="C130" t="s">
        <v>141</v>
      </c>
      <c r="D130" t="s">
        <v>956</v>
      </c>
      <c r="E130" t="s">
        <v>461</v>
      </c>
      <c r="F130" t="s">
        <v>462</v>
      </c>
      <c r="G130" t="s">
        <v>43</v>
      </c>
      <c r="H130" t="s">
        <v>50</v>
      </c>
      <c r="I130" s="1">
        <v>1</v>
      </c>
      <c r="J130" s="2">
        <v>3879.31</v>
      </c>
    </row>
    <row r="131" spans="2:10" x14ac:dyDescent="0.2">
      <c r="B131" t="s">
        <v>955</v>
      </c>
      <c r="C131" t="s">
        <v>144</v>
      </c>
      <c r="D131" t="s">
        <v>956</v>
      </c>
      <c r="E131" t="s">
        <v>99</v>
      </c>
      <c r="F131" t="s">
        <v>100</v>
      </c>
      <c r="G131" t="s">
        <v>43</v>
      </c>
      <c r="H131" t="s">
        <v>50</v>
      </c>
      <c r="I131" s="1">
        <v>1</v>
      </c>
      <c r="J131" s="2">
        <v>3275.86</v>
      </c>
    </row>
    <row r="132" spans="2:10" x14ac:dyDescent="0.2">
      <c r="B132" t="s">
        <v>955</v>
      </c>
      <c r="C132" t="s">
        <v>144</v>
      </c>
      <c r="D132" t="s">
        <v>956</v>
      </c>
      <c r="E132" t="s">
        <v>474</v>
      </c>
      <c r="F132" t="s">
        <v>475</v>
      </c>
      <c r="G132" t="s">
        <v>43</v>
      </c>
      <c r="H132" t="s">
        <v>128</v>
      </c>
      <c r="I132" s="1">
        <v>1</v>
      </c>
      <c r="J132" s="2">
        <v>5172.41</v>
      </c>
    </row>
    <row r="133" spans="2:10" x14ac:dyDescent="0.2">
      <c r="B133" t="s">
        <v>955</v>
      </c>
      <c r="C133" t="s">
        <v>206</v>
      </c>
      <c r="D133" t="s">
        <v>956</v>
      </c>
      <c r="E133" t="s">
        <v>231</v>
      </c>
      <c r="F133" t="s">
        <v>232</v>
      </c>
      <c r="G133" t="s">
        <v>43</v>
      </c>
      <c r="H133" t="s">
        <v>50</v>
      </c>
      <c r="I133" s="1">
        <v>1</v>
      </c>
      <c r="J133" s="2">
        <v>3017.24</v>
      </c>
    </row>
    <row r="134" spans="2:10" x14ac:dyDescent="0.2">
      <c r="B134" t="s">
        <v>955</v>
      </c>
      <c r="C134" t="s">
        <v>225</v>
      </c>
      <c r="D134" t="s">
        <v>277</v>
      </c>
      <c r="E134" t="s">
        <v>1005</v>
      </c>
      <c r="F134" t="s">
        <v>1006</v>
      </c>
      <c r="G134" t="s">
        <v>43</v>
      </c>
      <c r="H134" t="s">
        <v>1007</v>
      </c>
      <c r="I134" s="1">
        <v>1</v>
      </c>
      <c r="J134" s="2">
        <v>1810.34</v>
      </c>
    </row>
    <row r="135" spans="2:10" x14ac:dyDescent="0.2">
      <c r="B135" t="s">
        <v>955</v>
      </c>
      <c r="C135" t="s">
        <v>225</v>
      </c>
      <c r="D135" t="s">
        <v>277</v>
      </c>
      <c r="E135" t="s">
        <v>587</v>
      </c>
      <c r="F135" t="s">
        <v>588</v>
      </c>
      <c r="G135" t="s">
        <v>43</v>
      </c>
      <c r="H135" t="s">
        <v>589</v>
      </c>
      <c r="I135" s="1">
        <v>1</v>
      </c>
      <c r="J135" s="2">
        <v>1637.93</v>
      </c>
    </row>
    <row r="136" spans="2:10" x14ac:dyDescent="0.2">
      <c r="B136" t="s">
        <v>955</v>
      </c>
      <c r="C136" t="s">
        <v>236</v>
      </c>
      <c r="D136" t="s">
        <v>32</v>
      </c>
      <c r="E136" t="s">
        <v>1008</v>
      </c>
      <c r="F136" t="s">
        <v>1009</v>
      </c>
      <c r="G136" t="s">
        <v>43</v>
      </c>
      <c r="H136" t="s">
        <v>755</v>
      </c>
      <c r="I136" s="1">
        <v>1</v>
      </c>
      <c r="J136" s="2">
        <v>4137.93</v>
      </c>
    </row>
    <row r="137" spans="2:10" x14ac:dyDescent="0.2">
      <c r="B137" t="s">
        <v>955</v>
      </c>
      <c r="C137" t="s">
        <v>236</v>
      </c>
      <c r="D137" t="s">
        <v>32</v>
      </c>
      <c r="E137" t="s">
        <v>1010</v>
      </c>
      <c r="F137" t="s">
        <v>1011</v>
      </c>
      <c r="G137" t="s">
        <v>43</v>
      </c>
      <c r="H137" t="s">
        <v>128</v>
      </c>
      <c r="I137" s="1">
        <v>1</v>
      </c>
      <c r="J137" s="2">
        <v>5172.41</v>
      </c>
    </row>
    <row r="138" spans="2:10" x14ac:dyDescent="0.2">
      <c r="B138" t="s">
        <v>955</v>
      </c>
      <c r="C138" t="s">
        <v>248</v>
      </c>
      <c r="D138" t="s">
        <v>956</v>
      </c>
      <c r="E138" t="s">
        <v>149</v>
      </c>
      <c r="F138" t="s">
        <v>150</v>
      </c>
      <c r="G138" t="s">
        <v>43</v>
      </c>
      <c r="H138" t="s">
        <v>50</v>
      </c>
      <c r="I138" s="1">
        <v>1</v>
      </c>
      <c r="J138" s="2">
        <v>3017.24</v>
      </c>
    </row>
    <row r="139" spans="2:10" x14ac:dyDescent="0.2">
      <c r="B139" t="s">
        <v>955</v>
      </c>
      <c r="C139" t="s">
        <v>248</v>
      </c>
      <c r="D139" t="s">
        <v>956</v>
      </c>
      <c r="E139" t="s">
        <v>996</v>
      </c>
      <c r="F139" t="s">
        <v>997</v>
      </c>
      <c r="G139" t="s">
        <v>43</v>
      </c>
      <c r="H139" t="s">
        <v>128</v>
      </c>
      <c r="I139" s="1">
        <v>1</v>
      </c>
      <c r="J139" s="2">
        <v>4396.55</v>
      </c>
    </row>
    <row r="140" spans="2:10" x14ac:dyDescent="0.2">
      <c r="B140" t="s">
        <v>955</v>
      </c>
      <c r="C140" t="s">
        <v>248</v>
      </c>
      <c r="D140" t="s">
        <v>956</v>
      </c>
      <c r="E140" t="s">
        <v>1014</v>
      </c>
      <c r="F140" t="s">
        <v>1015</v>
      </c>
      <c r="G140" t="s">
        <v>43</v>
      </c>
      <c r="H140" t="s">
        <v>128</v>
      </c>
      <c r="I140" s="1">
        <v>1</v>
      </c>
      <c r="J140" s="2">
        <v>5086.21</v>
      </c>
    </row>
    <row r="141" spans="2:10" x14ac:dyDescent="0.2">
      <c r="B141" t="s">
        <v>1016</v>
      </c>
      <c r="C141" t="s">
        <v>18</v>
      </c>
      <c r="D141" t="s">
        <v>32</v>
      </c>
      <c r="E141" t="s">
        <v>79</v>
      </c>
      <c r="F141" t="s">
        <v>80</v>
      </c>
      <c r="G141" t="s">
        <v>43</v>
      </c>
      <c r="H141" t="s">
        <v>81</v>
      </c>
      <c r="I141" s="1">
        <v>1</v>
      </c>
      <c r="J141" s="2">
        <v>1810.34</v>
      </c>
    </row>
    <row r="142" spans="2:10" x14ac:dyDescent="0.2">
      <c r="B142" t="s">
        <v>1016</v>
      </c>
      <c r="C142" t="s">
        <v>51</v>
      </c>
      <c r="D142" t="s">
        <v>1017</v>
      </c>
      <c r="E142" t="s">
        <v>142</v>
      </c>
      <c r="F142" t="s">
        <v>143</v>
      </c>
      <c r="G142" t="s">
        <v>43</v>
      </c>
      <c r="H142" t="s">
        <v>50</v>
      </c>
      <c r="I142" s="1">
        <v>1</v>
      </c>
      <c r="J142" s="2">
        <v>2155.17</v>
      </c>
    </row>
    <row r="143" spans="2:10" x14ac:dyDescent="0.2">
      <c r="B143" t="s">
        <v>1016</v>
      </c>
      <c r="C143" t="s">
        <v>134</v>
      </c>
      <c r="D143" t="s">
        <v>1017</v>
      </c>
      <c r="E143" t="s">
        <v>223</v>
      </c>
      <c r="F143" t="s">
        <v>224</v>
      </c>
      <c r="G143" t="s">
        <v>43</v>
      </c>
      <c r="H143" t="s">
        <v>50</v>
      </c>
      <c r="I143" s="1">
        <v>1</v>
      </c>
      <c r="J143" s="2">
        <v>1637.93</v>
      </c>
    </row>
    <row r="144" spans="2:10" x14ac:dyDescent="0.2">
      <c r="B144" t="s">
        <v>1016</v>
      </c>
      <c r="C144" t="s">
        <v>144</v>
      </c>
      <c r="D144" t="s">
        <v>1017</v>
      </c>
      <c r="E144" t="s">
        <v>126</v>
      </c>
      <c r="F144" t="s">
        <v>127</v>
      </c>
      <c r="G144" t="s">
        <v>43</v>
      </c>
      <c r="H144" t="s">
        <v>128</v>
      </c>
      <c r="I144" s="1">
        <v>1</v>
      </c>
      <c r="J144" s="2">
        <v>2068.9699999999998</v>
      </c>
    </row>
    <row r="145" spans="2:10" x14ac:dyDescent="0.2">
      <c r="B145" t="s">
        <v>1016</v>
      </c>
      <c r="C145" t="s">
        <v>166</v>
      </c>
      <c r="D145" t="s">
        <v>32</v>
      </c>
      <c r="E145" t="s">
        <v>191</v>
      </c>
      <c r="F145" t="s">
        <v>192</v>
      </c>
      <c r="G145" t="s">
        <v>43</v>
      </c>
      <c r="H145" t="s">
        <v>50</v>
      </c>
      <c r="I145" s="1">
        <v>1</v>
      </c>
      <c r="J145" s="2">
        <v>3534.48</v>
      </c>
    </row>
    <row r="146" spans="2:10" x14ac:dyDescent="0.2">
      <c r="B146" t="s">
        <v>1016</v>
      </c>
      <c r="C146" t="s">
        <v>185</v>
      </c>
      <c r="D146" t="s">
        <v>1017</v>
      </c>
      <c r="E146" t="s">
        <v>126</v>
      </c>
      <c r="F146" t="s">
        <v>127</v>
      </c>
      <c r="G146" t="s">
        <v>43</v>
      </c>
      <c r="H146" t="s">
        <v>128</v>
      </c>
      <c r="I146" s="1">
        <v>1</v>
      </c>
      <c r="J146" s="2">
        <v>2068.9699999999998</v>
      </c>
    </row>
    <row r="147" spans="2:10" x14ac:dyDescent="0.2">
      <c r="B147" t="s">
        <v>1016</v>
      </c>
      <c r="C147" t="s">
        <v>236</v>
      </c>
      <c r="D147" t="s">
        <v>1017</v>
      </c>
      <c r="E147" t="s">
        <v>1010</v>
      </c>
      <c r="F147" t="s">
        <v>1011</v>
      </c>
      <c r="G147" t="s">
        <v>43</v>
      </c>
      <c r="H147" t="s">
        <v>128</v>
      </c>
      <c r="I147" s="1">
        <v>1</v>
      </c>
      <c r="J147" s="2">
        <v>5172.41</v>
      </c>
    </row>
    <row r="148" spans="2:10" x14ac:dyDescent="0.2">
      <c r="B148" t="s">
        <v>1016</v>
      </c>
      <c r="C148" t="s">
        <v>237</v>
      </c>
      <c r="D148" t="s">
        <v>1017</v>
      </c>
      <c r="E148" t="s">
        <v>79</v>
      </c>
      <c r="F148" t="s">
        <v>80</v>
      </c>
      <c r="G148" t="s">
        <v>43</v>
      </c>
      <c r="H148" t="s">
        <v>81</v>
      </c>
      <c r="I148" s="1">
        <v>1</v>
      </c>
      <c r="J148" s="2">
        <v>1810.34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1C0B-3B10-4ABC-B070-AC38CDA258C2}">
  <dimension ref="B1:O15"/>
  <sheetViews>
    <sheetView showGridLines="0" view="pageBreakPreview" topLeftCell="E1" zoomScale="60" zoomScaleNormal="120" workbookViewId="0">
      <selection activeCell="K20" sqref="K20"/>
    </sheetView>
  </sheetViews>
  <sheetFormatPr baseColWidth="10" defaultColWidth="10.7109375" defaultRowHeight="15" x14ac:dyDescent="0.25"/>
  <cols>
    <col min="1" max="2" width="10.7109375" style="7"/>
    <col min="3" max="3" width="43.5703125" style="7" customWidth="1"/>
    <col min="4" max="4" width="33.28515625" style="7" customWidth="1"/>
    <col min="5" max="5" width="34.85546875" style="7" bestFit="1" customWidth="1"/>
    <col min="6" max="6" width="32.42578125" style="7" customWidth="1"/>
    <col min="7" max="7" width="25.28515625" style="7" customWidth="1"/>
    <col min="8" max="8" width="18.140625" style="7" customWidth="1"/>
    <col min="9" max="9" width="22.28515625" style="7" bestFit="1" customWidth="1"/>
    <col min="10" max="10" width="29.42578125" style="7" customWidth="1"/>
    <col min="11" max="11" width="27.7109375" style="7" customWidth="1"/>
    <col min="12" max="12" width="33.7109375" style="7" customWidth="1"/>
    <col min="13" max="13" width="25.42578125" style="7" customWidth="1"/>
    <col min="14" max="14" width="31.5703125" style="7" customWidth="1"/>
    <col min="15" max="15" width="25" style="7" customWidth="1"/>
    <col min="16" max="16384" width="10.7109375" style="7"/>
  </cols>
  <sheetData>
    <row r="1" spans="2:15" x14ac:dyDescent="0.25">
      <c r="C1" s="186" t="s">
        <v>1097</v>
      </c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</row>
    <row r="3" spans="2:15" s="114" customFormat="1" ht="31.5" x14ac:dyDescent="0.25">
      <c r="E3" s="115" t="s">
        <v>1036</v>
      </c>
      <c r="F3" s="116" t="s">
        <v>1037</v>
      </c>
      <c r="G3" s="116" t="s">
        <v>1076</v>
      </c>
      <c r="H3" s="116" t="s">
        <v>1077</v>
      </c>
      <c r="I3" s="116" t="s">
        <v>1039</v>
      </c>
      <c r="J3" s="116" t="s">
        <v>1038</v>
      </c>
      <c r="K3" s="116" t="s">
        <v>15</v>
      </c>
      <c r="L3" s="116" t="s">
        <v>1078</v>
      </c>
      <c r="M3" s="116" t="s">
        <v>1079</v>
      </c>
    </row>
    <row r="4" spans="2:15" ht="28.5" hidden="1" x14ac:dyDescent="0.45">
      <c r="E4" s="117" t="s">
        <v>1080</v>
      </c>
      <c r="F4" s="187" t="s">
        <v>1081</v>
      </c>
      <c r="G4" s="188"/>
      <c r="H4" s="188"/>
      <c r="I4" s="188"/>
      <c r="J4" s="188"/>
      <c r="K4" s="188"/>
      <c r="L4" s="188"/>
      <c r="M4" s="188"/>
      <c r="N4" s="188"/>
    </row>
    <row r="5" spans="2:15" ht="28.5" x14ac:dyDescent="0.45">
      <c r="E5" s="117" t="s">
        <v>1082</v>
      </c>
      <c r="F5" s="118">
        <v>3.0000000000000001E-3</v>
      </c>
      <c r="G5" s="118">
        <v>5.0000000000000001E-4</v>
      </c>
      <c r="H5" s="118">
        <v>5.0000000000000001E-4</v>
      </c>
      <c r="I5" s="118">
        <v>0.01</v>
      </c>
      <c r="J5" s="118">
        <v>5.0000000000000001E-3</v>
      </c>
      <c r="K5" s="118">
        <v>0.01</v>
      </c>
      <c r="L5" s="118">
        <v>0.01</v>
      </c>
      <c r="M5" s="118">
        <v>0.01</v>
      </c>
      <c r="N5" s="119"/>
    </row>
    <row r="6" spans="2:15" ht="31.5" customHeight="1" x14ac:dyDescent="0.45">
      <c r="E6" s="117" t="s">
        <v>1083</v>
      </c>
      <c r="F6" s="118">
        <v>3.0000000000000001E-3</v>
      </c>
      <c r="G6" s="118">
        <v>1.5E-3</v>
      </c>
      <c r="H6" s="118">
        <v>1.5E-3</v>
      </c>
      <c r="I6" s="118">
        <v>0.01</v>
      </c>
      <c r="J6" s="118">
        <v>3.0000000000000001E-3</v>
      </c>
      <c r="K6" s="118">
        <v>0.01</v>
      </c>
      <c r="L6" s="118">
        <v>0.01</v>
      </c>
      <c r="M6" s="118">
        <v>0.01</v>
      </c>
    </row>
    <row r="7" spans="2:15" ht="31.5" customHeight="1" x14ac:dyDescent="0.45">
      <c r="E7" s="117" t="s">
        <v>1084</v>
      </c>
      <c r="F7" s="118">
        <v>4.0000000000000001E-3</v>
      </c>
      <c r="G7" s="118">
        <v>2E-3</v>
      </c>
      <c r="H7" s="118">
        <v>2E-3</v>
      </c>
      <c r="I7" s="118">
        <v>1.4999999999999999E-2</v>
      </c>
      <c r="J7" s="118">
        <v>5.0000000000000001E-3</v>
      </c>
      <c r="K7" s="118">
        <v>1.4999999999999999E-2</v>
      </c>
      <c r="L7" s="118">
        <v>1.4999999999999999E-2</v>
      </c>
      <c r="M7" s="118">
        <v>1.4999999999999999E-2</v>
      </c>
      <c r="N7" s="119"/>
    </row>
    <row r="8" spans="2:15" ht="31.5" customHeight="1" x14ac:dyDescent="0.45">
      <c r="E8" s="117" t="s">
        <v>1085</v>
      </c>
      <c r="F8" s="118">
        <v>5.0000000000000001E-3</v>
      </c>
      <c r="G8" s="118">
        <v>3.5000000000000001E-3</v>
      </c>
      <c r="H8" s="118">
        <v>3.5000000000000001E-3</v>
      </c>
      <c r="I8" s="118">
        <v>1.4999999999999999E-2</v>
      </c>
      <c r="J8" s="118">
        <v>5.0000000000000001E-3</v>
      </c>
      <c r="K8" s="118">
        <v>1.4999999999999999E-2</v>
      </c>
      <c r="L8" s="118">
        <v>1.4999999999999999E-2</v>
      </c>
      <c r="M8" s="118">
        <v>1.4999999999999999E-2</v>
      </c>
      <c r="N8" s="119"/>
    </row>
    <row r="9" spans="2:15" ht="31.5" customHeight="1" x14ac:dyDescent="0.45">
      <c r="E9" s="117" t="s">
        <v>1086</v>
      </c>
      <c r="F9" s="118">
        <v>6.0000000000000001E-3</v>
      </c>
      <c r="G9" s="118">
        <v>4.0000000000000001E-3</v>
      </c>
      <c r="H9" s="118">
        <v>4.0000000000000001E-3</v>
      </c>
      <c r="I9" s="118">
        <v>0.02</v>
      </c>
      <c r="J9" s="118">
        <v>5.0000000000000001E-3</v>
      </c>
      <c r="K9" s="118">
        <v>0.02</v>
      </c>
      <c r="L9" s="118">
        <v>0.02</v>
      </c>
      <c r="M9" s="118">
        <v>0.02</v>
      </c>
      <c r="N9" s="119"/>
    </row>
    <row r="12" spans="2:15" s="120" customFormat="1" ht="30" x14ac:dyDescent="0.25">
      <c r="C12" s="121" t="s">
        <v>1036</v>
      </c>
      <c r="D12" s="121" t="s">
        <v>1087</v>
      </c>
      <c r="E12" s="122" t="s">
        <v>1037</v>
      </c>
      <c r="F12" s="122" t="s">
        <v>1088</v>
      </c>
      <c r="G12" s="122" t="s">
        <v>1076</v>
      </c>
      <c r="H12" s="122" t="s">
        <v>1089</v>
      </c>
      <c r="I12" s="122" t="s">
        <v>1077</v>
      </c>
      <c r="J12" s="122" t="s">
        <v>30</v>
      </c>
      <c r="K12" s="122" t="s">
        <v>1038</v>
      </c>
      <c r="L12" s="122" t="s">
        <v>15</v>
      </c>
      <c r="M12" s="122" t="s">
        <v>1090</v>
      </c>
      <c r="N12" s="122" t="s">
        <v>54</v>
      </c>
      <c r="O12" s="123" t="s">
        <v>1091</v>
      </c>
    </row>
    <row r="13" spans="2:15" s="119" customFormat="1" ht="30" customHeight="1" x14ac:dyDescent="0.45">
      <c r="C13" s="124" t="s">
        <v>1092</v>
      </c>
      <c r="D13" s="124">
        <f>ERECTUS!C92</f>
        <v>2680000</v>
      </c>
      <c r="E13" s="125">
        <f ca="1">ERECTUS!D92</f>
        <v>2192751.0099999988</v>
      </c>
      <c r="F13" s="125">
        <v>1500</v>
      </c>
      <c r="G13" s="125">
        <v>1025.31</v>
      </c>
      <c r="H13" s="126">
        <v>3</v>
      </c>
      <c r="I13" s="126">
        <v>1.9</v>
      </c>
      <c r="J13" s="125">
        <f>SUMIF('BASE GENERAL'!H4:H3114,SUPERVISOR!J12,'BASE GENERAL'!J4:J3114)</f>
        <v>783923.73000000056</v>
      </c>
      <c r="K13" s="127">
        <f>GETPIVOTDATA("SUBTOT",Juguetes!$L$8)</f>
        <v>406711.01</v>
      </c>
      <c r="L13" s="125">
        <f>GETPIVOTDATA("SUBTOT",DUSA!$L$7)</f>
        <v>572978.04000000015</v>
      </c>
      <c r="M13" s="127">
        <f>GETPIVOTDATA("SUBTOT",Pastilla!$L$9)</f>
        <v>164035.55999999997</v>
      </c>
      <c r="N13" s="127">
        <f>SUMIF('BASE GENERAL'!G4:G3114,SUPERVISOR!N12,'BASE GENERAL'!J4:J3114)</f>
        <v>35576.709999999992</v>
      </c>
      <c r="O13" s="128">
        <f ca="1">O15</f>
        <v>36345.020700000008</v>
      </c>
    </row>
    <row r="14" spans="2:15" s="119" customFormat="1" ht="30" customHeight="1" x14ac:dyDescent="0.45">
      <c r="B14" s="119" t="s">
        <v>1093</v>
      </c>
      <c r="C14" s="155">
        <f ca="1">E13/D13</f>
        <v>0.81819067537313395</v>
      </c>
      <c r="D14" s="187" t="s">
        <v>1081</v>
      </c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9"/>
    </row>
    <row r="15" spans="2:15" s="119" customFormat="1" ht="30" customHeight="1" x14ac:dyDescent="0.45">
      <c r="C15" s="117"/>
      <c r="D15" s="129">
        <f ca="1">E13/D13</f>
        <v>0.81819067537313395</v>
      </c>
      <c r="E15" s="130">
        <f ca="1">$E$13*F7</f>
        <v>8771.0040399999962</v>
      </c>
      <c r="F15" s="131">
        <f>$G$13/$F$13</f>
        <v>0.68353999999999993</v>
      </c>
      <c r="G15" s="130">
        <f ca="1">E13*G5</f>
        <v>1096.3755049999995</v>
      </c>
      <c r="H15" s="131">
        <f>$I$13/$H$13</f>
        <v>0.6333333333333333</v>
      </c>
      <c r="I15" s="130">
        <f ca="1">E13*H5</f>
        <v>1096.3755049999995</v>
      </c>
      <c r="J15" s="130">
        <f>$J$13*I7</f>
        <v>11758.855950000008</v>
      </c>
      <c r="K15" s="130">
        <f>$K$13*J7</f>
        <v>2033.5550500000002</v>
      </c>
      <c r="L15" s="130">
        <f>L13*K7</f>
        <v>8594.6706000000013</v>
      </c>
      <c r="M15" s="130">
        <f>$M$13*L7</f>
        <v>2460.5333999999993</v>
      </c>
      <c r="N15" s="130">
        <f>$N$13*M7</f>
        <v>533.65064999999981</v>
      </c>
      <c r="O15" s="132">
        <f ca="1">E15+G15+I15+J15+K15+L15+M15+N15</f>
        <v>36345.020700000008</v>
      </c>
    </row>
  </sheetData>
  <mergeCells count="3">
    <mergeCell ref="C1:O1"/>
    <mergeCell ref="F4:N4"/>
    <mergeCell ref="D14:O14"/>
  </mergeCells>
  <pageMargins left="0.7" right="0.7" top="0.75" bottom="0.75" header="0.3" footer="0.3"/>
  <pageSetup scale="2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VTA POR EMPLEADO</vt:lpstr>
      <vt:lpstr>BASE GENERAL</vt:lpstr>
      <vt:lpstr>semana 4</vt:lpstr>
      <vt:lpstr>Semana 3</vt:lpstr>
      <vt:lpstr>Semana 2</vt:lpstr>
      <vt:lpstr>Semana 1</vt:lpstr>
      <vt:lpstr>ERECTUS</vt:lpstr>
      <vt:lpstr>Hoja1</vt:lpstr>
      <vt:lpstr>Pastilla</vt:lpstr>
      <vt:lpstr>DUSA</vt:lpstr>
      <vt:lpstr>CXO</vt:lpstr>
      <vt:lpstr>Juguetes</vt:lpstr>
      <vt:lpstr>SUPERVISOR</vt:lpstr>
      <vt:lpstr>SUPERVISOR!Área_de_impresión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Gladys Alonso</dc:creator>
  <cp:keywords/>
  <dc:description/>
  <cp:lastModifiedBy>Rodrigo Olmedo Vera</cp:lastModifiedBy>
  <dcterms:created xsi:type="dcterms:W3CDTF">2026-02-08T17:20:56Z</dcterms:created>
  <dcterms:modified xsi:type="dcterms:W3CDTF">2026-02-09T22:39:38Z</dcterms:modified>
  <cp:category/>
</cp:coreProperties>
</file>