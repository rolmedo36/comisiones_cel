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rodrigoolmedo/Documents/PROGS/comisiones_celesterra/"/>
    </mc:Choice>
  </mc:AlternateContent>
  <xr:revisionPtr revIDLastSave="0" documentId="8_{B4D6BFBF-275A-6744-875C-DEB5A7D3018B}" xr6:coauthVersionLast="47" xr6:coauthVersionMax="47" xr10:uidLastSave="{00000000-0000-0000-0000-000000000000}"/>
  <bookViews>
    <workbookView xWindow="5620" yWindow="1940" windowWidth="33780" windowHeight="18260" tabRatio="563" activeTab="1" xr2:uid="{00000000-000D-0000-FFFF-FFFF00000000}"/>
  </bookViews>
  <sheets>
    <sheet name="Pedidos" sheetId="28" state="hidden" r:id="rId1"/>
    <sheet name="ERECTUS" sheetId="4" r:id="rId2"/>
    <sheet name="cuentas bancarias" sheetId="21" state="hidden" r:id="rId3"/>
    <sheet name="SUPERVISOR" sheetId="25" r:id="rId4"/>
    <sheet name="Hoja1" sheetId="29" state="hidden" r:id="rId5"/>
    <sheet name="ZONA" sheetId="17" state="hidden" r:id="rId6"/>
    <sheet name="ecommerce" sheetId="30" state="hidden" r:id="rId7"/>
  </sheets>
  <externalReferences>
    <externalReference r:id="rId8"/>
    <externalReference r:id="rId9"/>
  </externalReferences>
  <definedNames>
    <definedName name="_xlnm._FilterDatabase" localSheetId="1" hidden="1">ERECTUS!$B$2:$S$91</definedName>
    <definedName name="_xlnm._FilterDatabase" localSheetId="0" hidden="1">Pedidos!$A$1:$G$13</definedName>
    <definedName name="AÑO">[1]FILTROS!$A$1:$A$6</definedName>
    <definedName name="_xlnm.Print_Area" localSheetId="2">'cuentas bancarias'!$A$1:$K$25</definedName>
    <definedName name="_xlnm.Print_Area" localSheetId="3">SUPERVISOR!$A$2:$O$19</definedName>
    <definedName name="bas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6" i="4" l="1"/>
  <c r="Q83" i="4"/>
  <c r="Q73" i="4"/>
  <c r="Q65" i="4"/>
  <c r="Q50" i="4"/>
  <c r="Q48" i="4"/>
  <c r="Q39" i="4"/>
  <c r="Q31" i="4"/>
  <c r="Q25" i="4"/>
  <c r="R86" i="4"/>
  <c r="R83" i="4"/>
  <c r="R76" i="4"/>
  <c r="Q76" i="4"/>
  <c r="R73" i="4"/>
  <c r="R68" i="4"/>
  <c r="Q68" i="4"/>
  <c r="R65" i="4"/>
  <c r="R60" i="4"/>
  <c r="Q60" i="4"/>
  <c r="R54" i="4"/>
  <c r="Q54" i="4"/>
  <c r="R50" i="4"/>
  <c r="R48" i="4"/>
  <c r="R39" i="4"/>
  <c r="R31" i="4"/>
  <c r="R25" i="4"/>
  <c r="R20" i="4"/>
  <c r="Q20" i="4"/>
  <c r="R14" i="4"/>
  <c r="Q14" i="4"/>
  <c r="P15" i="4"/>
  <c r="P16" i="4"/>
  <c r="P17" i="4"/>
  <c r="P18" i="4"/>
  <c r="P19" i="4"/>
  <c r="P21" i="4"/>
  <c r="P22" i="4"/>
  <c r="P23" i="4"/>
  <c r="P24" i="4"/>
  <c r="P26" i="4"/>
  <c r="P27" i="4"/>
  <c r="P28" i="4"/>
  <c r="P29" i="4"/>
  <c r="P30" i="4"/>
  <c r="P32" i="4"/>
  <c r="P33" i="4"/>
  <c r="P34" i="4"/>
  <c r="P35" i="4"/>
  <c r="P36" i="4"/>
  <c r="P37" i="4"/>
  <c r="P38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5" i="4"/>
  <c r="P56" i="4"/>
  <c r="P57" i="4"/>
  <c r="P58" i="4"/>
  <c r="P59" i="4"/>
  <c r="P61" i="4"/>
  <c r="P62" i="4"/>
  <c r="P63" i="4"/>
  <c r="P64" i="4"/>
  <c r="P66" i="4"/>
  <c r="P67" i="4"/>
  <c r="P69" i="4"/>
  <c r="P70" i="4"/>
  <c r="P71" i="4"/>
  <c r="P72" i="4"/>
  <c r="P74" i="4"/>
  <c r="P75" i="4"/>
  <c r="P77" i="4"/>
  <c r="P78" i="4"/>
  <c r="P79" i="4"/>
  <c r="P80" i="4"/>
  <c r="P81" i="4"/>
  <c r="P82" i="4"/>
  <c r="P84" i="4"/>
  <c r="P85" i="4"/>
  <c r="P87" i="4"/>
  <c r="P13" i="4"/>
  <c r="N65" i="4"/>
  <c r="N86" i="4"/>
  <c r="N76" i="4"/>
  <c r="N31" i="4"/>
  <c r="N73" i="4"/>
  <c r="N20" i="4"/>
  <c r="N14" i="4"/>
  <c r="M83" i="4" l="1"/>
  <c r="L83" i="4"/>
  <c r="K83" i="4"/>
  <c r="J83" i="4"/>
  <c r="K15" i="25"/>
  <c r="M15" i="25"/>
  <c r="L15" i="25"/>
  <c r="J15" i="25"/>
  <c r="D91" i="4"/>
  <c r="M91" i="4"/>
  <c r="I89" i="4"/>
  <c r="P89" i="4" s="1"/>
  <c r="G90" i="4"/>
  <c r="D90" i="4" s="1"/>
  <c r="E90" i="4" s="1"/>
  <c r="G89" i="4"/>
  <c r="D89" i="4" s="1"/>
  <c r="D88" i="4"/>
  <c r="G88" i="4"/>
  <c r="I88" i="4" s="1"/>
  <c r="P88" i="4" s="1"/>
  <c r="I86" i="4"/>
  <c r="P86" i="4" s="1"/>
  <c r="I76" i="4"/>
  <c r="P76" i="4" s="1"/>
  <c r="I73" i="4"/>
  <c r="P73" i="4" s="1"/>
  <c r="I68" i="4"/>
  <c r="I65" i="4"/>
  <c r="P65" i="4" s="1"/>
  <c r="I60" i="4"/>
  <c r="P60" i="4" s="1"/>
  <c r="I54" i="4"/>
  <c r="P54" i="4" s="1"/>
  <c r="I39" i="4"/>
  <c r="P39" i="4" s="1"/>
  <c r="I31" i="4"/>
  <c r="P31" i="4" s="1"/>
  <c r="I25" i="4"/>
  <c r="P25" i="4" s="1"/>
  <c r="I20" i="4"/>
  <c r="P20" i="4" s="1"/>
  <c r="I14" i="4"/>
  <c r="P14" i="4" s="1"/>
  <c r="E71" i="4"/>
  <c r="E67" i="4"/>
  <c r="C91" i="4"/>
  <c r="G91" i="4"/>
  <c r="P68" i="4" l="1"/>
  <c r="I90" i="4"/>
  <c r="P90" i="4" s="1"/>
  <c r="Q90" i="4" s="1"/>
  <c r="H15" i="25"/>
  <c r="L91" i="4"/>
  <c r="E89" i="4"/>
  <c r="E25" i="21"/>
  <c r="H25" i="21"/>
  <c r="G8" i="21"/>
  <c r="J91" i="4" l="1"/>
  <c r="N91" i="4"/>
  <c r="Q88" i="4"/>
  <c r="Q89" i="4"/>
  <c r="K15" i="21"/>
  <c r="G15" i="21" s="1"/>
  <c r="F15" i="25"/>
  <c r="D13" i="25"/>
  <c r="O91" i="4"/>
  <c r="K21" i="17"/>
  <c r="K19" i="17"/>
  <c r="J19" i="17"/>
  <c r="J26" i="17"/>
  <c r="J20" i="17"/>
  <c r="J18" i="17"/>
  <c r="D12" i="17"/>
  <c r="K91" i="4" l="1"/>
  <c r="K16" i="21"/>
  <c r="G16" i="21" s="1"/>
  <c r="K5" i="21"/>
  <c r="G5" i="21" s="1"/>
  <c r="K9" i="21"/>
  <c r="G9" i="21" s="1"/>
  <c r="K6" i="21"/>
  <c r="G6" i="21" s="1"/>
  <c r="K11" i="21"/>
  <c r="G11" i="21" s="1"/>
  <c r="K20" i="21"/>
  <c r="G20" i="21" s="1"/>
  <c r="K7" i="21"/>
  <c r="G7" i="21" s="1"/>
  <c r="K21" i="21"/>
  <c r="G21" i="21" s="1"/>
  <c r="K10" i="21"/>
  <c r="G10" i="21" s="1"/>
  <c r="K19" i="21"/>
  <c r="G19" i="21" s="1"/>
  <c r="R90" i="4" l="1"/>
  <c r="N93" i="4"/>
  <c r="E13" i="25"/>
  <c r="O93" i="4"/>
  <c r="K93" i="4"/>
  <c r="J93" i="4"/>
  <c r="R89" i="4"/>
  <c r="R88" i="4"/>
  <c r="E91" i="4"/>
  <c r="K4" i="21"/>
  <c r="G4" i="21" s="1"/>
  <c r="K22" i="21"/>
  <c r="G22" i="21" s="1"/>
  <c r="K14" i="21"/>
  <c r="K17" i="21"/>
  <c r="G17" i="21" s="1"/>
  <c r="L93" i="4"/>
  <c r="H91" i="4"/>
  <c r="F15" i="30"/>
  <c r="F14" i="30"/>
  <c r="E15" i="25" l="1"/>
  <c r="G15" i="25"/>
  <c r="I15" i="25"/>
  <c r="D15" i="25"/>
  <c r="G14" i="21"/>
  <c r="M93" i="4"/>
  <c r="I13" i="29" l="1"/>
  <c r="C15" i="29" s="1"/>
  <c r="C18" i="29" s="1"/>
  <c r="D6" i="29"/>
  <c r="D7" i="29" s="1"/>
  <c r="D8" i="29" s="1"/>
  <c r="D9" i="29" s="1"/>
  <c r="D10" i="29" s="1"/>
  <c r="D11" i="29" s="1"/>
  <c r="D12" i="29" s="1"/>
  <c r="D13" i="29" s="1"/>
  <c r="D14" i="29" s="1"/>
  <c r="C4" i="29"/>
  <c r="D4" i="29" s="1"/>
  <c r="E6" i="29" s="1"/>
  <c r="E7" i="29" s="1"/>
  <c r="E8" i="29" s="1"/>
  <c r="E9" i="29" s="1"/>
  <c r="E10" i="29" s="1"/>
  <c r="E11" i="29" s="1"/>
  <c r="E12" i="29" s="1"/>
  <c r="E13" i="29" s="1"/>
  <c r="E14" i="29" s="1"/>
  <c r="K18" i="21" l="1"/>
  <c r="E15" i="29"/>
  <c r="E16" i="29" s="1"/>
  <c r="D15" i="29"/>
  <c r="D16" i="29" s="1"/>
  <c r="E18" i="29"/>
  <c r="G18" i="21" l="1"/>
  <c r="G25" i="21" s="1"/>
  <c r="K25" i="21"/>
  <c r="E6" i="17" l="1"/>
  <c r="E7" i="17"/>
  <c r="E8" i="17"/>
  <c r="E9" i="17"/>
  <c r="E10" i="17"/>
  <c r="E11" i="17"/>
  <c r="E13" i="17"/>
  <c r="E14" i="17"/>
  <c r="D14" i="17"/>
  <c r="D13" i="17"/>
  <c r="D11" i="17"/>
  <c r="D10" i="17"/>
  <c r="D9" i="17"/>
  <c r="D8" i="17"/>
  <c r="D7" i="17"/>
  <c r="D6" i="17"/>
  <c r="E18" i="17" l="1"/>
  <c r="O16" i="25" l="1"/>
  <c r="O17" i="25"/>
  <c r="O18" i="25"/>
  <c r="O19" i="25"/>
  <c r="N15" i="25" l="1"/>
  <c r="O15" i="25" l="1"/>
  <c r="I83" i="4"/>
  <c r="I91" i="4"/>
  <c r="E63" i="4"/>
  <c r="P91" i="4" l="1"/>
  <c r="P83" i="4"/>
  <c r="E19" i="17"/>
  <c r="R91" i="4" l="1"/>
  <c r="P93" i="4"/>
  <c r="E20" i="17"/>
  <c r="O13" i="25" l="1"/>
  <c r="I93" i="4" l="1"/>
  <c r="E48" i="4" l="1"/>
  <c r="E23" i="4" l="1"/>
  <c r="E13" i="4"/>
  <c r="E19" i="4" l="1"/>
  <c r="E59" i="4"/>
  <c r="E75" i="4" l="1"/>
  <c r="E84" i="4" l="1"/>
  <c r="E80" i="4"/>
  <c r="E53" i="4"/>
  <c r="E50" i="4"/>
  <c r="E44" i="4"/>
  <c r="E39" i="4"/>
  <c r="E34" i="4"/>
  <c r="E29" i="4"/>
  <c r="E88" i="4"/>
</calcChain>
</file>

<file path=xl/sharedStrings.xml><?xml version="1.0" encoding="utf-8"?>
<sst xmlns="http://schemas.openxmlformats.org/spreadsheetml/2006/main" count="406" uniqueCount="221">
  <si>
    <t>TIENDAS / BLOQUES DE CUMPLIMIENTO  PPTO MENSUAL</t>
  </si>
  <si>
    <t>Bloque 1</t>
  </si>
  <si>
    <t>Bloque 2</t>
  </si>
  <si>
    <t>Bloque 3</t>
  </si>
  <si>
    <t>Bloque 4</t>
  </si>
  <si>
    <t>PORCENTAJES</t>
  </si>
  <si>
    <t>75 A 79 %</t>
  </si>
  <si>
    <t>80% a 89%</t>
  </si>
  <si>
    <t>90 A 109%</t>
  </si>
  <si>
    <t>110% en adelante</t>
  </si>
  <si>
    <t>Venta Total</t>
  </si>
  <si>
    <t>CUMPLIMIENTO</t>
  </si>
  <si>
    <t>Juguetes en General  $ 1,500</t>
  </si>
  <si>
    <t>CXO</t>
  </si>
  <si>
    <t>DUSA</t>
  </si>
  <si>
    <t>Sucursal</t>
  </si>
  <si>
    <t>Presupuesto</t>
  </si>
  <si>
    <t>Venta</t>
  </si>
  <si>
    <t>EMPLEADO</t>
  </si>
  <si>
    <t>Venta por vendedor</t>
  </si>
  <si>
    <t>ARCOS</t>
  </si>
  <si>
    <t>CONCHITAS</t>
  </si>
  <si>
    <t>FEDERALISMO</t>
  </si>
  <si>
    <t>HIDALGO</t>
  </si>
  <si>
    <t>Patria 2</t>
  </si>
  <si>
    <t>NICOLAS H ACEVES</t>
  </si>
  <si>
    <t>Ticket promedio</t>
  </si>
  <si>
    <t>CIRCUNVALACION</t>
  </si>
  <si>
    <t>CAMINO REAL</t>
  </si>
  <si>
    <t>PPTO</t>
  </si>
  <si>
    <t>COMISION GENERADA</t>
  </si>
  <si>
    <t>PLAZA CONCHITAS</t>
  </si>
  <si>
    <t>MADISON</t>
  </si>
  <si>
    <t>SAUCES</t>
  </si>
  <si>
    <t>LEON 1</t>
  </si>
  <si>
    <t>CELINA HERMILA  M GUILLEN</t>
  </si>
  <si>
    <t>Rodolfo  Serrano Amezcua</t>
  </si>
  <si>
    <t>FATIMA CAROLINA  VALENCIA ENRIQUEZ</t>
  </si>
  <si>
    <t>BRYAN ALEJANDRO V BERNAL</t>
  </si>
  <si>
    <t>VTA ECOMMERCE</t>
  </si>
  <si>
    <t>ZENTER</t>
  </si>
  <si>
    <t>PROVENZA</t>
  </si>
  <si>
    <t>NACIONES UNIDAS</t>
  </si>
  <si>
    <t>ALAMO</t>
  </si>
  <si>
    <t>LAS TORRES</t>
  </si>
  <si>
    <t>REYES</t>
  </si>
  <si>
    <t>IRIS CRISTINA RIVERA PEREZ CELESTERRA</t>
  </si>
  <si>
    <t>OSCAR ANTONIO L CEL</t>
  </si>
  <si>
    <t>Cumplimiento Cuota</t>
  </si>
  <si>
    <t>CXO / LUA</t>
  </si>
  <si>
    <t>JUGUETES ARRIBA DE 1500  ANTES DE IVA</t>
  </si>
  <si>
    <t>70% AL 75%</t>
  </si>
  <si>
    <t>76 % AL 80%</t>
  </si>
  <si>
    <t>81% AL 100%</t>
  </si>
  <si>
    <t>110% en Adelante</t>
  </si>
  <si>
    <t>PATRIA</t>
  </si>
  <si>
    <t>MENOR AL 69%</t>
  </si>
  <si>
    <t>Unidades por ticket</t>
  </si>
  <si>
    <t>PASTILLA SHUMATSU</t>
  </si>
  <si>
    <t>Lenceria</t>
  </si>
  <si>
    <t>MENOR AL 60%</t>
  </si>
  <si>
    <t>60% AL 74%</t>
  </si>
  <si>
    <t>75 % AL 79%</t>
  </si>
  <si>
    <t>80% AL 90%</t>
  </si>
  <si>
    <t xml:space="preserve">91% AL 110% </t>
  </si>
  <si>
    <t>110% En adelante</t>
  </si>
  <si>
    <t>PPTO VENTA</t>
  </si>
  <si>
    <t>PPTO TICKET</t>
  </si>
  <si>
    <t>PPTO UNIDADES</t>
  </si>
  <si>
    <t>VENTA GENERADA</t>
  </si>
  <si>
    <t>111% En adelante</t>
  </si>
  <si>
    <t>SUCURSAL</t>
  </si>
  <si>
    <t>Camino Real</t>
  </si>
  <si>
    <t>NICOLAS</t>
  </si>
  <si>
    <t>vta</t>
  </si>
  <si>
    <t>% d ealcance</t>
  </si>
  <si>
    <t>CUOTA MENSUAL</t>
  </si>
  <si>
    <t>VTAS</t>
  </si>
  <si>
    <t xml:space="preserve">Zenter </t>
  </si>
  <si>
    <t xml:space="preserve">Conchitas </t>
  </si>
  <si>
    <t>Sauces</t>
  </si>
  <si>
    <t>Circunvalación</t>
  </si>
  <si>
    <t xml:space="preserve">Arcos </t>
  </si>
  <si>
    <t xml:space="preserve">P.Conchitas </t>
  </si>
  <si>
    <t xml:space="preserve">Hotel Reyes </t>
  </si>
  <si>
    <t xml:space="preserve">Provenza </t>
  </si>
  <si>
    <t>EDMUNDO</t>
  </si>
  <si>
    <t>Leon 1</t>
  </si>
  <si>
    <t>Naciones</t>
  </si>
  <si>
    <t xml:space="preserve">Madison </t>
  </si>
  <si>
    <t xml:space="preserve">PAGO </t>
  </si>
  <si>
    <t>ALFONSO  M CARBALLAR</t>
  </si>
  <si>
    <t>HECTOR MANUEL P CELEST</t>
  </si>
  <si>
    <t>SEMANAL</t>
  </si>
  <si>
    <t>SUBTOTAL</t>
  </si>
  <si>
    <t>ESQUEMA DE ENCARGADO DE BOUTIQUE</t>
  </si>
  <si>
    <t>EDGAR MOISES A NAVARRO</t>
  </si>
  <si>
    <t>BERTHA SOFIA O BERMEJO</t>
  </si>
  <si>
    <t>JESUS ALBERTO M GARCIA</t>
  </si>
  <si>
    <t>NI</t>
  </si>
  <si>
    <t>ESQUEMA DE COMISIONES 2024 supervisor</t>
  </si>
  <si>
    <t>BANCO</t>
  </si>
  <si>
    <t>SANTANDER</t>
  </si>
  <si>
    <t>BANCOMER</t>
  </si>
  <si>
    <t>DEPOSITAR</t>
  </si>
  <si>
    <t>% de participación</t>
  </si>
  <si>
    <t>Número de pedido</t>
  </si>
  <si>
    <t>Estado del pedido</t>
  </si>
  <si>
    <t>Fecha del pedido</t>
  </si>
  <si>
    <t>Importe total del pedido</t>
  </si>
  <si>
    <t>Product Name</t>
  </si>
  <si>
    <t>58160</t>
  </si>
  <si>
    <t>Enviado</t>
  </si>
  <si>
    <t>Vigorizante masculino Rigidex 2 tabletas - Dusa</t>
  </si>
  <si>
    <t>58123</t>
  </si>
  <si>
    <t>Masturbador Realista Boca Real Mouth Stroker</t>
  </si>
  <si>
    <t>58117</t>
  </si>
  <si>
    <t>W50 Schmidt Schuler 60 pzs</t>
  </si>
  <si>
    <t>58095</t>
  </si>
  <si>
    <t>Lubricante Body Surf  DUSA 60ml - Cereza</t>
  </si>
  <si>
    <t>57883</t>
  </si>
  <si>
    <t>Feromonas Exclusive Diamante - Spray 25 ml - Ella</t>
  </si>
  <si>
    <t>57821</t>
  </si>
  <si>
    <t>Concentrado de feromonas - Diamante - Hombre</t>
  </si>
  <si>
    <t>57785</t>
  </si>
  <si>
    <t>Bolis divertido y con un sabor delicioso</t>
  </si>
  <si>
    <t>57752</t>
  </si>
  <si>
    <t>Crema retardante Prolong Delay Creme</t>
  </si>
  <si>
    <t>57737</t>
  </si>
  <si>
    <t>Cancelado</t>
  </si>
  <si>
    <t>Succionador Classic 2 Marilyn Monroe Edition Red</t>
  </si>
  <si>
    <t>57732</t>
  </si>
  <si>
    <t>Retardante en crema Sta Erect Delay Creme 56g (2 oz.)</t>
  </si>
  <si>
    <t>57731</t>
  </si>
  <si>
    <t>Succionador de clitoris Kevin - CXO</t>
  </si>
  <si>
    <t>57718</t>
  </si>
  <si>
    <t>Látigo negro Cat-O-Nine Tails - Pipedream</t>
  </si>
  <si>
    <t>PAGO DE COMISIONES</t>
  </si>
  <si>
    <t>Alamo</t>
  </si>
  <si>
    <t>Federalismo</t>
  </si>
  <si>
    <t>NINOSCHKA VILLAREAL GONZALEZ</t>
  </si>
  <si>
    <t>ANGEL DANILO RODRIGUEZ LOPEZ</t>
  </si>
  <si>
    <t>NICK</t>
  </si>
  <si>
    <t>NOE JONAS D CEL</t>
  </si>
  <si>
    <t>PRESUPUESTO</t>
  </si>
  <si>
    <t>VENTA</t>
  </si>
  <si>
    <t>% ALCANCE</t>
  </si>
  <si>
    <t>% ALCANCE VS LA VENTA</t>
  </si>
  <si>
    <t>% DE ALCANCE VS LA VTA GLOBAL</t>
  </si>
  <si>
    <t>ABONOS FECHA</t>
  </si>
  <si>
    <t>IMPORTE</t>
  </si>
  <si>
    <t>SUMA ABONOS</t>
  </si>
  <si>
    <t>PENDIENTE POR LIQUIDAR</t>
  </si>
  <si>
    <t>DEUDA NETA</t>
  </si>
  <si>
    <t>IVA</t>
  </si>
  <si>
    <t>TOTAL</t>
  </si>
  <si>
    <t>RECARGOS CFE Y LICENCIAS</t>
  </si>
  <si>
    <t>Tienda</t>
  </si>
  <si>
    <t>Motivo</t>
  </si>
  <si>
    <t>Monto</t>
  </si>
  <si>
    <t>Fecha Bimestre</t>
  </si>
  <si>
    <t>Días de Corte</t>
  </si>
  <si>
    <t>CFE</t>
  </si>
  <si>
    <t>ADEUDO MAYO</t>
  </si>
  <si>
    <t>Totalidad</t>
  </si>
  <si>
    <t>ABR 24-25 JUN 24</t>
  </si>
  <si>
    <t>Las Torres</t>
  </si>
  <si>
    <t>ABR 24-24 JUN 24</t>
  </si>
  <si>
    <t>ABR 24-13 JUN 24</t>
  </si>
  <si>
    <t>SIAPA</t>
  </si>
  <si>
    <t>01 NOV 22 - 02 JUN 24</t>
  </si>
  <si>
    <t>LICENCIA</t>
  </si>
  <si>
    <t>RECARGOS</t>
  </si>
  <si>
    <t>Estatus</t>
  </si>
  <si>
    <t>PAGADO</t>
  </si>
  <si>
    <t>RECARGOS 2019 A 2024</t>
  </si>
  <si>
    <t>PENDIENTE POR PAGAR</t>
  </si>
  <si>
    <t>FACTURA DAMSA</t>
  </si>
  <si>
    <t>TOTALES</t>
  </si>
  <si>
    <t>ADEUDOS DE SERVICIOS DE FRANQUICIAS</t>
  </si>
  <si>
    <t>MARIA EDUWIGES DEL TORO ORTEGA</t>
  </si>
  <si>
    <t>JESáS ULISES PEREZ VARGAS</t>
  </si>
  <si>
    <t>x</t>
  </si>
  <si>
    <t>60291</t>
  </si>
  <si>
    <t>Aceites de Almendras para masaje con Feromonas - Diamante</t>
  </si>
  <si>
    <t>60283</t>
  </si>
  <si>
    <t>sauces</t>
  </si>
  <si>
    <t>60208</t>
  </si>
  <si>
    <t>Vibrador tipo c con control remoto rosa Maia - CXO</t>
  </si>
  <si>
    <t>60122</t>
  </si>
  <si>
    <t>Vibrador e impulsor morado The Thruster</t>
  </si>
  <si>
    <t>60102</t>
  </si>
  <si>
    <t>Dildo flexible Oliver 18cm - CXO</t>
  </si>
  <si>
    <t>60098</t>
  </si>
  <si>
    <t>zenter</t>
  </si>
  <si>
    <t>Kit de amarre para cama bondage - CXO</t>
  </si>
  <si>
    <t>60090</t>
  </si>
  <si>
    <t>Estimulador de clitoris Colette - CXO</t>
  </si>
  <si>
    <t>60062</t>
  </si>
  <si>
    <t>Vibrador multiorgásmico con succionador y textura suave Paty – CXO</t>
  </si>
  <si>
    <t>SHUMA</t>
  </si>
  <si>
    <t>PASTILLA SHUMA</t>
  </si>
  <si>
    <t>PATRIA 1</t>
  </si>
  <si>
    <t>pastillas</t>
  </si>
  <si>
    <t>Hidalgo</t>
  </si>
  <si>
    <t>RAPPI</t>
  </si>
  <si>
    <t>FEDERALIMO</t>
  </si>
  <si>
    <t>CIRCUNVAALCION</t>
  </si>
  <si>
    <t>NACIONES</t>
  </si>
  <si>
    <t>HECTOR</t>
  </si>
  <si>
    <t>RODOLFO</t>
  </si>
  <si>
    <t>BRAYAN</t>
  </si>
  <si>
    <t>DIF</t>
  </si>
  <si>
    <t>ADEUDO</t>
  </si>
  <si>
    <t>GERMAN  GUZMAN AGUIRRE</t>
  </si>
  <si>
    <t>BONO PREMIO CXO</t>
  </si>
  <si>
    <t>PASTILLA DUSA</t>
  </si>
  <si>
    <t>DELIA AGUIRRE CERVANTES</t>
  </si>
  <si>
    <t>LAURA KARINA RIVAS RADA</t>
  </si>
  <si>
    <t>70% AL 79%</t>
  </si>
  <si>
    <t>ANTONIO EDMUNDO E CAMBEROS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</si>
</sst>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0.0%"/>
    <numFmt numFmtId="165" formatCode="&quot;$&quot;#,##0_);[Red]\(&quot;$&quot;#,##0\)"/>
    <numFmt numFmtId="166" formatCode="yyyy\-mm\-dd\ hh:mm"/>
  </numFmts>
  <fonts count="7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Open Sans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Open Sans"/>
      <family val="2"/>
    </font>
    <font>
      <b/>
      <sz val="11"/>
      <color rgb="FFFA7D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name val="Arial"/>
      <family val="2"/>
    </font>
    <font>
      <b/>
      <sz val="12"/>
      <color theme="0"/>
      <name val="Open Sans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indexed="8"/>
      <name val="Arial"/>
      <family val="2"/>
    </font>
    <font>
      <sz val="16"/>
      <color theme="1"/>
      <name val="Calibri Light"/>
      <family val="2"/>
      <scheme val="major"/>
    </font>
    <font>
      <b/>
      <sz val="16"/>
      <color rgb="FFFF6600"/>
      <name val="Calibri Light"/>
      <family val="2"/>
      <scheme val="major"/>
    </font>
    <font>
      <b/>
      <sz val="20"/>
      <color theme="1"/>
      <name val="Calibri"/>
      <family val="2"/>
      <scheme val="minor"/>
    </font>
    <font>
      <b/>
      <sz val="16"/>
      <color theme="0"/>
      <name val="Open Sans"/>
      <family val="2"/>
    </font>
    <font>
      <b/>
      <sz val="14"/>
      <color rgb="FFE7E6E6"/>
      <name val="Arial"/>
      <family val="2"/>
    </font>
    <font>
      <b/>
      <sz val="14"/>
      <color rgb="FF000000"/>
      <name val="Arial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18"/>
      <color rgb="FF000000"/>
      <name val="Calibri"/>
      <family val="2"/>
      <scheme val="minor"/>
    </font>
    <font>
      <sz val="18"/>
      <color theme="1"/>
      <name val="Calibri Light"/>
      <family val="2"/>
      <scheme val="major"/>
    </font>
    <font>
      <b/>
      <sz val="22"/>
      <name val="Calibri"/>
      <family val="2"/>
      <scheme val="minor"/>
    </font>
    <font>
      <b/>
      <sz val="18"/>
      <name val="Calibri Light"/>
      <family val="2"/>
      <scheme val="major"/>
    </font>
    <font>
      <b/>
      <sz val="22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0"/>
      <color theme="1"/>
      <name val="Open Sans"/>
      <family val="2"/>
    </font>
    <font>
      <b/>
      <sz val="16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0"/>
      <name val="Open Sans"/>
      <family val="2"/>
    </font>
    <font>
      <b/>
      <sz val="18"/>
      <color theme="0"/>
      <name val="Open Sans"/>
      <family val="2"/>
    </font>
    <font>
      <sz val="20"/>
      <color rgb="FF0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0"/>
      <name val="Calibri"/>
      <family val="2"/>
      <scheme val="minor"/>
    </font>
    <font>
      <b/>
      <sz val="14"/>
      <color theme="0"/>
      <name val="Open Sans"/>
      <family val="2"/>
    </font>
    <font>
      <sz val="20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1"/>
      <color rgb="FF000000"/>
      <name val="Aptos Narrow"/>
      <family val="2"/>
    </font>
    <font>
      <b/>
      <sz val="10"/>
      <color rgb="FF000000"/>
      <name val="Aptos"/>
      <family val="2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sz val="22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D6C1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5B9BD5"/>
        <bgColor rgb="FFFFFFFF"/>
      </patternFill>
    </fill>
    <fill>
      <patternFill patternType="solid">
        <fgColor rgb="FFAEAAAA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indexed="9"/>
        <bgColor indexed="9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9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CC99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FFFF00"/>
        <bgColor indexed="9"/>
      </patternFill>
    </fill>
  </fills>
  <borders count="5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6" borderId="6" applyNumberFormat="0" applyAlignment="0" applyProtection="0"/>
    <xf numFmtId="0" fontId="13" fillId="0" borderId="0"/>
    <xf numFmtId="0" fontId="14" fillId="0" borderId="0" applyNumberFormat="0" applyFill="0" applyBorder="0" applyAlignment="0" applyProtection="0"/>
    <xf numFmtId="0" fontId="15" fillId="0" borderId="15" applyNumberFormat="0" applyFill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7" fillId="0" borderId="0" applyNumberFormat="0" applyFill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1" fillId="11" borderId="6" applyNumberFormat="0" applyAlignment="0" applyProtection="0"/>
    <xf numFmtId="0" fontId="22" fillId="6" borderId="18" applyNumberFormat="0" applyAlignment="0" applyProtection="0"/>
    <xf numFmtId="0" fontId="23" fillId="0" borderId="19" applyNumberFormat="0" applyFill="0" applyAlignment="0" applyProtection="0"/>
    <xf numFmtId="0" fontId="2" fillId="12" borderId="20" applyNumberFormat="0" applyAlignment="0" applyProtection="0"/>
    <xf numFmtId="0" fontId="12" fillId="0" borderId="0" applyNumberFormat="0" applyFill="0" applyBorder="0" applyAlignment="0" applyProtection="0"/>
    <xf numFmtId="0" fontId="1" fillId="13" borderId="21" applyNumberFormat="0" applyFont="0" applyAlignment="0" applyProtection="0"/>
    <xf numFmtId="0" fontId="24" fillId="0" borderId="0" applyNumberFormat="0" applyFill="0" applyBorder="0" applyAlignment="0" applyProtection="0"/>
    <xf numFmtId="0" fontId="5" fillId="0" borderId="22" applyNumberFormat="0" applyFill="0" applyAlignment="0" applyProtection="0"/>
    <xf numFmtId="0" fontId="3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" fillId="37" borderId="0" applyNumberFormat="0" applyBorder="0" applyAlignment="0" applyProtection="0"/>
    <xf numFmtId="0" fontId="25" fillId="0" borderId="0"/>
    <xf numFmtId="44" fontId="33" fillId="0" borderId="0"/>
    <xf numFmtId="0" fontId="1" fillId="0" borderId="0"/>
    <xf numFmtId="0" fontId="40" fillId="0" borderId="0"/>
    <xf numFmtId="44" fontId="40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0" borderId="0"/>
    <xf numFmtId="44" fontId="33" fillId="0" borderId="0"/>
    <xf numFmtId="44" fontId="40" fillId="0" borderId="0" applyFont="0" applyFill="0" applyBorder="0" applyAlignment="0" applyProtection="0"/>
    <xf numFmtId="0" fontId="50" fillId="0" borderId="0"/>
    <xf numFmtId="44" fontId="50" fillId="0" borderId="0" applyFont="0" applyFill="0" applyBorder="0" applyAlignment="0" applyProtection="0"/>
    <xf numFmtId="0" fontId="67" fillId="0" borderId="0"/>
  </cellStyleXfs>
  <cellXfs count="267">
    <xf numFmtId="0" fontId="0" fillId="0" borderId="0" xfId="0"/>
    <xf numFmtId="44" fontId="0" fillId="0" borderId="0" xfId="1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11" fillId="7" borderId="0" xfId="2" applyFont="1" applyFill="1" applyBorder="1" applyAlignment="1">
      <alignment vertical="center" wrapText="1"/>
    </xf>
    <xf numFmtId="0" fontId="0" fillId="7" borderId="0" xfId="0" applyFill="1"/>
    <xf numFmtId="44" fontId="5" fillId="0" borderId="0" xfId="1" applyFont="1"/>
    <xf numFmtId="10" fontId="8" fillId="7" borderId="0" xfId="2" applyNumberFormat="1" applyFont="1" applyFill="1" applyBorder="1" applyAlignment="1">
      <alignment horizontal="center" vertical="center"/>
    </xf>
    <xf numFmtId="0" fontId="11" fillId="7" borderId="0" xfId="0" applyFont="1" applyFill="1"/>
    <xf numFmtId="44" fontId="0" fillId="0" borderId="0" xfId="1" applyFont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44" fontId="11" fillId="0" borderId="0" xfId="1" applyFont="1" applyAlignment="1">
      <alignment horizontal="center" vertical="center"/>
    </xf>
    <xf numFmtId="10" fontId="5" fillId="0" borderId="0" xfId="2" applyNumberFormat="1" applyFont="1" applyAlignment="1">
      <alignment horizontal="center"/>
    </xf>
    <xf numFmtId="10" fontId="0" fillId="0" borderId="0" xfId="2" applyNumberFormat="1" applyFont="1" applyAlignment="1">
      <alignment horizontal="center"/>
    </xf>
    <xf numFmtId="44" fontId="2" fillId="42" borderId="24" xfId="1" applyFont="1" applyFill="1" applyBorder="1" applyAlignment="1" applyProtection="1">
      <alignment horizontal="center" vertical="center"/>
    </xf>
    <xf numFmtId="44" fontId="2" fillId="42" borderId="24" xfId="1" applyFont="1" applyFill="1" applyBorder="1" applyAlignment="1" applyProtection="1">
      <alignment horizontal="center" vertical="center" wrapText="1"/>
    </xf>
    <xf numFmtId="0" fontId="5" fillId="0" borderId="24" xfId="0" applyFont="1" applyBorder="1"/>
    <xf numFmtId="9" fontId="7" fillId="0" borderId="24" xfId="2" applyFont="1" applyFill="1" applyBorder="1" applyAlignment="1">
      <alignment horizontal="center" vertical="center"/>
    </xf>
    <xf numFmtId="44" fontId="7" fillId="0" borderId="24" xfId="1" applyFont="1" applyFill="1" applyBorder="1" applyAlignment="1">
      <alignment horizontal="center" vertical="center"/>
    </xf>
    <xf numFmtId="10" fontId="7" fillId="0" borderId="24" xfId="2" applyNumberFormat="1" applyFont="1" applyFill="1" applyBorder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44" fontId="0" fillId="0" borderId="0" xfId="0" applyNumberFormat="1" applyAlignment="1">
      <alignment vertical="center"/>
    </xf>
    <xf numFmtId="0" fontId="26" fillId="2" borderId="28" xfId="0" applyFont="1" applyFill="1" applyBorder="1" applyAlignment="1">
      <alignment horizontal="center" vertical="center" wrapText="1"/>
    </xf>
    <xf numFmtId="44" fontId="27" fillId="0" borderId="0" xfId="1" applyFont="1" applyAlignment="1">
      <alignment horizontal="center" vertical="center"/>
    </xf>
    <xf numFmtId="44" fontId="35" fillId="5" borderId="32" xfId="3" applyNumberFormat="1" applyFont="1" applyFill="1" applyBorder="1" applyAlignment="1">
      <alignment vertical="center"/>
    </xf>
    <xf numFmtId="44" fontId="2" fillId="46" borderId="25" xfId="1" applyFont="1" applyFill="1" applyBorder="1" applyAlignment="1" applyProtection="1">
      <alignment horizontal="center" vertical="center" wrapText="1"/>
    </xf>
    <xf numFmtId="44" fontId="2" fillId="47" borderId="25" xfId="1" applyFont="1" applyFill="1" applyBorder="1" applyAlignment="1" applyProtection="1">
      <alignment horizontal="center" vertical="center" wrapText="1"/>
    </xf>
    <xf numFmtId="44" fontId="2" fillId="46" borderId="26" xfId="1" applyFont="1" applyFill="1" applyBorder="1" applyAlignment="1" applyProtection="1">
      <alignment horizontal="center" vertical="center" wrapText="1"/>
    </xf>
    <xf numFmtId="0" fontId="0" fillId="0" borderId="0" xfId="0" applyAlignment="1">
      <alignment wrapText="1"/>
    </xf>
    <xf numFmtId="9" fontId="5" fillId="0" borderId="24" xfId="2" applyFont="1" applyFill="1" applyBorder="1"/>
    <xf numFmtId="44" fontId="0" fillId="0" borderId="24" xfId="0" applyNumberFormat="1" applyBorder="1"/>
    <xf numFmtId="0" fontId="40" fillId="51" borderId="0" xfId="0" applyFont="1" applyFill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43" fillId="0" borderId="24" xfId="0" applyFont="1" applyBorder="1" applyAlignment="1">
      <alignment horizontal="left" vertical="center"/>
    </xf>
    <xf numFmtId="44" fontId="36" fillId="0" borderId="0" xfId="0" applyNumberFormat="1" applyFont="1"/>
    <xf numFmtId="0" fontId="38" fillId="49" borderId="27" xfId="0" applyFont="1" applyFill="1" applyBorder="1" applyAlignment="1">
      <alignment horizontal="center" vertical="center"/>
    </xf>
    <xf numFmtId="0" fontId="38" fillId="49" borderId="37" xfId="0" applyFont="1" applyFill="1" applyBorder="1" applyAlignment="1">
      <alignment horizontal="center" vertical="center"/>
    </xf>
    <xf numFmtId="0" fontId="39" fillId="50" borderId="32" xfId="0" applyFont="1" applyFill="1" applyBorder="1" applyAlignment="1">
      <alignment horizontal="center" vertical="center" wrapText="1"/>
    </xf>
    <xf numFmtId="0" fontId="0" fillId="52" borderId="32" xfId="0" applyFill="1" applyBorder="1" applyAlignment="1">
      <alignment horizontal="center" vertical="center"/>
    </xf>
    <xf numFmtId="44" fontId="40" fillId="51" borderId="37" xfId="1" applyFont="1" applyFill="1" applyBorder="1"/>
    <xf numFmtId="44" fontId="40" fillId="51" borderId="0" xfId="1" applyFont="1" applyFill="1" applyAlignment="1">
      <alignment horizontal="center" vertical="center"/>
    </xf>
    <xf numFmtId="44" fontId="40" fillId="51" borderId="40" xfId="1" applyFont="1" applyFill="1" applyBorder="1"/>
    <xf numFmtId="9" fontId="34" fillId="7" borderId="24" xfId="2" applyFont="1" applyFill="1" applyBorder="1" applyAlignment="1" applyProtection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textRotation="90"/>
    </xf>
    <xf numFmtId="44" fontId="40" fillId="51" borderId="24" xfId="1" applyFont="1" applyFill="1" applyBorder="1"/>
    <xf numFmtId="0" fontId="27" fillId="7" borderId="0" xfId="0" applyFont="1" applyFill="1" applyAlignment="1">
      <alignment horizontal="center" vertical="center" textRotation="90"/>
    </xf>
    <xf numFmtId="0" fontId="40" fillId="54" borderId="0" xfId="0" applyFont="1" applyFill="1"/>
    <xf numFmtId="165" fontId="41" fillId="55" borderId="0" xfId="0" applyNumberFormat="1" applyFont="1" applyFill="1"/>
    <xf numFmtId="0" fontId="0" fillId="56" borderId="0" xfId="0" applyFill="1" applyAlignment="1">
      <alignment horizontal="center" vertical="center"/>
    </xf>
    <xf numFmtId="44" fontId="40" fillId="54" borderId="0" xfId="0" applyNumberFormat="1" applyFont="1" applyFill="1"/>
    <xf numFmtId="0" fontId="27" fillId="0" borderId="43" xfId="0" applyFont="1" applyBorder="1" applyAlignment="1">
      <alignment vertical="center" textRotation="90"/>
    </xf>
    <xf numFmtId="44" fontId="37" fillId="2" borderId="41" xfId="1" applyFont="1" applyFill="1" applyBorder="1" applyAlignment="1" applyProtection="1">
      <alignment horizontal="center" vertical="center"/>
    </xf>
    <xf numFmtId="0" fontId="37" fillId="3" borderId="41" xfId="0" applyFont="1" applyFill="1" applyBorder="1" applyAlignment="1" applyProtection="1">
      <alignment horizontal="center" vertical="center"/>
      <protection locked="0"/>
    </xf>
    <xf numFmtId="44" fontId="46" fillId="0" borderId="0" xfId="1" applyFont="1" applyAlignment="1">
      <alignment horizontal="center" vertical="center"/>
    </xf>
    <xf numFmtId="0" fontId="46" fillId="0" borderId="0" xfId="0" applyFont="1" applyAlignment="1">
      <alignment vertical="center"/>
    </xf>
    <xf numFmtId="0" fontId="46" fillId="0" borderId="0" xfId="0" applyFont="1"/>
    <xf numFmtId="0" fontId="46" fillId="7" borderId="0" xfId="0" applyFont="1" applyFill="1"/>
    <xf numFmtId="10" fontId="46" fillId="0" borderId="42" xfId="2" applyNumberFormat="1" applyFont="1" applyBorder="1" applyAlignment="1">
      <alignment horizontal="center" vertical="center"/>
    </xf>
    <xf numFmtId="10" fontId="46" fillId="0" borderId="45" xfId="2" applyNumberFormat="1" applyFont="1" applyBorder="1" applyAlignment="1">
      <alignment horizontal="center" vertical="center"/>
    </xf>
    <xf numFmtId="44" fontId="44" fillId="0" borderId="33" xfId="1" applyFont="1" applyBorder="1" applyAlignment="1">
      <alignment horizontal="center" vertical="center" wrapText="1"/>
    </xf>
    <xf numFmtId="44" fontId="36" fillId="0" borderId="27" xfId="1" applyFont="1" applyBorder="1" applyAlignment="1">
      <alignment horizontal="center" vertical="center"/>
    </xf>
    <xf numFmtId="44" fontId="36" fillId="7" borderId="24" xfId="1" applyFont="1" applyFill="1" applyBorder="1" applyAlignment="1">
      <alignment horizontal="center" vertical="center"/>
    </xf>
    <xf numFmtId="10" fontId="48" fillId="0" borderId="24" xfId="2" applyNumberFormat="1" applyFont="1" applyFill="1" applyBorder="1" applyAlignment="1" applyProtection="1">
      <alignment horizontal="center" vertical="center"/>
    </xf>
    <xf numFmtId="9" fontId="27" fillId="0" borderId="0" xfId="2" applyFont="1" applyAlignment="1">
      <alignment horizontal="center" vertical="center" wrapText="1"/>
    </xf>
    <xf numFmtId="9" fontId="29" fillId="0" borderId="0" xfId="2" applyFont="1" applyFill="1" applyBorder="1" applyAlignment="1">
      <alignment horizontal="center" vertical="center"/>
    </xf>
    <xf numFmtId="9" fontId="27" fillId="0" borderId="0" xfId="2" applyFont="1" applyAlignment="1">
      <alignment horizontal="center" vertical="center"/>
    </xf>
    <xf numFmtId="9" fontId="49" fillId="0" borderId="0" xfId="2" applyFont="1" applyAlignment="1">
      <alignment horizontal="center" vertical="center"/>
    </xf>
    <xf numFmtId="44" fontId="7" fillId="0" borderId="24" xfId="2" applyNumberFormat="1" applyFont="1" applyFill="1" applyBorder="1" applyAlignment="1">
      <alignment horizontal="center" vertical="center"/>
    </xf>
    <xf numFmtId="44" fontId="0" fillId="0" borderId="0" xfId="0" applyNumberFormat="1"/>
    <xf numFmtId="0" fontId="30" fillId="7" borderId="0" xfId="0" applyFont="1" applyFill="1"/>
    <xf numFmtId="0" fontId="51" fillId="0" borderId="0" xfId="54" applyFont="1"/>
    <xf numFmtId="0" fontId="50" fillId="0" borderId="0" xfId="54"/>
    <xf numFmtId="49" fontId="50" fillId="0" borderId="0" xfId="54" applyNumberFormat="1"/>
    <xf numFmtId="166" fontId="50" fillId="0" borderId="0" xfId="54" applyNumberFormat="1"/>
    <xf numFmtId="44" fontId="0" fillId="0" borderId="0" xfId="55" applyFont="1"/>
    <xf numFmtId="0" fontId="50" fillId="4" borderId="0" xfId="54" applyFill="1"/>
    <xf numFmtId="44" fontId="0" fillId="4" borderId="0" xfId="55" applyFont="1" applyFill="1"/>
    <xf numFmtId="44" fontId="32" fillId="7" borderId="24" xfId="1" applyFont="1" applyFill="1" applyBorder="1" applyAlignment="1"/>
    <xf numFmtId="44" fontId="52" fillId="2" borderId="23" xfId="1" applyFont="1" applyFill="1" applyBorder="1" applyAlignment="1">
      <alignment vertical="center"/>
    </xf>
    <xf numFmtId="9" fontId="53" fillId="41" borderId="14" xfId="2" applyFont="1" applyFill="1" applyBorder="1" applyAlignment="1">
      <alignment horizontal="center" vertical="center"/>
    </xf>
    <xf numFmtId="9" fontId="53" fillId="41" borderId="14" xfId="2" applyFont="1" applyFill="1" applyBorder="1" applyAlignment="1">
      <alignment horizontal="center" vertical="center" wrapText="1"/>
    </xf>
    <xf numFmtId="9" fontId="53" fillId="41" borderId="35" xfId="2" applyFont="1" applyFill="1" applyBorder="1" applyAlignment="1">
      <alignment horizontal="center" vertical="center" wrapText="1"/>
    </xf>
    <xf numFmtId="0" fontId="55" fillId="2" borderId="35" xfId="0" applyFont="1" applyFill="1" applyBorder="1" applyAlignment="1">
      <alignment horizontal="center" vertical="center" wrapText="1"/>
    </xf>
    <xf numFmtId="0" fontId="54" fillId="3" borderId="5" xfId="0" applyFont="1" applyFill="1" applyBorder="1" applyAlignment="1" applyProtection="1">
      <alignment horizontal="center" vertical="center"/>
      <protection locked="0"/>
    </xf>
    <xf numFmtId="44" fontId="54" fillId="38" borderId="5" xfId="1" applyFont="1" applyFill="1" applyBorder="1" applyAlignment="1">
      <alignment horizontal="center" vertical="center"/>
    </xf>
    <xf numFmtId="0" fontId="54" fillId="3" borderId="5" xfId="0" applyFont="1" applyFill="1" applyBorder="1" applyAlignment="1">
      <alignment horizontal="center" vertical="center"/>
    </xf>
    <xf numFmtId="0" fontId="54" fillId="2" borderId="5" xfId="0" applyFont="1" applyFill="1" applyBorder="1" applyAlignment="1">
      <alignment horizontal="center" vertical="center"/>
    </xf>
    <xf numFmtId="44" fontId="54" fillId="2" borderId="41" xfId="1" applyFont="1" applyFill="1" applyBorder="1" applyAlignment="1" applyProtection="1">
      <alignment horizontal="center" vertical="center"/>
    </xf>
    <xf numFmtId="44" fontId="54" fillId="2" borderId="41" xfId="1" applyFont="1" applyFill="1" applyBorder="1" applyAlignment="1" applyProtection="1">
      <alignment horizontal="center" vertical="center" wrapText="1"/>
    </xf>
    <xf numFmtId="44" fontId="54" fillId="2" borderId="11" xfId="1" applyFont="1" applyFill="1" applyBorder="1" applyAlignment="1" applyProtection="1">
      <alignment horizontal="center" vertical="center" wrapText="1"/>
    </xf>
    <xf numFmtId="44" fontId="28" fillId="7" borderId="0" xfId="1" applyFont="1" applyFill="1"/>
    <xf numFmtId="44" fontId="31" fillId="7" borderId="0" xfId="0" applyNumberFormat="1" applyFont="1" applyFill="1"/>
    <xf numFmtId="44" fontId="11" fillId="0" borderId="0" xfId="0" applyNumberFormat="1" applyFont="1"/>
    <xf numFmtId="0" fontId="56" fillId="0" borderId="34" xfId="47" applyFont="1" applyBorder="1" applyAlignment="1">
      <alignment horizontal="left" vertical="center"/>
    </xf>
    <xf numFmtId="44" fontId="40" fillId="57" borderId="37" xfId="1" applyFont="1" applyFill="1" applyBorder="1"/>
    <xf numFmtId="44" fontId="40" fillId="57" borderId="40" xfId="1" applyFont="1" applyFill="1" applyBorder="1"/>
    <xf numFmtId="44" fontId="40" fillId="57" borderId="24" xfId="1" applyFont="1" applyFill="1" applyBorder="1"/>
    <xf numFmtId="0" fontId="56" fillId="0" borderId="47" xfId="47" applyFont="1" applyBorder="1" applyAlignment="1">
      <alignment horizontal="left" vertical="center"/>
    </xf>
    <xf numFmtId="0" fontId="56" fillId="0" borderId="0" xfId="47" applyFont="1" applyAlignment="1">
      <alignment horizontal="left" vertical="center"/>
    </xf>
    <xf numFmtId="10" fontId="47" fillId="0" borderId="33" xfId="2" applyNumberFormat="1" applyFont="1" applyBorder="1" applyAlignment="1">
      <alignment horizontal="center" vertical="center"/>
    </xf>
    <xf numFmtId="9" fontId="57" fillId="0" borderId="0" xfId="2" applyFont="1"/>
    <xf numFmtId="44" fontId="30" fillId="2" borderId="13" xfId="1" applyFont="1" applyFill="1" applyBorder="1" applyAlignment="1">
      <alignment horizontal="center"/>
    </xf>
    <xf numFmtId="44" fontId="58" fillId="2" borderId="9" xfId="1" applyFont="1" applyFill="1" applyBorder="1" applyAlignment="1">
      <alignment horizontal="center" vertical="center"/>
    </xf>
    <xf numFmtId="0" fontId="58" fillId="2" borderId="9" xfId="0" applyFont="1" applyFill="1" applyBorder="1" applyAlignment="1">
      <alignment horizontal="center" vertical="center"/>
    </xf>
    <xf numFmtId="44" fontId="58" fillId="2" borderId="9" xfId="1" applyFont="1" applyFill="1" applyBorder="1" applyAlignment="1">
      <alignment horizontal="center"/>
    </xf>
    <xf numFmtId="0" fontId="58" fillId="2" borderId="9" xfId="0" applyFont="1" applyFill="1" applyBorder="1" applyAlignment="1">
      <alignment horizontal="center"/>
    </xf>
    <xf numFmtId="44" fontId="58" fillId="2" borderId="10" xfId="1" applyFont="1" applyFill="1" applyBorder="1" applyAlignment="1">
      <alignment horizontal="center" vertical="center"/>
    </xf>
    <xf numFmtId="44" fontId="58" fillId="2" borderId="1" xfId="1" applyFont="1" applyFill="1" applyBorder="1" applyAlignment="1">
      <alignment horizontal="center" vertical="center"/>
    </xf>
    <xf numFmtId="0" fontId="58" fillId="2" borderId="1" xfId="0" applyFont="1" applyFill="1" applyBorder="1" applyAlignment="1">
      <alignment horizontal="center" vertical="center"/>
    </xf>
    <xf numFmtId="0" fontId="58" fillId="2" borderId="2" xfId="0" applyFont="1" applyFill="1" applyBorder="1" applyAlignment="1">
      <alignment horizontal="center" vertical="center" wrapText="1"/>
    </xf>
    <xf numFmtId="44" fontId="30" fillId="0" borderId="8" xfId="1" applyFont="1" applyBorder="1" applyAlignment="1">
      <alignment horizontal="right"/>
    </xf>
    <xf numFmtId="9" fontId="32" fillId="0" borderId="9" xfId="2" applyFont="1" applyBorder="1" applyAlignment="1">
      <alignment horizontal="center" vertical="center"/>
    </xf>
    <xf numFmtId="10" fontId="30" fillId="0" borderId="9" xfId="2" applyNumberFormat="1" applyFont="1" applyBorder="1" applyAlignment="1">
      <alignment horizontal="center" vertical="center"/>
    </xf>
    <xf numFmtId="10" fontId="30" fillId="0" borderId="9" xfId="2" applyNumberFormat="1" applyFont="1" applyBorder="1" applyAlignment="1">
      <alignment horizontal="center"/>
    </xf>
    <xf numFmtId="0" fontId="36" fillId="0" borderId="24" xfId="0" applyFont="1" applyBorder="1"/>
    <xf numFmtId="9" fontId="59" fillId="0" borderId="24" xfId="2" applyFont="1" applyFill="1" applyBorder="1" applyAlignment="1">
      <alignment horizontal="center" vertical="center"/>
    </xf>
    <xf numFmtId="0" fontId="36" fillId="7" borderId="24" xfId="0" applyFont="1" applyFill="1" applyBorder="1"/>
    <xf numFmtId="164" fontId="59" fillId="7" borderId="24" xfId="2" applyNumberFormat="1" applyFont="1" applyFill="1" applyBorder="1" applyAlignment="1">
      <alignment horizontal="center" vertical="center"/>
    </xf>
    <xf numFmtId="9" fontId="59" fillId="7" borderId="24" xfId="2" applyFont="1" applyFill="1" applyBorder="1" applyAlignment="1">
      <alignment horizontal="center" vertical="center"/>
    </xf>
    <xf numFmtId="10" fontId="59" fillId="0" borderId="24" xfId="2" applyNumberFormat="1" applyFont="1" applyFill="1" applyBorder="1" applyAlignment="1">
      <alignment horizontal="center" vertical="center"/>
    </xf>
    <xf numFmtId="164" fontId="59" fillId="0" borderId="24" xfId="2" applyNumberFormat="1" applyFont="1" applyFill="1" applyBorder="1" applyAlignment="1">
      <alignment horizontal="center" vertical="center"/>
    </xf>
    <xf numFmtId="44" fontId="29" fillId="39" borderId="24" xfId="1" applyFont="1" applyFill="1" applyBorder="1" applyAlignment="1" applyProtection="1">
      <alignment horizontal="center" vertical="center"/>
    </xf>
    <xf numFmtId="44" fontId="29" fillId="42" borderId="24" xfId="1" applyFont="1" applyFill="1" applyBorder="1" applyAlignment="1" applyProtection="1">
      <alignment horizontal="center" vertical="center"/>
    </xf>
    <xf numFmtId="44" fontId="29" fillId="42" borderId="24" xfId="1" applyFont="1" applyFill="1" applyBorder="1" applyAlignment="1" applyProtection="1">
      <alignment horizontal="center" vertical="center" wrapText="1"/>
    </xf>
    <xf numFmtId="0" fontId="54" fillId="44" borderId="0" xfId="0" applyFont="1" applyFill="1" applyAlignment="1" applyProtection="1">
      <alignment vertical="center"/>
      <protection locked="0"/>
    </xf>
    <xf numFmtId="0" fontId="54" fillId="58" borderId="0" xfId="0" applyFont="1" applyFill="1" applyAlignment="1" applyProtection="1">
      <alignment horizontal="center" vertical="center"/>
      <protection locked="0"/>
    </xf>
    <xf numFmtId="0" fontId="60" fillId="2" borderId="5" xfId="0" applyFont="1" applyFill="1" applyBorder="1" applyAlignment="1">
      <alignment horizontal="center" vertical="center" wrapText="1"/>
    </xf>
    <xf numFmtId="0" fontId="36" fillId="0" borderId="0" xfId="0" applyFont="1" applyAlignment="1">
      <alignment vertical="center"/>
    </xf>
    <xf numFmtId="44" fontId="29" fillId="3" borderId="30" xfId="1" applyFont="1" applyFill="1" applyBorder="1"/>
    <xf numFmtId="0" fontId="55" fillId="2" borderId="46" xfId="0" applyFont="1" applyFill="1" applyBorder="1" applyAlignment="1">
      <alignment horizontal="center" vertical="center" wrapText="1"/>
    </xf>
    <xf numFmtId="9" fontId="8" fillId="7" borderId="0" xfId="2" applyFont="1" applyFill="1" applyBorder="1" applyAlignment="1">
      <alignment horizontal="center" vertical="center"/>
    </xf>
    <xf numFmtId="9" fontId="55" fillId="2" borderId="46" xfId="2" applyFont="1" applyFill="1" applyBorder="1" applyAlignment="1">
      <alignment horizontal="center" vertical="center" wrapText="1"/>
    </xf>
    <xf numFmtId="9" fontId="11" fillId="7" borderId="0" xfId="2" applyFont="1" applyFill="1" applyBorder="1" applyAlignment="1">
      <alignment horizontal="center" vertical="center" wrapText="1"/>
    </xf>
    <xf numFmtId="9" fontId="11" fillId="7" borderId="0" xfId="2" applyFont="1" applyFill="1" applyAlignment="1">
      <alignment horizontal="center" vertical="center"/>
    </xf>
    <xf numFmtId="9" fontId="46" fillId="7" borderId="0" xfId="2" applyFont="1" applyFill="1" applyAlignment="1">
      <alignment horizontal="center" vertical="center"/>
    </xf>
    <xf numFmtId="9" fontId="61" fillId="7" borderId="24" xfId="2" applyFont="1" applyFill="1" applyBorder="1" applyAlignment="1">
      <alignment horizontal="center" vertical="center"/>
    </xf>
    <xf numFmtId="10" fontId="61" fillId="7" borderId="24" xfId="2" applyNumberFormat="1" applyFont="1" applyFill="1" applyBorder="1" applyAlignment="1">
      <alignment horizontal="center" vertical="center"/>
    </xf>
    <xf numFmtId="10" fontId="52" fillId="2" borderId="23" xfId="2" applyNumberFormat="1" applyFont="1" applyFill="1" applyBorder="1" applyAlignment="1">
      <alignment horizontal="center" vertical="center"/>
    </xf>
    <xf numFmtId="44" fontId="36" fillId="0" borderId="0" xfId="1" applyFont="1" applyAlignment="1">
      <alignment vertical="center"/>
    </xf>
    <xf numFmtId="9" fontId="11" fillId="7" borderId="24" xfId="2" applyFont="1" applyFill="1" applyBorder="1" applyAlignment="1">
      <alignment horizontal="center" vertical="center"/>
    </xf>
    <xf numFmtId="0" fontId="11" fillId="7" borderId="24" xfId="0" applyFont="1" applyFill="1" applyBorder="1"/>
    <xf numFmtId="0" fontId="8" fillId="59" borderId="0" xfId="0" applyFont="1" applyFill="1" applyAlignment="1">
      <alignment horizontal="center" vertical="center" wrapText="1"/>
    </xf>
    <xf numFmtId="44" fontId="0" fillId="0" borderId="24" xfId="1" applyFont="1" applyBorder="1"/>
    <xf numFmtId="15" fontId="0" fillId="0" borderId="24" xfId="1" applyNumberFormat="1" applyFont="1" applyBorder="1"/>
    <xf numFmtId="0" fontId="62" fillId="60" borderId="33" xfId="0" applyFont="1" applyFill="1" applyBorder="1" applyAlignment="1">
      <alignment horizontal="center" vertical="center"/>
    </xf>
    <xf numFmtId="0" fontId="62" fillId="60" borderId="48" xfId="0" applyFont="1" applyFill="1" applyBorder="1" applyAlignment="1">
      <alignment horizontal="center" vertical="center"/>
    </xf>
    <xf numFmtId="0" fontId="62" fillId="0" borderId="0" xfId="0" applyFont="1" applyAlignment="1">
      <alignment vertical="center"/>
    </xf>
    <xf numFmtId="44" fontId="62" fillId="0" borderId="0" xfId="1" applyFont="1" applyBorder="1" applyAlignment="1">
      <alignment vertical="center"/>
    </xf>
    <xf numFmtId="0" fontId="64" fillId="0" borderId="0" xfId="0" applyFont="1" applyAlignment="1">
      <alignment vertical="center"/>
    </xf>
    <xf numFmtId="44" fontId="5" fillId="0" borderId="24" xfId="1" applyFont="1" applyBorder="1" applyAlignment="1">
      <alignment horizontal="center" vertical="center" wrapText="1"/>
    </xf>
    <xf numFmtId="44" fontId="5" fillId="0" borderId="24" xfId="1" applyFont="1" applyBorder="1" applyAlignment="1">
      <alignment horizontal="center" vertical="center"/>
    </xf>
    <xf numFmtId="44" fontId="0" fillId="4" borderId="24" xfId="1" applyFont="1" applyFill="1" applyBorder="1"/>
    <xf numFmtId="0" fontId="65" fillId="39" borderId="42" xfId="0" applyFont="1" applyFill="1" applyBorder="1" applyAlignment="1">
      <alignment horizontal="center" vertical="center"/>
    </xf>
    <xf numFmtId="44" fontId="65" fillId="39" borderId="45" xfId="0" applyNumberFormat="1" applyFont="1" applyFill="1" applyBorder="1" applyAlignment="1">
      <alignment horizontal="center" vertical="center"/>
    </xf>
    <xf numFmtId="0" fontId="65" fillId="39" borderId="45" xfId="0" applyFont="1" applyFill="1" applyBorder="1" applyAlignment="1">
      <alignment horizontal="center" vertical="center"/>
    </xf>
    <xf numFmtId="44" fontId="65" fillId="39" borderId="48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4" fontId="5" fillId="0" borderId="0" xfId="1" applyFont="1" applyAlignment="1">
      <alignment horizontal="center" vertical="center"/>
    </xf>
    <xf numFmtId="44" fontId="62" fillId="0" borderId="33" xfId="1" applyFont="1" applyBorder="1" applyAlignment="1">
      <alignment vertical="center"/>
    </xf>
    <xf numFmtId="0" fontId="63" fillId="0" borderId="24" xfId="0" applyFont="1" applyBorder="1" applyAlignment="1">
      <alignment vertical="center"/>
    </xf>
    <xf numFmtId="44" fontId="63" fillId="0" borderId="24" xfId="1" applyFont="1" applyBorder="1" applyAlignment="1">
      <alignment horizontal="right" vertical="center"/>
    </xf>
    <xf numFmtId="0" fontId="63" fillId="0" borderId="24" xfId="0" applyFont="1" applyBorder="1" applyAlignment="1">
      <alignment horizontal="center" vertical="center"/>
    </xf>
    <xf numFmtId="0" fontId="63" fillId="4" borderId="24" xfId="0" applyFont="1" applyFill="1" applyBorder="1" applyAlignment="1">
      <alignment horizontal="center" vertical="center"/>
    </xf>
    <xf numFmtId="0" fontId="63" fillId="0" borderId="27" xfId="0" applyFont="1" applyBorder="1" applyAlignment="1">
      <alignment vertical="center"/>
    </xf>
    <xf numFmtId="44" fontId="63" fillId="0" borderId="27" xfId="1" applyFont="1" applyBorder="1" applyAlignment="1">
      <alignment horizontal="right" vertical="center"/>
    </xf>
    <xf numFmtId="0" fontId="63" fillId="0" borderId="27" xfId="0" applyFont="1" applyBorder="1" applyAlignment="1">
      <alignment horizontal="center" vertical="center"/>
    </xf>
    <xf numFmtId="0" fontId="63" fillId="0" borderId="25" xfId="0" applyFont="1" applyBorder="1" applyAlignment="1">
      <alignment vertical="center"/>
    </xf>
    <xf numFmtId="0" fontId="62" fillId="0" borderId="33" xfId="0" applyFont="1" applyBorder="1" applyAlignment="1">
      <alignment vertical="center"/>
    </xf>
    <xf numFmtId="44" fontId="63" fillId="0" borderId="25" xfId="1" applyFont="1" applyBorder="1" applyAlignment="1">
      <alignment horizontal="right" vertical="center"/>
    </xf>
    <xf numFmtId="0" fontId="34" fillId="0" borderId="24" xfId="0" applyFont="1" applyBorder="1" applyAlignment="1">
      <alignment horizontal="left" indent="1"/>
    </xf>
    <xf numFmtId="44" fontId="34" fillId="0" borderId="24" xfId="1" applyFont="1" applyBorder="1"/>
    <xf numFmtId="0" fontId="67" fillId="0" borderId="0" xfId="56" applyAlignment="1">
      <alignment vertical="top" wrapText="1"/>
    </xf>
    <xf numFmtId="0" fontId="68" fillId="0" borderId="0" xfId="56" applyFont="1"/>
    <xf numFmtId="49" fontId="67" fillId="0" borderId="0" xfId="56" applyNumberFormat="1" applyAlignment="1">
      <alignment vertical="top" wrapText="1"/>
    </xf>
    <xf numFmtId="166" fontId="67" fillId="0" borderId="0" xfId="56" applyNumberFormat="1" applyAlignment="1">
      <alignment vertical="top" wrapText="1"/>
    </xf>
    <xf numFmtId="44" fontId="67" fillId="0" borderId="0" xfId="1" applyFont="1" applyAlignment="1">
      <alignment vertical="top" wrapText="1"/>
    </xf>
    <xf numFmtId="44" fontId="67" fillId="4" borderId="0" xfId="1" applyFont="1" applyFill="1" applyAlignment="1">
      <alignment vertical="top" wrapText="1"/>
    </xf>
    <xf numFmtId="44" fontId="61" fillId="40" borderId="24" xfId="1" applyFont="1" applyFill="1" applyBorder="1" applyAlignment="1">
      <alignment vertical="center"/>
    </xf>
    <xf numFmtId="44" fontId="28" fillId="0" borderId="0" xfId="1" applyFont="1"/>
    <xf numFmtId="44" fontId="42" fillId="0" borderId="24" xfId="1" applyFont="1" applyBorder="1" applyAlignment="1">
      <alignment horizontal="center" vertical="center"/>
    </xf>
    <xf numFmtId="0" fontId="55" fillId="3" borderId="41" xfId="0" applyFont="1" applyFill="1" applyBorder="1" applyAlignment="1" applyProtection="1">
      <alignment horizontal="center" vertical="center"/>
      <protection locked="0"/>
    </xf>
    <xf numFmtId="44" fontId="55" fillId="2" borderId="41" xfId="1" applyFont="1" applyFill="1" applyBorder="1" applyAlignment="1" applyProtection="1">
      <alignment horizontal="center" vertical="center"/>
    </xf>
    <xf numFmtId="44" fontId="36" fillId="0" borderId="0" xfId="0" applyNumberFormat="1" applyFont="1" applyAlignment="1">
      <alignment vertical="center"/>
    </xf>
    <xf numFmtId="44" fontId="11" fillId="7" borderId="0" xfId="1" applyFont="1" applyFill="1" applyAlignment="1">
      <alignment horizontal="center" vertical="center"/>
    </xf>
    <xf numFmtId="44" fontId="11" fillId="7" borderId="0" xfId="0" applyNumberFormat="1" applyFont="1" applyFill="1"/>
    <xf numFmtId="44" fontId="11" fillId="7" borderId="0" xfId="1" applyFont="1" applyFill="1"/>
    <xf numFmtId="0" fontId="0" fillId="61" borderId="32" xfId="0" applyFill="1" applyBorder="1" applyAlignment="1">
      <alignment horizontal="center" vertical="center"/>
    </xf>
    <xf numFmtId="44" fontId="34" fillId="0" borderId="24" xfId="1" applyFont="1" applyBorder="1" applyAlignment="1">
      <alignment horizontal="left" indent="1"/>
    </xf>
    <xf numFmtId="0" fontId="34" fillId="0" borderId="24" xfId="0" applyFont="1" applyBorder="1" applyAlignment="1">
      <alignment horizontal="center"/>
    </xf>
    <xf numFmtId="0" fontId="34" fillId="0" borderId="24" xfId="0" applyFont="1" applyBorder="1" applyAlignment="1">
      <alignment horizontal="left"/>
    </xf>
    <xf numFmtId="44" fontId="69" fillId="4" borderId="24" xfId="1" applyFont="1" applyFill="1" applyBorder="1"/>
    <xf numFmtId="44" fontId="34" fillId="4" borderId="24" xfId="1" applyFont="1" applyFill="1" applyBorder="1" applyAlignment="1">
      <alignment horizontal="left" indent="1"/>
    </xf>
    <xf numFmtId="44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44" fontId="12" fillId="0" borderId="0" xfId="0" applyNumberFormat="1" applyFont="1" applyAlignment="1">
      <alignment horizontal="center" vertical="center"/>
    </xf>
    <xf numFmtId="44" fontId="42" fillId="4" borderId="24" xfId="1" applyFont="1" applyFill="1" applyBorder="1" applyAlignment="1">
      <alignment horizontal="center" vertical="center"/>
    </xf>
    <xf numFmtId="44" fontId="70" fillId="0" borderId="0" xfId="0" applyNumberFormat="1" applyFont="1" applyAlignment="1">
      <alignment horizontal="center" vertical="center"/>
    </xf>
    <xf numFmtId="44" fontId="32" fillId="0" borderId="0" xfId="0" applyNumberFormat="1" applyFont="1" applyAlignment="1">
      <alignment horizontal="center" vertical="center"/>
    </xf>
    <xf numFmtId="9" fontId="11" fillId="7" borderId="0" xfId="2" applyFont="1" applyFill="1" applyBorder="1" applyAlignment="1">
      <alignment horizontal="center" vertical="center"/>
    </xf>
    <xf numFmtId="44" fontId="71" fillId="7" borderId="32" xfId="3" applyNumberFormat="1" applyFont="1" applyFill="1" applyBorder="1" applyAlignment="1">
      <alignment vertical="center"/>
    </xf>
    <xf numFmtId="44" fontId="8" fillId="42" borderId="24" xfId="1" applyFont="1" applyFill="1" applyBorder="1" applyAlignment="1" applyProtection="1">
      <alignment horizontal="center" vertical="center"/>
    </xf>
    <xf numFmtId="44" fontId="8" fillId="42" borderId="24" xfId="1" applyFont="1" applyFill="1" applyBorder="1" applyAlignment="1" applyProtection="1">
      <alignment horizontal="center" vertical="center" wrapText="1"/>
    </xf>
    <xf numFmtId="0" fontId="11" fillId="0" borderId="0" xfId="0" applyFont="1"/>
    <xf numFmtId="0" fontId="57" fillId="0" borderId="0" xfId="0" applyFont="1"/>
    <xf numFmtId="0" fontId="53" fillId="0" borderId="24" xfId="0" applyFont="1" applyBorder="1"/>
    <xf numFmtId="10" fontId="72" fillId="0" borderId="24" xfId="2" applyNumberFormat="1" applyFont="1" applyFill="1" applyBorder="1" applyAlignment="1">
      <alignment horizontal="center" vertical="center"/>
    </xf>
    <xf numFmtId="10" fontId="46" fillId="0" borderId="33" xfId="2" applyNumberFormat="1" applyFont="1" applyBorder="1" applyAlignment="1">
      <alignment horizontal="center" vertical="center"/>
    </xf>
    <xf numFmtId="44" fontId="53" fillId="39" borderId="24" xfId="1" applyFont="1" applyFill="1" applyBorder="1" applyAlignment="1" applyProtection="1">
      <alignment horizontal="center" vertical="center"/>
    </xf>
    <xf numFmtId="44" fontId="53" fillId="48" borderId="24" xfId="1" applyFont="1" applyFill="1" applyBorder="1" applyAlignment="1" applyProtection="1">
      <alignment horizontal="center" vertical="center"/>
    </xf>
    <xf numFmtId="2" fontId="53" fillId="48" borderId="24" xfId="1" applyNumberFormat="1" applyFont="1" applyFill="1" applyBorder="1" applyAlignment="1" applyProtection="1">
      <alignment horizontal="center" vertical="center"/>
    </xf>
    <xf numFmtId="44" fontId="53" fillId="48" borderId="24" xfId="1" applyFont="1" applyFill="1" applyBorder="1" applyAlignment="1" applyProtection="1">
      <alignment horizontal="center" vertical="center" wrapText="1"/>
    </xf>
    <xf numFmtId="44" fontId="53" fillId="39" borderId="24" xfId="1" applyFont="1" applyFill="1" applyBorder="1" applyAlignment="1" applyProtection="1">
      <alignment horizontal="center" vertical="center" wrapText="1"/>
    </xf>
    <xf numFmtId="9" fontId="53" fillId="0" borderId="24" xfId="2" applyFont="1" applyFill="1" applyBorder="1"/>
    <xf numFmtId="44" fontId="72" fillId="53" borderId="24" xfId="1" applyFont="1" applyFill="1" applyBorder="1" applyAlignment="1">
      <alignment horizontal="center" vertical="center"/>
    </xf>
    <xf numFmtId="9" fontId="72" fillId="0" borderId="24" xfId="2" applyFont="1" applyFill="1" applyBorder="1" applyAlignment="1">
      <alignment horizontal="center" vertical="center"/>
    </xf>
    <xf numFmtId="44" fontId="57" fillId="0" borderId="24" xfId="0" applyNumberFormat="1" applyFont="1" applyBorder="1"/>
    <xf numFmtId="44" fontId="34" fillId="0" borderId="24" xfId="1" applyFont="1" applyBorder="1" applyAlignment="1">
      <alignment horizontal="center"/>
    </xf>
    <xf numFmtId="9" fontId="28" fillId="0" borderId="0" xfId="2" applyFont="1"/>
    <xf numFmtId="9" fontId="34" fillId="7" borderId="24" xfId="2" applyFont="1" applyFill="1" applyBorder="1" applyAlignment="1" applyProtection="1">
      <alignment horizontal="center" vertical="center"/>
    </xf>
    <xf numFmtId="0" fontId="26" fillId="2" borderId="14" xfId="0" applyFont="1" applyFill="1" applyBorder="1" applyAlignment="1">
      <alignment horizontal="center" vertical="center"/>
    </xf>
    <xf numFmtId="0" fontId="26" fillId="2" borderId="30" xfId="0" applyFont="1" applyFill="1" applyBorder="1" applyAlignment="1">
      <alignment horizontal="center" vertical="center"/>
    </xf>
    <xf numFmtId="0" fontId="26" fillId="2" borderId="11" xfId="0" applyFont="1" applyFill="1" applyBorder="1" applyAlignment="1">
      <alignment horizontal="center" vertical="center"/>
    </xf>
    <xf numFmtId="0" fontId="34" fillId="7" borderId="24" xfId="0" applyFont="1" applyFill="1" applyBorder="1" applyAlignment="1" applyProtection="1">
      <alignment horizontal="center" vertical="center"/>
      <protection locked="0"/>
    </xf>
    <xf numFmtId="44" fontId="45" fillId="7" borderId="24" xfId="1" applyFont="1" applyFill="1" applyBorder="1" applyAlignment="1">
      <alignment horizontal="center" vertical="center"/>
    </xf>
    <xf numFmtId="44" fontId="35" fillId="7" borderId="25" xfId="3" applyNumberFormat="1" applyFont="1" applyFill="1" applyBorder="1" applyAlignment="1">
      <alignment horizontal="center" vertical="center"/>
    </xf>
    <xf numFmtId="44" fontId="35" fillId="7" borderId="26" xfId="3" applyNumberFormat="1" applyFont="1" applyFill="1" applyBorder="1" applyAlignment="1">
      <alignment horizontal="center" vertical="center"/>
    </xf>
    <xf numFmtId="44" fontId="35" fillId="7" borderId="27" xfId="3" applyNumberFormat="1" applyFont="1" applyFill="1" applyBorder="1" applyAlignment="1">
      <alignment horizontal="center" vertical="center"/>
    </xf>
    <xf numFmtId="44" fontId="45" fillId="7" borderId="25" xfId="1" applyFont="1" applyFill="1" applyBorder="1" applyAlignment="1">
      <alignment horizontal="center" vertical="center"/>
    </xf>
    <xf numFmtId="44" fontId="45" fillId="7" borderId="26" xfId="1" applyFont="1" applyFill="1" applyBorder="1" applyAlignment="1">
      <alignment horizontal="center" vertical="center"/>
    </xf>
    <xf numFmtId="44" fontId="35" fillId="7" borderId="24" xfId="3" applyNumberFormat="1" applyFont="1" applyFill="1" applyBorder="1" applyAlignment="1">
      <alignment horizontal="center" vertical="center"/>
    </xf>
    <xf numFmtId="0" fontId="34" fillId="7" borderId="36" xfId="0" applyFont="1" applyFill="1" applyBorder="1" applyAlignment="1" applyProtection="1">
      <alignment horizontal="center" vertical="center"/>
      <protection locked="0"/>
    </xf>
    <xf numFmtId="0" fontId="34" fillId="7" borderId="38" xfId="0" applyFont="1" applyFill="1" applyBorder="1" applyAlignment="1" applyProtection="1">
      <alignment horizontal="center" vertical="center"/>
      <protection locked="0"/>
    </xf>
    <xf numFmtId="0" fontId="6" fillId="43" borderId="3" xfId="0" applyFont="1" applyFill="1" applyBorder="1" applyAlignment="1">
      <alignment horizontal="center"/>
    </xf>
    <xf numFmtId="0" fontId="6" fillId="43" borderId="4" xfId="0" applyFont="1" applyFill="1" applyBorder="1" applyAlignment="1">
      <alignment horizontal="center"/>
    </xf>
    <xf numFmtId="0" fontId="34" fillId="7" borderId="27" xfId="0" applyFont="1" applyFill="1" applyBorder="1" applyAlignment="1" applyProtection="1">
      <alignment horizontal="center" vertical="center"/>
      <protection locked="0"/>
    </xf>
    <xf numFmtId="44" fontId="45" fillId="7" borderId="27" xfId="1" applyFont="1" applyFill="1" applyBorder="1" applyAlignment="1">
      <alignment horizontal="center" vertical="center"/>
    </xf>
    <xf numFmtId="9" fontId="34" fillId="7" borderId="27" xfId="2" applyFont="1" applyFill="1" applyBorder="1" applyAlignment="1" applyProtection="1">
      <alignment horizontal="center" vertical="center"/>
    </xf>
    <xf numFmtId="0" fontId="37" fillId="2" borderId="35" xfId="0" applyFont="1" applyFill="1" applyBorder="1" applyAlignment="1">
      <alignment horizontal="center" vertical="center" wrapText="1"/>
    </xf>
    <xf numFmtId="0" fontId="37" fillId="2" borderId="31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44" fontId="35" fillId="0" borderId="25" xfId="1" applyFont="1" applyBorder="1" applyAlignment="1">
      <alignment horizontal="center" vertical="center"/>
    </xf>
    <xf numFmtId="44" fontId="35" fillId="0" borderId="27" xfId="1" applyFont="1" applyBorder="1" applyAlignment="1">
      <alignment horizontal="center" vertical="center"/>
    </xf>
    <xf numFmtId="9" fontId="34" fillId="7" borderId="25" xfId="2" applyFont="1" applyFill="1" applyBorder="1" applyAlignment="1" applyProtection="1">
      <alignment horizontal="center" vertical="center"/>
    </xf>
    <xf numFmtId="0" fontId="32" fillId="0" borderId="0" xfId="0" applyFont="1" applyAlignment="1">
      <alignment horizontal="center"/>
    </xf>
    <xf numFmtId="0" fontId="32" fillId="0" borderId="31" xfId="0" applyFont="1" applyBorder="1" applyAlignment="1">
      <alignment horizontal="center"/>
    </xf>
    <xf numFmtId="0" fontId="2" fillId="44" borderId="0" xfId="0" applyFont="1" applyFill="1" applyAlignment="1">
      <alignment horizontal="center"/>
    </xf>
    <xf numFmtId="0" fontId="53" fillId="45" borderId="29" xfId="0" applyFont="1" applyFill="1" applyBorder="1" applyAlignment="1">
      <alignment horizontal="center"/>
    </xf>
    <xf numFmtId="0" fontId="53" fillId="45" borderId="39" xfId="0" applyFont="1" applyFill="1" applyBorder="1" applyAlignment="1">
      <alignment horizontal="center"/>
    </xf>
    <xf numFmtId="0" fontId="53" fillId="45" borderId="32" xfId="0" applyFont="1" applyFill="1" applyBorder="1" applyAlignment="1">
      <alignment horizontal="center"/>
    </xf>
    <xf numFmtId="0" fontId="64" fillId="0" borderId="47" xfId="0" applyFont="1" applyBorder="1" applyAlignment="1">
      <alignment vertical="center"/>
    </xf>
    <xf numFmtId="0" fontId="64" fillId="0" borderId="0" xfId="0" applyFont="1" applyAlignment="1">
      <alignment vertical="center"/>
    </xf>
    <xf numFmtId="0" fontId="66" fillId="0" borderId="49" xfId="0" applyFont="1" applyBorder="1" applyAlignment="1">
      <alignment horizontal="center"/>
    </xf>
    <xf numFmtId="0" fontId="27" fillId="0" borderId="12" xfId="0" applyFont="1" applyBorder="1" applyAlignment="1">
      <alignment horizontal="center" vertical="center" textRotation="90"/>
    </xf>
    <xf numFmtId="0" fontId="27" fillId="0" borderId="34" xfId="0" applyFont="1" applyBorder="1" applyAlignment="1">
      <alignment horizontal="center" vertical="center" textRotation="90"/>
    </xf>
    <xf numFmtId="0" fontId="27" fillId="0" borderId="7" xfId="0" applyFont="1" applyBorder="1" applyAlignment="1">
      <alignment horizontal="center" vertical="center" textRotation="90"/>
    </xf>
    <xf numFmtId="0" fontId="34" fillId="4" borderId="24" xfId="0" applyFont="1" applyFill="1" applyBorder="1" applyAlignment="1">
      <alignment horizontal="center"/>
    </xf>
    <xf numFmtId="44" fontId="34" fillId="4" borderId="24" xfId="1" applyFont="1" applyFill="1" applyBorder="1" applyAlignment="1">
      <alignment horizontal="center"/>
    </xf>
    <xf numFmtId="44" fontId="34" fillId="4" borderId="24" xfId="1" applyFont="1" applyFill="1" applyBorder="1"/>
    <xf numFmtId="44" fontId="61" fillId="4" borderId="24" xfId="1" applyFont="1" applyFill="1" applyBorder="1" applyAlignment="1">
      <alignment vertical="center"/>
    </xf>
    <xf numFmtId="9" fontId="61" fillId="4" borderId="24" xfId="2" applyFont="1" applyFill="1" applyBorder="1" applyAlignment="1">
      <alignment horizontal="center" vertical="center"/>
    </xf>
    <xf numFmtId="10" fontId="61" fillId="4" borderId="24" xfId="2" applyNumberFormat="1" applyFont="1" applyFill="1" applyBorder="1" applyAlignment="1">
      <alignment horizontal="center" vertical="center"/>
    </xf>
    <xf numFmtId="0" fontId="11" fillId="4" borderId="0" xfId="0" applyFont="1" applyFill="1"/>
    <xf numFmtId="44" fontId="28" fillId="4" borderId="0" xfId="1" applyFont="1" applyFill="1"/>
    <xf numFmtId="0" fontId="0" fillId="4" borderId="0" xfId="0" applyFill="1"/>
    <xf numFmtId="44" fontId="27" fillId="0" borderId="30" xfId="1" applyFont="1" applyFill="1" applyBorder="1"/>
  </cellXfs>
  <cellStyles count="57">
    <cellStyle name="20% - Énfasis1" xfId="22" builtinId="30" customBuiltin="1"/>
    <cellStyle name="20% - Énfasis2" xfId="26" builtinId="34" customBuiltin="1"/>
    <cellStyle name="20% - Énfasis3" xfId="30" builtinId="38" customBuiltin="1"/>
    <cellStyle name="20% - Énfasis4" xfId="34" builtinId="42" customBuiltin="1"/>
    <cellStyle name="20% - Énfasis5" xfId="38" builtinId="46" customBuiltin="1"/>
    <cellStyle name="20% - Énfasis6" xfId="42" builtinId="50" customBuiltin="1"/>
    <cellStyle name="40% - Énfasis1" xfId="23" builtinId="31" customBuiltin="1"/>
    <cellStyle name="40% - Énfasis2" xfId="27" builtinId="35" customBuiltin="1"/>
    <cellStyle name="40% - Énfasis3" xfId="31" builtinId="39" customBuiltin="1"/>
    <cellStyle name="40% - Énfasis4" xfId="35" builtinId="43" customBuiltin="1"/>
    <cellStyle name="40% - Énfasis5" xfId="39" builtinId="47" customBuiltin="1"/>
    <cellStyle name="40% - Énfasis6" xfId="43" builtinId="51" customBuiltin="1"/>
    <cellStyle name="60% - Énfasis1" xfId="24" builtinId="32" customBuiltin="1"/>
    <cellStyle name="60% - Énfasis2" xfId="28" builtinId="36" customBuiltin="1"/>
    <cellStyle name="60% - Énfasis3" xfId="32" builtinId="40" customBuiltin="1"/>
    <cellStyle name="60% - Énfasis4" xfId="36" builtinId="44" customBuiltin="1"/>
    <cellStyle name="60% - Énfasis5" xfId="40" builtinId="48" customBuiltin="1"/>
    <cellStyle name="60% - Énfasis6" xfId="44" builtinId="52" customBuiltin="1"/>
    <cellStyle name="Bueno" xfId="10" builtinId="26" customBuiltin="1"/>
    <cellStyle name="Cálculo" xfId="3" builtinId="22" customBuiltin="1"/>
    <cellStyle name="Celda de comprobación" xfId="16" builtinId="23" customBuiltin="1"/>
    <cellStyle name="Celda vinculada" xfId="15" builtinId="24" customBuiltin="1"/>
    <cellStyle name="Encabezado 1" xfId="6" builtinId="16" customBuiltin="1"/>
    <cellStyle name="Encabezado 4" xfId="9" builtinId="19" customBuiltin="1"/>
    <cellStyle name="Énfasis1" xfId="21" builtinId="29" customBuiltin="1"/>
    <cellStyle name="Énfasis2" xfId="25" builtinId="33" customBuiltin="1"/>
    <cellStyle name="Énfasis3" xfId="29" builtinId="37" customBuiltin="1"/>
    <cellStyle name="Énfasis4" xfId="33" builtinId="41" customBuiltin="1"/>
    <cellStyle name="Énfasis5" xfId="37" builtinId="45" customBuiltin="1"/>
    <cellStyle name="Énfasis6" xfId="41" builtinId="49" customBuiltin="1"/>
    <cellStyle name="Entrada" xfId="13" builtinId="20" customBuiltin="1"/>
    <cellStyle name="Incorrecto" xfId="11" builtinId="27" customBuiltin="1"/>
    <cellStyle name="Moneda" xfId="1" builtinId="4"/>
    <cellStyle name="Moneda 2" xfId="46" xr:uid="{EDE4000D-DC2C-4A17-9BE2-F9A75FC6E53C}"/>
    <cellStyle name="Moneda 2 2" xfId="52" xr:uid="{BDAFDD14-137F-45F6-8114-1987A4FDF15D}"/>
    <cellStyle name="Moneda 3" xfId="49" xr:uid="{6913285F-D54E-4DFC-9C1B-3E6F8EA1EBB2}"/>
    <cellStyle name="Moneda 3 2" xfId="53" xr:uid="{B17096D3-582D-4637-AD3F-9B1030CDC315}"/>
    <cellStyle name="Moneda 4" xfId="50" xr:uid="{C1E96A2D-B9AF-4C7C-AF9B-5D64F1D76E89}"/>
    <cellStyle name="Moneda 5" xfId="55" xr:uid="{1D5748C6-841D-4DDA-8522-C5C8A87F6740}"/>
    <cellStyle name="Neutral" xfId="12" builtinId="28" customBuiltin="1"/>
    <cellStyle name="Normal" xfId="0" builtinId="0"/>
    <cellStyle name="Normal 2" xfId="4" xr:uid="{00000000-0005-0000-0000-000023000000}"/>
    <cellStyle name="Normal 3" xfId="45" xr:uid="{00000000-0005-0000-0000-000024000000}"/>
    <cellStyle name="Normal 3 2" xfId="51" xr:uid="{8D4056CD-5EB3-45D8-84FC-9CE7E6D27B6E}"/>
    <cellStyle name="Normal 4" xfId="47" xr:uid="{25E4640D-3D8D-4A73-9D7C-F1EAC2391299}"/>
    <cellStyle name="Normal 5" xfId="48" xr:uid="{6A1A0662-C0A5-43DF-A765-F78F2E1D3CD0}"/>
    <cellStyle name="Normal 6" xfId="54" xr:uid="{E2A989C6-2E76-486E-8DAC-01CACD879C50}"/>
    <cellStyle name="Normal 7" xfId="56" xr:uid="{EF01A591-6BB8-45C4-9612-CB74D1BB0B94}"/>
    <cellStyle name="Notas" xfId="18" builtinId="10" customBuiltin="1"/>
    <cellStyle name="Porcentaje" xfId="2" builtinId="5"/>
    <cellStyle name="Salida" xfId="14" builtinId="21" customBuiltin="1"/>
    <cellStyle name="Texto de advertencia" xfId="17" builtinId="11" customBuiltin="1"/>
    <cellStyle name="Texto explicativo" xfId="19" builtinId="53" customBuiltin="1"/>
    <cellStyle name="Título" xfId="5" builtinId="15" customBuiltin="1"/>
    <cellStyle name="Título 2" xfId="7" builtinId="17" customBuiltin="1"/>
    <cellStyle name="Título 3" xfId="8" builtinId="18" customBuiltin="1"/>
    <cellStyle name="Total" xfId="20" builtinId="25" customBuiltin="1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CC9900"/>
      <color rgb="FFFF6600"/>
      <color rgb="FFD6C1FF"/>
      <color rgb="FF9966FF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/Mi%20unidad/0.-CELESTERRA/1.-KATA/7.-Comercial/Analisis%20Comercial/VENTAS%20DIARIAS%2007%2008%202022.xlsx" TargetMode="External"/><Relationship Id="rId1" Type="http://schemas.openxmlformats.org/officeDocument/2006/relationships/externalLinkPath" Target="file:///G:/Mi%20unidad/0.-CELESTERRA/1.-KATA/7.-Comercial/Analisis%20Comercial/VENTAS%20DIARIAS%2007%2008%20202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lesterrasadecv-my.sharepoint.com/personal/galonso_celesterra_com_mx/Documents/INVENTARIOS%20CELESTERRA/Desktop/RH/Respald%20o%20fidel/PROYECTO%20NOMINA/2025/DICIEMBRE/BASE%20DE%20COMISIONES%20DIC.xlsx" TargetMode="External"/><Relationship Id="rId1" Type="http://schemas.openxmlformats.org/officeDocument/2006/relationships/externalLinkPath" Target="https://celesterrasadecv-my.sharepoint.com/personal/galonso_celesterra_com_mx/Documents/INVENTARIOS%20CELESTERRA/Desktop/RH/Respald%20o%20fidel/PROYECTO%20NOMINA/2025/DICIEMBRE/BASE%20DE%20COMISIONES%20D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GUIMIENTO PRESUPUESTO"/>
      <sheetName val="REPORTE VENTAS"/>
      <sheetName val="PRESUPUESTO"/>
      <sheetName val="FILTROS"/>
      <sheetName val="TRAFICO"/>
      <sheetName val="VENTAS"/>
      <sheetName val="HISTORICO DE VENTAS POR ARTICUL"/>
      <sheetName val="RAPPI"/>
    </sheetNames>
    <sheetDataSet>
      <sheetData sheetId="0">
        <row r="5">
          <cell r="CD5" t="str">
            <v xml:space="preserve">VENTA </v>
          </cell>
        </row>
      </sheetData>
      <sheetData sheetId="1"/>
      <sheetData sheetId="2"/>
      <sheetData sheetId="3">
        <row r="1">
          <cell r="A1" t="str">
            <v>AÑO</v>
          </cell>
        </row>
        <row r="2">
          <cell r="A2">
            <v>2020</v>
          </cell>
        </row>
        <row r="3">
          <cell r="A3">
            <v>2021</v>
          </cell>
        </row>
        <row r="4">
          <cell r="A4">
            <v>2022</v>
          </cell>
        </row>
        <row r="5">
          <cell r="A5">
            <v>2023</v>
          </cell>
        </row>
        <row r="6">
          <cell r="A6">
            <v>2024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ERAL"/>
      <sheetName val="Sheet1"/>
      <sheetName val="SEMANA 4"/>
      <sheetName val="SEMANA 3"/>
      <sheetName val="SEMANA 2"/>
      <sheetName val="SEMANA 1"/>
      <sheetName val="PASTILLA"/>
      <sheetName val="DUSA"/>
      <sheetName val="CXO"/>
      <sheetName val="JUGUETES"/>
    </sheetNames>
    <sheetDataSet>
      <sheetData sheetId="0"/>
      <sheetData sheetId="1"/>
      <sheetData sheetId="2">
        <row r="19">
          <cell r="N19">
            <v>541.3347</v>
          </cell>
        </row>
      </sheetData>
      <sheetData sheetId="3">
        <row r="10">
          <cell r="O10">
            <v>463.62430000000006</v>
          </cell>
        </row>
        <row r="22">
          <cell r="O22">
            <v>350.0865</v>
          </cell>
        </row>
        <row r="24">
          <cell r="O24">
            <v>390.47420000000011</v>
          </cell>
        </row>
      </sheetData>
      <sheetData sheetId="4">
        <row r="6">
          <cell r="M6">
            <v>560.75099999999998</v>
          </cell>
        </row>
        <row r="7">
          <cell r="M7">
            <v>436.16969999999992</v>
          </cell>
        </row>
        <row r="18">
          <cell r="M18">
            <v>453.49049999999988</v>
          </cell>
        </row>
      </sheetData>
      <sheetData sheetId="5">
        <row r="6">
          <cell r="N6">
            <v>498.9667</v>
          </cell>
        </row>
        <row r="7">
          <cell r="N7">
            <v>578.49099999999999</v>
          </cell>
        </row>
        <row r="18">
          <cell r="N18">
            <v>367.67720000000008</v>
          </cell>
        </row>
        <row r="19">
          <cell r="N19">
            <v>423.06149999999997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E4850-5B93-4A38-BB27-CE52685937A9}">
  <dimension ref="A1:G15"/>
  <sheetViews>
    <sheetView topLeftCell="C1" workbookViewId="0">
      <pane ySplit="1" topLeftCell="A2" activePane="bottomLeft" state="frozen"/>
      <selection pane="bottomLeft" activeCell="F3" sqref="F3:F8"/>
    </sheetView>
  </sheetViews>
  <sheetFormatPr baseColWidth="10" defaultColWidth="9.1640625" defaultRowHeight="15" x14ac:dyDescent="0.2"/>
  <cols>
    <col min="1" max="1" width="20" style="74" bestFit="1" customWidth="1"/>
    <col min="2" max="2" width="21.1640625" style="74" bestFit="1" customWidth="1"/>
    <col min="3" max="3" width="20" style="75" bestFit="1" customWidth="1"/>
    <col min="4" max="4" width="16.5" style="73" bestFit="1" customWidth="1"/>
    <col min="5" max="5" width="31.1640625" style="73" bestFit="1" customWidth="1"/>
    <col min="6" max="6" width="11.6640625" style="73" bestFit="1" customWidth="1"/>
    <col min="7" max="7" width="92" style="74" bestFit="1" customWidth="1"/>
    <col min="8" max="16384" width="9.1640625" style="73"/>
  </cols>
  <sheetData>
    <row r="1" spans="1:7" x14ac:dyDescent="0.2">
      <c r="A1" s="72" t="s">
        <v>106</v>
      </c>
      <c r="B1" s="72" t="s">
        <v>107</v>
      </c>
      <c r="C1" s="72" t="s">
        <v>108</v>
      </c>
      <c r="D1" s="72" t="s">
        <v>15</v>
      </c>
      <c r="E1" s="72" t="s">
        <v>109</v>
      </c>
      <c r="F1" s="72" t="s">
        <v>15</v>
      </c>
      <c r="G1" s="72" t="s">
        <v>110</v>
      </c>
    </row>
    <row r="2" spans="1:7" x14ac:dyDescent="0.2">
      <c r="A2" s="74" t="s">
        <v>111</v>
      </c>
      <c r="B2" s="74" t="s">
        <v>112</v>
      </c>
      <c r="C2" s="75">
        <v>45716.986990741003</v>
      </c>
      <c r="D2" s="73">
        <v>306</v>
      </c>
      <c r="E2" s="76">
        <v>2000</v>
      </c>
      <c r="F2" s="77" t="s">
        <v>33</v>
      </c>
      <c r="G2" s="74" t="s">
        <v>113</v>
      </c>
    </row>
    <row r="3" spans="1:7" x14ac:dyDescent="0.2">
      <c r="A3" s="74" t="s">
        <v>114</v>
      </c>
      <c r="B3" s="74" t="s">
        <v>112</v>
      </c>
      <c r="C3" s="75">
        <v>45713.772094906999</v>
      </c>
      <c r="D3" s="73">
        <v>306</v>
      </c>
      <c r="E3" s="76">
        <v>1511</v>
      </c>
      <c r="F3" s="77" t="s">
        <v>33</v>
      </c>
      <c r="G3" s="74" t="s">
        <v>115</v>
      </c>
    </row>
    <row r="4" spans="1:7" x14ac:dyDescent="0.2">
      <c r="A4" s="74" t="s">
        <v>116</v>
      </c>
      <c r="B4" s="74" t="s">
        <v>112</v>
      </c>
      <c r="C4" s="75">
        <v>45713.554155092999</v>
      </c>
      <c r="D4" s="73">
        <v>300</v>
      </c>
      <c r="E4" s="78">
        <v>204</v>
      </c>
      <c r="F4" s="77" t="s">
        <v>31</v>
      </c>
      <c r="G4" s="74" t="s">
        <v>117</v>
      </c>
    </row>
    <row r="5" spans="1:7" x14ac:dyDescent="0.2">
      <c r="A5" s="74" t="s">
        <v>118</v>
      </c>
      <c r="B5" s="74" t="s">
        <v>112</v>
      </c>
      <c r="C5" s="75">
        <v>45712.729305556</v>
      </c>
      <c r="D5" s="73">
        <v>286</v>
      </c>
      <c r="E5" s="78">
        <v>580</v>
      </c>
      <c r="F5" s="77" t="s">
        <v>23</v>
      </c>
      <c r="G5" s="74" t="s">
        <v>119</v>
      </c>
    </row>
    <row r="6" spans="1:7" x14ac:dyDescent="0.2">
      <c r="A6" s="74" t="s">
        <v>120</v>
      </c>
      <c r="B6" s="74" t="s">
        <v>112</v>
      </c>
      <c r="C6" s="75">
        <v>45701.584861110998</v>
      </c>
      <c r="D6" s="73">
        <v>310</v>
      </c>
      <c r="E6" s="78">
        <v>449</v>
      </c>
      <c r="F6" s="77" t="s">
        <v>41</v>
      </c>
      <c r="G6" s="74" t="s">
        <v>121</v>
      </c>
    </row>
    <row r="7" spans="1:7" x14ac:dyDescent="0.2">
      <c r="A7" s="74" t="s">
        <v>122</v>
      </c>
      <c r="B7" s="74" t="s">
        <v>112</v>
      </c>
      <c r="C7" s="75">
        <v>45698.788622685002</v>
      </c>
      <c r="D7" s="73">
        <v>306</v>
      </c>
      <c r="E7" s="76">
        <v>449</v>
      </c>
      <c r="F7" s="77" t="s">
        <v>33</v>
      </c>
      <c r="G7" s="74" t="s">
        <v>123</v>
      </c>
    </row>
    <row r="8" spans="1:7" x14ac:dyDescent="0.2">
      <c r="A8" s="74" t="s">
        <v>124</v>
      </c>
      <c r="B8" s="74" t="s">
        <v>112</v>
      </c>
      <c r="C8" s="75">
        <v>45695.830891204001</v>
      </c>
      <c r="D8" s="73">
        <v>300</v>
      </c>
      <c r="E8" s="78">
        <v>198</v>
      </c>
      <c r="F8" s="77" t="s">
        <v>31</v>
      </c>
      <c r="G8" s="74" t="s">
        <v>125</v>
      </c>
    </row>
    <row r="9" spans="1:7" x14ac:dyDescent="0.2">
      <c r="A9" s="74" t="s">
        <v>126</v>
      </c>
      <c r="B9" s="74" t="s">
        <v>112</v>
      </c>
      <c r="C9" s="75">
        <v>45694.511701388998</v>
      </c>
      <c r="D9" s="73">
        <v>312</v>
      </c>
      <c r="E9" s="76">
        <v>920</v>
      </c>
      <c r="F9" s="77" t="s">
        <v>40</v>
      </c>
      <c r="G9" s="74" t="s">
        <v>127</v>
      </c>
    </row>
    <row r="10" spans="1:7" x14ac:dyDescent="0.2">
      <c r="A10" s="74" t="s">
        <v>128</v>
      </c>
      <c r="B10" s="74" t="s">
        <v>129</v>
      </c>
      <c r="C10" s="75">
        <v>45693.397997685002</v>
      </c>
      <c r="D10" s="73">
        <v>312</v>
      </c>
      <c r="E10" s="76">
        <v>7100</v>
      </c>
      <c r="F10" s="77" t="s">
        <v>40</v>
      </c>
      <c r="G10" s="74" t="s">
        <v>130</v>
      </c>
    </row>
    <row r="11" spans="1:7" x14ac:dyDescent="0.2">
      <c r="A11" s="74" t="s">
        <v>131</v>
      </c>
      <c r="B11" s="74" t="s">
        <v>129</v>
      </c>
      <c r="C11" s="75">
        <v>45692.584386574003</v>
      </c>
      <c r="D11" s="73">
        <v>312</v>
      </c>
      <c r="E11" s="76">
        <v>860</v>
      </c>
      <c r="F11" s="77" t="s">
        <v>40</v>
      </c>
      <c r="G11" s="74" t="s">
        <v>132</v>
      </c>
    </row>
    <row r="12" spans="1:7" x14ac:dyDescent="0.2">
      <c r="A12" s="74" t="s">
        <v>133</v>
      </c>
      <c r="B12" s="74" t="s">
        <v>129</v>
      </c>
      <c r="C12" s="75">
        <v>45692.471412036997</v>
      </c>
      <c r="D12" s="73">
        <v>312</v>
      </c>
      <c r="E12" s="76">
        <v>900</v>
      </c>
      <c r="F12" s="77" t="s">
        <v>40</v>
      </c>
      <c r="G12" s="74" t="s">
        <v>134</v>
      </c>
    </row>
    <row r="13" spans="1:7" x14ac:dyDescent="0.2">
      <c r="A13" s="74" t="s">
        <v>135</v>
      </c>
      <c r="B13" s="74" t="s">
        <v>112</v>
      </c>
      <c r="C13" s="75">
        <v>45691.816585647997</v>
      </c>
      <c r="D13" s="73">
        <v>306</v>
      </c>
      <c r="E13" s="76">
        <v>250</v>
      </c>
      <c r="F13" s="77" t="s">
        <v>33</v>
      </c>
      <c r="G13" s="74" t="s">
        <v>136</v>
      </c>
    </row>
    <row r="14" spans="1:7" x14ac:dyDescent="0.2">
      <c r="E14" s="76"/>
    </row>
    <row r="15" spans="1:7" x14ac:dyDescent="0.2">
      <c r="E15" s="76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499984740745262"/>
  </sheetPr>
  <dimension ref="B1:X100"/>
  <sheetViews>
    <sheetView showGridLines="0" tabSelected="1" topLeftCell="H55" zoomScale="80" zoomScaleNormal="80" workbookViewId="0">
      <selection activeCell="P65" sqref="P65"/>
    </sheetView>
  </sheetViews>
  <sheetFormatPr baseColWidth="10" defaultColWidth="11.5" defaultRowHeight="21" x14ac:dyDescent="0.2"/>
  <cols>
    <col min="1" max="1" width="4.33203125" customWidth="1"/>
    <col min="2" max="2" width="66.5" bestFit="1" customWidth="1"/>
    <col min="3" max="3" width="35.83203125" style="23" bestFit="1" customWidth="1"/>
    <col min="4" max="4" width="42.6640625" style="3" customWidth="1"/>
    <col min="5" max="5" width="23.5" customWidth="1"/>
    <col min="6" max="6" width="57.33203125" customWidth="1"/>
    <col min="7" max="7" width="24.5" style="11" customWidth="1"/>
    <col min="8" max="8" width="31" style="9" customWidth="1"/>
    <col min="9" max="9" width="33.83203125" style="6" customWidth="1"/>
    <col min="10" max="10" width="40.83203125" customWidth="1"/>
    <col min="11" max="11" width="22.1640625" style="1" customWidth="1"/>
    <col min="12" max="12" width="31.5" style="1" customWidth="1"/>
    <col min="13" max="13" width="22.1640625" customWidth="1"/>
    <col min="14" max="14" width="20" customWidth="1"/>
    <col min="15" max="15" width="31.6640625" customWidth="1"/>
    <col min="16" max="16" width="31.33203125" bestFit="1" customWidth="1"/>
    <col min="17" max="17" width="34.83203125" style="135" customWidth="1"/>
    <col min="18" max="18" width="34.83203125" style="8" customWidth="1"/>
    <col min="19" max="19" width="34.5" style="67" customWidth="1"/>
    <col min="20" max="20" width="35.1640625" customWidth="1"/>
    <col min="21" max="21" width="17.1640625" bestFit="1" customWidth="1"/>
    <col min="22" max="22" width="17.83203125" bestFit="1" customWidth="1"/>
    <col min="24" max="24" width="14.5" bestFit="1" customWidth="1"/>
  </cols>
  <sheetData>
    <row r="1" spans="2:21" x14ac:dyDescent="0.2">
      <c r="I1" s="6" t="s">
        <v>182</v>
      </c>
    </row>
    <row r="2" spans="2:21" ht="43.5" customHeight="1" x14ac:dyDescent="0.2">
      <c r="H2" s="123" t="s">
        <v>11</v>
      </c>
      <c r="I2" s="124" t="s">
        <v>48</v>
      </c>
      <c r="J2" s="125" t="s">
        <v>50</v>
      </c>
      <c r="K2" s="124" t="s">
        <v>49</v>
      </c>
      <c r="L2" s="124" t="s">
        <v>14</v>
      </c>
      <c r="M2" s="125" t="s">
        <v>216</v>
      </c>
      <c r="N2" s="134"/>
      <c r="O2" s="134"/>
      <c r="P2" s="134"/>
      <c r="S2" s="65"/>
    </row>
    <row r="3" spans="2:21" ht="27" thickBot="1" x14ac:dyDescent="0.35">
      <c r="H3" s="116" t="s">
        <v>56</v>
      </c>
      <c r="I3" s="117">
        <v>0</v>
      </c>
      <c r="J3" s="117">
        <v>0</v>
      </c>
      <c r="K3" s="117">
        <v>0</v>
      </c>
      <c r="L3" s="117">
        <v>0</v>
      </c>
      <c r="M3" s="117">
        <v>0</v>
      </c>
      <c r="N3" s="134"/>
      <c r="O3" s="134"/>
      <c r="P3" s="134"/>
      <c r="S3" s="65"/>
    </row>
    <row r="4" spans="2:21" ht="26" x14ac:dyDescent="0.3">
      <c r="B4" s="234" t="s">
        <v>0</v>
      </c>
      <c r="C4" s="235"/>
      <c r="D4" s="235"/>
      <c r="E4" s="235"/>
      <c r="F4" s="235"/>
      <c r="H4" s="118" t="s">
        <v>51</v>
      </c>
      <c r="I4" s="119">
        <v>5.0000000000000001E-3</v>
      </c>
      <c r="J4" s="119">
        <v>5.0000000000000001E-3</v>
      </c>
      <c r="K4" s="120">
        <v>0.03</v>
      </c>
      <c r="L4" s="120">
        <v>0.01</v>
      </c>
      <c r="M4" s="120">
        <v>0.03</v>
      </c>
      <c r="N4" s="134"/>
      <c r="O4" s="134"/>
      <c r="P4" s="134"/>
      <c r="Q4" s="134"/>
      <c r="R4" s="4"/>
      <c r="S4" s="65"/>
    </row>
    <row r="5" spans="2:21" ht="26" x14ac:dyDescent="0.3">
      <c r="B5" s="103"/>
      <c r="C5" s="104" t="s">
        <v>1</v>
      </c>
      <c r="D5" s="105" t="s">
        <v>2</v>
      </c>
      <c r="E5" s="106" t="s">
        <v>3</v>
      </c>
      <c r="F5" s="107" t="s">
        <v>4</v>
      </c>
      <c r="H5" s="116" t="s">
        <v>52</v>
      </c>
      <c r="I5" s="117">
        <v>0.01</v>
      </c>
      <c r="J5" s="121">
        <v>7.4999999999999997E-3</v>
      </c>
      <c r="K5" s="122">
        <v>4.4999999999999998E-2</v>
      </c>
      <c r="L5" s="122">
        <v>1.4999999999999999E-2</v>
      </c>
      <c r="M5" s="122">
        <v>4.4999999999999998E-2</v>
      </c>
      <c r="N5" s="134"/>
      <c r="O5" s="134"/>
      <c r="P5" s="134"/>
      <c r="Q5" s="134"/>
      <c r="R5" s="4"/>
      <c r="S5" s="65"/>
    </row>
    <row r="6" spans="2:21" ht="33.75" customHeight="1" thickBot="1" x14ac:dyDescent="0.35">
      <c r="B6" s="108" t="s">
        <v>5</v>
      </c>
      <c r="C6" s="109" t="s">
        <v>6</v>
      </c>
      <c r="D6" s="110" t="s">
        <v>7</v>
      </c>
      <c r="E6" s="109" t="s">
        <v>8</v>
      </c>
      <c r="F6" s="111" t="s">
        <v>9</v>
      </c>
      <c r="H6" s="116" t="s">
        <v>53</v>
      </c>
      <c r="I6" s="117">
        <v>0.02</v>
      </c>
      <c r="J6" s="117">
        <v>0.01</v>
      </c>
      <c r="K6" s="117">
        <v>0.06</v>
      </c>
      <c r="L6" s="117">
        <v>0.02</v>
      </c>
      <c r="M6" s="117">
        <v>0.06</v>
      </c>
      <c r="N6" s="134"/>
      <c r="O6" s="134"/>
      <c r="P6" s="134"/>
      <c r="Q6" s="134"/>
      <c r="R6" s="4"/>
      <c r="S6" s="65"/>
    </row>
    <row r="7" spans="2:21" ht="35.25" customHeight="1" x14ac:dyDescent="0.3">
      <c r="B7" s="112" t="s">
        <v>10</v>
      </c>
      <c r="C7" s="113">
        <v>7.4999999999999997E-3</v>
      </c>
      <c r="D7" s="114">
        <v>1.2500000000000001E-2</v>
      </c>
      <c r="E7" s="115">
        <v>0.02</v>
      </c>
      <c r="F7" s="115">
        <v>2.5000000000000001E-2</v>
      </c>
      <c r="H7" s="116" t="s">
        <v>54</v>
      </c>
      <c r="I7" s="122">
        <v>2.5000000000000001E-2</v>
      </c>
      <c r="J7" s="117">
        <v>0.01</v>
      </c>
      <c r="K7" s="117">
        <v>0.06</v>
      </c>
      <c r="L7" s="117">
        <v>0.02</v>
      </c>
      <c r="M7" s="117">
        <v>0.06</v>
      </c>
      <c r="N7" s="134"/>
      <c r="O7" s="134"/>
      <c r="P7" s="134"/>
      <c r="Q7" s="132"/>
      <c r="R7" s="7"/>
      <c r="S7" s="66"/>
    </row>
    <row r="8" spans="2:21" x14ac:dyDescent="0.2">
      <c r="B8" s="11"/>
      <c r="D8" s="20"/>
      <c r="E8" s="12"/>
      <c r="F8" s="13"/>
      <c r="G8" s="9"/>
    </row>
    <row r="9" spans="2:21" ht="30.75" customHeight="1" x14ac:dyDescent="0.2">
      <c r="E9" s="1"/>
      <c r="Q9" s="200"/>
    </row>
    <row r="10" spans="2:21" ht="30.75" customHeight="1" thickBot="1" x14ac:dyDescent="0.25">
      <c r="B10" s="129"/>
      <c r="C10" s="129"/>
      <c r="D10" s="129"/>
      <c r="E10" s="184"/>
      <c r="F10" s="129"/>
      <c r="G10" s="140"/>
      <c r="H10" s="129"/>
    </row>
    <row r="11" spans="2:21" s="2" customFormat="1" ht="45" customHeight="1" x14ac:dyDescent="0.2">
      <c r="C11" s="126" t="s">
        <v>144</v>
      </c>
      <c r="D11" s="127" t="s">
        <v>145</v>
      </c>
      <c r="E11" s="128" t="s">
        <v>146</v>
      </c>
      <c r="F11" s="221" t="s">
        <v>11</v>
      </c>
      <c r="G11" s="222"/>
      <c r="H11" s="223"/>
      <c r="I11" s="239" t="s">
        <v>137</v>
      </c>
      <c r="J11" s="240"/>
      <c r="K11" s="240"/>
      <c r="L11" s="240"/>
      <c r="M11" s="241"/>
      <c r="N11" s="44"/>
      <c r="O11" s="44"/>
      <c r="P11" s="22" t="s">
        <v>90</v>
      </c>
      <c r="Q11" s="185"/>
      <c r="R11" s="186"/>
      <c r="S11" s="8"/>
      <c r="T11" s="8"/>
      <c r="U11" s="8"/>
    </row>
    <row r="12" spans="2:21" s="3" customFormat="1" ht="60" x14ac:dyDescent="0.2">
      <c r="B12" s="85" t="s">
        <v>15</v>
      </c>
      <c r="C12" s="86" t="s">
        <v>16</v>
      </c>
      <c r="D12" s="87" t="s">
        <v>17</v>
      </c>
      <c r="E12" s="88" t="s">
        <v>17</v>
      </c>
      <c r="F12" s="89" t="s">
        <v>18</v>
      </c>
      <c r="G12" s="90" t="s">
        <v>19</v>
      </c>
      <c r="H12" s="91" t="s">
        <v>39</v>
      </c>
      <c r="I12" s="81" t="s">
        <v>76</v>
      </c>
      <c r="J12" s="82" t="s">
        <v>12</v>
      </c>
      <c r="K12" s="82" t="s">
        <v>13</v>
      </c>
      <c r="L12" s="82" t="s">
        <v>14</v>
      </c>
      <c r="M12" s="82" t="s">
        <v>201</v>
      </c>
      <c r="N12" s="83" t="s">
        <v>93</v>
      </c>
      <c r="O12" s="83" t="s">
        <v>215</v>
      </c>
      <c r="P12" s="84" t="s">
        <v>94</v>
      </c>
      <c r="Q12" s="133" t="s">
        <v>147</v>
      </c>
      <c r="R12" s="131" t="s">
        <v>148</v>
      </c>
      <c r="S12" s="8"/>
      <c r="T12" s="8"/>
      <c r="U12" s="8"/>
    </row>
    <row r="13" spans="2:21" ht="26" x14ac:dyDescent="0.25">
      <c r="B13" s="236" t="s">
        <v>20</v>
      </c>
      <c r="C13" s="237">
        <v>185000</v>
      </c>
      <c r="D13" s="228">
        <v>186925.29999999981</v>
      </c>
      <c r="E13" s="238">
        <f>D13/C13</f>
        <v>1.010407027027026</v>
      </c>
      <c r="F13" s="190" t="s">
        <v>141</v>
      </c>
      <c r="G13" s="218">
        <v>5689.6500000000005</v>
      </c>
      <c r="H13" s="172"/>
      <c r="I13" s="179"/>
      <c r="J13" s="179"/>
      <c r="K13" s="179"/>
      <c r="L13" s="179"/>
      <c r="M13" s="179"/>
      <c r="N13" s="179"/>
      <c r="O13" s="179"/>
      <c r="P13" s="130">
        <f>SUM(I13:O13)</f>
        <v>0</v>
      </c>
      <c r="Q13" s="137"/>
      <c r="R13" s="137"/>
      <c r="S13" s="8"/>
      <c r="T13" s="8"/>
      <c r="U13" s="8"/>
    </row>
    <row r="14" spans="2:21" ht="26" x14ac:dyDescent="0.25">
      <c r="B14" s="236"/>
      <c r="C14" s="237"/>
      <c r="D14" s="228"/>
      <c r="E14" s="238"/>
      <c r="F14" s="190" t="s">
        <v>143</v>
      </c>
      <c r="G14" s="218">
        <v>181235.64999999982</v>
      </c>
      <c r="H14" s="172"/>
      <c r="I14" s="179">
        <f>G14*E7</f>
        <v>3624.7129999999966</v>
      </c>
      <c r="J14" s="179">
        <v>295.68949999999995</v>
      </c>
      <c r="K14" s="179">
        <v>4414.2468000000008</v>
      </c>
      <c r="L14" s="179">
        <v>527.2392000000001</v>
      </c>
      <c r="M14" s="179">
        <v>1420.8714</v>
      </c>
      <c r="N14" s="179">
        <f>'[2]SEMANA 2'!$M$6+'[2]SEMANA 1'!$N$6</f>
        <v>1059.7176999999999</v>
      </c>
      <c r="O14" s="179"/>
      <c r="P14" s="130">
        <f t="shared" ref="P14:P77" si="0">SUM(I14:O14)</f>
        <v>11342.477599999997</v>
      </c>
      <c r="Q14" s="137">
        <f>P14/D13</f>
        <v>6.0679199658901214E-2</v>
      </c>
      <c r="R14" s="138">
        <f>P14/$D$91</f>
        <v>4.7402311625046115E-3</v>
      </c>
      <c r="S14" s="8"/>
      <c r="T14" s="8"/>
      <c r="U14" s="8"/>
    </row>
    <row r="15" spans="2:21" ht="26" x14ac:dyDescent="0.25">
      <c r="B15" s="236"/>
      <c r="C15" s="237"/>
      <c r="D15" s="228"/>
      <c r="E15" s="238"/>
      <c r="F15" s="190"/>
      <c r="G15" s="218"/>
      <c r="H15" s="172"/>
      <c r="I15" s="179"/>
      <c r="J15" s="179"/>
      <c r="K15" s="179"/>
      <c r="L15" s="179"/>
      <c r="M15" s="179"/>
      <c r="N15" s="179"/>
      <c r="O15" s="179"/>
      <c r="P15" s="130">
        <f t="shared" si="0"/>
        <v>0</v>
      </c>
      <c r="Q15" s="137"/>
      <c r="R15" s="137"/>
      <c r="S15" s="8"/>
      <c r="T15" s="8"/>
      <c r="U15" s="8"/>
    </row>
    <row r="16" spans="2:21" ht="26" x14ac:dyDescent="0.25">
      <c r="B16" s="236"/>
      <c r="C16" s="237"/>
      <c r="D16" s="228"/>
      <c r="E16" s="238"/>
      <c r="F16" s="190"/>
      <c r="G16" s="218"/>
      <c r="H16" s="172"/>
      <c r="I16" s="179"/>
      <c r="J16" s="179"/>
      <c r="K16" s="179"/>
      <c r="L16" s="179"/>
      <c r="M16" s="179"/>
      <c r="N16" s="179"/>
      <c r="O16" s="179"/>
      <c r="P16" s="130">
        <f t="shared" si="0"/>
        <v>0</v>
      </c>
      <c r="Q16" s="137"/>
      <c r="R16" s="137"/>
      <c r="S16" s="8"/>
      <c r="T16" s="8"/>
      <c r="U16" s="8"/>
    </row>
    <row r="17" spans="2:22" ht="26" x14ac:dyDescent="0.25">
      <c r="B17" s="224"/>
      <c r="C17" s="225"/>
      <c r="D17" s="231"/>
      <c r="E17" s="220"/>
      <c r="F17" s="190"/>
      <c r="G17" s="218"/>
      <c r="H17" s="172"/>
      <c r="I17" s="179"/>
      <c r="J17" s="179"/>
      <c r="K17" s="179"/>
      <c r="L17" s="179"/>
      <c r="M17" s="179"/>
      <c r="N17" s="179"/>
      <c r="O17" s="179"/>
      <c r="P17" s="130">
        <f t="shared" si="0"/>
        <v>0</v>
      </c>
      <c r="Q17" s="137"/>
      <c r="R17" s="138"/>
      <c r="S17" s="8"/>
      <c r="T17" s="8"/>
      <c r="U17" s="8"/>
      <c r="V17" s="5"/>
    </row>
    <row r="18" spans="2:22" ht="27.75" customHeight="1" x14ac:dyDescent="0.25">
      <c r="B18" s="224"/>
      <c r="C18" s="225"/>
      <c r="D18" s="231"/>
      <c r="E18" s="220"/>
      <c r="F18" s="190"/>
      <c r="G18" s="218"/>
      <c r="H18" s="172"/>
      <c r="I18" s="179"/>
      <c r="J18" s="179"/>
      <c r="K18" s="179"/>
      <c r="L18" s="179"/>
      <c r="M18" s="179"/>
      <c r="N18" s="179"/>
      <c r="O18" s="179"/>
      <c r="P18" s="130">
        <f t="shared" si="0"/>
        <v>0</v>
      </c>
      <c r="Q18" s="137"/>
      <c r="R18" s="138"/>
      <c r="S18" s="8"/>
      <c r="T18" s="8"/>
      <c r="U18" s="8"/>
      <c r="V18" s="5"/>
    </row>
    <row r="19" spans="2:22" ht="30" customHeight="1" x14ac:dyDescent="0.25">
      <c r="B19" s="224" t="s">
        <v>28</v>
      </c>
      <c r="C19" s="225">
        <v>180000</v>
      </c>
      <c r="D19" s="226">
        <v>194209.57999999984</v>
      </c>
      <c r="E19" s="220">
        <f>D19/C19</f>
        <v>1.0789421111111102</v>
      </c>
      <c r="F19" s="190" t="s">
        <v>91</v>
      </c>
      <c r="G19" s="218">
        <v>35900.829999999994</v>
      </c>
      <c r="H19" s="172"/>
      <c r="I19" s="179"/>
      <c r="J19" s="179"/>
      <c r="K19" s="179"/>
      <c r="L19" s="179"/>
      <c r="M19" s="179"/>
      <c r="N19" s="179"/>
      <c r="O19" s="179"/>
      <c r="P19" s="130">
        <f t="shared" si="0"/>
        <v>0</v>
      </c>
      <c r="Q19" s="137"/>
      <c r="R19" s="138"/>
      <c r="S19" s="8"/>
      <c r="T19" s="8"/>
      <c r="U19" s="8"/>
      <c r="V19" s="5"/>
    </row>
    <row r="20" spans="2:22" ht="30" customHeight="1" x14ac:dyDescent="0.25">
      <c r="B20" s="224"/>
      <c r="C20" s="225"/>
      <c r="D20" s="227"/>
      <c r="E20" s="220"/>
      <c r="F20" s="190" t="s">
        <v>98</v>
      </c>
      <c r="G20" s="218">
        <v>158308.7499999998</v>
      </c>
      <c r="H20" s="172"/>
      <c r="I20" s="179">
        <f>G20*E7</f>
        <v>3166.1749999999961</v>
      </c>
      <c r="J20" s="179">
        <v>224.99990000000003</v>
      </c>
      <c r="K20" s="179">
        <v>3106.5875999999994</v>
      </c>
      <c r="L20" s="179">
        <v>735.85679999999991</v>
      </c>
      <c r="M20" s="179">
        <v>1767.4254000000001</v>
      </c>
      <c r="N20" s="179">
        <f>'[2]SEMANA 2'!$M$7+'[2]SEMANA 1'!$N$7</f>
        <v>1014.6606999999999</v>
      </c>
      <c r="O20" s="179"/>
      <c r="P20" s="130">
        <f t="shared" si="0"/>
        <v>10015.705399999995</v>
      </c>
      <c r="Q20" s="137">
        <f>P20/D19</f>
        <v>5.1571634107854016E-2</v>
      </c>
      <c r="R20" s="138">
        <f>P20/$D$91</f>
        <v>4.1857485221346797E-3</v>
      </c>
      <c r="S20" s="8"/>
      <c r="T20" s="8"/>
      <c r="U20" s="8"/>
      <c r="V20" s="5"/>
    </row>
    <row r="21" spans="2:22" ht="30" customHeight="1" x14ac:dyDescent="0.3">
      <c r="B21" s="224"/>
      <c r="C21" s="225"/>
      <c r="D21" s="227"/>
      <c r="E21" s="220"/>
      <c r="F21" s="190"/>
      <c r="G21" s="218"/>
      <c r="H21" s="172"/>
      <c r="I21" s="179"/>
      <c r="J21" s="179"/>
      <c r="K21" s="179"/>
      <c r="L21" s="179"/>
      <c r="M21" s="179"/>
      <c r="N21" s="179"/>
      <c r="O21" s="179"/>
      <c r="P21" s="130">
        <f t="shared" si="0"/>
        <v>0</v>
      </c>
      <c r="Q21" s="141"/>
      <c r="R21" s="142"/>
      <c r="S21" s="8"/>
      <c r="T21" s="8"/>
      <c r="U21" s="8"/>
      <c r="V21" s="71"/>
    </row>
    <row r="22" spans="2:22" ht="26.25" customHeight="1" x14ac:dyDescent="0.3">
      <c r="B22" s="224"/>
      <c r="C22" s="225"/>
      <c r="D22" s="228"/>
      <c r="E22" s="220"/>
      <c r="F22" s="190"/>
      <c r="G22" s="218"/>
      <c r="H22" s="172"/>
      <c r="I22" s="179"/>
      <c r="J22" s="179"/>
      <c r="K22" s="179"/>
      <c r="L22" s="179"/>
      <c r="M22" s="179"/>
      <c r="N22" s="179"/>
      <c r="O22" s="179"/>
      <c r="P22" s="130">
        <f t="shared" si="0"/>
        <v>0</v>
      </c>
      <c r="Q22" s="141"/>
      <c r="R22" s="142"/>
      <c r="S22" s="8"/>
      <c r="T22" s="8"/>
      <c r="U22" s="8"/>
      <c r="V22" s="71"/>
    </row>
    <row r="23" spans="2:22" ht="30" customHeight="1" x14ac:dyDescent="0.3">
      <c r="B23" s="224" t="s">
        <v>27</v>
      </c>
      <c r="C23" s="225">
        <v>130000</v>
      </c>
      <c r="D23" s="226">
        <v>126090.93999999994</v>
      </c>
      <c r="E23" s="220">
        <f>D23/C23</f>
        <v>0.96993030769230726</v>
      </c>
      <c r="F23" s="190" t="s">
        <v>141</v>
      </c>
      <c r="G23" s="218">
        <v>8642.25</v>
      </c>
      <c r="H23" s="172"/>
      <c r="I23" s="179"/>
      <c r="J23" s="179"/>
      <c r="K23" s="179"/>
      <c r="L23" s="179"/>
      <c r="M23" s="179"/>
      <c r="N23" s="179"/>
      <c r="O23" s="179"/>
      <c r="P23" s="130">
        <f t="shared" si="0"/>
        <v>0</v>
      </c>
      <c r="Q23" s="137"/>
      <c r="R23" s="138"/>
      <c r="S23" s="187"/>
      <c r="T23" s="186"/>
      <c r="U23" s="8"/>
      <c r="V23" s="71"/>
    </row>
    <row r="24" spans="2:22" ht="30" customHeight="1" x14ac:dyDescent="0.3">
      <c r="B24" s="224"/>
      <c r="C24" s="225"/>
      <c r="D24" s="227"/>
      <c r="E24" s="220"/>
      <c r="F24" s="190" t="s">
        <v>214</v>
      </c>
      <c r="G24" s="218">
        <v>12370.680000000002</v>
      </c>
      <c r="H24" s="172"/>
      <c r="I24" s="179"/>
      <c r="J24" s="179"/>
      <c r="K24" s="179"/>
      <c r="L24" s="179"/>
      <c r="M24" s="179"/>
      <c r="N24" s="179"/>
      <c r="O24" s="179"/>
      <c r="P24" s="130">
        <f t="shared" si="0"/>
        <v>0</v>
      </c>
      <c r="Q24" s="137"/>
      <c r="R24" s="138"/>
      <c r="S24" s="187"/>
      <c r="T24" s="186"/>
      <c r="U24" s="8"/>
      <c r="V24" s="71"/>
    </row>
    <row r="25" spans="2:22" ht="30" customHeight="1" x14ac:dyDescent="0.3">
      <c r="B25" s="224"/>
      <c r="C25" s="225"/>
      <c r="D25" s="227"/>
      <c r="E25" s="220"/>
      <c r="F25" s="190" t="s">
        <v>46</v>
      </c>
      <c r="G25" s="218">
        <v>96314.499999999971</v>
      </c>
      <c r="H25" s="172"/>
      <c r="I25" s="179">
        <f>G25*E7</f>
        <v>1926.2899999999995</v>
      </c>
      <c r="J25" s="179">
        <v>99.137800000000013</v>
      </c>
      <c r="K25" s="179">
        <v>2460.2597999999994</v>
      </c>
      <c r="L25" s="179">
        <v>456.03060000000022</v>
      </c>
      <c r="M25" s="179">
        <v>311.89859999999999</v>
      </c>
      <c r="N25" s="179"/>
      <c r="O25" s="179"/>
      <c r="P25" s="130">
        <f t="shared" si="0"/>
        <v>5253.6167999999998</v>
      </c>
      <c r="Q25" s="137">
        <f>P25/D23</f>
        <v>4.1665299663877532E-2</v>
      </c>
      <c r="R25" s="138">
        <f>P25/$D$91</f>
        <v>2.1955836237417623E-3</v>
      </c>
      <c r="S25" s="187"/>
      <c r="T25" s="186"/>
      <c r="U25" s="8"/>
      <c r="V25" s="71"/>
    </row>
    <row r="26" spans="2:22" ht="30" customHeight="1" x14ac:dyDescent="0.3">
      <c r="B26" s="224"/>
      <c r="C26" s="225"/>
      <c r="D26" s="227"/>
      <c r="E26" s="220"/>
      <c r="F26" s="190" t="s">
        <v>218</v>
      </c>
      <c r="G26" s="218">
        <v>8763.51</v>
      </c>
      <c r="H26" s="172"/>
      <c r="I26" s="179"/>
      <c r="J26" s="179"/>
      <c r="K26" s="179"/>
      <c r="L26" s="179"/>
      <c r="M26" s="179"/>
      <c r="N26" s="179"/>
      <c r="O26" s="179"/>
      <c r="P26" s="130">
        <f t="shared" si="0"/>
        <v>0</v>
      </c>
      <c r="Q26" s="137"/>
      <c r="R26" s="138"/>
      <c r="S26" s="8"/>
      <c r="T26" s="8"/>
      <c r="U26" s="8"/>
      <c r="V26" s="71"/>
    </row>
    <row r="27" spans="2:22" ht="30" customHeight="1" x14ac:dyDescent="0.25">
      <c r="B27" s="224"/>
      <c r="C27" s="225"/>
      <c r="D27" s="227"/>
      <c r="E27" s="220"/>
      <c r="F27" s="190"/>
      <c r="G27" s="218"/>
      <c r="H27" s="172"/>
      <c r="I27" s="179"/>
      <c r="J27" s="179"/>
      <c r="K27" s="179"/>
      <c r="L27" s="179"/>
      <c r="M27" s="179"/>
      <c r="N27" s="179"/>
      <c r="O27" s="179"/>
      <c r="P27" s="130">
        <f t="shared" si="0"/>
        <v>0</v>
      </c>
      <c r="Q27" s="141"/>
      <c r="R27" s="142"/>
      <c r="S27" s="8"/>
      <c r="T27" s="8"/>
      <c r="U27" s="8"/>
      <c r="V27" s="5"/>
    </row>
    <row r="28" spans="2:22" ht="26.25" customHeight="1" x14ac:dyDescent="0.25">
      <c r="B28" s="224"/>
      <c r="C28" s="225"/>
      <c r="D28" s="228"/>
      <c r="E28" s="220"/>
      <c r="F28" s="190"/>
      <c r="G28" s="218"/>
      <c r="H28" s="172"/>
      <c r="I28" s="179"/>
      <c r="J28" s="179"/>
      <c r="K28" s="179"/>
      <c r="L28" s="179"/>
      <c r="M28" s="179"/>
      <c r="N28" s="179"/>
      <c r="O28" s="179"/>
      <c r="P28" s="130">
        <f t="shared" si="0"/>
        <v>0</v>
      </c>
      <c r="Q28" s="137"/>
      <c r="R28" s="138"/>
      <c r="S28" s="8"/>
      <c r="T28" s="8"/>
      <c r="U28" s="8"/>
      <c r="V28" s="5"/>
    </row>
    <row r="29" spans="2:22" ht="26" x14ac:dyDescent="0.25">
      <c r="B29" s="224" t="s">
        <v>21</v>
      </c>
      <c r="C29" s="229">
        <v>185000</v>
      </c>
      <c r="D29" s="226">
        <v>183425.02999999991</v>
      </c>
      <c r="E29" s="220">
        <f>D29/C29</f>
        <v>0.99148664864864822</v>
      </c>
      <c r="F29" s="190" t="s">
        <v>91</v>
      </c>
      <c r="G29" s="218">
        <v>7728.4400000000005</v>
      </c>
      <c r="H29" s="172"/>
      <c r="I29" s="179"/>
      <c r="J29" s="179"/>
      <c r="K29" s="179"/>
      <c r="L29" s="179"/>
      <c r="M29" s="179"/>
      <c r="N29" s="179"/>
      <c r="O29" s="179"/>
      <c r="P29" s="130">
        <f t="shared" si="0"/>
        <v>0</v>
      </c>
      <c r="Q29" s="137"/>
      <c r="R29" s="138"/>
      <c r="S29" s="8"/>
      <c r="T29" s="8"/>
      <c r="U29" s="8"/>
      <c r="V29" s="5"/>
    </row>
    <row r="30" spans="2:22" ht="26" x14ac:dyDescent="0.25">
      <c r="B30" s="224"/>
      <c r="C30" s="230"/>
      <c r="D30" s="227"/>
      <c r="E30" s="220"/>
      <c r="F30" s="190" t="s">
        <v>214</v>
      </c>
      <c r="G30" s="218">
        <v>9965.52</v>
      </c>
      <c r="H30" s="172"/>
      <c r="I30" s="179"/>
      <c r="J30" s="179"/>
      <c r="K30" s="179"/>
      <c r="L30" s="179"/>
      <c r="M30" s="179"/>
      <c r="N30" s="179"/>
      <c r="O30" s="179"/>
      <c r="P30" s="130">
        <f t="shared" si="0"/>
        <v>0</v>
      </c>
      <c r="Q30" s="137"/>
      <c r="R30" s="138"/>
      <c r="S30" s="8"/>
      <c r="T30" s="8"/>
      <c r="U30" s="8"/>
      <c r="V30" s="5"/>
    </row>
    <row r="31" spans="2:22" ht="26" x14ac:dyDescent="0.25">
      <c r="B31" s="224"/>
      <c r="C31" s="230"/>
      <c r="D31" s="227"/>
      <c r="E31" s="220"/>
      <c r="F31" s="190" t="s">
        <v>92</v>
      </c>
      <c r="G31" s="218">
        <v>165731.06999999989</v>
      </c>
      <c r="H31" s="172"/>
      <c r="I31" s="179">
        <f>G31*E7</f>
        <v>3314.6213999999977</v>
      </c>
      <c r="J31" s="179">
        <v>382.75850000000008</v>
      </c>
      <c r="K31" s="179">
        <v>3111.9821999999986</v>
      </c>
      <c r="L31" s="179">
        <v>681.37519999999995</v>
      </c>
      <c r="M31" s="179">
        <v>623.79719999999998</v>
      </c>
      <c r="N31" s="179">
        <f>'[2]SEMANA 3'!$O$10</f>
        <v>463.62430000000006</v>
      </c>
      <c r="O31" s="179"/>
      <c r="P31" s="130">
        <f t="shared" si="0"/>
        <v>8578.1587999999974</v>
      </c>
      <c r="Q31" s="137">
        <f>P31/D29</f>
        <v>4.676656615512071E-2</v>
      </c>
      <c r="R31" s="138">
        <f>P31/$D$91</f>
        <v>3.5849712112874851E-3</v>
      </c>
      <c r="S31" s="186"/>
      <c r="T31" s="8"/>
      <c r="U31" s="8"/>
      <c r="V31" s="5"/>
    </row>
    <row r="32" spans="2:22" ht="32.25" customHeight="1" x14ac:dyDescent="0.25">
      <c r="B32" s="224"/>
      <c r="C32" s="230"/>
      <c r="D32" s="227"/>
      <c r="E32" s="220"/>
      <c r="F32" s="190"/>
      <c r="G32" s="218"/>
      <c r="H32" s="172"/>
      <c r="I32" s="179"/>
      <c r="J32" s="179"/>
      <c r="K32" s="179"/>
      <c r="L32" s="179"/>
      <c r="M32" s="179"/>
      <c r="N32" s="179"/>
      <c r="O32" s="179"/>
      <c r="P32" s="130">
        <f t="shared" si="0"/>
        <v>0</v>
      </c>
      <c r="Q32" s="137"/>
      <c r="R32" s="137"/>
      <c r="S32" s="8"/>
      <c r="T32" s="8"/>
      <c r="U32" s="8"/>
      <c r="V32" s="5"/>
    </row>
    <row r="33" spans="2:22" ht="26" x14ac:dyDescent="0.25">
      <c r="B33" s="224"/>
      <c r="C33" s="237"/>
      <c r="D33" s="227"/>
      <c r="E33" s="220"/>
      <c r="F33" s="190"/>
      <c r="G33" s="218"/>
      <c r="H33" s="172"/>
      <c r="I33" s="179"/>
      <c r="J33" s="179"/>
      <c r="K33" s="179"/>
      <c r="L33" s="179"/>
      <c r="M33" s="179"/>
      <c r="N33" s="179"/>
      <c r="O33" s="179"/>
      <c r="P33" s="130">
        <f t="shared" si="0"/>
        <v>0</v>
      </c>
      <c r="Q33" s="137"/>
      <c r="R33" s="137"/>
      <c r="S33" s="8"/>
      <c r="T33" s="8"/>
      <c r="U33" s="8"/>
      <c r="V33" s="5"/>
    </row>
    <row r="34" spans="2:22" ht="26" x14ac:dyDescent="0.25">
      <c r="B34" s="224" t="s">
        <v>22</v>
      </c>
      <c r="C34" s="225">
        <v>125000</v>
      </c>
      <c r="D34" s="231">
        <v>83315.129999999976</v>
      </c>
      <c r="E34" s="220">
        <f>D34/C34</f>
        <v>0.66652103999999979</v>
      </c>
      <c r="F34" s="190" t="s">
        <v>141</v>
      </c>
      <c r="G34" s="218">
        <v>6159.4600000000009</v>
      </c>
      <c r="H34" s="172"/>
      <c r="I34" s="179"/>
      <c r="J34" s="179"/>
      <c r="K34" s="179"/>
      <c r="L34" s="179"/>
      <c r="M34" s="179"/>
      <c r="N34" s="179"/>
      <c r="O34" s="179"/>
      <c r="P34" s="130">
        <f t="shared" si="0"/>
        <v>0</v>
      </c>
      <c r="Q34" s="141"/>
      <c r="R34" s="142"/>
      <c r="S34" s="8"/>
      <c r="T34" s="8"/>
      <c r="U34" s="8"/>
      <c r="V34" s="5"/>
    </row>
    <row r="35" spans="2:22" ht="26" x14ac:dyDescent="0.25">
      <c r="B35" s="224"/>
      <c r="C35" s="225"/>
      <c r="D35" s="231"/>
      <c r="E35" s="220"/>
      <c r="F35" s="190" t="s">
        <v>214</v>
      </c>
      <c r="G35" s="218">
        <v>2604.02</v>
      </c>
      <c r="H35" s="172"/>
      <c r="I35" s="179"/>
      <c r="J35" s="179"/>
      <c r="K35" s="179"/>
      <c r="L35" s="179"/>
      <c r="M35" s="179"/>
      <c r="N35" s="179"/>
      <c r="O35" s="179"/>
      <c r="P35" s="130">
        <f t="shared" si="0"/>
        <v>0</v>
      </c>
      <c r="Q35" s="141"/>
      <c r="R35" s="142"/>
      <c r="S35" s="186"/>
      <c r="T35" s="8"/>
      <c r="U35" s="8"/>
      <c r="V35" s="5"/>
    </row>
    <row r="36" spans="2:22" ht="26" x14ac:dyDescent="0.25">
      <c r="B36" s="224"/>
      <c r="C36" s="225"/>
      <c r="D36" s="231"/>
      <c r="E36" s="220"/>
      <c r="F36" s="190" t="s">
        <v>180</v>
      </c>
      <c r="G36" s="218">
        <v>74551.649999999994</v>
      </c>
      <c r="H36" s="172"/>
      <c r="I36" s="179"/>
      <c r="J36" s="179"/>
      <c r="K36" s="179"/>
      <c r="L36" s="179"/>
      <c r="M36" s="179"/>
      <c r="N36" s="179"/>
      <c r="O36" s="179"/>
      <c r="P36" s="130">
        <f t="shared" si="0"/>
        <v>0</v>
      </c>
      <c r="Q36" s="137"/>
      <c r="R36" s="138"/>
      <c r="S36" s="8"/>
      <c r="T36" s="8"/>
      <c r="U36" s="8"/>
      <c r="V36" s="5"/>
    </row>
    <row r="37" spans="2:22" ht="22.5" customHeight="1" x14ac:dyDescent="0.25">
      <c r="B37" s="224"/>
      <c r="C37" s="225"/>
      <c r="D37" s="231"/>
      <c r="E37" s="220"/>
      <c r="F37" s="190"/>
      <c r="G37" s="218"/>
      <c r="H37" s="172"/>
      <c r="I37" s="179"/>
      <c r="J37" s="179"/>
      <c r="K37" s="179"/>
      <c r="L37" s="179"/>
      <c r="M37" s="179"/>
      <c r="N37" s="179"/>
      <c r="O37" s="179"/>
      <c r="P37" s="130">
        <f t="shared" si="0"/>
        <v>0</v>
      </c>
      <c r="Q37" s="137"/>
      <c r="R37" s="138"/>
      <c r="S37" s="8"/>
      <c r="T37" s="8"/>
      <c r="U37" s="8"/>
      <c r="V37" s="5"/>
    </row>
    <row r="38" spans="2:22" ht="26" x14ac:dyDescent="0.25">
      <c r="B38" s="224"/>
      <c r="C38" s="225"/>
      <c r="D38" s="231"/>
      <c r="E38" s="220"/>
      <c r="F38" s="190"/>
      <c r="G38" s="218"/>
      <c r="H38" s="172"/>
      <c r="I38" s="179"/>
      <c r="J38" s="179"/>
      <c r="K38" s="179"/>
      <c r="L38" s="179"/>
      <c r="M38" s="179"/>
      <c r="N38" s="179"/>
      <c r="O38" s="179"/>
      <c r="P38" s="130">
        <f t="shared" si="0"/>
        <v>0</v>
      </c>
      <c r="Q38" s="137"/>
      <c r="R38" s="138"/>
      <c r="S38" s="8"/>
      <c r="T38" s="8"/>
      <c r="U38" s="8"/>
      <c r="V38" s="5"/>
    </row>
    <row r="39" spans="2:22" ht="26" x14ac:dyDescent="0.25">
      <c r="B39" s="224" t="s">
        <v>23</v>
      </c>
      <c r="C39" s="229">
        <v>123500</v>
      </c>
      <c r="D39" s="226">
        <v>88749.829999999929</v>
      </c>
      <c r="E39" s="220">
        <f>D39/C39</f>
        <v>0.71862210526315728</v>
      </c>
      <c r="F39" s="190" t="s">
        <v>35</v>
      </c>
      <c r="G39" s="218">
        <v>66939.479999999967</v>
      </c>
      <c r="H39" s="172"/>
      <c r="I39" s="179">
        <f>G39*I4</f>
        <v>334.69739999999985</v>
      </c>
      <c r="J39" s="179">
        <v>39.655100000000004</v>
      </c>
      <c r="K39" s="179">
        <v>1595.694</v>
      </c>
      <c r="L39" s="179">
        <v>378.44460000000009</v>
      </c>
      <c r="M39" s="179">
        <v>381.20940000000002</v>
      </c>
      <c r="N39" s="179"/>
      <c r="O39" s="179"/>
      <c r="P39" s="130">
        <f t="shared" si="0"/>
        <v>2729.7005000000004</v>
      </c>
      <c r="Q39" s="137">
        <f>P39/D39</f>
        <v>3.0757247647685663E-2</v>
      </c>
      <c r="R39" s="138">
        <f>P39/$D$91</f>
        <v>1.1407923233989394E-3</v>
      </c>
      <c r="S39" s="8"/>
      <c r="T39" s="8"/>
      <c r="U39" s="8"/>
      <c r="V39" s="5"/>
    </row>
    <row r="40" spans="2:22" ht="26" x14ac:dyDescent="0.25">
      <c r="B40" s="224"/>
      <c r="C40" s="230"/>
      <c r="D40" s="227"/>
      <c r="E40" s="220"/>
      <c r="F40" s="190" t="s">
        <v>214</v>
      </c>
      <c r="G40" s="218">
        <v>21465.52</v>
      </c>
      <c r="H40" s="172"/>
      <c r="I40" s="179"/>
      <c r="J40" s="179"/>
      <c r="K40" s="179"/>
      <c r="L40" s="179"/>
      <c r="M40" s="179"/>
      <c r="N40" s="179"/>
      <c r="O40" s="179"/>
      <c r="P40" s="130">
        <f t="shared" si="0"/>
        <v>0</v>
      </c>
      <c r="Q40" s="137"/>
      <c r="R40" s="138"/>
      <c r="S40" s="8"/>
      <c r="T40" s="8"/>
      <c r="U40" s="8"/>
      <c r="V40" s="5"/>
    </row>
    <row r="41" spans="2:22" ht="26" x14ac:dyDescent="0.25">
      <c r="B41" s="224"/>
      <c r="C41" s="230"/>
      <c r="D41" s="227"/>
      <c r="E41" s="220"/>
      <c r="F41" s="190" t="s">
        <v>218</v>
      </c>
      <c r="G41" s="218">
        <v>344.83</v>
      </c>
      <c r="H41" s="172"/>
      <c r="I41" s="179"/>
      <c r="J41" s="179"/>
      <c r="K41" s="179"/>
      <c r="L41" s="179"/>
      <c r="M41" s="179"/>
      <c r="N41" s="179"/>
      <c r="O41" s="179"/>
      <c r="P41" s="130">
        <f t="shared" si="0"/>
        <v>0</v>
      </c>
      <c r="Q41" s="141"/>
      <c r="R41" s="142"/>
      <c r="S41" s="8"/>
      <c r="T41" s="8"/>
      <c r="U41" s="8"/>
      <c r="V41" s="5"/>
    </row>
    <row r="42" spans="2:22" ht="26" x14ac:dyDescent="0.25">
      <c r="B42" s="224"/>
      <c r="C42" s="230"/>
      <c r="D42" s="227"/>
      <c r="E42" s="220"/>
      <c r="F42" s="190"/>
      <c r="G42" s="218"/>
      <c r="H42" s="172"/>
      <c r="I42" s="179"/>
      <c r="J42" s="179"/>
      <c r="K42" s="179"/>
      <c r="L42" s="179"/>
      <c r="M42" s="179"/>
      <c r="N42" s="179"/>
      <c r="O42" s="179"/>
      <c r="P42" s="130">
        <f t="shared" si="0"/>
        <v>0</v>
      </c>
      <c r="Q42" s="137"/>
      <c r="R42" s="137"/>
      <c r="S42" s="8"/>
      <c r="T42" s="8"/>
      <c r="U42" s="8"/>
      <c r="V42" s="5"/>
    </row>
    <row r="43" spans="2:22" ht="26" x14ac:dyDescent="0.25">
      <c r="B43" s="224"/>
      <c r="C43" s="230"/>
      <c r="D43" s="227"/>
      <c r="E43" s="220"/>
      <c r="F43" s="190"/>
      <c r="G43" s="218"/>
      <c r="H43" s="172"/>
      <c r="I43" s="179"/>
      <c r="J43" s="179"/>
      <c r="K43" s="179"/>
      <c r="L43" s="179"/>
      <c r="M43" s="179"/>
      <c r="N43" s="179"/>
      <c r="O43" s="179"/>
      <c r="P43" s="130">
        <f t="shared" si="0"/>
        <v>0</v>
      </c>
      <c r="Q43" s="137"/>
      <c r="R43" s="137"/>
      <c r="S43" s="8"/>
      <c r="T43" s="8"/>
      <c r="U43" s="8"/>
      <c r="V43" s="5"/>
    </row>
    <row r="44" spans="2:22" ht="26" x14ac:dyDescent="0.25">
      <c r="B44" s="224" t="s">
        <v>45</v>
      </c>
      <c r="C44" s="229">
        <v>110000</v>
      </c>
      <c r="D44" s="231">
        <v>68978.299999999988</v>
      </c>
      <c r="E44" s="220">
        <f>D44/C44</f>
        <v>0.62707545454545444</v>
      </c>
      <c r="F44" s="190" t="s">
        <v>141</v>
      </c>
      <c r="G44" s="218">
        <v>6387.92</v>
      </c>
      <c r="H44" s="172"/>
      <c r="I44" s="179"/>
      <c r="J44" s="179"/>
      <c r="K44" s="179"/>
      <c r="L44" s="179"/>
      <c r="M44" s="179"/>
      <c r="N44" s="179"/>
      <c r="O44" s="179"/>
      <c r="P44" s="130">
        <f t="shared" si="0"/>
        <v>0</v>
      </c>
      <c r="Q44" s="141"/>
      <c r="R44" s="142"/>
      <c r="S44" s="8"/>
      <c r="T44" s="8"/>
      <c r="U44" s="8"/>
      <c r="V44" s="5"/>
    </row>
    <row r="45" spans="2:22" ht="26" x14ac:dyDescent="0.25">
      <c r="B45" s="224"/>
      <c r="C45" s="230"/>
      <c r="D45" s="231"/>
      <c r="E45" s="220"/>
      <c r="F45" s="190" t="s">
        <v>214</v>
      </c>
      <c r="G45" s="218">
        <v>3275.86</v>
      </c>
      <c r="H45" s="172"/>
      <c r="I45" s="179"/>
      <c r="J45" s="179"/>
      <c r="K45" s="179"/>
      <c r="L45" s="179"/>
      <c r="M45" s="179"/>
      <c r="N45" s="179"/>
      <c r="O45" s="179"/>
      <c r="P45" s="130">
        <f t="shared" si="0"/>
        <v>0</v>
      </c>
      <c r="Q45" s="137"/>
      <c r="R45" s="138"/>
      <c r="S45" s="8"/>
      <c r="T45" s="8"/>
      <c r="U45" s="8"/>
      <c r="V45" s="5"/>
    </row>
    <row r="46" spans="2:22" ht="26" x14ac:dyDescent="0.25">
      <c r="B46" s="224"/>
      <c r="C46" s="230"/>
      <c r="D46" s="231"/>
      <c r="E46" s="220"/>
      <c r="F46" s="190" t="s">
        <v>140</v>
      </c>
      <c r="G46" s="218">
        <v>59314.51999999999</v>
      </c>
      <c r="H46" s="172"/>
      <c r="I46" s="179"/>
      <c r="J46" s="179"/>
      <c r="K46" s="179"/>
      <c r="L46" s="179"/>
      <c r="M46" s="179"/>
      <c r="N46" s="179"/>
      <c r="O46" s="179"/>
      <c r="P46" s="130">
        <f t="shared" si="0"/>
        <v>0</v>
      </c>
      <c r="Q46" s="141"/>
      <c r="R46" s="142"/>
      <c r="S46" s="8"/>
      <c r="T46" s="8"/>
      <c r="U46" s="8"/>
      <c r="V46" s="5"/>
    </row>
    <row r="47" spans="2:22" ht="26" x14ac:dyDescent="0.25">
      <c r="B47" s="224"/>
      <c r="C47" s="230"/>
      <c r="D47" s="231"/>
      <c r="E47" s="220"/>
      <c r="F47" s="190"/>
      <c r="G47" s="218"/>
      <c r="H47" s="172"/>
      <c r="I47" s="179"/>
      <c r="J47" s="179"/>
      <c r="K47" s="179"/>
      <c r="L47" s="179"/>
      <c r="M47" s="179"/>
      <c r="N47" s="179"/>
      <c r="O47" s="179"/>
      <c r="P47" s="130">
        <f t="shared" si="0"/>
        <v>0</v>
      </c>
      <c r="Q47" s="137"/>
      <c r="R47" s="137"/>
      <c r="S47" s="8"/>
      <c r="T47" s="8"/>
      <c r="U47" s="8"/>
      <c r="V47" s="5"/>
    </row>
    <row r="48" spans="2:22" ht="30.75" customHeight="1" x14ac:dyDescent="0.25">
      <c r="B48" s="232" t="s">
        <v>34</v>
      </c>
      <c r="C48" s="229">
        <v>132500</v>
      </c>
      <c r="D48" s="242">
        <v>80560.36</v>
      </c>
      <c r="E48" s="244">
        <f>D48/C48</f>
        <v>0.60800271698113206</v>
      </c>
      <c r="F48" s="190" t="s">
        <v>36</v>
      </c>
      <c r="G48" s="218">
        <v>80560.36</v>
      </c>
      <c r="H48" s="172"/>
      <c r="I48" s="179"/>
      <c r="J48" s="179">
        <v>56.034500000000001</v>
      </c>
      <c r="K48" s="179">
        <v>2460.779399999999</v>
      </c>
      <c r="L48" s="179">
        <v>256.89480000000003</v>
      </c>
      <c r="M48" s="179">
        <v>554.4864</v>
      </c>
      <c r="N48" s="179"/>
      <c r="O48" s="179"/>
      <c r="P48" s="130">
        <f t="shared" si="0"/>
        <v>3328.195099999999</v>
      </c>
      <c r="Q48" s="137">
        <f>P48/D48</f>
        <v>4.1313061411344228E-2</v>
      </c>
      <c r="R48" s="138">
        <f>P48/$D$91</f>
        <v>1.3909142855979854E-3</v>
      </c>
      <c r="S48" s="8"/>
      <c r="T48" s="8"/>
      <c r="U48" s="8"/>
      <c r="V48" s="5"/>
    </row>
    <row r="49" spans="2:22" ht="30.75" customHeight="1" x14ac:dyDescent="0.25">
      <c r="B49" s="233"/>
      <c r="C49" s="230"/>
      <c r="D49" s="243"/>
      <c r="E49" s="238"/>
      <c r="F49" s="190"/>
      <c r="G49" s="218"/>
      <c r="H49" s="172"/>
      <c r="I49" s="179"/>
      <c r="J49" s="179"/>
      <c r="K49" s="179"/>
      <c r="L49" s="179"/>
      <c r="M49" s="179"/>
      <c r="N49" s="179"/>
      <c r="O49" s="179"/>
      <c r="P49" s="130">
        <f t="shared" si="0"/>
        <v>0</v>
      </c>
      <c r="Q49" s="141"/>
      <c r="R49" s="142"/>
      <c r="S49" s="8"/>
      <c r="T49" s="8"/>
      <c r="U49" s="8"/>
      <c r="V49" s="5"/>
    </row>
    <row r="50" spans="2:22" ht="26" x14ac:dyDescent="0.25">
      <c r="B50" s="224" t="s">
        <v>42</v>
      </c>
      <c r="C50" s="229">
        <v>160000</v>
      </c>
      <c r="D50" s="226">
        <v>92292.129999999961</v>
      </c>
      <c r="E50" s="220">
        <f>D50/C50</f>
        <v>0.57682581249999976</v>
      </c>
      <c r="F50" s="190" t="s">
        <v>96</v>
      </c>
      <c r="G50" s="218">
        <v>92292.129999999961</v>
      </c>
      <c r="H50" s="172"/>
      <c r="I50" s="179"/>
      <c r="J50" s="179">
        <v>35.344799999999999</v>
      </c>
      <c r="K50" s="179">
        <v>2564.2217999999993</v>
      </c>
      <c r="L50" s="179">
        <v>310.34240000000011</v>
      </c>
      <c r="M50" s="179">
        <v>450.52020000000005</v>
      </c>
      <c r="N50" s="179"/>
      <c r="O50" s="179"/>
      <c r="P50" s="130">
        <f t="shared" si="0"/>
        <v>3360.4291999999991</v>
      </c>
      <c r="Q50" s="137">
        <f>P50/D50</f>
        <v>3.641078822213769E-2</v>
      </c>
      <c r="R50" s="138">
        <f>P50/$D$91</f>
        <v>1.4043855121415839E-3</v>
      </c>
      <c r="S50" s="8"/>
      <c r="T50" s="8"/>
      <c r="U50" s="8"/>
      <c r="V50" s="5"/>
    </row>
    <row r="51" spans="2:22" ht="26" x14ac:dyDescent="0.25">
      <c r="B51" s="224"/>
      <c r="C51" s="230"/>
      <c r="D51" s="227"/>
      <c r="E51" s="220"/>
      <c r="F51" s="190"/>
      <c r="G51" s="218"/>
      <c r="H51" s="172"/>
      <c r="I51" s="179"/>
      <c r="J51" s="179"/>
      <c r="K51" s="179"/>
      <c r="L51" s="179"/>
      <c r="M51" s="179"/>
      <c r="N51" s="179"/>
      <c r="O51" s="179"/>
      <c r="P51" s="130">
        <f t="shared" si="0"/>
        <v>0</v>
      </c>
      <c r="Q51" s="137"/>
      <c r="R51" s="137"/>
      <c r="S51" s="8"/>
      <c r="T51" s="8"/>
      <c r="U51" s="8"/>
      <c r="V51" s="5"/>
    </row>
    <row r="52" spans="2:22" ht="26" x14ac:dyDescent="0.25">
      <c r="B52" s="224"/>
      <c r="C52" s="230"/>
      <c r="D52" s="227"/>
      <c r="E52" s="220"/>
      <c r="F52" s="190"/>
      <c r="G52" s="218"/>
      <c r="H52" s="172"/>
      <c r="I52" s="179"/>
      <c r="J52" s="179"/>
      <c r="K52" s="179"/>
      <c r="L52" s="179"/>
      <c r="M52" s="179"/>
      <c r="N52" s="179"/>
      <c r="O52" s="179"/>
      <c r="P52" s="130">
        <f t="shared" si="0"/>
        <v>0</v>
      </c>
      <c r="Q52" s="137"/>
      <c r="R52" s="138"/>
      <c r="S52" s="8"/>
      <c r="T52" s="8"/>
      <c r="U52" s="8"/>
      <c r="V52" s="5"/>
    </row>
    <row r="53" spans="2:22" ht="26" x14ac:dyDescent="0.25">
      <c r="B53" s="224" t="s">
        <v>55</v>
      </c>
      <c r="C53" s="229">
        <v>185000</v>
      </c>
      <c r="D53" s="226">
        <v>139202.49999999988</v>
      </c>
      <c r="E53" s="220">
        <f>D53/C53</f>
        <v>0.75244594594594527</v>
      </c>
      <c r="F53" s="190" t="s">
        <v>141</v>
      </c>
      <c r="G53" s="218">
        <v>387.93</v>
      </c>
      <c r="H53" s="172"/>
      <c r="I53" s="179"/>
      <c r="J53" s="179"/>
      <c r="K53" s="179"/>
      <c r="L53" s="179"/>
      <c r="M53" s="179"/>
      <c r="N53" s="179"/>
      <c r="O53" s="179"/>
      <c r="P53" s="130">
        <f t="shared" si="0"/>
        <v>0</v>
      </c>
      <c r="Q53" s="137"/>
      <c r="R53" s="137"/>
      <c r="S53" s="8"/>
      <c r="T53" s="8"/>
      <c r="U53" s="8"/>
      <c r="V53" s="5"/>
    </row>
    <row r="54" spans="2:22" ht="26" x14ac:dyDescent="0.25">
      <c r="B54" s="224"/>
      <c r="C54" s="230"/>
      <c r="D54" s="227"/>
      <c r="E54" s="220"/>
      <c r="F54" s="190" t="s">
        <v>220</v>
      </c>
      <c r="G54" s="218">
        <v>120180.92999999991</v>
      </c>
      <c r="H54" s="172"/>
      <c r="I54" s="179">
        <f>G54*C7</f>
        <v>901.35697499999924</v>
      </c>
      <c r="J54" s="179">
        <v>120.68950000000001</v>
      </c>
      <c r="K54" s="179">
        <v>2835.5177999999996</v>
      </c>
      <c r="L54" s="179">
        <v>488.09960000000001</v>
      </c>
      <c r="M54" s="179">
        <v>935.69580000000008</v>
      </c>
      <c r="N54" s="179"/>
      <c r="O54" s="179"/>
      <c r="P54" s="130">
        <f t="shared" si="0"/>
        <v>5281.3596749999988</v>
      </c>
      <c r="Q54" s="137">
        <f>P54/D53</f>
        <v>3.794012086708215E-2</v>
      </c>
      <c r="R54" s="138">
        <f>P54/$D$91</f>
        <v>2.2071778842948941E-3</v>
      </c>
      <c r="S54" s="8"/>
      <c r="T54" s="8"/>
      <c r="U54" s="8"/>
      <c r="V54" s="5"/>
    </row>
    <row r="55" spans="2:22" ht="26" x14ac:dyDescent="0.25">
      <c r="B55" s="224"/>
      <c r="C55" s="230"/>
      <c r="D55" s="227"/>
      <c r="E55" s="220"/>
      <c r="F55" s="190" t="s">
        <v>214</v>
      </c>
      <c r="G55" s="218">
        <v>18633.640000000003</v>
      </c>
      <c r="H55" s="172"/>
      <c r="I55" s="179"/>
      <c r="J55" s="179"/>
      <c r="K55" s="179"/>
      <c r="L55" s="179"/>
      <c r="M55" s="179"/>
      <c r="N55" s="179"/>
      <c r="O55" s="179"/>
      <c r="P55" s="130">
        <f t="shared" si="0"/>
        <v>0</v>
      </c>
      <c r="Q55" s="137"/>
      <c r="R55" s="138"/>
      <c r="S55" s="8"/>
      <c r="T55" s="8"/>
      <c r="U55" s="8"/>
      <c r="V55" s="5"/>
    </row>
    <row r="56" spans="2:22" ht="26" x14ac:dyDescent="0.25">
      <c r="B56" s="224"/>
      <c r="C56" s="230"/>
      <c r="D56" s="227"/>
      <c r="E56" s="220"/>
      <c r="F56" s="190"/>
      <c r="G56" s="218"/>
      <c r="H56" s="172"/>
      <c r="I56" s="179"/>
      <c r="J56" s="179"/>
      <c r="K56" s="179"/>
      <c r="L56" s="179"/>
      <c r="M56" s="179"/>
      <c r="N56" s="179"/>
      <c r="O56" s="179"/>
      <c r="P56" s="130">
        <f t="shared" si="0"/>
        <v>0</v>
      </c>
      <c r="Q56" s="137"/>
      <c r="R56" s="137"/>
      <c r="S56" s="8"/>
      <c r="T56" s="8"/>
      <c r="U56" s="8"/>
      <c r="V56" s="5"/>
    </row>
    <row r="57" spans="2:22" ht="25.5" customHeight="1" x14ac:dyDescent="0.25">
      <c r="B57" s="224"/>
      <c r="C57" s="230"/>
      <c r="D57" s="227"/>
      <c r="E57" s="220"/>
      <c r="F57" s="190"/>
      <c r="G57" s="218"/>
      <c r="H57" s="172"/>
      <c r="I57" s="179"/>
      <c r="J57" s="179"/>
      <c r="K57" s="179"/>
      <c r="L57" s="179"/>
      <c r="M57" s="179"/>
      <c r="N57" s="179"/>
      <c r="O57" s="179"/>
      <c r="P57" s="130">
        <f t="shared" si="0"/>
        <v>0</v>
      </c>
      <c r="Q57" s="141"/>
      <c r="R57" s="142"/>
      <c r="S57" s="8"/>
      <c r="T57" s="8"/>
      <c r="U57" s="8"/>
      <c r="V57" s="5"/>
    </row>
    <row r="58" spans="2:22" ht="25.5" customHeight="1" x14ac:dyDescent="0.25">
      <c r="B58" s="224"/>
      <c r="C58" s="230"/>
      <c r="D58" s="227"/>
      <c r="E58" s="220"/>
      <c r="F58" s="190"/>
      <c r="G58" s="218"/>
      <c r="H58" s="172"/>
      <c r="I58" s="179"/>
      <c r="J58" s="179"/>
      <c r="K58" s="179"/>
      <c r="L58" s="179"/>
      <c r="M58" s="179"/>
      <c r="N58" s="179"/>
      <c r="O58" s="179"/>
      <c r="P58" s="130">
        <f t="shared" si="0"/>
        <v>0</v>
      </c>
      <c r="Q58" s="137"/>
      <c r="R58" s="138"/>
      <c r="S58" s="8"/>
      <c r="T58" s="8"/>
      <c r="U58" s="8"/>
      <c r="V58" s="5"/>
    </row>
    <row r="59" spans="2:22" ht="26" x14ac:dyDescent="0.25">
      <c r="B59" s="224" t="s">
        <v>43</v>
      </c>
      <c r="C59" s="229">
        <v>130000</v>
      </c>
      <c r="D59" s="226">
        <v>108497.65999999995</v>
      </c>
      <c r="E59" s="220">
        <f>D59/C59</f>
        <v>0.83459738461538424</v>
      </c>
      <c r="F59" s="190" t="s">
        <v>141</v>
      </c>
      <c r="G59" s="218">
        <v>17387.900000000001</v>
      </c>
      <c r="H59" s="172"/>
      <c r="I59" s="179"/>
      <c r="J59" s="179"/>
      <c r="K59" s="179"/>
      <c r="L59" s="179"/>
      <c r="M59" s="179"/>
      <c r="N59" s="179"/>
      <c r="O59" s="179"/>
      <c r="P59" s="130">
        <f t="shared" si="0"/>
        <v>0</v>
      </c>
      <c r="Q59" s="137"/>
      <c r="R59" s="138"/>
      <c r="S59" s="8"/>
      <c r="T59" s="8"/>
      <c r="U59" s="8"/>
      <c r="V59" s="5"/>
    </row>
    <row r="60" spans="2:22" ht="26" x14ac:dyDescent="0.25">
      <c r="B60" s="224"/>
      <c r="C60" s="230"/>
      <c r="D60" s="227"/>
      <c r="E60" s="220"/>
      <c r="F60" s="190" t="s">
        <v>217</v>
      </c>
      <c r="G60" s="218">
        <v>87652.879999999946</v>
      </c>
      <c r="H60" s="172"/>
      <c r="I60" s="179">
        <f>G60*D7</f>
        <v>1095.6609999999994</v>
      </c>
      <c r="J60" s="179"/>
      <c r="K60" s="179">
        <v>2614.3974000000003</v>
      </c>
      <c r="L60" s="179">
        <v>393.9624</v>
      </c>
      <c r="M60" s="179">
        <v>381.20940000000002</v>
      </c>
      <c r="N60" s="179"/>
      <c r="O60" s="179"/>
      <c r="P60" s="130">
        <f t="shared" si="0"/>
        <v>4485.2302</v>
      </c>
      <c r="Q60" s="137">
        <f>P60/D59</f>
        <v>4.1339418748754603E-2</v>
      </c>
      <c r="R60" s="138">
        <f>P60/$D$91</f>
        <v>1.8744606526749322E-3</v>
      </c>
      <c r="S60" s="8"/>
      <c r="T60" s="8"/>
      <c r="U60" s="8"/>
      <c r="V60" s="5"/>
    </row>
    <row r="61" spans="2:22" ht="26" x14ac:dyDescent="0.25">
      <c r="B61" s="224"/>
      <c r="C61" s="230"/>
      <c r="D61" s="227"/>
      <c r="E61" s="220"/>
      <c r="F61" s="190" t="s">
        <v>25</v>
      </c>
      <c r="G61" s="218">
        <v>3456.88</v>
      </c>
      <c r="H61" s="172"/>
      <c r="I61" s="179"/>
      <c r="J61" s="179"/>
      <c r="K61" s="179"/>
      <c r="L61" s="179"/>
      <c r="M61" s="179"/>
      <c r="N61" s="179"/>
      <c r="O61" s="179"/>
      <c r="P61" s="130">
        <f t="shared" si="0"/>
        <v>0</v>
      </c>
      <c r="Q61" s="137"/>
      <c r="R61" s="138"/>
      <c r="S61" s="186"/>
      <c r="T61" s="8"/>
      <c r="U61" s="8"/>
      <c r="V61" s="5"/>
    </row>
    <row r="62" spans="2:22" ht="26" x14ac:dyDescent="0.25">
      <c r="B62" s="224"/>
      <c r="C62" s="230"/>
      <c r="D62" s="227"/>
      <c r="E62" s="220"/>
      <c r="F62" s="190"/>
      <c r="G62" s="218"/>
      <c r="H62" s="172"/>
      <c r="I62" s="179"/>
      <c r="J62" s="179"/>
      <c r="K62" s="179"/>
      <c r="L62" s="179"/>
      <c r="M62" s="179"/>
      <c r="N62" s="179"/>
      <c r="O62" s="179"/>
      <c r="P62" s="130">
        <f t="shared" si="0"/>
        <v>0</v>
      </c>
      <c r="Q62" s="137"/>
      <c r="R62" s="137"/>
      <c r="S62" s="8"/>
      <c r="T62" s="8"/>
      <c r="U62" s="8"/>
      <c r="V62" s="5"/>
    </row>
    <row r="63" spans="2:22" ht="25.5" customHeight="1" x14ac:dyDescent="0.25">
      <c r="B63" s="224" t="s">
        <v>31</v>
      </c>
      <c r="C63" s="229">
        <v>150000</v>
      </c>
      <c r="D63" s="231">
        <v>169873.03999999983</v>
      </c>
      <c r="E63" s="220">
        <f>D63/C63</f>
        <v>1.1324869333333323</v>
      </c>
      <c r="F63" s="190" t="s">
        <v>91</v>
      </c>
      <c r="G63" s="218">
        <v>20525.82</v>
      </c>
      <c r="H63" s="172"/>
      <c r="I63" s="179"/>
      <c r="J63" s="179"/>
      <c r="K63" s="179"/>
      <c r="L63" s="179"/>
      <c r="M63" s="179"/>
      <c r="N63" s="179"/>
      <c r="O63" s="179"/>
      <c r="P63" s="130">
        <f t="shared" si="0"/>
        <v>0</v>
      </c>
      <c r="Q63" s="137"/>
      <c r="R63" s="137"/>
      <c r="S63" s="8"/>
      <c r="T63" s="8"/>
      <c r="U63" s="8"/>
      <c r="V63" s="5"/>
    </row>
    <row r="64" spans="2:22" ht="25.5" customHeight="1" x14ac:dyDescent="0.25">
      <c r="B64" s="224"/>
      <c r="C64" s="230"/>
      <c r="D64" s="231"/>
      <c r="E64" s="220"/>
      <c r="F64" s="190" t="s">
        <v>214</v>
      </c>
      <c r="G64" s="218">
        <v>5784.48</v>
      </c>
      <c r="H64" s="172"/>
      <c r="I64" s="179"/>
      <c r="J64" s="179"/>
      <c r="K64" s="179"/>
      <c r="L64" s="179"/>
      <c r="M64" s="179"/>
      <c r="N64" s="179"/>
      <c r="O64" s="179"/>
      <c r="P64" s="130">
        <f t="shared" si="0"/>
        <v>0</v>
      </c>
      <c r="Q64" s="141"/>
      <c r="R64" s="142"/>
      <c r="S64" s="8"/>
      <c r="T64" s="8"/>
      <c r="U64" s="8"/>
      <c r="V64" s="5"/>
    </row>
    <row r="65" spans="2:24" s="265" customFormat="1" ht="25.5" customHeight="1" x14ac:dyDescent="0.25">
      <c r="B65" s="224"/>
      <c r="C65" s="230"/>
      <c r="D65" s="231"/>
      <c r="E65" s="220"/>
      <c r="F65" s="257" t="s">
        <v>47</v>
      </c>
      <c r="G65" s="258">
        <v>143562.73999999993</v>
      </c>
      <c r="H65" s="259"/>
      <c r="I65" s="260">
        <f>G65*F7</f>
        <v>3589.0684999999985</v>
      </c>
      <c r="J65" s="260">
        <v>256.03430000000003</v>
      </c>
      <c r="K65" s="260">
        <v>2636.9285999999984</v>
      </c>
      <c r="L65" s="260">
        <v>738.78800000000001</v>
      </c>
      <c r="M65" s="260">
        <v>1074.3173999999999</v>
      </c>
      <c r="N65" s="260">
        <f>'[2]SEMANA 2'!$M$18+'[2]SEMANA 1'!$N$18+'[2]SEMANA 4'!$N$19</f>
        <v>1362.5023999999999</v>
      </c>
      <c r="O65" s="260"/>
      <c r="P65" s="266">
        <f t="shared" si="0"/>
        <v>9657.639199999996</v>
      </c>
      <c r="Q65" s="261">
        <f>P65/D63</f>
        <v>5.6852100839544673E-2</v>
      </c>
      <c r="R65" s="262">
        <f>P65/$D$91</f>
        <v>4.0361060348989451E-3</v>
      </c>
      <c r="S65" s="263"/>
      <c r="T65" s="263"/>
      <c r="U65" s="263"/>
      <c r="V65" s="264"/>
    </row>
    <row r="66" spans="2:24" ht="25.5" customHeight="1" x14ac:dyDescent="0.25">
      <c r="B66" s="224"/>
      <c r="C66" s="230"/>
      <c r="D66" s="231"/>
      <c r="E66" s="220"/>
      <c r="F66" s="190"/>
      <c r="G66" s="218"/>
      <c r="H66" s="172"/>
      <c r="I66" s="179"/>
      <c r="J66" s="179"/>
      <c r="K66" s="179"/>
      <c r="L66" s="179"/>
      <c r="M66" s="179"/>
      <c r="N66" s="179"/>
      <c r="O66" s="179"/>
      <c r="P66" s="130">
        <f t="shared" si="0"/>
        <v>0</v>
      </c>
      <c r="Q66" s="137"/>
      <c r="R66" s="138"/>
      <c r="S66" s="8"/>
      <c r="T66" s="8"/>
      <c r="U66" s="8"/>
      <c r="V66" s="92"/>
    </row>
    <row r="67" spans="2:24" ht="26" x14ac:dyDescent="0.25">
      <c r="B67" s="224" t="s">
        <v>32</v>
      </c>
      <c r="C67" s="229">
        <v>150000</v>
      </c>
      <c r="D67" s="226">
        <v>137443.87999999986</v>
      </c>
      <c r="E67" s="220">
        <f>D67/C67</f>
        <v>0.91629253333333238</v>
      </c>
      <c r="F67" s="190" t="s">
        <v>91</v>
      </c>
      <c r="G67" s="218">
        <v>19353.429999999997</v>
      </c>
      <c r="H67" s="172"/>
      <c r="I67" s="179"/>
      <c r="J67" s="179"/>
      <c r="K67" s="179"/>
      <c r="L67" s="179"/>
      <c r="M67" s="179"/>
      <c r="N67" s="179"/>
      <c r="O67" s="179"/>
      <c r="P67" s="130">
        <f t="shared" si="0"/>
        <v>0</v>
      </c>
      <c r="Q67" s="141"/>
      <c r="R67" s="142"/>
      <c r="S67" s="8"/>
      <c r="T67" s="8"/>
      <c r="U67" s="8"/>
      <c r="V67" s="92"/>
    </row>
    <row r="68" spans="2:24" ht="26" x14ac:dyDescent="0.25">
      <c r="B68" s="224"/>
      <c r="C68" s="230"/>
      <c r="D68" s="227"/>
      <c r="E68" s="220"/>
      <c r="F68" s="190" t="s">
        <v>97</v>
      </c>
      <c r="G68" s="218">
        <v>118090.4499999999</v>
      </c>
      <c r="H68" s="172"/>
      <c r="I68" s="179">
        <f>G68*E7</f>
        <v>2361.8089999999979</v>
      </c>
      <c r="J68" s="179">
        <v>125.86200000000001</v>
      </c>
      <c r="K68" s="179">
        <v>2673.619799999999</v>
      </c>
      <c r="L68" s="179">
        <v>358.61759999999998</v>
      </c>
      <c r="M68" s="179">
        <v>935.69580000000008</v>
      </c>
      <c r="N68" s="179"/>
      <c r="O68" s="179"/>
      <c r="P68" s="130">
        <f t="shared" si="0"/>
        <v>6455.604199999997</v>
      </c>
      <c r="Q68" s="137">
        <f>P68/D67</f>
        <v>4.6969018918848943E-2</v>
      </c>
      <c r="R68" s="138">
        <f>P68/$D$91</f>
        <v>2.6979163883590696E-3</v>
      </c>
      <c r="S68" s="8"/>
      <c r="T68" s="8"/>
      <c r="U68" s="8"/>
      <c r="V68" s="92"/>
    </row>
    <row r="69" spans="2:24" ht="26" x14ac:dyDescent="0.25">
      <c r="B69" s="224"/>
      <c r="C69" s="230"/>
      <c r="D69" s="227"/>
      <c r="E69" s="220"/>
      <c r="F69" s="190"/>
      <c r="G69" s="218"/>
      <c r="H69" s="172"/>
      <c r="I69" s="179"/>
      <c r="J69" s="179"/>
      <c r="K69" s="179"/>
      <c r="L69" s="179"/>
      <c r="M69" s="179"/>
      <c r="N69" s="179"/>
      <c r="O69" s="179"/>
      <c r="P69" s="130">
        <f t="shared" si="0"/>
        <v>0</v>
      </c>
      <c r="Q69" s="137"/>
      <c r="R69" s="138"/>
      <c r="S69" s="8"/>
      <c r="T69" s="8"/>
      <c r="U69" s="8"/>
      <c r="V69" s="92"/>
    </row>
    <row r="70" spans="2:24" ht="26" x14ac:dyDescent="0.25">
      <c r="B70" s="224"/>
      <c r="C70" s="230"/>
      <c r="D70" s="228"/>
      <c r="E70" s="220"/>
      <c r="F70" s="190"/>
      <c r="G70" s="218"/>
      <c r="H70" s="172"/>
      <c r="I70" s="179"/>
      <c r="J70" s="179"/>
      <c r="K70" s="179"/>
      <c r="L70" s="179"/>
      <c r="M70" s="179"/>
      <c r="N70" s="179"/>
      <c r="O70" s="179"/>
      <c r="P70" s="130">
        <f t="shared" si="0"/>
        <v>0</v>
      </c>
      <c r="Q70" s="137"/>
      <c r="R70" s="138"/>
      <c r="S70" s="8"/>
      <c r="T70" s="8"/>
      <c r="U70" s="8"/>
      <c r="V70" s="92"/>
    </row>
    <row r="71" spans="2:24" ht="26" x14ac:dyDescent="0.25">
      <c r="B71" s="224" t="s">
        <v>44</v>
      </c>
      <c r="C71" s="229">
        <v>150000</v>
      </c>
      <c r="D71" s="226">
        <v>153297.98999999993</v>
      </c>
      <c r="E71" s="220">
        <f>D71/C71</f>
        <v>1.0219865999999995</v>
      </c>
      <c r="F71" s="190" t="s">
        <v>141</v>
      </c>
      <c r="G71" s="218">
        <v>6457.49</v>
      </c>
      <c r="H71" s="172"/>
      <c r="I71" s="179"/>
      <c r="J71" s="179"/>
      <c r="K71" s="179"/>
      <c r="L71" s="179"/>
      <c r="M71" s="179"/>
      <c r="N71" s="179"/>
      <c r="O71" s="179"/>
      <c r="P71" s="130">
        <f t="shared" si="0"/>
        <v>0</v>
      </c>
      <c r="Q71" s="141"/>
      <c r="R71" s="142"/>
      <c r="S71" s="8"/>
      <c r="T71" s="8"/>
      <c r="U71" s="8"/>
      <c r="V71" s="93"/>
      <c r="X71" s="70"/>
    </row>
    <row r="72" spans="2:24" ht="26" x14ac:dyDescent="0.25">
      <c r="B72" s="224"/>
      <c r="C72" s="230"/>
      <c r="D72" s="227"/>
      <c r="E72" s="220"/>
      <c r="F72" s="190" t="s">
        <v>214</v>
      </c>
      <c r="G72" s="218">
        <v>18465.500000000004</v>
      </c>
      <c r="H72" s="172"/>
      <c r="I72" s="179"/>
      <c r="J72" s="179"/>
      <c r="K72" s="179"/>
      <c r="L72" s="179"/>
      <c r="M72" s="179"/>
      <c r="N72" s="179"/>
      <c r="O72" s="179"/>
      <c r="P72" s="130">
        <f t="shared" si="0"/>
        <v>0</v>
      </c>
      <c r="Q72" s="137"/>
      <c r="R72" s="138"/>
      <c r="S72" s="8"/>
      <c r="T72" s="8"/>
      <c r="U72" s="8"/>
      <c r="V72" s="93"/>
      <c r="X72" s="70"/>
    </row>
    <row r="73" spans="2:24" ht="26" x14ac:dyDescent="0.25">
      <c r="B73" s="224"/>
      <c r="C73" s="230"/>
      <c r="D73" s="227"/>
      <c r="E73" s="220"/>
      <c r="F73" s="190" t="s">
        <v>181</v>
      </c>
      <c r="G73" s="218">
        <v>128374.99999999991</v>
      </c>
      <c r="H73" s="172"/>
      <c r="I73" s="179">
        <f>G73*E7</f>
        <v>2567.4999999999982</v>
      </c>
      <c r="J73" s="179">
        <v>132.7585</v>
      </c>
      <c r="K73" s="179">
        <v>2859.050999999999</v>
      </c>
      <c r="L73" s="179">
        <v>618.27120000000002</v>
      </c>
      <c r="M73" s="179">
        <v>1005.0066</v>
      </c>
      <c r="N73" s="179">
        <f>'[2]SEMANA 1'!$N$19</f>
        <v>423.06149999999997</v>
      </c>
      <c r="O73" s="179"/>
      <c r="P73" s="130">
        <f t="shared" si="0"/>
        <v>7605.6487999999972</v>
      </c>
      <c r="Q73" s="137">
        <f>P73/D71</f>
        <v>4.9613493301510353E-2</v>
      </c>
      <c r="R73" s="138">
        <f>P73/$D$91</f>
        <v>3.1785412962002063E-3</v>
      </c>
      <c r="S73" s="8"/>
      <c r="T73" s="8"/>
      <c r="U73" s="8"/>
      <c r="V73" s="5"/>
      <c r="X73" s="94"/>
    </row>
    <row r="74" spans="2:24" ht="26" x14ac:dyDescent="0.25">
      <c r="B74" s="224"/>
      <c r="C74" s="230"/>
      <c r="D74" s="228"/>
      <c r="E74" s="220"/>
      <c r="F74" s="190"/>
      <c r="G74" s="218"/>
      <c r="H74" s="172"/>
      <c r="I74" s="179"/>
      <c r="J74" s="179"/>
      <c r="K74" s="179"/>
      <c r="L74" s="179"/>
      <c r="M74" s="179"/>
      <c r="N74" s="179"/>
      <c r="O74" s="179"/>
      <c r="P74" s="130">
        <f t="shared" si="0"/>
        <v>0</v>
      </c>
      <c r="Q74" s="137"/>
      <c r="R74" s="138"/>
      <c r="S74" s="8"/>
      <c r="T74" s="8"/>
      <c r="U74" s="8"/>
      <c r="V74" s="93"/>
    </row>
    <row r="75" spans="2:24" ht="26" x14ac:dyDescent="0.25">
      <c r="B75" s="224" t="s">
        <v>33</v>
      </c>
      <c r="C75" s="229">
        <v>150000</v>
      </c>
      <c r="D75" s="226">
        <v>122850.90999999996</v>
      </c>
      <c r="E75" s="220">
        <f>D75/C75</f>
        <v>0.81900606666666642</v>
      </c>
      <c r="F75" s="190" t="s">
        <v>91</v>
      </c>
      <c r="G75" s="218">
        <v>10267.25</v>
      </c>
      <c r="H75" s="172"/>
      <c r="I75" s="179"/>
      <c r="J75" s="179"/>
      <c r="K75" s="179"/>
      <c r="L75" s="179"/>
      <c r="M75" s="179"/>
      <c r="N75" s="179"/>
      <c r="O75" s="179"/>
      <c r="P75" s="130">
        <f t="shared" si="0"/>
        <v>0</v>
      </c>
      <c r="Q75" s="137"/>
      <c r="R75" s="138"/>
      <c r="S75" s="8"/>
      <c r="T75" s="8"/>
      <c r="U75" s="8"/>
      <c r="V75" s="5"/>
    </row>
    <row r="76" spans="2:24" ht="26" x14ac:dyDescent="0.25">
      <c r="B76" s="224"/>
      <c r="C76" s="230"/>
      <c r="D76" s="227"/>
      <c r="E76" s="220"/>
      <c r="F76" s="190" t="s">
        <v>37</v>
      </c>
      <c r="G76" s="218">
        <v>98570.699999999968</v>
      </c>
      <c r="H76" s="172"/>
      <c r="I76" s="179">
        <f>G76*D7</f>
        <v>1232.1337499999997</v>
      </c>
      <c r="J76" s="179">
        <v>21.5517</v>
      </c>
      <c r="K76" s="179">
        <v>1585.3452</v>
      </c>
      <c r="L76" s="179">
        <v>488.78960000000001</v>
      </c>
      <c r="M76" s="179">
        <v>1005.0066</v>
      </c>
      <c r="N76" s="179">
        <f>'[2]SEMANA 3'!$O$22</f>
        <v>350.0865</v>
      </c>
      <c r="O76" s="179"/>
      <c r="P76" s="130">
        <f t="shared" si="0"/>
        <v>4682.9133499999998</v>
      </c>
      <c r="Q76" s="137">
        <f>P76/D75</f>
        <v>3.8118670427431112E-2</v>
      </c>
      <c r="R76" s="138">
        <f>P76/$D$91</f>
        <v>1.9570760971111701E-3</v>
      </c>
      <c r="S76" s="8"/>
      <c r="T76" s="8"/>
      <c r="U76" s="8"/>
      <c r="V76" s="5"/>
    </row>
    <row r="77" spans="2:24" ht="26" x14ac:dyDescent="0.25">
      <c r="B77" s="224"/>
      <c r="C77" s="230"/>
      <c r="D77" s="227"/>
      <c r="E77" s="220"/>
      <c r="F77" s="190" t="s">
        <v>214</v>
      </c>
      <c r="G77" s="218">
        <v>1681.04</v>
      </c>
      <c r="H77" s="172"/>
      <c r="I77" s="179"/>
      <c r="J77" s="179"/>
      <c r="K77" s="179"/>
      <c r="L77" s="179"/>
      <c r="M77" s="179"/>
      <c r="N77" s="179"/>
      <c r="O77" s="179"/>
      <c r="P77" s="130">
        <f t="shared" si="0"/>
        <v>0</v>
      </c>
      <c r="Q77" s="137"/>
      <c r="R77" s="138"/>
      <c r="S77" s="8"/>
      <c r="T77" s="186"/>
      <c r="U77" s="8"/>
      <c r="V77" s="5"/>
    </row>
    <row r="78" spans="2:24" ht="33.75" customHeight="1" x14ac:dyDescent="0.25">
      <c r="B78" s="224"/>
      <c r="C78" s="230"/>
      <c r="D78" s="227"/>
      <c r="E78" s="220"/>
      <c r="F78" s="190" t="s">
        <v>218</v>
      </c>
      <c r="G78" s="218">
        <v>12331.92</v>
      </c>
      <c r="H78" s="172"/>
      <c r="I78" s="179"/>
      <c r="J78" s="179"/>
      <c r="K78" s="179"/>
      <c r="L78" s="179"/>
      <c r="M78" s="179"/>
      <c r="N78" s="179"/>
      <c r="O78" s="179"/>
      <c r="P78" s="130">
        <f t="shared" ref="P78:P90" si="1">SUM(I78:O78)</f>
        <v>0</v>
      </c>
      <c r="Q78" s="137"/>
      <c r="R78" s="138"/>
      <c r="S78" s="8"/>
      <c r="T78" s="8"/>
      <c r="U78" s="8"/>
      <c r="V78" s="5"/>
    </row>
    <row r="79" spans="2:24" ht="26" x14ac:dyDescent="0.25">
      <c r="B79" s="224"/>
      <c r="C79" s="230"/>
      <c r="D79" s="227"/>
      <c r="E79" s="220"/>
      <c r="F79" s="190"/>
      <c r="G79" s="218"/>
      <c r="H79" s="172"/>
      <c r="I79" s="179"/>
      <c r="J79" s="179"/>
      <c r="K79" s="179"/>
      <c r="L79" s="179"/>
      <c r="M79" s="179"/>
      <c r="N79" s="179"/>
      <c r="O79" s="179"/>
      <c r="P79" s="130">
        <f t="shared" si="1"/>
        <v>0</v>
      </c>
      <c r="Q79" s="141"/>
      <c r="R79" s="142"/>
      <c r="S79" s="8"/>
      <c r="T79" s="8"/>
      <c r="U79" s="8"/>
      <c r="V79" s="5"/>
    </row>
    <row r="80" spans="2:24" ht="22.5" customHeight="1" x14ac:dyDescent="0.25">
      <c r="B80" s="224" t="s">
        <v>40</v>
      </c>
      <c r="C80" s="229">
        <v>355000</v>
      </c>
      <c r="D80" s="226">
        <v>297227.82999999996</v>
      </c>
      <c r="E80" s="220">
        <f>D80/C80</f>
        <v>0.83726149295774632</v>
      </c>
      <c r="F80" s="190" t="s">
        <v>91</v>
      </c>
      <c r="G80" s="218">
        <v>46784.429999999993</v>
      </c>
      <c r="H80" s="172"/>
      <c r="I80" s="179"/>
      <c r="J80" s="179"/>
      <c r="K80" s="179"/>
      <c r="L80" s="179"/>
      <c r="M80" s="179"/>
      <c r="N80" s="179"/>
      <c r="O80" s="179"/>
      <c r="P80" s="130">
        <f t="shared" si="1"/>
        <v>0</v>
      </c>
      <c r="Q80" s="137"/>
      <c r="R80" s="137"/>
      <c r="S80" s="8"/>
      <c r="T80" s="8"/>
      <c r="U80" s="8"/>
      <c r="V80" s="5"/>
    </row>
    <row r="81" spans="2:22" ht="22.5" customHeight="1" x14ac:dyDescent="0.25">
      <c r="B81" s="224"/>
      <c r="C81" s="230"/>
      <c r="D81" s="227"/>
      <c r="E81" s="220"/>
      <c r="F81" s="190" t="s">
        <v>141</v>
      </c>
      <c r="G81" s="218">
        <v>15379.000000000002</v>
      </c>
      <c r="H81" s="172"/>
      <c r="I81" s="179"/>
      <c r="J81" s="179"/>
      <c r="K81" s="179"/>
      <c r="L81" s="179"/>
      <c r="M81" s="179"/>
      <c r="N81" s="179"/>
      <c r="O81" s="179"/>
      <c r="P81" s="130">
        <f t="shared" si="1"/>
        <v>0</v>
      </c>
      <c r="Q81" s="141"/>
      <c r="R81" s="142"/>
      <c r="S81" s="8"/>
      <c r="T81" s="8"/>
      <c r="U81" s="8"/>
      <c r="V81" s="5"/>
    </row>
    <row r="82" spans="2:22" ht="22.5" customHeight="1" x14ac:dyDescent="0.25">
      <c r="B82" s="224"/>
      <c r="C82" s="230"/>
      <c r="D82" s="227"/>
      <c r="E82" s="220"/>
      <c r="F82" s="190" t="s">
        <v>218</v>
      </c>
      <c r="G82" s="218">
        <v>42527.98</v>
      </c>
      <c r="H82" s="172"/>
      <c r="I82" s="179"/>
      <c r="J82" s="179"/>
      <c r="K82" s="179"/>
      <c r="L82" s="179"/>
      <c r="M82" s="179"/>
      <c r="N82" s="179"/>
      <c r="O82" s="179"/>
      <c r="P82" s="130">
        <f t="shared" si="1"/>
        <v>0</v>
      </c>
      <c r="Q82" s="137"/>
      <c r="R82" s="138"/>
      <c r="S82" s="8"/>
      <c r="T82" s="8"/>
      <c r="U82" s="8"/>
      <c r="V82" s="5"/>
    </row>
    <row r="83" spans="2:22" ht="22.5" customHeight="1" x14ac:dyDescent="0.25">
      <c r="B83" s="224"/>
      <c r="C83" s="230"/>
      <c r="D83" s="227"/>
      <c r="E83" s="220"/>
      <c r="F83" s="190" t="s">
        <v>25</v>
      </c>
      <c r="G83" s="218">
        <v>192536.41999999995</v>
      </c>
      <c r="H83" s="172"/>
      <c r="I83" s="179">
        <f>SUPERVISOR!E15+SUPERVISOR!G15+SUPERVISOR!I15+SUPERVISOR!N15</f>
        <v>12398.935349999992</v>
      </c>
      <c r="J83" s="179">
        <f>SUPERVISOR!K15</f>
        <v>1691.07645</v>
      </c>
      <c r="K83" s="179">
        <f>SUPERVISOR!J15</f>
        <v>13657.505999999998</v>
      </c>
      <c r="L83" s="179">
        <f>SUPERVISOR!L15</f>
        <v>7431.4150500000014</v>
      </c>
      <c r="M83" s="179">
        <f>SUPERVISOR!M15</f>
        <v>3812.0940000000001</v>
      </c>
      <c r="N83" s="179"/>
      <c r="O83" s="179"/>
      <c r="P83" s="130">
        <f t="shared" si="1"/>
        <v>38991.026849999987</v>
      </c>
      <c r="Q83" s="137">
        <f>P83/D80</f>
        <v>0.13118228817940766</v>
      </c>
      <c r="R83" s="138">
        <f>P83/$D$91</f>
        <v>1.6295071240204524E-2</v>
      </c>
      <c r="S83" s="8"/>
      <c r="T83" s="8"/>
      <c r="U83" s="8"/>
      <c r="V83" s="5"/>
    </row>
    <row r="84" spans="2:22" ht="28.5" customHeight="1" x14ac:dyDescent="0.25">
      <c r="B84" s="224" t="s">
        <v>41</v>
      </c>
      <c r="C84" s="229">
        <v>150000</v>
      </c>
      <c r="D84" s="226">
        <v>159870.65999999986</v>
      </c>
      <c r="E84" s="220">
        <f>D84/C84</f>
        <v>1.0658043999999991</v>
      </c>
      <c r="F84" s="190" t="s">
        <v>91</v>
      </c>
      <c r="G84" s="218">
        <v>2793.09</v>
      </c>
      <c r="H84" s="172"/>
      <c r="I84" s="179"/>
      <c r="J84" s="179"/>
      <c r="K84" s="179"/>
      <c r="L84" s="179"/>
      <c r="M84" s="179"/>
      <c r="N84" s="179"/>
      <c r="O84" s="179"/>
      <c r="P84" s="130">
        <f t="shared" si="1"/>
        <v>0</v>
      </c>
      <c r="Q84" s="137"/>
      <c r="R84" s="138"/>
      <c r="S84" s="8"/>
      <c r="T84" s="8"/>
      <c r="U84" s="8"/>
      <c r="V84" s="5"/>
    </row>
    <row r="85" spans="2:22" ht="28.5" customHeight="1" x14ac:dyDescent="0.25">
      <c r="B85" s="224"/>
      <c r="C85" s="230"/>
      <c r="D85" s="227"/>
      <c r="E85" s="220"/>
      <c r="F85" s="190" t="s">
        <v>141</v>
      </c>
      <c r="G85" s="218">
        <v>23961.209999999995</v>
      </c>
      <c r="H85" s="172"/>
      <c r="I85" s="179"/>
      <c r="J85" s="179"/>
      <c r="K85" s="179"/>
      <c r="L85" s="179"/>
      <c r="M85" s="179"/>
      <c r="N85" s="179"/>
      <c r="O85" s="179"/>
      <c r="P85" s="130">
        <f t="shared" si="1"/>
        <v>0</v>
      </c>
      <c r="Q85" s="137"/>
      <c r="R85" s="138"/>
      <c r="S85" s="8"/>
      <c r="T85" s="8"/>
      <c r="U85" s="8"/>
      <c r="V85" s="5"/>
    </row>
    <row r="86" spans="2:22" ht="28.5" customHeight="1" x14ac:dyDescent="0.25">
      <c r="B86" s="224"/>
      <c r="C86" s="230"/>
      <c r="D86" s="227"/>
      <c r="E86" s="220"/>
      <c r="F86" s="190" t="s">
        <v>38</v>
      </c>
      <c r="G86" s="218">
        <v>133116.35999999996</v>
      </c>
      <c r="H86" s="172"/>
      <c r="I86" s="179">
        <f>G86*E7</f>
        <v>2662.3271999999993</v>
      </c>
      <c r="J86" s="179">
        <v>281.03430000000003</v>
      </c>
      <c r="K86" s="179">
        <v>3334.3980000000006</v>
      </c>
      <c r="L86" s="179">
        <v>468.9624</v>
      </c>
      <c r="M86" s="179">
        <v>450.52020000000005</v>
      </c>
      <c r="N86" s="179">
        <f>'[2]SEMANA 3'!$O$24</f>
        <v>390.47420000000011</v>
      </c>
      <c r="O86" s="179"/>
      <c r="P86" s="130">
        <f t="shared" si="1"/>
        <v>7587.7163</v>
      </c>
      <c r="Q86" s="137">
        <f>P86/D84</f>
        <v>4.7461593640759393E-2</v>
      </c>
      <c r="R86" s="138">
        <f>P86/$D$91</f>
        <v>3.1710469727975659E-3</v>
      </c>
      <c r="S86" s="8"/>
      <c r="T86" s="8"/>
      <c r="U86" s="8"/>
      <c r="V86" s="5"/>
    </row>
    <row r="87" spans="2:22" ht="28.5" customHeight="1" x14ac:dyDescent="0.25">
      <c r="B87" s="224"/>
      <c r="C87" s="230"/>
      <c r="D87" s="227"/>
      <c r="E87" s="220"/>
      <c r="F87" s="190"/>
      <c r="G87" s="189"/>
      <c r="H87" s="172"/>
      <c r="I87" s="179"/>
      <c r="J87" s="179"/>
      <c r="K87" s="179"/>
      <c r="L87" s="179"/>
      <c r="M87" s="179"/>
      <c r="N87" s="179"/>
      <c r="O87" s="179"/>
      <c r="P87" s="130">
        <f t="shared" si="1"/>
        <v>0</v>
      </c>
      <c r="Q87" s="141"/>
      <c r="R87" s="142"/>
      <c r="S87" s="8"/>
      <c r="T87" s="8"/>
      <c r="U87" s="8"/>
      <c r="V87" s="5"/>
    </row>
    <row r="88" spans="2:22" ht="31" x14ac:dyDescent="0.25">
      <c r="B88" s="190" t="s">
        <v>91</v>
      </c>
      <c r="C88" s="201">
        <v>120000</v>
      </c>
      <c r="D88" s="24">
        <f>G88</f>
        <v>143353.28999999998</v>
      </c>
      <c r="E88" s="43">
        <f>D88/C88</f>
        <v>1.1946107499999998</v>
      </c>
      <c r="F88" s="190" t="s">
        <v>91</v>
      </c>
      <c r="G88" s="189">
        <f>G19+G29+G63+G67+G75+G80+G84</f>
        <v>143353.28999999998</v>
      </c>
      <c r="H88" s="172"/>
      <c r="I88" s="179">
        <f>G88*F7</f>
        <v>3583.8322499999995</v>
      </c>
      <c r="J88" s="179">
        <v>190.5171</v>
      </c>
      <c r="K88" s="179">
        <v>3915.2532000000001</v>
      </c>
      <c r="L88" s="179">
        <v>591.37540000000001</v>
      </c>
      <c r="M88" s="179">
        <v>1108.9728</v>
      </c>
      <c r="N88" s="179"/>
      <c r="O88" s="179"/>
      <c r="P88" s="130">
        <f t="shared" si="1"/>
        <v>9389.95075</v>
      </c>
      <c r="Q88" s="137">
        <f>P88/D88</f>
        <v>6.5502164268430821E-2</v>
      </c>
      <c r="R88" s="138">
        <f>P88/D91</f>
        <v>3.9242340808796098E-3</v>
      </c>
      <c r="S88" s="8"/>
      <c r="T88" s="8"/>
      <c r="U88" s="8"/>
      <c r="V88" s="5"/>
    </row>
    <row r="89" spans="2:22" ht="31" x14ac:dyDescent="0.25">
      <c r="B89" s="190" t="s">
        <v>141</v>
      </c>
      <c r="C89" s="201">
        <v>120000</v>
      </c>
      <c r="D89" s="24">
        <f>G89</f>
        <v>90452.81</v>
      </c>
      <c r="E89" s="43">
        <f t="shared" ref="E89:E90" si="2">D89/C89</f>
        <v>0.75377341666666664</v>
      </c>
      <c r="F89" s="190" t="s">
        <v>141</v>
      </c>
      <c r="G89" s="189">
        <f>G13+G23+G34+G44+G53+G59+G71+G81+G85</f>
        <v>90452.81</v>
      </c>
      <c r="H89" s="172"/>
      <c r="I89" s="179">
        <f>G89*I4</f>
        <v>452.26405</v>
      </c>
      <c r="J89" s="179">
        <v>83.405100000000004</v>
      </c>
      <c r="K89" s="179">
        <v>898.46550000000013</v>
      </c>
      <c r="L89" s="179">
        <v>196.55040000000002</v>
      </c>
      <c r="M89" s="179">
        <v>277.2432</v>
      </c>
      <c r="N89" s="179"/>
      <c r="O89" s="179"/>
      <c r="P89" s="130">
        <f t="shared" si="1"/>
        <v>1907.9282499999999</v>
      </c>
      <c r="Q89" s="137">
        <f>P89/D89</f>
        <v>2.1093078810929144E-2</v>
      </c>
      <c r="R89" s="138">
        <f>P89/$D$91</f>
        <v>7.973585018561458E-4</v>
      </c>
      <c r="S89" s="8"/>
      <c r="T89" s="8"/>
      <c r="U89" s="8"/>
      <c r="V89" s="5"/>
    </row>
    <row r="90" spans="2:22" ht="31" x14ac:dyDescent="0.25">
      <c r="B90" s="190" t="s">
        <v>214</v>
      </c>
      <c r="C90" s="201">
        <v>120000</v>
      </c>
      <c r="D90" s="24">
        <f>G90</f>
        <v>94246.26</v>
      </c>
      <c r="E90" s="43">
        <f t="shared" si="2"/>
        <v>0.78538549999999996</v>
      </c>
      <c r="F90" s="190" t="s">
        <v>214</v>
      </c>
      <c r="G90" s="189">
        <f>G24+G30+G35+G40+G45+G55+G64+G72+G77</f>
        <v>94246.26</v>
      </c>
      <c r="H90" s="172"/>
      <c r="I90" s="179">
        <f>G90*I5</f>
        <v>942.46259999999995</v>
      </c>
      <c r="J90" s="179">
        <v>10.344849999999999</v>
      </c>
      <c r="K90" s="179">
        <v>1844.4451500000005</v>
      </c>
      <c r="L90" s="179">
        <v>311.63580000000002</v>
      </c>
      <c r="M90" s="179">
        <v>571.81410000000005</v>
      </c>
      <c r="N90" s="179"/>
      <c r="O90" s="179"/>
      <c r="P90" s="130">
        <f t="shared" si="1"/>
        <v>3680.7025000000003</v>
      </c>
      <c r="Q90" s="137">
        <f>P90/D90</f>
        <v>3.9054096151932186E-2</v>
      </c>
      <c r="R90" s="138">
        <f>P90/D91</f>
        <v>1.5382336475064881E-3</v>
      </c>
      <c r="S90" s="8"/>
      <c r="T90" s="8"/>
      <c r="U90" s="8"/>
      <c r="V90" s="5"/>
    </row>
    <row r="91" spans="2:22" ht="37.5" customHeight="1" thickBot="1" x14ac:dyDescent="0.35">
      <c r="B91" s="33"/>
      <c r="C91" s="62">
        <f>SUM(C13:C87)</f>
        <v>2751000</v>
      </c>
      <c r="D91" s="63">
        <f>SUM(D13:D87)</f>
        <v>2392811.0699999984</v>
      </c>
      <c r="E91" s="64">
        <f>D91/C91</f>
        <v>0.86979682660850544</v>
      </c>
      <c r="F91" s="10"/>
      <c r="G91" s="79">
        <f>SUM(G3:G87)</f>
        <v>2392811.0699999984</v>
      </c>
      <c r="H91" s="80">
        <f t="shared" ref="H91:N91" si="3">SUM(H13:H90)</f>
        <v>0</v>
      </c>
      <c r="I91" s="80">
        <f t="shared" si="3"/>
        <v>44153.847474999973</v>
      </c>
      <c r="J91" s="80">
        <f t="shared" si="3"/>
        <v>4046.8939000000005</v>
      </c>
      <c r="K91" s="80">
        <f t="shared" si="3"/>
        <v>58568.699249999991</v>
      </c>
      <c r="L91" s="80">
        <f t="shared" si="3"/>
        <v>15432.651050000004</v>
      </c>
      <c r="M91" s="80">
        <f t="shared" si="3"/>
        <v>17067.784499999998</v>
      </c>
      <c r="N91" s="80">
        <f t="shared" si="3"/>
        <v>5064.1273000000001</v>
      </c>
      <c r="O91" s="80">
        <f t="shared" ref="O91" si="4">SUM(O13:O90)</f>
        <v>0</v>
      </c>
      <c r="P91" s="80">
        <f>SUM(P13:P90)</f>
        <v>144334.00347499995</v>
      </c>
      <c r="Q91" s="139"/>
      <c r="R91" s="139">
        <f>P91/D91</f>
        <v>6.0319849437590591E-2</v>
      </c>
      <c r="S91" s="8"/>
      <c r="T91" s="8"/>
      <c r="U91" s="8"/>
      <c r="V91" s="5"/>
    </row>
    <row r="92" spans="2:22" ht="22" thickBot="1" x14ac:dyDescent="0.25">
      <c r="D92" s="21"/>
      <c r="J92" s="6"/>
      <c r="K92"/>
      <c r="M92" s="1"/>
      <c r="Q92" s="32"/>
      <c r="R92"/>
      <c r="T92" s="5"/>
      <c r="U92" s="5"/>
      <c r="V92" s="5"/>
    </row>
    <row r="93" spans="2:22" s="57" customFormat="1" ht="61" thickBot="1" x14ac:dyDescent="0.4">
      <c r="C93" s="55"/>
      <c r="D93" s="56"/>
      <c r="G93" s="55"/>
      <c r="H93" s="61" t="s">
        <v>105</v>
      </c>
      <c r="I93" s="208">
        <f>I91/D91</f>
        <v>1.8452709463183819E-2</v>
      </c>
      <c r="J93" s="60">
        <f>J91/D91</f>
        <v>1.6912718060937437E-3</v>
      </c>
      <c r="K93" s="59">
        <f>K91/D91</f>
        <v>2.4476942615448544E-2</v>
      </c>
      <c r="L93" s="60">
        <f>L91/D91</f>
        <v>6.4495902929770444E-3</v>
      </c>
      <c r="M93" s="60">
        <f>M91/D91</f>
        <v>7.1329428027094551E-3</v>
      </c>
      <c r="N93" s="60">
        <f>N91/D91</f>
        <v>2.1163924571779933E-3</v>
      </c>
      <c r="O93" s="60">
        <f>O91/D91</f>
        <v>0</v>
      </c>
      <c r="P93" s="101">
        <f>P91/D91</f>
        <v>6.0319849437590591E-2</v>
      </c>
      <c r="Q93" s="136"/>
      <c r="R93" s="58"/>
      <c r="S93" s="68"/>
      <c r="T93" s="58"/>
      <c r="U93" s="58"/>
      <c r="V93" s="58"/>
    </row>
    <row r="94" spans="2:22" x14ac:dyDescent="0.2">
      <c r="D94"/>
    </row>
    <row r="95" spans="2:22" x14ac:dyDescent="0.2">
      <c r="D95"/>
    </row>
    <row r="96" spans="2:22" x14ac:dyDescent="0.25">
      <c r="D96"/>
      <c r="P96" s="180"/>
    </row>
    <row r="97" spans="4:16" ht="29.25" customHeight="1" x14ac:dyDescent="0.25">
      <c r="D97"/>
      <c r="M97" s="70"/>
      <c r="P97" s="219"/>
    </row>
    <row r="98" spans="4:16" x14ac:dyDescent="0.25">
      <c r="D98"/>
      <c r="P98" s="180"/>
    </row>
    <row r="99" spans="4:16" ht="29" x14ac:dyDescent="0.35">
      <c r="D99"/>
      <c r="P99" s="102"/>
    </row>
    <row r="100" spans="4:16" ht="29" x14ac:dyDescent="0.35">
      <c r="D100"/>
      <c r="P100" s="102"/>
    </row>
  </sheetData>
  <mergeCells count="71">
    <mergeCell ref="I11:M11"/>
    <mergeCell ref="C71:C74"/>
    <mergeCell ref="B59:B62"/>
    <mergeCell ref="C59:C62"/>
    <mergeCell ref="C80:C83"/>
    <mergeCell ref="E71:E74"/>
    <mergeCell ref="E34:E38"/>
    <mergeCell ref="E50:E52"/>
    <mergeCell ref="D39:D43"/>
    <mergeCell ref="D53:D58"/>
    <mergeCell ref="D48:D49"/>
    <mergeCell ref="E48:E49"/>
    <mergeCell ref="C63:C66"/>
    <mergeCell ref="B63:B66"/>
    <mergeCell ref="D63:D66"/>
    <mergeCell ref="D59:D62"/>
    <mergeCell ref="C84:C87"/>
    <mergeCell ref="B75:B79"/>
    <mergeCell ref="C75:C79"/>
    <mergeCell ref="B67:B70"/>
    <mergeCell ref="B80:B83"/>
    <mergeCell ref="B84:B87"/>
    <mergeCell ref="C67:C70"/>
    <mergeCell ref="B71:B74"/>
    <mergeCell ref="E84:E87"/>
    <mergeCell ref="E53:E58"/>
    <mergeCell ref="E63:E66"/>
    <mergeCell ref="E75:E79"/>
    <mergeCell ref="E80:E83"/>
    <mergeCell ref="E67:E70"/>
    <mergeCell ref="E59:E62"/>
    <mergeCell ref="D67:D70"/>
    <mergeCell ref="D80:D83"/>
    <mergeCell ref="D84:D87"/>
    <mergeCell ref="D75:D79"/>
    <mergeCell ref="D71:D74"/>
    <mergeCell ref="B4:F4"/>
    <mergeCell ref="B13:B18"/>
    <mergeCell ref="B29:B33"/>
    <mergeCell ref="B34:B38"/>
    <mergeCell ref="D13:D18"/>
    <mergeCell ref="C34:C38"/>
    <mergeCell ref="C29:C33"/>
    <mergeCell ref="C13:C18"/>
    <mergeCell ref="D34:D38"/>
    <mergeCell ref="D29:D33"/>
    <mergeCell ref="E13:E18"/>
    <mergeCell ref="D19:D22"/>
    <mergeCell ref="E19:E22"/>
    <mergeCell ref="E29:E33"/>
    <mergeCell ref="B53:B58"/>
    <mergeCell ref="C50:C52"/>
    <mergeCell ref="D50:D52"/>
    <mergeCell ref="C39:C43"/>
    <mergeCell ref="B50:B52"/>
    <mergeCell ref="B39:B43"/>
    <mergeCell ref="B44:B47"/>
    <mergeCell ref="C44:C47"/>
    <mergeCell ref="D44:D47"/>
    <mergeCell ref="C48:C49"/>
    <mergeCell ref="B48:B49"/>
    <mergeCell ref="C53:C58"/>
    <mergeCell ref="E39:E43"/>
    <mergeCell ref="E44:E47"/>
    <mergeCell ref="F11:H11"/>
    <mergeCell ref="B23:B28"/>
    <mergeCell ref="C23:C28"/>
    <mergeCell ref="D23:D28"/>
    <mergeCell ref="E23:E28"/>
    <mergeCell ref="C19:C22"/>
    <mergeCell ref="B19:B22"/>
  </mergeCells>
  <conditionalFormatting sqref="E13:E18 E29:E62 E80:E90">
    <cfRule type="cellIs" dxfId="3" priority="3" operator="greaterThan">
      <formula>0.7</formula>
    </cfRule>
    <cfRule type="cellIs" dxfId="2" priority="4" operator="greaterThan">
      <formula>"70$"</formula>
    </cfRule>
  </conditionalFormatting>
  <conditionalFormatting sqref="E19:E28">
    <cfRule type="cellIs" dxfId="1" priority="1" operator="greaterThan">
      <formula>0.75</formula>
    </cfRule>
  </conditionalFormatting>
  <conditionalFormatting sqref="E63:E79">
    <cfRule type="cellIs" dxfId="0" priority="2" operator="greaterThan">
      <formula>0.75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5CDA-D2B9-4E79-B077-2D9DEA9AD879}">
  <dimension ref="B1:K25"/>
  <sheetViews>
    <sheetView showGridLines="0" view="pageBreakPreview" topLeftCell="C1" zoomScaleNormal="80" zoomScaleSheetLayoutView="100" workbookViewId="0">
      <selection activeCell="E4" sqref="E4"/>
    </sheetView>
  </sheetViews>
  <sheetFormatPr baseColWidth="10" defaultRowHeight="15" x14ac:dyDescent="0.2"/>
  <cols>
    <col min="1" max="1" width="6.1640625" customWidth="1"/>
    <col min="2" max="2" width="23.33203125" hidden="1" customWidth="1"/>
    <col min="3" max="3" width="29.5" customWidth="1"/>
    <col min="4" max="4" width="61.83203125" customWidth="1"/>
    <col min="5" max="5" width="23.83203125" customWidth="1"/>
    <col min="7" max="7" width="20" style="2" bestFit="1" customWidth="1"/>
    <col min="8" max="8" width="11.5" style="195"/>
    <col min="9" max="9" width="11.5" style="2" bestFit="1" customWidth="1"/>
    <col min="10" max="10" width="11.5" style="2"/>
    <col min="11" max="11" width="20.1640625" style="2" customWidth="1"/>
  </cols>
  <sheetData>
    <row r="1" spans="2:11" x14ac:dyDescent="0.2">
      <c r="C1" s="245"/>
      <c r="D1" s="245"/>
      <c r="E1" s="245"/>
    </row>
    <row r="2" spans="2:11" x14ac:dyDescent="0.2">
      <c r="C2" s="246"/>
      <c r="D2" s="246"/>
      <c r="E2" s="246"/>
    </row>
    <row r="3" spans="2:11" ht="41.25" customHeight="1" x14ac:dyDescent="0.2">
      <c r="B3" s="53" t="s">
        <v>101</v>
      </c>
      <c r="C3" s="182" t="s">
        <v>71</v>
      </c>
      <c r="D3" s="183" t="s">
        <v>18</v>
      </c>
      <c r="E3" s="183" t="s">
        <v>104</v>
      </c>
      <c r="G3" s="2" t="s">
        <v>212</v>
      </c>
      <c r="H3" s="195" t="s">
        <v>213</v>
      </c>
    </row>
    <row r="4" spans="2:11" ht="46.5" customHeight="1" x14ac:dyDescent="0.25">
      <c r="B4" s="34" t="s">
        <v>102</v>
      </c>
      <c r="C4" s="34" t="s">
        <v>20</v>
      </c>
      <c r="D4" s="171" t="s">
        <v>143</v>
      </c>
      <c r="E4" s="193">
        <v>10995</v>
      </c>
      <c r="G4" s="194">
        <f>K4-E4</f>
        <v>-10995</v>
      </c>
      <c r="H4" s="196">
        <v>200</v>
      </c>
      <c r="I4" s="194"/>
      <c r="J4" s="194"/>
      <c r="K4" s="194">
        <f>ERECTUS!P17</f>
        <v>0</v>
      </c>
    </row>
    <row r="5" spans="2:11" ht="46.5" customHeight="1" x14ac:dyDescent="0.25">
      <c r="B5" s="34" t="s">
        <v>102</v>
      </c>
      <c r="C5" s="34" t="s">
        <v>206</v>
      </c>
      <c r="D5" s="171" t="s">
        <v>180</v>
      </c>
      <c r="E5" s="193">
        <v>1300</v>
      </c>
      <c r="G5" s="194">
        <f t="shared" ref="G5:G11" si="0">K5-E5</f>
        <v>-1300</v>
      </c>
      <c r="H5" s="196"/>
      <c r="I5" s="194"/>
      <c r="J5" s="194"/>
      <c r="K5" s="194">
        <f>ERECTUS!P34</f>
        <v>0</v>
      </c>
    </row>
    <row r="6" spans="2:11" ht="46.5" customHeight="1" x14ac:dyDescent="0.25">
      <c r="B6" s="34" t="s">
        <v>102</v>
      </c>
      <c r="C6" s="34" t="s">
        <v>23</v>
      </c>
      <c r="D6" s="171" t="s">
        <v>35</v>
      </c>
      <c r="E6" s="193">
        <v>2378.8382000000001</v>
      </c>
      <c r="G6" s="194">
        <f t="shared" si="0"/>
        <v>-2378.8382000000001</v>
      </c>
      <c r="H6" s="196"/>
      <c r="I6" s="194"/>
      <c r="J6" s="194"/>
      <c r="K6" s="194">
        <f>ERECTUS!P40</f>
        <v>0</v>
      </c>
    </row>
    <row r="7" spans="2:11" ht="46.5" customHeight="1" x14ac:dyDescent="0.25">
      <c r="B7" s="34" t="s">
        <v>102</v>
      </c>
      <c r="C7" s="34" t="s">
        <v>45</v>
      </c>
      <c r="D7" s="171" t="s">
        <v>140</v>
      </c>
      <c r="E7" s="193">
        <v>500</v>
      </c>
      <c r="G7" s="194">
        <f t="shared" si="0"/>
        <v>-500</v>
      </c>
      <c r="H7" s="196">
        <v>630</v>
      </c>
      <c r="I7" s="194"/>
      <c r="J7" s="194"/>
      <c r="K7" s="194">
        <f>ERECTUS!P45</f>
        <v>0</v>
      </c>
    </row>
    <row r="8" spans="2:11" ht="46.5" customHeight="1" x14ac:dyDescent="0.25">
      <c r="B8" s="34" t="s">
        <v>102</v>
      </c>
      <c r="C8" s="34" t="s">
        <v>44</v>
      </c>
      <c r="D8" s="171" t="s">
        <v>181</v>
      </c>
      <c r="E8" s="193">
        <v>5990</v>
      </c>
      <c r="G8" s="194">
        <f t="shared" si="0"/>
        <v>0</v>
      </c>
      <c r="H8" s="196"/>
      <c r="I8" s="194"/>
      <c r="J8" s="194"/>
      <c r="K8" s="194">
        <v>5990</v>
      </c>
    </row>
    <row r="9" spans="2:11" ht="46.5" customHeight="1" x14ac:dyDescent="0.25">
      <c r="B9" s="34" t="s">
        <v>102</v>
      </c>
      <c r="C9" s="34" t="s">
        <v>23</v>
      </c>
      <c r="D9" s="191" t="s">
        <v>91</v>
      </c>
      <c r="E9" s="193">
        <v>4150</v>
      </c>
      <c r="G9" s="194">
        <f t="shared" si="0"/>
        <v>5239.95075</v>
      </c>
      <c r="H9" s="196">
        <v>173</v>
      </c>
      <c r="I9" s="194"/>
      <c r="J9" s="194"/>
      <c r="K9" s="194">
        <f>ERECTUS!P88</f>
        <v>9389.95075</v>
      </c>
    </row>
    <row r="10" spans="2:11" ht="46.5" customHeight="1" x14ac:dyDescent="0.25">
      <c r="B10" s="34"/>
      <c r="C10" s="34" t="s">
        <v>31</v>
      </c>
      <c r="D10" s="171" t="s">
        <v>47</v>
      </c>
      <c r="E10" s="193">
        <v>5005</v>
      </c>
      <c r="G10" s="194">
        <f t="shared" si="0"/>
        <v>-5005</v>
      </c>
      <c r="H10" s="196">
        <v>2002</v>
      </c>
      <c r="I10" s="194"/>
      <c r="J10" s="194"/>
      <c r="K10" s="194">
        <f>ERECTUS!P64</f>
        <v>0</v>
      </c>
    </row>
    <row r="11" spans="2:11" ht="24" x14ac:dyDescent="0.25">
      <c r="C11" s="34" t="s">
        <v>41</v>
      </c>
      <c r="D11" s="34" t="s">
        <v>211</v>
      </c>
      <c r="E11" s="193">
        <v>3150</v>
      </c>
      <c r="G11" s="194">
        <f t="shared" si="0"/>
        <v>-3150</v>
      </c>
      <c r="H11" s="196">
        <v>500</v>
      </c>
      <c r="I11" s="194"/>
      <c r="J11" s="194"/>
      <c r="K11" s="194">
        <f>ERECTUS!P87</f>
        <v>0</v>
      </c>
    </row>
    <row r="12" spans="2:11" ht="46.5" customHeight="1" x14ac:dyDescent="0.2">
      <c r="C12" s="34"/>
      <c r="D12" s="34"/>
      <c r="E12" s="181"/>
    </row>
    <row r="13" spans="2:11" ht="46.5" customHeight="1" x14ac:dyDescent="0.2">
      <c r="C13" s="54" t="s">
        <v>71</v>
      </c>
      <c r="D13" s="53" t="s">
        <v>18</v>
      </c>
      <c r="E13" s="53" t="s">
        <v>150</v>
      </c>
    </row>
    <row r="14" spans="2:11" ht="46.5" customHeight="1" x14ac:dyDescent="0.25">
      <c r="B14" s="34" t="s">
        <v>102</v>
      </c>
      <c r="C14" s="34" t="s">
        <v>207</v>
      </c>
      <c r="D14" s="171" t="s">
        <v>46</v>
      </c>
      <c r="E14" s="192">
        <v>12304</v>
      </c>
      <c r="G14" s="194">
        <f t="shared" ref="G14:G22" si="1">K14-E14</f>
        <v>-12304</v>
      </c>
      <c r="H14" s="196"/>
      <c r="I14" s="194"/>
      <c r="J14" s="194"/>
      <c r="K14" s="194">
        <f>ERECTUS!P23</f>
        <v>0</v>
      </c>
    </row>
    <row r="15" spans="2:11" ht="46.5" customHeight="1" x14ac:dyDescent="0.25">
      <c r="B15" s="34" t="s">
        <v>102</v>
      </c>
      <c r="C15" s="34" t="s">
        <v>202</v>
      </c>
      <c r="D15" s="171" t="s">
        <v>141</v>
      </c>
      <c r="E15" s="192">
        <v>1252</v>
      </c>
      <c r="G15" s="194">
        <f t="shared" si="1"/>
        <v>4029.3596749999988</v>
      </c>
      <c r="H15" s="196"/>
      <c r="I15" s="194"/>
      <c r="J15" s="194"/>
      <c r="K15" s="194">
        <f>ERECTUS!P54</f>
        <v>5281.3596749999988</v>
      </c>
    </row>
    <row r="16" spans="2:11" ht="46.5" customHeight="1" x14ac:dyDescent="0.25">
      <c r="B16" s="34" t="s">
        <v>102</v>
      </c>
      <c r="C16" s="34" t="s">
        <v>32</v>
      </c>
      <c r="D16" s="171" t="s">
        <v>97</v>
      </c>
      <c r="E16" s="192">
        <v>5464</v>
      </c>
      <c r="G16" s="194">
        <f t="shared" si="1"/>
        <v>-5464</v>
      </c>
      <c r="H16" s="196"/>
      <c r="I16" s="194"/>
      <c r="J16" s="194"/>
      <c r="K16" s="194">
        <f>ERECTUS!P67</f>
        <v>0</v>
      </c>
    </row>
    <row r="17" spans="2:11" ht="46.5" customHeight="1" x14ac:dyDescent="0.25">
      <c r="B17" s="34" t="s">
        <v>102</v>
      </c>
      <c r="C17" s="34" t="s">
        <v>33</v>
      </c>
      <c r="D17" s="171" t="s">
        <v>37</v>
      </c>
      <c r="E17" s="192">
        <v>11615</v>
      </c>
      <c r="G17" s="194">
        <f t="shared" si="1"/>
        <v>-11615</v>
      </c>
      <c r="H17" s="196"/>
      <c r="I17" s="194"/>
      <c r="J17" s="194"/>
      <c r="K17" s="194">
        <f>ERECTUS!P78</f>
        <v>0</v>
      </c>
    </row>
    <row r="18" spans="2:11" ht="46.5" customHeight="1" x14ac:dyDescent="0.25">
      <c r="B18" s="34" t="s">
        <v>102</v>
      </c>
      <c r="C18" s="34" t="s">
        <v>40</v>
      </c>
      <c r="D18" s="171" t="s">
        <v>25</v>
      </c>
      <c r="E18" s="192">
        <v>22722</v>
      </c>
      <c r="G18" s="194">
        <f t="shared" si="1"/>
        <v>-22722</v>
      </c>
      <c r="H18" s="196"/>
      <c r="I18" s="194"/>
      <c r="J18" s="194"/>
      <c r="K18" s="194">
        <f>ERECTUS!P81</f>
        <v>0</v>
      </c>
    </row>
    <row r="19" spans="2:11" ht="46.5" customHeight="1" x14ac:dyDescent="0.25">
      <c r="B19" s="34" t="s">
        <v>102</v>
      </c>
      <c r="C19" s="34" t="s">
        <v>208</v>
      </c>
      <c r="D19" s="171" t="s">
        <v>96</v>
      </c>
      <c r="E19" s="192">
        <v>5420</v>
      </c>
      <c r="G19" s="194">
        <f t="shared" si="1"/>
        <v>-2059.5708000000009</v>
      </c>
      <c r="H19" s="196"/>
      <c r="I19" s="194"/>
      <c r="J19" s="194"/>
      <c r="K19" s="194">
        <f>ERECTUS!P50</f>
        <v>3360.4291999999991</v>
      </c>
    </row>
    <row r="20" spans="2:11" ht="46.5" customHeight="1" x14ac:dyDescent="0.25">
      <c r="B20" s="34" t="s">
        <v>102</v>
      </c>
      <c r="C20" s="34" t="s">
        <v>28</v>
      </c>
      <c r="D20" s="171" t="s">
        <v>98</v>
      </c>
      <c r="E20" s="192">
        <v>5222</v>
      </c>
      <c r="G20" s="194">
        <f t="shared" si="1"/>
        <v>-5222</v>
      </c>
      <c r="H20" s="196"/>
      <c r="I20" s="194"/>
      <c r="J20" s="194"/>
      <c r="K20" s="194">
        <f>ERECTUS!P22</f>
        <v>0</v>
      </c>
    </row>
    <row r="21" spans="2:11" ht="46.5" customHeight="1" x14ac:dyDescent="0.2">
      <c r="B21" s="34" t="s">
        <v>102</v>
      </c>
      <c r="C21" s="34" t="s">
        <v>21</v>
      </c>
      <c r="D21" s="34" t="s">
        <v>209</v>
      </c>
      <c r="E21" s="197">
        <v>5860</v>
      </c>
      <c r="G21" s="194">
        <f t="shared" si="1"/>
        <v>-5860</v>
      </c>
      <c r="H21" s="196"/>
      <c r="I21" s="194"/>
      <c r="J21" s="194"/>
      <c r="K21" s="194">
        <f>ERECTUS!P29</f>
        <v>0</v>
      </c>
    </row>
    <row r="22" spans="2:11" ht="46.5" customHeight="1" x14ac:dyDescent="0.2">
      <c r="B22" s="34" t="s">
        <v>103</v>
      </c>
      <c r="C22" s="34" t="s">
        <v>34</v>
      </c>
      <c r="D22" s="34" t="s">
        <v>210</v>
      </c>
      <c r="E22" s="197">
        <v>10300</v>
      </c>
      <c r="G22" s="194">
        <f t="shared" si="1"/>
        <v>-6971.804900000001</v>
      </c>
      <c r="H22" s="194">
        <v>1032</v>
      </c>
      <c r="J22" s="194"/>
      <c r="K22" s="194">
        <f>ERECTUS!P48</f>
        <v>3328.195099999999</v>
      </c>
    </row>
    <row r="23" spans="2:11" x14ac:dyDescent="0.2">
      <c r="E23" s="70"/>
    </row>
    <row r="25" spans="2:11" ht="26" x14ac:dyDescent="0.3">
      <c r="E25" s="35">
        <f>SUM(E4:E24)</f>
        <v>113627.8382</v>
      </c>
      <c r="G25" s="198">
        <f>SUM(G4:G24)</f>
        <v>-86277.903474999999</v>
      </c>
      <c r="H25" s="198">
        <f>SUM(H4:H24)</f>
        <v>4537</v>
      </c>
      <c r="K25" s="199">
        <f>SUM(K4:K24)</f>
        <v>27349.934724999999</v>
      </c>
    </row>
  </sheetData>
  <mergeCells count="1">
    <mergeCell ref="C1:E2"/>
  </mergeCells>
  <pageMargins left="0.7" right="0.7" top="0.75" bottom="0.75" header="0.3" footer="0.3"/>
  <pageSetup scale="43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5287F-D1CF-4466-B186-8871047D1F95}">
  <dimension ref="B1:O19"/>
  <sheetViews>
    <sheetView showGridLines="0" view="pageBreakPreview" topLeftCell="E3" zoomScale="60" zoomScaleNormal="120" workbookViewId="0">
      <selection activeCell="O15" sqref="O15"/>
    </sheetView>
  </sheetViews>
  <sheetFormatPr baseColWidth="10" defaultColWidth="10.6640625" defaultRowHeight="15" x14ac:dyDescent="0.2"/>
  <cols>
    <col min="3" max="3" width="43.5" customWidth="1"/>
    <col min="4" max="4" width="33.33203125" customWidth="1"/>
    <col min="5" max="5" width="34.83203125" bestFit="1" customWidth="1"/>
    <col min="6" max="6" width="32.5" customWidth="1"/>
    <col min="7" max="7" width="25.33203125" customWidth="1"/>
    <col min="8" max="8" width="18.1640625" customWidth="1"/>
    <col min="9" max="9" width="22.33203125" bestFit="1" customWidth="1"/>
    <col min="10" max="10" width="29.5" customWidth="1"/>
    <col min="11" max="11" width="27.6640625" customWidth="1"/>
    <col min="12" max="12" width="33.6640625" customWidth="1"/>
    <col min="13" max="13" width="25.5" customWidth="1"/>
    <col min="14" max="14" width="31.5" customWidth="1"/>
    <col min="15" max="15" width="25" customWidth="1"/>
  </cols>
  <sheetData>
    <row r="1" spans="2:15" x14ac:dyDescent="0.2">
      <c r="C1" s="247" t="s">
        <v>100</v>
      </c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</row>
    <row r="3" spans="2:15" s="204" customFormat="1" ht="34" x14ac:dyDescent="0.2">
      <c r="E3" s="202" t="s">
        <v>11</v>
      </c>
      <c r="F3" s="203" t="s">
        <v>48</v>
      </c>
      <c r="G3" s="203" t="s">
        <v>26</v>
      </c>
      <c r="H3" s="203" t="s">
        <v>57</v>
      </c>
      <c r="I3" s="203" t="s">
        <v>49</v>
      </c>
      <c r="J3" s="203" t="s">
        <v>50</v>
      </c>
      <c r="K3" s="203" t="s">
        <v>14</v>
      </c>
      <c r="L3" s="203" t="s">
        <v>58</v>
      </c>
      <c r="M3" s="203" t="s">
        <v>59</v>
      </c>
    </row>
    <row r="4" spans="2:15" ht="29" hidden="1" x14ac:dyDescent="0.35">
      <c r="E4" s="206" t="s">
        <v>60</v>
      </c>
      <c r="F4" s="248" t="s">
        <v>95</v>
      </c>
      <c r="G4" s="249"/>
      <c r="H4" s="249"/>
      <c r="I4" s="249"/>
      <c r="J4" s="249"/>
      <c r="K4" s="249"/>
      <c r="L4" s="249"/>
      <c r="M4" s="249"/>
      <c r="N4" s="249"/>
    </row>
    <row r="5" spans="2:15" ht="29" x14ac:dyDescent="0.35">
      <c r="E5" s="206" t="s">
        <v>61</v>
      </c>
      <c r="F5" s="207">
        <v>3.0000000000000001E-3</v>
      </c>
      <c r="G5" s="207">
        <v>5.0000000000000001E-4</v>
      </c>
      <c r="H5" s="207">
        <v>5.0000000000000001E-4</v>
      </c>
      <c r="I5" s="207">
        <v>0.01</v>
      </c>
      <c r="J5" s="207">
        <v>5.0000000000000001E-3</v>
      </c>
      <c r="K5" s="207">
        <v>0.01</v>
      </c>
      <c r="L5" s="207">
        <v>0.01</v>
      </c>
      <c r="M5" s="207">
        <v>0.01</v>
      </c>
      <c r="N5" s="205"/>
    </row>
    <row r="6" spans="2:15" ht="31.5" customHeight="1" x14ac:dyDescent="0.35">
      <c r="E6" s="206" t="s">
        <v>219</v>
      </c>
      <c r="F6" s="207">
        <v>3.0000000000000001E-3</v>
      </c>
      <c r="G6" s="207">
        <v>1.5E-3</v>
      </c>
      <c r="H6" s="207">
        <v>1.5E-3</v>
      </c>
      <c r="I6" s="207">
        <v>0.01</v>
      </c>
      <c r="J6" s="207">
        <v>3.0000000000000001E-3</v>
      </c>
      <c r="K6" s="207">
        <v>0.01</v>
      </c>
      <c r="L6" s="207">
        <v>0.01</v>
      </c>
      <c r="M6" s="207">
        <v>0.01</v>
      </c>
    </row>
    <row r="7" spans="2:15" ht="31.5" customHeight="1" x14ac:dyDescent="0.35">
      <c r="E7" s="206" t="s">
        <v>63</v>
      </c>
      <c r="F7" s="207">
        <v>4.0000000000000001E-3</v>
      </c>
      <c r="G7" s="207">
        <v>2E-3</v>
      </c>
      <c r="H7" s="207">
        <v>2E-3</v>
      </c>
      <c r="I7" s="207">
        <v>1.4999999999999999E-2</v>
      </c>
      <c r="J7" s="207">
        <v>5.0000000000000001E-3</v>
      </c>
      <c r="K7" s="207">
        <v>1.4999999999999999E-2</v>
      </c>
      <c r="L7" s="207">
        <v>1.4999999999999999E-2</v>
      </c>
      <c r="M7" s="207">
        <v>1.4999999999999999E-2</v>
      </c>
      <c r="N7" s="205"/>
    </row>
    <row r="8" spans="2:15" ht="31.5" customHeight="1" x14ac:dyDescent="0.35">
      <c r="E8" s="206" t="s">
        <v>64</v>
      </c>
      <c r="F8" s="207">
        <v>5.0000000000000001E-3</v>
      </c>
      <c r="G8" s="207">
        <v>3.5000000000000001E-3</v>
      </c>
      <c r="H8" s="207">
        <v>3.5000000000000001E-3</v>
      </c>
      <c r="I8" s="207">
        <v>1.4999999999999999E-2</v>
      </c>
      <c r="J8" s="207">
        <v>5.0000000000000001E-3</v>
      </c>
      <c r="K8" s="207">
        <v>1.4999999999999999E-2</v>
      </c>
      <c r="L8" s="207">
        <v>1.4999999999999999E-2</v>
      </c>
      <c r="M8" s="207">
        <v>1.4999999999999999E-2</v>
      </c>
      <c r="N8" s="205"/>
    </row>
    <row r="9" spans="2:15" ht="31.5" customHeight="1" x14ac:dyDescent="0.35">
      <c r="E9" s="206" t="s">
        <v>65</v>
      </c>
      <c r="F9" s="207">
        <v>6.0000000000000001E-3</v>
      </c>
      <c r="G9" s="207">
        <v>4.0000000000000001E-3</v>
      </c>
      <c r="H9" s="207">
        <v>4.0000000000000001E-3</v>
      </c>
      <c r="I9" s="207">
        <v>0.02</v>
      </c>
      <c r="J9" s="207">
        <v>5.0000000000000001E-3</v>
      </c>
      <c r="K9" s="207">
        <v>0.02</v>
      </c>
      <c r="L9" s="207">
        <v>0.02</v>
      </c>
      <c r="M9" s="207">
        <v>0.02</v>
      </c>
      <c r="N9" s="205"/>
    </row>
    <row r="12" spans="2:15" s="28" customFormat="1" ht="32" x14ac:dyDescent="0.2">
      <c r="C12" s="25" t="s">
        <v>11</v>
      </c>
      <c r="D12" s="25" t="s">
        <v>66</v>
      </c>
      <c r="E12" s="26" t="s">
        <v>48</v>
      </c>
      <c r="F12" s="26" t="s">
        <v>67</v>
      </c>
      <c r="G12" s="26" t="s">
        <v>26</v>
      </c>
      <c r="H12" s="26" t="s">
        <v>68</v>
      </c>
      <c r="I12" s="26" t="s">
        <v>57</v>
      </c>
      <c r="J12" s="26" t="s">
        <v>49</v>
      </c>
      <c r="K12" s="26" t="s">
        <v>50</v>
      </c>
      <c r="L12" s="26" t="s">
        <v>14</v>
      </c>
      <c r="M12" s="26" t="s">
        <v>200</v>
      </c>
      <c r="N12" s="26" t="s">
        <v>59</v>
      </c>
      <c r="O12" s="27" t="s">
        <v>30</v>
      </c>
    </row>
    <row r="13" spans="2:15" s="205" customFormat="1" ht="30" customHeight="1" x14ac:dyDescent="0.35">
      <c r="C13" s="209" t="s">
        <v>69</v>
      </c>
      <c r="D13" s="209">
        <f>ERECTUS!C91</f>
        <v>2751000</v>
      </c>
      <c r="E13" s="210">
        <f>ERECTUS!D91</f>
        <v>2392811.0699999984</v>
      </c>
      <c r="F13" s="210">
        <v>1500</v>
      </c>
      <c r="G13" s="210">
        <v>997</v>
      </c>
      <c r="H13" s="211">
        <v>3</v>
      </c>
      <c r="I13" s="211">
        <v>2.1</v>
      </c>
      <c r="J13" s="210">
        <v>910500.39999999991</v>
      </c>
      <c r="K13" s="212">
        <v>338215.29</v>
      </c>
      <c r="L13" s="210">
        <v>495427.6700000001</v>
      </c>
      <c r="M13" s="212">
        <v>254139.6</v>
      </c>
      <c r="N13" s="212">
        <v>43488</v>
      </c>
      <c r="O13" s="213">
        <f>O15</f>
        <v>38991.026849999987</v>
      </c>
    </row>
    <row r="14" spans="2:15" s="205" customFormat="1" ht="30" customHeight="1" x14ac:dyDescent="0.35">
      <c r="B14" s="205" t="s">
        <v>142</v>
      </c>
      <c r="C14" s="206" t="s">
        <v>60</v>
      </c>
      <c r="D14" s="248" t="s">
        <v>95</v>
      </c>
      <c r="E14" s="249"/>
      <c r="F14" s="249"/>
      <c r="G14" s="249"/>
      <c r="H14" s="249"/>
      <c r="I14" s="249"/>
      <c r="J14" s="249"/>
      <c r="K14" s="249"/>
      <c r="L14" s="249"/>
      <c r="M14" s="249"/>
      <c r="N14" s="249"/>
      <c r="O14" s="250"/>
    </row>
    <row r="15" spans="2:15" s="205" customFormat="1" ht="30" customHeight="1" x14ac:dyDescent="0.35">
      <c r="C15" s="206" t="s">
        <v>61</v>
      </c>
      <c r="D15" s="214">
        <f>E13/D13</f>
        <v>0.86979682660850544</v>
      </c>
      <c r="E15" s="215">
        <f>$E$13*F7</f>
        <v>9571.2442799999935</v>
      </c>
      <c r="F15" s="216">
        <f>$G$13/$F$13</f>
        <v>0.66466666666666663</v>
      </c>
      <c r="G15" s="215">
        <f>E13*G5</f>
        <v>1196.4055349999992</v>
      </c>
      <c r="H15" s="216">
        <f>$I$13/$H$13</f>
        <v>0.70000000000000007</v>
      </c>
      <c r="I15" s="215">
        <f>E13*H5</f>
        <v>1196.4055349999992</v>
      </c>
      <c r="J15" s="215">
        <f>$J$13*I7</f>
        <v>13657.505999999998</v>
      </c>
      <c r="K15" s="215">
        <f>$K$13*J7</f>
        <v>1691.07645</v>
      </c>
      <c r="L15" s="215">
        <f>$L$13*K7</f>
        <v>7431.4150500000014</v>
      </c>
      <c r="M15" s="215">
        <f>$M$13*L7</f>
        <v>3812.0940000000001</v>
      </c>
      <c r="N15" s="215">
        <f>$N$13*M5</f>
        <v>434.88</v>
      </c>
      <c r="O15" s="217">
        <f>E15+G15+I15+J15+K15+L15+M15+N15</f>
        <v>38991.026849999987</v>
      </c>
    </row>
    <row r="16" spans="2:15" ht="30" customHeight="1" x14ac:dyDescent="0.2">
      <c r="C16" s="16" t="s">
        <v>62</v>
      </c>
      <c r="D16" s="29"/>
      <c r="E16" s="18">
        <v>0</v>
      </c>
      <c r="F16" s="17"/>
      <c r="G16" s="18">
        <v>0</v>
      </c>
      <c r="H16" s="17"/>
      <c r="I16" s="18"/>
      <c r="J16" s="18"/>
      <c r="K16" s="18"/>
      <c r="L16" s="18"/>
      <c r="M16" s="18"/>
      <c r="N16" s="18"/>
      <c r="O16" s="30" t="e">
        <f>E16+G16+I16+J16+K16+L16+M16+N16+#REF!</f>
        <v>#REF!</v>
      </c>
    </row>
    <row r="17" spans="3:15" ht="30" customHeight="1" x14ac:dyDescent="0.2">
      <c r="C17" s="16" t="s">
        <v>63</v>
      </c>
      <c r="D17" s="29"/>
      <c r="E17" s="18">
        <v>0</v>
      </c>
      <c r="F17" s="17"/>
      <c r="G17" s="18">
        <v>0</v>
      </c>
      <c r="H17" s="17"/>
      <c r="I17" s="18"/>
      <c r="J17" s="18"/>
      <c r="K17" s="18"/>
      <c r="L17" s="18"/>
      <c r="M17" s="18"/>
      <c r="N17" s="18"/>
      <c r="O17" s="30" t="e">
        <f>E17+G17+I17+J17+K17+L17+M17+N17+#REF!</f>
        <v>#REF!</v>
      </c>
    </row>
    <row r="18" spans="3:15" ht="30" customHeight="1" x14ac:dyDescent="0.2">
      <c r="C18" s="16" t="s">
        <v>64</v>
      </c>
      <c r="D18" s="29"/>
      <c r="E18" s="18">
        <v>0</v>
      </c>
      <c r="F18" s="17"/>
      <c r="G18" s="18">
        <v>0</v>
      </c>
      <c r="H18" s="69">
        <v>0</v>
      </c>
      <c r="I18" s="18"/>
      <c r="J18" s="18"/>
      <c r="K18" s="18"/>
      <c r="L18" s="18"/>
      <c r="M18" s="18"/>
      <c r="N18" s="18"/>
      <c r="O18" s="30" t="e">
        <f>E18+G18+I18+J18+K18+L18+M18+N18+#REF!</f>
        <v>#REF!</v>
      </c>
    </row>
    <row r="19" spans="3:15" ht="30" customHeight="1" x14ac:dyDescent="0.2">
      <c r="C19" s="16" t="s">
        <v>70</v>
      </c>
      <c r="D19" s="29"/>
      <c r="E19" s="18">
        <v>0</v>
      </c>
      <c r="F19" s="17"/>
      <c r="G19" s="18">
        <v>0</v>
      </c>
      <c r="H19" s="17"/>
      <c r="I19" s="18"/>
      <c r="J19" s="18"/>
      <c r="K19" s="18"/>
      <c r="L19" s="18"/>
      <c r="M19" s="18"/>
      <c r="N19" s="18"/>
      <c r="O19" s="30" t="e">
        <f>E19+G19+I19+J19+K19+L19+M19+N19+#REF!</f>
        <v>#REF!</v>
      </c>
    </row>
  </sheetData>
  <mergeCells count="3">
    <mergeCell ref="C1:O1"/>
    <mergeCell ref="F4:N4"/>
    <mergeCell ref="D14:O14"/>
  </mergeCells>
  <pageMargins left="0.7" right="0.7" top="0.75" bottom="0.75" header="0.3" footer="0.3"/>
  <pageSetup scale="2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F6CB5-E11F-43B8-8249-A0AB731AEF64}">
  <dimension ref="B3:L20"/>
  <sheetViews>
    <sheetView showGridLines="0" topLeftCell="E1" workbookViewId="0">
      <selection activeCell="P8" sqref="P8"/>
    </sheetView>
  </sheetViews>
  <sheetFormatPr baseColWidth="10" defaultRowHeight="15" x14ac:dyDescent="0.2"/>
  <cols>
    <col min="2" max="2" width="17.6640625" bestFit="1" customWidth="1"/>
    <col min="3" max="3" width="19.5" bestFit="1" customWidth="1"/>
    <col min="4" max="4" width="14.5" bestFit="1" customWidth="1"/>
    <col min="5" max="5" width="20.83203125" customWidth="1"/>
    <col min="7" max="7" width="18.1640625" customWidth="1"/>
    <col min="8" max="8" width="13.33203125" customWidth="1"/>
    <col min="9" max="9" width="19.5" bestFit="1" customWidth="1"/>
    <col min="10" max="10" width="20.83203125" bestFit="1" customWidth="1"/>
    <col min="11" max="11" width="15.1640625" bestFit="1" customWidth="1"/>
    <col min="12" max="12" width="21.5" bestFit="1" customWidth="1"/>
  </cols>
  <sheetData>
    <row r="3" spans="2:12" ht="20" thickBot="1" x14ac:dyDescent="0.3">
      <c r="B3" s="158" t="s">
        <v>153</v>
      </c>
      <c r="C3" s="158" t="s">
        <v>154</v>
      </c>
      <c r="D3" s="158" t="s">
        <v>155</v>
      </c>
      <c r="G3" s="253" t="s">
        <v>179</v>
      </c>
      <c r="H3" s="253"/>
      <c r="I3" s="253"/>
      <c r="J3" s="253"/>
      <c r="K3" s="253"/>
      <c r="L3" s="253"/>
    </row>
    <row r="4" spans="2:12" ht="17" thickBot="1" x14ac:dyDescent="0.25">
      <c r="B4" s="159">
        <v>1400000</v>
      </c>
      <c r="C4" s="159">
        <f>B4*16%</f>
        <v>224000</v>
      </c>
      <c r="D4" s="159">
        <f>C4+B4</f>
        <v>1624000</v>
      </c>
      <c r="E4" s="1"/>
      <c r="G4" s="146" t="s">
        <v>157</v>
      </c>
      <c r="H4" s="147" t="s">
        <v>158</v>
      </c>
      <c r="I4" s="147" t="s">
        <v>159</v>
      </c>
      <c r="J4" s="147" t="s">
        <v>160</v>
      </c>
      <c r="K4" s="147" t="s">
        <v>161</v>
      </c>
      <c r="L4" s="146" t="s">
        <v>173</v>
      </c>
    </row>
    <row r="5" spans="2:12" ht="33.75" customHeight="1" x14ac:dyDescent="0.2">
      <c r="B5" s="143" t="s">
        <v>149</v>
      </c>
      <c r="C5" s="143" t="s">
        <v>150</v>
      </c>
      <c r="D5" s="143" t="s">
        <v>151</v>
      </c>
      <c r="E5" s="143" t="s">
        <v>152</v>
      </c>
      <c r="G5" s="165" t="s">
        <v>72</v>
      </c>
      <c r="H5" s="165" t="s">
        <v>162</v>
      </c>
      <c r="I5" s="166">
        <v>1716</v>
      </c>
      <c r="J5" s="165" t="s">
        <v>163</v>
      </c>
      <c r="K5" s="167" t="s">
        <v>164</v>
      </c>
      <c r="L5" s="167" t="s">
        <v>174</v>
      </c>
    </row>
    <row r="6" spans="2:12" x14ac:dyDescent="0.2">
      <c r="B6" s="145">
        <v>45488</v>
      </c>
      <c r="C6" s="144">
        <v>405384</v>
      </c>
      <c r="D6" s="144">
        <f>C6</f>
        <v>405384</v>
      </c>
      <c r="E6" s="144">
        <f>D4-C6</f>
        <v>1218616</v>
      </c>
      <c r="G6" s="161" t="s">
        <v>138</v>
      </c>
      <c r="H6" s="161" t="s">
        <v>162</v>
      </c>
      <c r="I6" s="162">
        <v>2924</v>
      </c>
      <c r="J6" s="161" t="s">
        <v>165</v>
      </c>
      <c r="K6" s="163">
        <v>43</v>
      </c>
      <c r="L6" s="163" t="s">
        <v>174</v>
      </c>
    </row>
    <row r="7" spans="2:12" x14ac:dyDescent="0.2">
      <c r="B7" s="145">
        <v>45513</v>
      </c>
      <c r="C7" s="144">
        <v>366601.44</v>
      </c>
      <c r="D7" s="144">
        <f t="shared" ref="D7:D16" si="0">D6+C7</f>
        <v>771985.44</v>
      </c>
      <c r="E7" s="144">
        <f>E6-C7</f>
        <v>852014.56</v>
      </c>
      <c r="G7" s="161" t="s">
        <v>166</v>
      </c>
      <c r="H7" s="161" t="s">
        <v>162</v>
      </c>
      <c r="I7" s="162">
        <v>2153.9</v>
      </c>
      <c r="J7" s="161" t="s">
        <v>167</v>
      </c>
      <c r="K7" s="163">
        <v>42</v>
      </c>
      <c r="L7" s="163" t="s">
        <v>174</v>
      </c>
    </row>
    <row r="8" spans="2:12" x14ac:dyDescent="0.2">
      <c r="B8" s="145">
        <v>45568</v>
      </c>
      <c r="C8" s="144">
        <v>100000</v>
      </c>
      <c r="D8" s="144">
        <f t="shared" si="0"/>
        <v>871985.44</v>
      </c>
      <c r="E8" s="144">
        <f t="shared" ref="E8:E16" si="1">E7-C8</f>
        <v>752014.56</v>
      </c>
      <c r="G8" s="161" t="s">
        <v>81</v>
      </c>
      <c r="H8" s="161" t="s">
        <v>162</v>
      </c>
      <c r="I8" s="162">
        <v>4007</v>
      </c>
      <c r="J8" s="161" t="s">
        <v>168</v>
      </c>
      <c r="K8" s="163" t="s">
        <v>164</v>
      </c>
      <c r="L8" s="163" t="s">
        <v>174</v>
      </c>
    </row>
    <row r="9" spans="2:12" x14ac:dyDescent="0.2">
      <c r="B9" s="145">
        <v>45587</v>
      </c>
      <c r="C9" s="144">
        <v>100000</v>
      </c>
      <c r="D9" s="144">
        <f t="shared" si="0"/>
        <v>971985.44</v>
      </c>
      <c r="E9" s="144">
        <f t="shared" si="1"/>
        <v>652014.56000000006</v>
      </c>
      <c r="G9" s="161" t="s">
        <v>81</v>
      </c>
      <c r="H9" s="161" t="s">
        <v>169</v>
      </c>
      <c r="I9" s="162">
        <v>13023.06</v>
      </c>
      <c r="J9" s="161" t="s">
        <v>170</v>
      </c>
      <c r="K9" s="163" t="s">
        <v>164</v>
      </c>
      <c r="L9" s="163" t="s">
        <v>174</v>
      </c>
    </row>
    <row r="10" spans="2:12" x14ac:dyDescent="0.2">
      <c r="B10" s="145">
        <v>45603</v>
      </c>
      <c r="C10" s="144">
        <v>100000</v>
      </c>
      <c r="D10" s="144">
        <f t="shared" si="0"/>
        <v>1071985.44</v>
      </c>
      <c r="E10" s="144">
        <f t="shared" si="1"/>
        <v>552014.56000000006</v>
      </c>
      <c r="G10" s="161" t="s">
        <v>81</v>
      </c>
      <c r="H10" s="161" t="s">
        <v>171</v>
      </c>
      <c r="I10" s="162">
        <v>3666.83</v>
      </c>
      <c r="J10" s="161" t="s">
        <v>172</v>
      </c>
      <c r="K10" s="163" t="s">
        <v>164</v>
      </c>
      <c r="L10" s="163" t="s">
        <v>174</v>
      </c>
    </row>
    <row r="11" spans="2:12" x14ac:dyDescent="0.2">
      <c r="B11" s="145">
        <v>45617</v>
      </c>
      <c r="C11" s="144">
        <v>100064.97</v>
      </c>
      <c r="D11" s="144">
        <f t="shared" si="0"/>
        <v>1172050.4099999999</v>
      </c>
      <c r="E11" s="144">
        <f t="shared" si="1"/>
        <v>451949.59000000008</v>
      </c>
      <c r="G11" s="161" t="s">
        <v>166</v>
      </c>
      <c r="H11" s="161" t="s">
        <v>171</v>
      </c>
      <c r="I11" s="162">
        <v>7704.03</v>
      </c>
      <c r="J11" s="161" t="s">
        <v>172</v>
      </c>
      <c r="K11" s="163" t="s">
        <v>164</v>
      </c>
      <c r="L11" s="163" t="s">
        <v>174</v>
      </c>
    </row>
    <row r="12" spans="2:12" ht="16" thickBot="1" x14ac:dyDescent="0.25">
      <c r="B12" s="145">
        <v>45666</v>
      </c>
      <c r="C12" s="144">
        <v>100002.14</v>
      </c>
      <c r="D12" s="144">
        <f t="shared" si="0"/>
        <v>1272052.5499999998</v>
      </c>
      <c r="E12" s="144">
        <f t="shared" si="1"/>
        <v>351947.45000000007</v>
      </c>
      <c r="G12" s="168" t="s">
        <v>72</v>
      </c>
      <c r="H12" s="161" t="s">
        <v>171</v>
      </c>
      <c r="I12" s="170">
        <v>63000</v>
      </c>
      <c r="J12" s="161" t="s">
        <v>175</v>
      </c>
      <c r="K12" s="163" t="s">
        <v>164</v>
      </c>
      <c r="L12" s="164" t="s">
        <v>176</v>
      </c>
    </row>
    <row r="13" spans="2:12" ht="17" thickBot="1" x14ac:dyDescent="0.25">
      <c r="B13" s="145">
        <v>45701</v>
      </c>
      <c r="C13" s="144">
        <v>99999.78</v>
      </c>
      <c r="D13" s="144">
        <f t="shared" si="0"/>
        <v>1372052.3299999998</v>
      </c>
      <c r="E13" s="144">
        <f t="shared" si="1"/>
        <v>251947.67000000007</v>
      </c>
      <c r="G13" s="169" t="s">
        <v>155</v>
      </c>
      <c r="I13" s="160">
        <f>SUM(I5:I12)</f>
        <v>98194.82</v>
      </c>
      <c r="J13" s="251"/>
      <c r="K13" s="252"/>
    </row>
    <row r="14" spans="2:12" ht="16" x14ac:dyDescent="0.2">
      <c r="B14" s="145">
        <v>45757</v>
      </c>
      <c r="C14" s="144">
        <v>100000</v>
      </c>
      <c r="D14" s="144">
        <f t="shared" si="0"/>
        <v>1472052.3299999998</v>
      </c>
      <c r="E14" s="144">
        <f t="shared" si="1"/>
        <v>151947.67000000007</v>
      </c>
      <c r="G14" s="148"/>
      <c r="H14" s="148"/>
      <c r="I14" s="149"/>
      <c r="J14" s="150"/>
      <c r="K14" s="150"/>
    </row>
    <row r="15" spans="2:12" ht="32" x14ac:dyDescent="0.2">
      <c r="B15" s="151" t="s">
        <v>156</v>
      </c>
      <c r="C15" s="153">
        <f>I13</f>
        <v>98194.82</v>
      </c>
      <c r="D15" s="144">
        <f t="shared" si="0"/>
        <v>1570247.15</v>
      </c>
      <c r="E15" s="144">
        <f t="shared" si="1"/>
        <v>53752.850000000064</v>
      </c>
    </row>
    <row r="16" spans="2:12" x14ac:dyDescent="0.2">
      <c r="B16" s="152" t="s">
        <v>177</v>
      </c>
      <c r="C16" s="153">
        <v>23203.52</v>
      </c>
      <c r="D16" s="144">
        <f t="shared" si="0"/>
        <v>1593450.67</v>
      </c>
      <c r="E16" s="144">
        <f t="shared" si="1"/>
        <v>30549.330000000064</v>
      </c>
      <c r="I16" s="1"/>
    </row>
    <row r="17" spans="2:9" ht="6" customHeight="1" thickBot="1" x14ac:dyDescent="0.25">
      <c r="I17" s="70"/>
    </row>
    <row r="18" spans="2:9" ht="20" thickBot="1" x14ac:dyDescent="0.25">
      <c r="B18" s="154" t="s">
        <v>178</v>
      </c>
      <c r="C18" s="155">
        <f>SUM(C6:C16)</f>
        <v>1593450.67</v>
      </c>
      <c r="D18" s="156"/>
      <c r="E18" s="157">
        <f>D4-C18</f>
        <v>30549.330000000075</v>
      </c>
    </row>
    <row r="20" spans="2:9" x14ac:dyDescent="0.2">
      <c r="D20" s="70"/>
    </row>
  </sheetData>
  <mergeCells count="2">
    <mergeCell ref="J13:K13"/>
    <mergeCell ref="G3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0CF9C-FA83-4350-B278-EF3B73F1E0A5}">
  <dimension ref="B1:K26"/>
  <sheetViews>
    <sheetView showGridLines="0" topLeftCell="A6" workbookViewId="0">
      <selection activeCell="K11" sqref="K11"/>
    </sheetView>
  </sheetViews>
  <sheetFormatPr baseColWidth="10" defaultColWidth="8.83203125" defaultRowHeight="15" x14ac:dyDescent="0.2"/>
  <cols>
    <col min="3" max="3" width="17.83203125" bestFit="1" customWidth="1"/>
    <col min="4" max="4" width="17.83203125" customWidth="1"/>
    <col min="5" max="5" width="15.6640625" bestFit="1" customWidth="1"/>
    <col min="6" max="6" width="20.5" customWidth="1"/>
    <col min="7" max="7" width="12.5" bestFit="1" customWidth="1"/>
    <col min="8" max="9" width="16.6640625" customWidth="1"/>
    <col min="10" max="10" width="15.1640625" customWidth="1"/>
    <col min="11" max="11" width="12.5" bestFit="1" customWidth="1"/>
    <col min="12" max="12" width="11.6640625" bestFit="1" customWidth="1"/>
  </cols>
  <sheetData>
    <row r="1" spans="2:11" x14ac:dyDescent="0.2">
      <c r="I1" s="1"/>
    </row>
    <row r="2" spans="2:11" x14ac:dyDescent="0.2">
      <c r="I2" s="1"/>
    </row>
    <row r="5" spans="2:11" s="2" customFormat="1" ht="27" thickBot="1" x14ac:dyDescent="0.25">
      <c r="C5" s="36" t="s">
        <v>71</v>
      </c>
      <c r="D5" s="37" t="s">
        <v>29</v>
      </c>
      <c r="E5" s="38" t="s">
        <v>77</v>
      </c>
      <c r="F5" s="99"/>
      <c r="G5" s="100"/>
      <c r="H5" s="37" t="s">
        <v>71</v>
      </c>
      <c r="I5" s="37" t="s">
        <v>29</v>
      </c>
      <c r="J5" s="38" t="s">
        <v>77</v>
      </c>
      <c r="K5" s="38" t="s">
        <v>205</v>
      </c>
    </row>
    <row r="6" spans="2:11" ht="15.75" customHeight="1" x14ac:dyDescent="0.2">
      <c r="B6" s="254" t="s">
        <v>73</v>
      </c>
      <c r="C6" s="188" t="s">
        <v>78</v>
      </c>
      <c r="D6" s="46">
        <f>ERECTUS!C80</f>
        <v>355000</v>
      </c>
      <c r="E6" s="98">
        <f>ERECTUS!D80</f>
        <v>297227.82999999996</v>
      </c>
      <c r="F6" s="95"/>
      <c r="G6" s="254" t="s">
        <v>86</v>
      </c>
      <c r="H6" s="39" t="s">
        <v>72</v>
      </c>
      <c r="I6" s="40">
        <v>250000</v>
      </c>
      <c r="J6" s="96">
        <v>188172.42896551726</v>
      </c>
      <c r="K6" s="96"/>
    </row>
    <row r="7" spans="2:11" ht="26" x14ac:dyDescent="0.2">
      <c r="B7" s="255"/>
      <c r="C7" s="188" t="s">
        <v>79</v>
      </c>
      <c r="D7" s="46">
        <f>ERECTUS!C29</f>
        <v>185000</v>
      </c>
      <c r="E7" s="98">
        <f>ERECTUS!D29</f>
        <v>183425.02999999991</v>
      </c>
      <c r="F7" s="95"/>
      <c r="G7" s="255"/>
      <c r="H7" s="39" t="s">
        <v>82</v>
      </c>
      <c r="I7" s="40">
        <v>245000</v>
      </c>
      <c r="J7" s="96">
        <v>143456.80241379314</v>
      </c>
      <c r="K7" s="96">
        <v>3625.0086206896567</v>
      </c>
    </row>
    <row r="8" spans="2:11" ht="26" x14ac:dyDescent="0.2">
      <c r="B8" s="255"/>
      <c r="C8" s="188" t="s">
        <v>139</v>
      </c>
      <c r="D8" s="46">
        <f>ERECTUS!C34</f>
        <v>125000</v>
      </c>
      <c r="E8" s="98">
        <f>ERECTUS!D34</f>
        <v>83315.129999999976</v>
      </c>
      <c r="F8" s="95"/>
      <c r="G8" s="255"/>
      <c r="H8" s="39" t="s">
        <v>204</v>
      </c>
      <c r="I8" s="40">
        <v>150000</v>
      </c>
      <c r="J8" s="96">
        <v>79563.579655172405</v>
      </c>
      <c r="K8" s="96"/>
    </row>
    <row r="9" spans="2:11" ht="26" x14ac:dyDescent="0.2">
      <c r="B9" s="255"/>
      <c r="C9" s="188" t="s">
        <v>80</v>
      </c>
      <c r="D9" s="46">
        <f>ERECTUS!C75</f>
        <v>150000</v>
      </c>
      <c r="E9" s="98">
        <f>ERECTUS!D75</f>
        <v>122850.90999999996</v>
      </c>
      <c r="F9" s="95"/>
      <c r="G9" s="255"/>
      <c r="H9" s="39" t="s">
        <v>84</v>
      </c>
      <c r="I9" s="40">
        <v>130000</v>
      </c>
      <c r="J9" s="96">
        <v>49412.907586206893</v>
      </c>
      <c r="K9" s="96">
        <v>1163.8017241379312</v>
      </c>
    </row>
    <row r="10" spans="2:11" ht="26" x14ac:dyDescent="0.2">
      <c r="B10" s="255"/>
      <c r="C10" s="188" t="s">
        <v>138</v>
      </c>
      <c r="D10" s="46">
        <f>ERECTUS!C59</f>
        <v>130000</v>
      </c>
      <c r="E10" s="98">
        <f>ERECTUS!D59</f>
        <v>108497.65999999995</v>
      </c>
      <c r="F10" s="95"/>
      <c r="G10" s="255"/>
      <c r="H10" s="39" t="s">
        <v>87</v>
      </c>
      <c r="I10" s="40">
        <v>100000</v>
      </c>
      <c r="J10" s="96">
        <v>62806.355862068973</v>
      </c>
      <c r="K10" s="96">
        <v>750</v>
      </c>
    </row>
    <row r="11" spans="2:11" ht="26" x14ac:dyDescent="0.2">
      <c r="B11" s="255"/>
      <c r="C11" s="188" t="s">
        <v>81</v>
      </c>
      <c r="D11" s="46">
        <f>ERECTUS!C23</f>
        <v>130000</v>
      </c>
      <c r="E11" s="98">
        <f>ERECTUS!D23</f>
        <v>126090.93999999994</v>
      </c>
      <c r="F11" s="95"/>
      <c r="G11" s="255"/>
      <c r="H11" s="39" t="s">
        <v>88</v>
      </c>
      <c r="I11" s="40">
        <v>165000</v>
      </c>
      <c r="J11" s="96">
        <v>86410.89</v>
      </c>
      <c r="K11" s="96">
        <v>1413.7931034482758</v>
      </c>
    </row>
    <row r="12" spans="2:11" ht="26" x14ac:dyDescent="0.2">
      <c r="B12" s="255"/>
      <c r="C12" s="188" t="s">
        <v>202</v>
      </c>
      <c r="D12" s="46">
        <f>ERECTUS!C53</f>
        <v>185000</v>
      </c>
      <c r="E12" s="96">
        <v>79402</v>
      </c>
      <c r="F12" s="95"/>
      <c r="G12" s="255"/>
      <c r="H12" s="39" t="s">
        <v>24</v>
      </c>
      <c r="I12" s="40">
        <v>110000</v>
      </c>
      <c r="J12" s="96">
        <v>37934.992758620683</v>
      </c>
      <c r="K12" s="96"/>
    </row>
    <row r="13" spans="2:11" ht="26" x14ac:dyDescent="0.2">
      <c r="B13" s="255"/>
      <c r="C13" s="188" t="s">
        <v>83</v>
      </c>
      <c r="D13" s="46">
        <f>ERECTUS!C63</f>
        <v>150000</v>
      </c>
      <c r="E13" s="98">
        <f>ERECTUS!D63</f>
        <v>169873.03999999983</v>
      </c>
      <c r="F13" s="95"/>
      <c r="G13" s="255"/>
      <c r="H13" s="39" t="s">
        <v>166</v>
      </c>
      <c r="I13" s="42">
        <v>180000</v>
      </c>
      <c r="J13" s="97">
        <v>121764.88862068966</v>
      </c>
      <c r="K13" s="96"/>
    </row>
    <row r="14" spans="2:11" ht="27" thickBot="1" x14ac:dyDescent="0.25">
      <c r="B14" s="256"/>
      <c r="C14" s="188" t="s">
        <v>89</v>
      </c>
      <c r="D14" s="46">
        <f>ERECTUS!C67</f>
        <v>150000</v>
      </c>
      <c r="E14" s="98" t="e">
        <f>ERECTUS!#REF!</f>
        <v>#REF!</v>
      </c>
      <c r="F14" s="95"/>
      <c r="G14" s="256"/>
      <c r="H14" s="39" t="s">
        <v>85</v>
      </c>
      <c r="I14" s="40">
        <v>165000</v>
      </c>
      <c r="J14" s="96">
        <v>81034.111034482761</v>
      </c>
      <c r="K14" s="96"/>
    </row>
    <row r="15" spans="2:11" x14ac:dyDescent="0.2">
      <c r="B15" s="52"/>
      <c r="G15" s="45"/>
      <c r="H15" s="39" t="s">
        <v>203</v>
      </c>
      <c r="I15" s="42"/>
      <c r="J15" s="96">
        <v>25862.07</v>
      </c>
      <c r="K15" s="96"/>
    </row>
    <row r="16" spans="2:11" s="5" customFormat="1" ht="16" x14ac:dyDescent="0.2">
      <c r="B16" s="47"/>
      <c r="C16" s="48"/>
      <c r="D16" s="48"/>
      <c r="E16" s="49"/>
      <c r="G16" s="47"/>
      <c r="H16" s="50"/>
      <c r="I16" s="51"/>
      <c r="J16" s="49"/>
    </row>
    <row r="17" spans="3:11" x14ac:dyDescent="0.2">
      <c r="J17" s="1"/>
    </row>
    <row r="18" spans="3:11" s="9" customFormat="1" x14ac:dyDescent="0.2">
      <c r="C18" s="9" t="s">
        <v>99</v>
      </c>
      <c r="E18" s="9">
        <f>SUM(D6:D14)</f>
        <v>1560000</v>
      </c>
      <c r="H18" s="9" t="s">
        <v>86</v>
      </c>
      <c r="J18" s="9">
        <f>SUM(I6:I15)</f>
        <v>1495000</v>
      </c>
    </row>
    <row r="19" spans="3:11" s="9" customFormat="1" x14ac:dyDescent="0.2">
      <c r="C19" s="41" t="s">
        <v>74</v>
      </c>
      <c r="D19" s="41"/>
      <c r="E19" s="9" t="e">
        <f>SUM(E6:E14)</f>
        <v>#REF!</v>
      </c>
      <c r="H19" s="41" t="s">
        <v>74</v>
      </c>
      <c r="I19" s="41"/>
      <c r="J19" s="9">
        <f>J6+J7+J8+J9+J10+J11+J12+J13+J14+J15+K11+K10+K9+K7</f>
        <v>883371.63034482743</v>
      </c>
      <c r="K19" s="9">
        <f>J18*60%</f>
        <v>897000</v>
      </c>
    </row>
    <row r="20" spans="3:11" s="2" customFormat="1" x14ac:dyDescent="0.2">
      <c r="C20" s="31" t="s">
        <v>75</v>
      </c>
      <c r="D20" s="31"/>
      <c r="E20" s="32" t="e">
        <f>E19/E18</f>
        <v>#REF!</v>
      </c>
      <c r="J20" s="32">
        <f>J19/J18</f>
        <v>0.59088403367546982</v>
      </c>
    </row>
    <row r="21" spans="3:11" x14ac:dyDescent="0.2">
      <c r="K21" s="70">
        <f>K19-J19</f>
        <v>13628.369655172573</v>
      </c>
    </row>
    <row r="23" spans="3:11" ht="32" hidden="1" x14ac:dyDescent="0.2">
      <c r="D23" s="14" t="s">
        <v>11</v>
      </c>
      <c r="E23" s="15" t="s">
        <v>49</v>
      </c>
      <c r="F23" s="15" t="s">
        <v>50</v>
      </c>
      <c r="G23" s="15" t="s">
        <v>14</v>
      </c>
      <c r="H23" s="15" t="s">
        <v>58</v>
      </c>
      <c r="I23" s="15" t="s">
        <v>59</v>
      </c>
    </row>
    <row r="24" spans="3:11" hidden="1" x14ac:dyDescent="0.2">
      <c r="D24" s="16" t="s">
        <v>61</v>
      </c>
      <c r="E24" s="19">
        <v>5.0000000000000001E-3</v>
      </c>
      <c r="F24" s="19">
        <v>2.5000000000000001E-3</v>
      </c>
      <c r="G24" s="19">
        <v>5.0000000000000001E-3</v>
      </c>
      <c r="H24" s="19">
        <v>5.0000000000000001E-3</v>
      </c>
      <c r="I24" s="19">
        <v>5.0000000000000001E-3</v>
      </c>
    </row>
    <row r="25" spans="3:11" hidden="1" x14ac:dyDescent="0.2">
      <c r="D25" s="16" t="s">
        <v>62</v>
      </c>
      <c r="E25" s="19">
        <v>0.01</v>
      </c>
      <c r="F25" s="19">
        <v>5.0000000000000001E-3</v>
      </c>
      <c r="G25" s="19">
        <v>0.01</v>
      </c>
      <c r="H25" s="19">
        <v>0.01</v>
      </c>
      <c r="I25" s="19">
        <v>0.01</v>
      </c>
    </row>
    <row r="26" spans="3:11" x14ac:dyDescent="0.2">
      <c r="J26" s="70">
        <f>J18*60%</f>
        <v>897000</v>
      </c>
    </row>
  </sheetData>
  <mergeCells count="2">
    <mergeCell ref="G6:G14"/>
    <mergeCell ref="B6:B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2528-E4C6-4379-A7EB-3A106F7EF5AF}">
  <dimension ref="B3:H15"/>
  <sheetViews>
    <sheetView topLeftCell="A6" workbookViewId="0">
      <selection activeCell="F5" activeCellId="3" sqref="F8 F6 F10 F5"/>
    </sheetView>
  </sheetViews>
  <sheetFormatPr baseColWidth="10" defaultColWidth="33.5" defaultRowHeight="15" x14ac:dyDescent="0.2"/>
  <cols>
    <col min="1" max="1" width="21.83203125" customWidth="1"/>
    <col min="2" max="2" width="20.83203125" customWidth="1"/>
    <col min="3" max="3" width="23" customWidth="1"/>
    <col min="4" max="5" width="21.33203125" customWidth="1"/>
    <col min="6" max="6" width="19.83203125" customWidth="1"/>
    <col min="7" max="7" width="23.83203125" customWidth="1"/>
  </cols>
  <sheetData>
    <row r="3" spans="2:8" x14ac:dyDescent="0.2">
      <c r="B3" s="174" t="s">
        <v>106</v>
      </c>
      <c r="C3" s="174" t="s">
        <v>107</v>
      </c>
      <c r="D3" s="174" t="s">
        <v>108</v>
      </c>
      <c r="E3" s="174" t="s">
        <v>15</v>
      </c>
      <c r="F3" s="174" t="s">
        <v>109</v>
      </c>
      <c r="G3" s="174" t="s">
        <v>15</v>
      </c>
      <c r="H3" s="174" t="s">
        <v>110</v>
      </c>
    </row>
    <row r="4" spans="2:8" ht="32" x14ac:dyDescent="0.2">
      <c r="B4" s="175" t="s">
        <v>183</v>
      </c>
      <c r="C4" s="175" t="s">
        <v>112</v>
      </c>
      <c r="D4" s="176">
        <v>45866.436956019003</v>
      </c>
      <c r="E4" s="173">
        <v>429</v>
      </c>
      <c r="F4" s="177">
        <v>671</v>
      </c>
      <c r="G4" s="173">
        <v>429</v>
      </c>
      <c r="H4" s="175" t="s">
        <v>184</v>
      </c>
    </row>
    <row r="5" spans="2:8" ht="32" x14ac:dyDescent="0.2">
      <c r="B5" s="175" t="s">
        <v>185</v>
      </c>
      <c r="C5" s="175" t="s">
        <v>112</v>
      </c>
      <c r="D5" s="176">
        <v>45863.776851852002</v>
      </c>
      <c r="E5" s="173">
        <v>306</v>
      </c>
      <c r="F5" s="177">
        <v>3430</v>
      </c>
      <c r="G5" s="173" t="s">
        <v>186</v>
      </c>
      <c r="H5" s="175" t="s">
        <v>199</v>
      </c>
    </row>
    <row r="6" spans="2:8" ht="32" x14ac:dyDescent="0.2">
      <c r="B6" s="175" t="s">
        <v>187</v>
      </c>
      <c r="C6" s="175" t="s">
        <v>112</v>
      </c>
      <c r="D6" s="176">
        <v>45852.621805556002</v>
      </c>
      <c r="E6" s="173">
        <v>306</v>
      </c>
      <c r="F6" s="178">
        <v>2560</v>
      </c>
      <c r="G6" s="173" t="s">
        <v>186</v>
      </c>
      <c r="H6" s="175" t="s">
        <v>188</v>
      </c>
    </row>
    <row r="7" spans="2:8" ht="16" x14ac:dyDescent="0.2">
      <c r="B7" s="175" t="s">
        <v>189</v>
      </c>
      <c r="C7" s="175" t="s">
        <v>112</v>
      </c>
      <c r="D7" s="176">
        <v>45850.836701389002</v>
      </c>
      <c r="E7" s="173">
        <v>306</v>
      </c>
      <c r="F7" s="178">
        <v>3087</v>
      </c>
      <c r="G7" s="173" t="s">
        <v>186</v>
      </c>
      <c r="H7" s="175" t="s">
        <v>190</v>
      </c>
    </row>
    <row r="8" spans="2:8" ht="16" x14ac:dyDescent="0.2">
      <c r="B8" s="175" t="s">
        <v>191</v>
      </c>
      <c r="C8" s="175" t="s">
        <v>112</v>
      </c>
      <c r="D8" s="176">
        <v>45845.770787037</v>
      </c>
      <c r="E8" s="173">
        <v>306</v>
      </c>
      <c r="F8" s="178">
        <v>2070</v>
      </c>
      <c r="G8" s="173" t="s">
        <v>186</v>
      </c>
      <c r="H8" s="175" t="s">
        <v>192</v>
      </c>
    </row>
    <row r="9" spans="2:8" ht="16" x14ac:dyDescent="0.2">
      <c r="B9" s="175" t="s">
        <v>193</v>
      </c>
      <c r="C9" s="175" t="s">
        <v>112</v>
      </c>
      <c r="D9" s="176">
        <v>45843.826446758998</v>
      </c>
      <c r="E9" s="173">
        <v>312</v>
      </c>
      <c r="F9" s="177">
        <v>1100</v>
      </c>
      <c r="G9" s="173" t="s">
        <v>194</v>
      </c>
      <c r="H9" s="175" t="s">
        <v>195</v>
      </c>
    </row>
    <row r="10" spans="2:8" ht="16" x14ac:dyDescent="0.2">
      <c r="B10" s="175" t="s">
        <v>196</v>
      </c>
      <c r="C10" s="175" t="s">
        <v>112</v>
      </c>
      <c r="D10" s="176">
        <v>45842.547037037002</v>
      </c>
      <c r="E10" s="173">
        <v>306</v>
      </c>
      <c r="F10" s="178">
        <v>1254</v>
      </c>
      <c r="G10" s="173" t="s">
        <v>186</v>
      </c>
      <c r="H10" s="175" t="s">
        <v>197</v>
      </c>
    </row>
    <row r="11" spans="2:8" ht="16" x14ac:dyDescent="0.2">
      <c r="B11" s="175" t="s">
        <v>198</v>
      </c>
      <c r="C11" s="175" t="s">
        <v>112</v>
      </c>
      <c r="D11" s="176">
        <v>45839.587199073998</v>
      </c>
      <c r="E11" s="173">
        <v>312</v>
      </c>
      <c r="F11" s="177">
        <v>1130</v>
      </c>
      <c r="G11" s="173" t="s">
        <v>194</v>
      </c>
      <c r="H11" s="175" t="s">
        <v>192</v>
      </c>
    </row>
    <row r="12" spans="2:8" x14ac:dyDescent="0.2">
      <c r="F12" s="1"/>
    </row>
    <row r="14" spans="2:8" x14ac:dyDescent="0.2">
      <c r="E14" t="s">
        <v>186</v>
      </c>
      <c r="F14" s="70">
        <f>F5+F6+F7+F8+F10</f>
        <v>12401</v>
      </c>
    </row>
    <row r="15" spans="2:8" x14ac:dyDescent="0.2">
      <c r="E15" t="s">
        <v>194</v>
      </c>
      <c r="F15" s="70">
        <f>F11+F9</f>
        <v>2230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Pedidos</vt:lpstr>
      <vt:lpstr>ERECTUS</vt:lpstr>
      <vt:lpstr>cuentas bancarias</vt:lpstr>
      <vt:lpstr>SUPERVISOR</vt:lpstr>
      <vt:lpstr>Hoja1</vt:lpstr>
      <vt:lpstr>ZONA</vt:lpstr>
      <vt:lpstr>ecommerce</vt:lpstr>
      <vt:lpstr>'cuentas bancarias'!Área_de_impresión</vt:lpstr>
      <vt:lpstr>SUPERVISOR!Área_de_impresión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Cruz</dc:creator>
  <cp:keywords/>
  <dc:description/>
  <cp:lastModifiedBy>Rodrigo Olmedo</cp:lastModifiedBy>
  <cp:revision/>
  <cp:lastPrinted>2025-12-01T15:16:49Z</cp:lastPrinted>
  <dcterms:created xsi:type="dcterms:W3CDTF">2019-03-12T00:25:01Z</dcterms:created>
  <dcterms:modified xsi:type="dcterms:W3CDTF">2026-02-03T22:45:57Z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81d8bc57-84df-48a8-8f8f-17ca37477893</vt:lpwstr>
  </property>
</Properties>
</file>